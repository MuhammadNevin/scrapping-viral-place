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Tempat" sheetId="2" state="visible" r:id="rId4"/>
    <sheet name="Artikel" sheetId="3" state="visible" r:id="rId5"/>
    <sheet name="Per Provinsi" sheetId="4" state="visible" r:id="rId6"/>
  </sheets>
  <definedNames>
    <definedName function="false" hidden="true" localSheetId="2" name="_xlnm._FilterDatabase" vbProcedure="false">Artikel!$A$1:$M$2182</definedName>
    <definedName function="false" hidden="true" localSheetId="1" name="_xlnm._FilterDatabase" vbProcedure="false">Tempat!$A$1:$X$1789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<sst xmlns="http://schemas.openxmlformats.org/spreadsheetml/2006/main" count="49264" uniqueCount="13358">
  <si>
    <t xml:space="preserve">Metrik</t>
  </si>
  <si>
    <t xml:space="preserve">Nilai</t>
  </si>
  <si>
    <t xml:space="preserve">Jumlah artikel</t>
  </si>
  <si>
    <t xml:space="preserve">Artikel dengan ≥1 tempat</t>
  </si>
  <si>
    <t xml:space="preserve">Jumlah baris tempat</t>
  </si>
  <si>
    <t xml:space="preserve">Tempat viral eksplisit</t>
  </si>
  <si>
    <t xml:space="preserve">Kategori: Kafe</t>
  </si>
  <si>
    <t xml:space="preserve">Kategori: Restoran</t>
  </si>
  <si>
    <t xml:space="preserve">Kategori: Wisata Alam</t>
  </si>
  <si>
    <t xml:space="preserve">Kategori: Museum</t>
  </si>
  <si>
    <t xml:space="preserve">Kategori: Wahana</t>
  </si>
  <si>
    <t xml:space="preserve">Kategori: Pameran</t>
  </si>
  <si>
    <t xml:space="preserve">Kategori: lainnya</t>
  </si>
  <si>
    <t xml:space="preserve">Artikel judul Sesuai</t>
  </si>
  <si>
    <t xml:space="preserve">Artikel judul Ragu</t>
  </si>
  <si>
    <t xml:space="preserve">Artikel judul Tidak sesuai (isi = judul artikel N-1)</t>
  </si>
  <si>
    <t xml:space="preserve">Artikel judul Tidak sesuai</t>
  </si>
  <si>
    <t xml:space="preserve">Catatan pergeseran data:</t>
  </si>
  <si>
    <t xml:space="preserve">• Isi artikel konsisten cocok dengan final_url (lihat "skor URL vs isi" di sheet Artikel) — jadi final_url adalah sumber yang benar untuk setiap tempat.</t>
  </si>
  <si>
    <t xml:space="preserve">• Yang bergeser adalah judul/source/published di id_map: sering bukan milik isi tersebut.</t>
  </si>
  <si>
    <t xml:space="preserve">• id ~242–800: isi umumnya milik judul artikel N-1 (bergeser 1). Setelah ~800: judul dan isi teracak (isi cocok dengan judul yang jaraknya jauh, sering ±640–650 id).</t>
  </si>
  <si>
    <t xml:space="preserve">• Ekstraksi tempat selalu berdasarkan ISI. Bila "judul sesuai isi?" = Tidak sesuai, abaikan judul/source/published dan rujuk final_url.</t>
  </si>
  <si>
    <t xml:space="preserve">Catatan kolom lokasi:</t>
  </si>
  <si>
    <t xml:space="preserve">• Kelurahan/kecamatan/kota/provinsi diambil dari lokasi_text; tingkat yang tidak disebut dilengkapi dari pengetahuan geografis hanya bila yakin (lihat kolom "sumber wilayah": teks / teks+inferensi / inferensi). Kosong = tidak disebut &amp; tidak yakin.</t>
  </si>
  <si>
    <t xml:space="preserve">• Koordinat TIDAK berasal dari layanan geocoding (akses internet diblokir di lingkungan kerja), melainkan perkiraan. Kolom "presisi koordinat" menjelaskan titik apa yang diwakili: titik tempat (landmark terkenal) atau pusat kelurahan/kecamatan/kota/provinsi.</t>
  </si>
  <si>
    <t xml:space="preserve">• Sudah divalidasi otomatis: nama provinsi (38 resmi, termasuk pemekaran Papua), konsistensi kota/kabupaten→provinsi, dan koordinat berada dalam batas provinsinya. Untuk analisis tingkat titik, sebaiknya verifikasi ulang dengan Google Maps/geocoder.</t>
  </si>
  <si>
    <t xml:space="preserve">• Nama kota yang ambigu (mis. "Bogor", "Malang", "Bekasi" tanpa keterangan Kota/Kabupaten) dibiarkan kosong di kolom kota/kabupaten; koordinat memakai pusat provinsi.</t>
  </si>
  <si>
    <t xml:space="preserve">article_id</t>
  </si>
  <si>
    <t xml:space="preserve">batch</t>
  </si>
  <si>
    <t xml:space="preserve">nama_tempat</t>
  </si>
  <si>
    <t xml:space="preserve">kategori</t>
  </si>
  <si>
    <t xml:space="preserve">lokasi_text</t>
  </si>
  <si>
    <t xml:space="preserve">kelurahan/desa</t>
  </si>
  <si>
    <t xml:space="preserve">kecamatan</t>
  </si>
  <si>
    <t xml:space="preserve">kota/kabupaten</t>
  </si>
  <si>
    <t xml:space="preserve">provinsi</t>
  </si>
  <si>
    <t xml:space="preserve">latitude</t>
  </si>
  <si>
    <t xml:space="preserve">longitude</t>
  </si>
  <si>
    <t xml:space="preserve">presisi koordinat</t>
  </si>
  <si>
    <t xml:space="preserve">sumber wilayah</t>
  </si>
  <si>
    <t xml:space="preserve">catatan lokasi</t>
  </si>
  <si>
    <t xml:space="preserve">alasan_viral</t>
  </si>
  <si>
    <t xml:space="preserve">indikasi_waktu</t>
  </si>
  <si>
    <t xml:space="preserve">is_explicitly_viral</t>
  </si>
  <si>
    <t xml:space="preserve">confidence</t>
  </si>
  <si>
    <t xml:space="preserve">final_url (sumber isi)</t>
  </si>
  <si>
    <t xml:space="preserve">domain URL</t>
  </si>
  <si>
    <t xml:space="preserve">judul (id_map)</t>
  </si>
  <si>
    <t xml:space="preserve">source (id_map)</t>
  </si>
  <si>
    <t xml:space="preserve">published (id_map)</t>
  </si>
  <si>
    <t xml:space="preserve">judul sesuai isi?</t>
  </si>
  <si>
    <t xml:space="preserve">001</t>
  </si>
  <si>
    <t xml:space="preserve">Soto Mie Agih</t>
  </si>
  <si>
    <t xml:space="preserve">Restoran</t>
  </si>
  <si>
    <t xml:space="preserve">Jalan Suryakencana No.313, Babakan Pasar, Bogor Tengah, Bogor</t>
  </si>
  <si>
    <t xml:space="preserve">Babakan Pasar</t>
  </si>
  <si>
    <t xml:space="preserve">Bogor Tengah</t>
  </si>
  <si>
    <t xml:space="preserve">Kota Bogor</t>
  </si>
  <si>
    <t xml:space="preserve">Jawa Barat</t>
  </si>
  <si>
    <t xml:space="preserve">Pusat kelurahan/desa</t>
  </si>
  <si>
    <t xml:space="preserve">teks+inferensi</t>
  </si>
  <si>
    <t xml:space="preserve">Soto mie legendaris Bogor sejak 1965-an, menu babat hingga jumbo</t>
  </si>
  <si>
    <t xml:space="preserve">Tidak</t>
  </si>
  <si>
    <t xml:space="preserve">https://food.detik.com/rumah-makan/d-8679688/awas-kalap-ini-7-tempat-makan-soto-mie-legendaris-di-jakarta-dan-bogor</t>
  </si>
  <si>
    <t xml:space="preserve">food.detik.com</t>
  </si>
  <si>
    <t xml:space="preserve">Awas Kalap! Ini 7 Tempat Makan Soto Mie Legendaris di Jakarta dan Bogor - detikFood</t>
  </si>
  <si>
    <t xml:space="preserve">detikFood</t>
  </si>
  <si>
    <t xml:space="preserve">2026-09-26</t>
  </si>
  <si>
    <t xml:space="preserve">Sesuai</t>
  </si>
  <si>
    <t xml:space="preserve">Soto Mie Sarodja</t>
  </si>
  <si>
    <t xml:space="preserve">Jalan Danau Tondano No.27, Pejompongan, Jakarta Pusat</t>
  </si>
  <si>
    <t xml:space="preserve">Bendungan Hilir</t>
  </si>
  <si>
    <t xml:space="preserve">Tanah Abang</t>
  </si>
  <si>
    <t xml:space="preserve">Kota Jakarta Pusat</t>
  </si>
  <si>
    <t xml:space="preserve">DKI Jakarta</t>
  </si>
  <si>
    <t xml:space="preserve">Pejompongan adalah kawasan di Kel. Bendungan Hilir</t>
  </si>
  <si>
    <t xml:space="preserve">Soto mie sejak 1970, diteruskan generasi kedua</t>
  </si>
  <si>
    <t xml:space="preserve">Soto Mie Theresia</t>
  </si>
  <si>
    <t xml:space="preserve">Jalan Gereja Theresia No.43, Menteng, Jakarta Pusat</t>
  </si>
  <si>
    <t xml:space="preserve">Gondangdia</t>
  </si>
  <si>
    <t xml:space="preserve">Menteng</t>
  </si>
  <si>
    <t xml:space="preserve">Soto mie legendaris sejak 1972 di kawasan Kuliner Theresia</t>
  </si>
  <si>
    <t xml:space="preserve">Soto Mie Pak Fauzy</t>
  </si>
  <si>
    <t xml:space="preserve">Kawasan Suryakencana, Bogor</t>
  </si>
  <si>
    <t xml:space="preserve">Pusat kecamatan</t>
  </si>
  <si>
    <t xml:space="preserve">Kawasan Jalan Suryakencana</t>
  </si>
  <si>
    <t xml:space="preserve">Soto mie legendaris sejak 1974</t>
  </si>
  <si>
    <t xml:space="preserve">Gudeg Yu Djum</t>
  </si>
  <si>
    <t xml:space="preserve">Jl. Wijilan No. 167, Panembahan, Kraton, Yogyakarta</t>
  </si>
  <si>
    <t xml:space="preserve">Panembahan</t>
  </si>
  <si>
    <t xml:space="preserve">Kraton</t>
  </si>
  <si>
    <t xml:space="preserve">Kota Yogyakarta</t>
  </si>
  <si>
    <t xml:space="preserve">DI Yogyakarta</t>
  </si>
  <si>
    <t xml:space="preserve">Ikon gudeg Jogja sejak 1950-an, harga ekonomis</t>
  </si>
  <si>
    <t xml:space="preserve">https://rri.co.id/yogyakarta/kuliner/2752639/rekomendasi-7-tempat-makan-ramah-kantong-di-jogja-dan-tips-menggunakan-grabfood</t>
  </si>
  <si>
    <t xml:space="preserve">rri.co.id</t>
  </si>
  <si>
    <t xml:space="preserve">Rekomendasi 7 Tempat Makan Ramah Kantong di Jogja dan Tips Menggunakan GrabFood - RRI.co.id</t>
  </si>
  <si>
    <t xml:space="preserve">RRI.co.id</t>
  </si>
  <si>
    <t xml:space="preserve">2026-09-23</t>
  </si>
  <si>
    <t xml:space="preserve">Gudeg Pawon</t>
  </si>
  <si>
    <t xml:space="preserve">Yogyakarta</t>
  </si>
  <si>
    <t xml:space="preserve">Pusat kota/kabupaten</t>
  </si>
  <si>
    <t xml:space="preserve">Gudeg dimasak langsung di dapur tradisional, pengalaman unik</t>
  </si>
  <si>
    <t xml:space="preserve">RM Abah Harja</t>
  </si>
  <si>
    <t xml:space="preserve">Jl. Halimun No.8, Malabar, Kec. Lengkong, Kota Bandung</t>
  </si>
  <si>
    <t xml:space="preserve">Malabar</t>
  </si>
  <si>
    <t xml:space="preserve">Lengkong</t>
  </si>
  <si>
    <t xml:space="preserve">Kota Bandung</t>
  </si>
  <si>
    <t xml:space="preserve">Restoran Sunda baru, punya sawah dan peternakan sendiri, ayam bekakak; masuk daftar tempat makan viral Bandung 2026</t>
  </si>
  <si>
    <t xml:space="preserve">2026</t>
  </si>
  <si>
    <t xml:space="preserve">Ya</t>
  </si>
  <si>
    <t xml:space="preserve">https://www.nibble.id/tempat-makan-viral-di-bandung-2026/</t>
  </si>
  <si>
    <t xml:space="preserve">www.nibble.id</t>
  </si>
  <si>
    <t xml:space="preserve">10 Tempat Makan Viral di Bandung 2026 - nibble.id</t>
  </si>
  <si>
    <t xml:space="preserve">nibble.id</t>
  </si>
  <si>
    <t xml:space="preserve">2026-06-09</t>
  </si>
  <si>
    <t xml:space="preserve">RM Wangi Seruni</t>
  </si>
  <si>
    <t xml:space="preserve">Bandung</t>
  </si>
  <si>
    <t xml:space="preserve">Bandung diasumsikan Kota Bandung</t>
  </si>
  <si>
    <t xml:space="preserve">Ayam goreng seruni, konsep makanan rumahan; disebut tempat makan viral Bandung 2026</t>
  </si>
  <si>
    <t xml:space="preserve">TikTok Food Fest 2026</t>
  </si>
  <si>
    <t xml:space="preserve">Pameran</t>
  </si>
  <si>
    <t xml:space="preserve">Hutan Kota Gelora Bung Karno (GBK), Jakarta</t>
  </si>
  <si>
    <t xml:space="preserve">Gelora</t>
  </si>
  <si>
    <t xml:space="preserve">Titik tempat</t>
  </si>
  <si>
    <t xml:space="preserve">Kawasan GBK Senayan</t>
  </si>
  <si>
    <t xml:space="preserve">Festival kuliner gratis dengan 40+ tenant kuliner viral TikTok</t>
  </si>
  <si>
    <t xml:space="preserve">26–27 September 2026</t>
  </si>
  <si>
    <t xml:space="preserve">https://aktualita.co/ragam/tiktok-food-fest-2026-hari-terakhir-gbk</t>
  </si>
  <si>
    <t xml:space="preserve">aktualita.co</t>
  </si>
  <si>
    <t xml:space="preserve">TikTok Food Fest 2026 Hari Terakhir di GBK, Ada 40 Lebih Tenant hingga Kuliner Viral - Aktualita.co</t>
  </si>
  <si>
    <t xml:space="preserve">Aktualita.co</t>
  </si>
  <si>
    <t xml:space="preserve">2026-09-27</t>
  </si>
  <si>
    <t xml:space="preserve">Mad Bagel</t>
  </si>
  <si>
    <t xml:space="preserve">Kafe</t>
  </si>
  <si>
    <t xml:space="preserve">Tenant TikTok Food Fest, GBK, Jakarta</t>
  </si>
  <si>
    <t xml:space="preserve">Bagel manis dan gurih, kuliner populer di media sosial</t>
  </si>
  <si>
    <t xml:space="preserve">RM Lokiin</t>
  </si>
  <si>
    <t xml:space="preserve">Nasi dengan beragam lauk termasuk nasi lidah, populer di medsos</t>
  </si>
  <si>
    <t xml:space="preserve">Chuchat</t>
  </si>
  <si>
    <t xml:space="preserve">Tenant minuman populer di media sosial</t>
  </si>
  <si>
    <t xml:space="preserve">Fuku</t>
  </si>
  <si>
    <t xml:space="preserve">Gelato mochi, populer di media sosial</t>
  </si>
  <si>
    <t xml:space="preserve">Eight Tarts</t>
  </si>
  <si>
    <t xml:space="preserve">Berbagai varian egg tart</t>
  </si>
  <si>
    <t xml:space="preserve">Ayam Renald</t>
  </si>
  <si>
    <t xml:space="preserve">Olahan ayam populer di media sosial</t>
  </si>
  <si>
    <t xml:space="preserve">Aldi's Burger</t>
  </si>
  <si>
    <t xml:space="preserve">Burger populer di media sosial</t>
  </si>
  <si>
    <t xml:space="preserve">Sop Janda</t>
  </si>
  <si>
    <t xml:space="preserve">Jl. Raya Pekayon No. 11, Pekayon Jaya, Kec. Bekasi Selatan, Bekasi</t>
  </si>
  <si>
    <t xml:space="preserve">Pekayon Jaya</t>
  </si>
  <si>
    <t xml:space="preserve">Bekasi Selatan</t>
  </si>
  <si>
    <t xml:space="preserve">Kota Bekasi</t>
  </si>
  <si>
    <t xml:space="preserve">Perpaduan masakan Jawa-Sunda, sop janda daging dan sate maranggi, selalu ramai</t>
  </si>
  <si>
    <t xml:space="preserve">https://www.tripzilla.id/tempat-makan-di-bekasi-hits-legendaris-dan-ramah-kantong/27718</t>
  </si>
  <si>
    <t xml:space="preserve">www.tripzilla.id</t>
  </si>
  <si>
    <t xml:space="preserve">Buat YTTA, Tempat Makan Di Bekasi Bikin Orang Jakarta Rela Antre! - tripzilla.id</t>
  </si>
  <si>
    <t xml:space="preserve">tripzilla.id</t>
  </si>
  <si>
    <t xml:space="preserve">2026-09-22</t>
  </si>
  <si>
    <t xml:space="preserve">Ragu</t>
  </si>
  <si>
    <t xml:space="preserve">Bebek Kaleyo</t>
  </si>
  <si>
    <t xml:space="preserve">Jl. Raya Kalimalang Kompleks Ruko Duta Permai, Bekasi</t>
  </si>
  <si>
    <t xml:space="preserve">Kawasan Kalimalang</t>
  </si>
  <si>
    <t xml:space="preserve">Bebek goreng renyah favorit keluarga</t>
  </si>
  <si>
    <t xml:space="preserve">Fish n' Chops</t>
  </si>
  <si>
    <t xml:space="preserve">Jl. Boulevard Raya Ruko RGB No. 57-58, Jaka Setia, Bekasi</t>
  </si>
  <si>
    <t xml:space="preserve">Jaka Setia</t>
  </si>
  <si>
    <t xml:space="preserve">Seafood platter krispi dengan harga bersahabat</t>
  </si>
  <si>
    <t xml:space="preserve">Ayam Goreng Kalibogor</t>
  </si>
  <si>
    <t xml:space="preserve">Purwokerto, Banyumas</t>
  </si>
  <si>
    <t xml:space="preserve">Kabupaten Banyumas</t>
  </si>
  <si>
    <t xml:space="preserve">Jawa Tengah</t>
  </si>
  <si>
    <t xml:space="preserve">Purwokerto (ibu kota Kab. Banyumas)</t>
  </si>
  <si>
    <t xml:space="preserve">Warung ayam goreng legendaris dengan resep rempah, ramai antrean</t>
  </si>
  <si>
    <t xml:space="preserve">https://jogja.disway.id/gaya-hidup/read/702022/deretan-warung-ayam-goreng-legendaris-paling-hits-di-purwokerto-dengan-cita-rasa-rempah</t>
  </si>
  <si>
    <t xml:space="preserve">jogja.disway.id</t>
  </si>
  <si>
    <t xml:space="preserve">Deretan Warung Ayam Goreng Legendaris Paling Hits di Purwokerto dengan Cita Rasa Rempah - jogja.disway.id - Disway Jogja</t>
  </si>
  <si>
    <t xml:space="preserve">Disway Jogja</t>
  </si>
  <si>
    <t xml:space="preserve">Warung Amanda</t>
  </si>
  <si>
    <t xml:space="preserve">Jl. Raya Taman Pinang Indah No.6, Banjarbendo, Kec. Sidoarjo</t>
  </si>
  <si>
    <t xml:space="preserve">Banjarbendo</t>
  </si>
  <si>
    <t xml:space="preserve">Sidoarjo</t>
  </si>
  <si>
    <t xml:space="preserve">Kabupaten Sidoarjo</t>
  </si>
  <si>
    <t xml:space="preserve">Jawa Timur</t>
  </si>
  <si>
    <t xml:space="preserve">Sego sambel lento khas Sidoarjo, buka 24 jam, harga murah</t>
  </si>
  <si>
    <t xml:space="preserve">https://jatim.idntimes.com/food/dining-guide/10-rekomendasi-kuliner-malam-di-sidoarjo-cocok-bagi-pencinta-kuliner-c1c2-01-njfwj-gnsrbz</t>
  </si>
  <si>
    <t xml:space="preserve">jatim.idntimes.com</t>
  </si>
  <si>
    <t xml:space="preserve">10 Rekomendasi Kuliner Malam Sidoarjo, Gak Takut Lapar Saat Begadang - IDN Times Jatim</t>
  </si>
  <si>
    <t xml:space="preserve">IDN Times Jatim</t>
  </si>
  <si>
    <t xml:space="preserve">2026-09-16</t>
  </si>
  <si>
    <t xml:space="preserve">Warung sego babat Jalan Diponegoro</t>
  </si>
  <si>
    <t xml:space="preserve">Jalan Diponegoro, Sidoarjo</t>
  </si>
  <si>
    <t xml:space="preserve">Sego babat terkenal, selalu antre setiap malam, nasi empal</t>
  </si>
  <si>
    <t xml:space="preserve">Riung Tenda</t>
  </si>
  <si>
    <t xml:space="preserve">Jl. Balai Pustaka Timur No.2, Rawamangun, Pulo Gadung, Jakarta Timur</t>
  </si>
  <si>
    <t xml:space="preserve">Rawamangun</t>
  </si>
  <si>
    <t xml:space="preserve">Pulo Gadung</t>
  </si>
  <si>
    <t xml:space="preserve">Kota Jakarta Timur</t>
  </si>
  <si>
    <t xml:space="preserve">Masakan Sunda murah, sambal dadak</t>
  </si>
  <si>
    <t xml:space="preserve">https://www.rumah123.com/explore/kota-jakarta-timur/tempat-makan-di-jakarta-timur-yang-murah-dan-enak/</t>
  </si>
  <si>
    <t xml:space="preserve">www.rumah123.com</t>
  </si>
  <si>
    <t xml:space="preserve">7 Rekomendasi Tempat Makan di Jakarta Timur yang Murah dan Enak - rumah123.com</t>
  </si>
  <si>
    <t xml:space="preserve">rumah123.com</t>
  </si>
  <si>
    <t xml:space="preserve">2026-04-18</t>
  </si>
  <si>
    <t xml:space="preserve">Sari Idaman</t>
  </si>
  <si>
    <t xml:space="preserve">Jl. Cipinang Jaya Raya No.25A, Cipinang Muara, Jakarta Timur</t>
  </si>
  <si>
    <t xml:space="preserve">Cipinang Muara</t>
  </si>
  <si>
    <t xml:space="preserve">Jatinegara</t>
  </si>
  <si>
    <t xml:space="preserve">Menu Sunda, olahan gurame dan ayam goreng</t>
  </si>
  <si>
    <t xml:space="preserve">Lesehan Gurame Pemuda</t>
  </si>
  <si>
    <t xml:space="preserve">Jl. Pemuda No.77, Rawamangun, Jakarta Timur</t>
  </si>
  <si>
    <t xml:space="preserve">Olahan gurame dan seafood konsep lesehan</t>
  </si>
  <si>
    <t xml:space="preserve">Sambal Bakar Indonesia</t>
  </si>
  <si>
    <t xml:space="preserve">Jl. Lingkar Duren Sawit No.3, Duren Sawit, Jakarta Timur</t>
  </si>
  <si>
    <t xml:space="preserve">Duren Sawit</t>
  </si>
  <si>
    <t xml:space="preserve">Sedang populer dengan konsep sambal bakar unik</t>
  </si>
  <si>
    <t xml:space="preserve">Teras Rumah Nenek</t>
  </si>
  <si>
    <t xml:space="preserve">Jl. Abdulrahman No.46, Cibubur, Ciracas, Jakarta Timur</t>
  </si>
  <si>
    <t xml:space="preserve">Cibubur</t>
  </si>
  <si>
    <t xml:space="preserve">Ciracas</t>
  </si>
  <si>
    <t xml:space="preserve">Tempat makan sekaligus kafe asri dengan area outdoor luas</t>
  </si>
  <si>
    <t xml:space="preserve">Bakso President</t>
  </si>
  <si>
    <t xml:space="preserve">Malang</t>
  </si>
  <si>
    <t xml:space="preserve">Kota Malang</t>
  </si>
  <si>
    <t xml:space="preserve">Malang diasumsikan Kota Malang</t>
  </si>
  <si>
    <t xml:space="preserve">Bakso legendaris sejak 1977 di sisi rel kereta api aktif</t>
  </si>
  <si>
    <t xml:space="preserve">https://erafone.com/artikel/post/wisata-kuliner-malang-04</t>
  </si>
  <si>
    <t xml:space="preserve">erafone.com</t>
  </si>
  <si>
    <t xml:space="preserve">10 Rekomendasi Destinasi Wisata Kuliner Malang yang Enak - Erafone</t>
  </si>
  <si>
    <t xml:space="preserve">Erafone</t>
  </si>
  <si>
    <t xml:space="preserve">2026-08-18</t>
  </si>
  <si>
    <t xml:space="preserve">Rawon Nguling</t>
  </si>
  <si>
    <t xml:space="preserve">Rawon khas Jawa Timur sejak 1980-an, kuah kluwek</t>
  </si>
  <si>
    <t xml:space="preserve">Depot Hok Lay</t>
  </si>
  <si>
    <t xml:space="preserve">Destinasi kuliner legendaris Malang</t>
  </si>
  <si>
    <t xml:space="preserve">Laksa Pak Masitar</t>
  </si>
  <si>
    <t xml:space="preserve">Tangerang</t>
  </si>
  <si>
    <t xml:space="preserve">Banten</t>
  </si>
  <si>
    <t xml:space="preserve">Pusat provinsi</t>
  </si>
  <si>
    <t xml:space="preserve">Tangerang ambigu (Kota/Kabupaten Tangerang)</t>
  </si>
  <si>
    <t xml:space="preserve">Laksa khas Tangerang legendaris, berjualan 36 tahun</t>
  </si>
  <si>
    <t xml:space="preserve">https://www.hipwee.com/travel/tempat-makan-murah-di-tangerang/</t>
  </si>
  <si>
    <t xml:space="preserve">www.hipwee.com</t>
  </si>
  <si>
    <t xml:space="preserve">8 Tempat Makan Murah di Tangerang yang Enak dan Bikin Kenyang - Hipwee</t>
  </si>
  <si>
    <t xml:space="preserve">Hipwee</t>
  </si>
  <si>
    <t xml:space="preserve">2026-07-22</t>
  </si>
  <si>
    <t xml:space="preserve">Warung Bogana May-May</t>
  </si>
  <si>
    <t xml:space="preserve">Pasar Modern BSD, Tangerang Selatan</t>
  </si>
  <si>
    <t xml:space="preserve">Lengkong Gudang</t>
  </si>
  <si>
    <t xml:space="preserve">Serpong</t>
  </si>
  <si>
    <t xml:space="preserve">Kota Tangerang Selatan</t>
  </si>
  <si>
    <t xml:space="preserve">Pasar Modern BSD</t>
  </si>
  <si>
    <t xml:space="preserve">Nasi bogana dengan isian lengkap, murah</t>
  </si>
  <si>
    <t xml:space="preserve">Harmadha Joglo</t>
  </si>
  <si>
    <t xml:space="preserve">Jl. Diponegoro No. 21, Nganten, Selosari, Kecamatan Magetan, Kabupaten Magetan</t>
  </si>
  <si>
    <t xml:space="preserve">Selosari</t>
  </si>
  <si>
    <t xml:space="preserve">Magetan</t>
  </si>
  <si>
    <t xml:space="preserve">Kabupaten Magetan</t>
  </si>
  <si>
    <t xml:space="preserve">Restoran dan kafe hits, sop iga dan rawon</t>
  </si>
  <si>
    <t xml:space="preserve">https://rri.co.id/madiun/kuliner/2758486/harmadha-joglo-tempat-kuliner-hits-magetan</t>
  </si>
  <si>
    <t xml:space="preserve">Harmadha Joglo, Tempat Kuliner Hits Magetan - RRI.co.id</t>
  </si>
  <si>
    <t xml:space="preserve">2026-09-25</t>
  </si>
  <si>
    <t xml:space="preserve">RM Mang Iki</t>
  </si>
  <si>
    <t xml:space="preserve">Jl. Pasar Baru No. 84, Ciwalen, Garut Kota, Garut</t>
  </si>
  <si>
    <t xml:space="preserve">Ciwalen</t>
  </si>
  <si>
    <t xml:space="preserve">Garut Kota</t>
  </si>
  <si>
    <t xml:space="preserve">Kabupaten Garut</t>
  </si>
  <si>
    <t xml:space="preserve">Rumah makan Sunda legendaris sejak 1970</t>
  </si>
  <si>
    <t xml:space="preserve">https://food.detik.com/tempat-makan/d-8549503/7-tempat-makan-di-garut-yang-enak-dan-murah-favorit-warga-lokal</t>
  </si>
  <si>
    <t xml:space="preserve">7 Tempat Makan di Garut yang Enak dan Murah, Favorit Warga Lokal - detikFood</t>
  </si>
  <si>
    <t xml:space="preserve">2026-06-27</t>
  </si>
  <si>
    <t xml:space="preserve">RM Saung Cikenceh</t>
  </si>
  <si>
    <t xml:space="preserve">Garut Kota, Garut</t>
  </si>
  <si>
    <t xml:space="preserve">Hidangan Sunda autentik, suasana santai, harga terjangkau</t>
  </si>
  <si>
    <t xml:space="preserve">Ayam Bakar Christina (ABC)</t>
  </si>
  <si>
    <t xml:space="preserve">Jl. Margonda Raya No. 420, Pondok Cina, Beji, Depok</t>
  </si>
  <si>
    <t xml:space="preserve">Pondok Cina</t>
  </si>
  <si>
    <t xml:space="preserve">Beji</t>
  </si>
  <si>
    <t xml:space="preserve">Kota Depok</t>
  </si>
  <si>
    <t xml:space="preserve">Ayam bakar legendaris sejak 1986</t>
  </si>
  <si>
    <t xml:space="preserve">https://www.tripzilla.id/tempat-makan-di-depok/27073</t>
  </si>
  <si>
    <t xml:space="preserve">🍽️ [Paling Update] 30+ Tempat Makan di Depok Untuk Pecinta Kuliner! - tripzilla.id</t>
  </si>
  <si>
    <t xml:space="preserve">2026-05-21</t>
  </si>
  <si>
    <t xml:space="preserve">Rumah Makan Gandy</t>
  </si>
  <si>
    <t xml:space="preserve">Jl. Raya Muchtar No. 24, Bojongsari, Sawangan, Depok</t>
  </si>
  <si>
    <t xml:space="preserve">Sawangan</t>
  </si>
  <si>
    <t xml:space="preserve">Bojongsari kini kecamatan tersendiri (pemekaran dari Sawangan); kelurahan ambigu</t>
  </si>
  <si>
    <t xml:space="preserve">Masakan Betawi-Sunda sejak era 70-an, pecak gurame</t>
  </si>
  <si>
    <t xml:space="preserve">Nasi Uduk H. Yoyo</t>
  </si>
  <si>
    <t xml:space="preserve">Depok</t>
  </si>
  <si>
    <t xml:space="preserve">Salah satu destinasi kuliner tertua di Depok, 60+ tahun</t>
  </si>
  <si>
    <t xml:space="preserve">RM Salam Sereh</t>
  </si>
  <si>
    <t xml:space="preserve">Jl. Raya Kp. Sawah, Bojong, Kec. Kemang, Kab. Bogor</t>
  </si>
  <si>
    <t xml:space="preserve">Bojong</t>
  </si>
  <si>
    <t xml:space="preserve">Kemang</t>
  </si>
  <si>
    <t xml:space="preserve">Kabupaten Bogor</t>
  </si>
  <si>
    <t xml:space="preserve">Restoran baru Sunda di tengah persawahan</t>
  </si>
  <si>
    <t xml:space="preserve">Juni 2026</t>
  </si>
  <si>
    <t xml:space="preserve">https://www.nibble.id/restoran-baru-di-bogor-juni-2026/</t>
  </si>
  <si>
    <t xml:space="preserve">10 Restoran Baru di Bogor Juni 2026 - nibble.id</t>
  </si>
  <si>
    <t xml:space="preserve">2026-06-07</t>
  </si>
  <si>
    <t xml:space="preserve">The Layer Cafe</t>
  </si>
  <si>
    <t xml:space="preserve">Jl. Terobosan No.01, Cipayung Datar, Kec. Megamendung, Kab. Bogor</t>
  </si>
  <si>
    <t xml:space="preserve">Cipayung Datar</t>
  </si>
  <si>
    <t xml:space="preserve">Megamendung</t>
  </si>
  <si>
    <t xml:space="preserve">Tempat hangout baru dengan view pegunungan</t>
  </si>
  <si>
    <t xml:space="preserve">Padre</t>
  </si>
  <si>
    <t xml:space="preserve">Kanma Collective, Bogor Selatan</t>
  </si>
  <si>
    <t xml:space="preserve">Bogor Selatan</t>
  </si>
  <si>
    <t xml:space="preserve">Restoran Italia Kanma Group buka cabang baru</t>
  </si>
  <si>
    <t xml:space="preserve">Two Stories</t>
  </si>
  <si>
    <t xml:space="preserve">Satu lokasi dengan Padre</t>
  </si>
  <si>
    <t xml:space="preserve">Kopi Nako</t>
  </si>
  <si>
    <t xml:space="preserve">Sate Madura Cak Mat</t>
  </si>
  <si>
    <t xml:space="preserve">Sekitar Kelapa Gading, Jakarta Utara</t>
  </si>
  <si>
    <t xml:space="preserve">Kelapa Gading</t>
  </si>
  <si>
    <t xml:space="preserve">Kota Jakarta Utara</t>
  </si>
  <si>
    <t xml:space="preserve">Tempat makan populer dekat stasiun LRT Kelapa Gading</t>
  </si>
  <si>
    <t xml:space="preserve">https://jogja.disway.id/gaya-hidup/read/701716/wisata-kuliner-tempat-makan-paling-populer-dan-menggugah-selera-di-sekitar-kelapa-gading</t>
  </si>
  <si>
    <t xml:space="preserve">Wisata Kuliner Tempat Makan Paling Populer dan Menggugah Selera di Sekitar Kelapa Gading - jogja.disway.id - Disway Jogja</t>
  </si>
  <si>
    <t xml:space="preserve">2026-09-13</t>
  </si>
  <si>
    <t xml:space="preserve">Ayam Bakar Madu</t>
  </si>
  <si>
    <t xml:space="preserve">Kampung Kecil KM 5</t>
  </si>
  <si>
    <t xml:space="preserve">KM 5, Palembang</t>
  </si>
  <si>
    <t xml:space="preserve">Kota Palembang</t>
  </si>
  <si>
    <t xml:space="preserve">Sumatera Selatan</t>
  </si>
  <si>
    <t xml:space="preserve">Kawasan KM 5</t>
  </si>
  <si>
    <t xml:space="preserve">Lesehan saung kayu, kolam ikan, playground, ramah anak</t>
  </si>
  <si>
    <t xml:space="preserve">https://www.hipwee.com/travel/tempat-makan-keluarga-di-palembang/</t>
  </si>
  <si>
    <t xml:space="preserve">9 Tempat Makan Keluarga di Palembang yang Nyaman, Enak, dan Ramah Anak - Hipwee</t>
  </si>
  <si>
    <t xml:space="preserve">2026-07-06</t>
  </si>
  <si>
    <t xml:space="preserve">Le Garden</t>
  </si>
  <si>
    <t xml:space="preserve">Palembang Indah Mall, Palembang</t>
  </si>
  <si>
    <t xml:space="preserve">Ilir Timur I</t>
  </si>
  <si>
    <t xml:space="preserve">Food court indoor garden dengan puluhan tenant</t>
  </si>
  <si>
    <t xml:space="preserve">BMB Canteen</t>
  </si>
  <si>
    <t xml:space="preserve">Jl. Sirnagalih No.1, Cipedes, Kec. Sukajadi, Kota Bandung, Jawa Barat</t>
  </si>
  <si>
    <t xml:space="preserve">Cipedes</t>
  </si>
  <si>
    <t xml:space="preserve">Sukajadi</t>
  </si>
  <si>
    <t xml:space="preserve">teks</t>
  </si>
  <si>
    <t xml:space="preserve">Tempat makan hits dan viral, antre panjang sebelum buka, corned beef sourdough</t>
  </si>
  <si>
    <t xml:space="preserve">https://www.tripzilla.id/tempat-makan-hits-bandung/27057</t>
  </si>
  <si>
    <t xml:space="preserve">13 Tempat Makan Hits dan Viral di Bandung Yang Wajib Kamu Kunjungi - tripzilla.id</t>
  </si>
  <si>
    <t xml:space="preserve">2026-05-15</t>
  </si>
  <si>
    <t xml:space="preserve">Toko Bubur Dibawah Pohon Rindang</t>
  </si>
  <si>
    <t xml:space="preserve">Jl. Taman Cibeunying Utara No.24, Cihapit, Kec. Bandung Wetan, Kota Bandung</t>
  </si>
  <si>
    <t xml:space="preserve">Cihapit</t>
  </si>
  <si>
    <t xml:space="preserve">Bandung Wetan</t>
  </si>
  <si>
    <t xml:space="preserve">Sangat populer, antrean mengular, bubur kanton capit kepiting</t>
  </si>
  <si>
    <t xml:space="preserve">Pasar Cihapit</t>
  </si>
  <si>
    <t xml:space="preserve">lainnya</t>
  </si>
  <si>
    <t xml:space="preserve">Kawasan Cihapit, Bandung</t>
  </si>
  <si>
    <t xml:space="preserve">Pasar tradisional yang lagi hits jadi surga kuliner</t>
  </si>
  <si>
    <t xml:space="preserve">Malindo</t>
  </si>
  <si>
    <t xml:space="preserve">Kebumen</t>
  </si>
  <si>
    <t xml:space="preserve">Kabupaten Kebumen</t>
  </si>
  <si>
    <t xml:space="preserve">Menu Nusantara beragam, sambal jadi highlight</t>
  </si>
  <si>
    <t xml:space="preserve">https://www.hipwee.com/travel/rekomendasi-tempat-makan-di-kebumen/</t>
  </si>
  <si>
    <t xml:space="preserve">10 Rekomendasi Tempat Makan di Kebumen yang Enak dan Wajib Kamu Coba - Hipwee</t>
  </si>
  <si>
    <t xml:space="preserve">2026-04-10</t>
  </si>
  <si>
    <t xml:space="preserve">Momong Resto</t>
  </si>
  <si>
    <t xml:space="preserve">Tempat luas untuk makan keluarga besar</t>
  </si>
  <si>
    <t xml:space="preserve">Barayam</t>
  </si>
  <si>
    <t xml:space="preserve">Jalan Hos Cokroaminoto, Ciledug, Tangerang</t>
  </si>
  <si>
    <t xml:space="preserve">Ciledug</t>
  </si>
  <si>
    <t xml:space="preserve">Kota Tangerang</t>
  </si>
  <si>
    <t xml:space="preserve">Ayam goreng bawang putih crispy, kuliner hits yang belakangan viral</t>
  </si>
  <si>
    <t xml:space="preserve">https://food.detik.com/rumah-makan/d-8550840/7-kuliner-hits-di-ciledug-yang-lagi-viral-ada-nasi-goreng-yang-antre-1-jam</t>
  </si>
  <si>
    <t xml:space="preserve">7 Kuliner Hits di Ciledug yang Lagi Viral, Ada Nasi Goreng yang Antre 1 Jam! - detikFood</t>
  </si>
  <si>
    <t xml:space="preserve">2026-06-28</t>
  </si>
  <si>
    <t xml:space="preserve">Liwet Bakar Derajat</t>
  </si>
  <si>
    <t xml:space="preserve">Jalan HOS Cokroaminoto, Karang Tengah, Ciledug, Tangerang</t>
  </si>
  <si>
    <t xml:space="preserve">Karang Tengah</t>
  </si>
  <si>
    <t xml:space="preserve">Karang Tengah adalah kecamatan tersendiri (bukan bagian Ciledug)</t>
  </si>
  <si>
    <t xml:space="preserve">Nasi liwet bakar hits di Karang Tengah</t>
  </si>
  <si>
    <t xml:space="preserve">Bakso Pentol Bang Dimas</t>
  </si>
  <si>
    <t xml:space="preserve">Jalan H. Gedad, Paninggilan Utara, Ciledug, Tangerang</t>
  </si>
  <si>
    <t xml:space="preserve">Paninggilan Utara</t>
  </si>
  <si>
    <t xml:space="preserve">Sempat viral di media sosial, aneka kreasi bakso</t>
  </si>
  <si>
    <t xml:space="preserve">Festival Kuliner Gang Viral</t>
  </si>
  <si>
    <t xml:space="preserve">Outdoor Lobby Utama GF, Cambridge City Square, Jl. S. Parman, Medan</t>
  </si>
  <si>
    <t xml:space="preserve">Petisah Tengah</t>
  </si>
  <si>
    <t xml:space="preserve">Medan Petisah</t>
  </si>
  <si>
    <t xml:space="preserve">Kota Medan</t>
  </si>
  <si>
    <t xml:space="preserve">Sumatera Utara</t>
  </si>
  <si>
    <t xml:space="preserve">Cambridge City Square</t>
  </si>
  <si>
    <t xml:space="preserve">Bazar kuliner gang viral Jakarta dengan 40+ tenant viral halal</t>
  </si>
  <si>
    <t xml:space="preserve">Minggu, 27 September 2026</t>
  </si>
  <si>
    <t xml:space="preserve">https://www.hariansib.com/Kuliner/450454/festival-kuliner-gang-viral-jakarta-hadir-di-medan</t>
  </si>
  <si>
    <t xml:space="preserve">www.hariansib.com</t>
  </si>
  <si>
    <t xml:space="preserve">Festival Kuliner Gang Viral Jakarta Hadir Di Medan - hariansib.com</t>
  </si>
  <si>
    <t xml:space="preserve">hariansib.com</t>
  </si>
  <si>
    <t xml:space="preserve">Ci Mehong</t>
  </si>
  <si>
    <t xml:space="preserve">Cambridge City Square, Medan</t>
  </si>
  <si>
    <t xml:space="preserve">Populer dengan aksi lempar kaleng</t>
  </si>
  <si>
    <t xml:space="preserve">PIK Baking House</t>
  </si>
  <si>
    <t xml:space="preserve">Produk bika ambon, lapis legit, donat labu</t>
  </si>
  <si>
    <t xml:space="preserve">Maevan Cafe</t>
  </si>
  <si>
    <t xml:space="preserve">Jalan Andi Manappiang RW.05 Biring Kassi, Kelurahan Lembang, Kabupaten Bantaeng, Sulawesi Selatan</t>
  </si>
  <si>
    <t xml:space="preserve">Lembang</t>
  </si>
  <si>
    <t xml:space="preserve">Bantaeng</t>
  </si>
  <si>
    <t xml:space="preserve">Kabupaten Bantaeng</t>
  </si>
  <si>
    <t xml:space="preserve">Sulawesi Selatan</t>
  </si>
  <si>
    <t xml:space="preserve">Tengah jadi perbincangan hangat, pemandangan sunset dekat Pantai Lamalaka</t>
  </si>
  <si>
    <t xml:space="preserve">https://lembang-bantaengkab.digitaldesa.id/potensi/-viral-di-bantaeng-maevan-cafe-hadirkan-surga-kuliner-dengan-pesona-sunset-memikat</t>
  </si>
  <si>
    <t xml:space="preserve">lembang-bantaengkab.digitaldesa.id</t>
  </si>
  <si>
    <t xml:space="preserve">VIRAL DI BANTAENG! MAEVAN CAFE HADIRKAN SURGA KULINER DENGAN PESONA SUNSET MEMIKAT! - Digital Desa</t>
  </si>
  <si>
    <t xml:space="preserve">Digital Desa</t>
  </si>
  <si>
    <t xml:space="preserve">Pantai Lamalaka</t>
  </si>
  <si>
    <t xml:space="preserve">Wisata Alam</t>
  </si>
  <si>
    <t xml:space="preserve">Bantaeng, Sulawesi Selatan</t>
  </si>
  <si>
    <t xml:space="preserve">Disebut sebagai lokasi dekat Maevan Cafe</t>
  </si>
  <si>
    <t xml:space="preserve">Mie Gacoan</t>
  </si>
  <si>
    <t xml:space="preserve">KS Tubun (gerai terdekat dari Palmerah Selatan), Jakarta</t>
  </si>
  <si>
    <t xml:space="preserve">Jl. KS Tubun melintasi Jakarta Pusat dan Jakarta Barat</t>
  </si>
  <si>
    <t xml:space="preserve">Makanan viral ramah kantong, antrean memanjang</t>
  </si>
  <si>
    <t xml:space="preserve">https://www.kompas.com/food/read/cm/2026/09/24/104012175/bagaimana-cara-mencari-mie-gacoan-terdekat-dan-kuliner-viral-lain-di</t>
  </si>
  <si>
    <t xml:space="preserve">www.kompas.com</t>
  </si>
  <si>
    <t xml:space="preserve">Bagaimana Cara Mencari Mie Gacoan Terdekat dan Kuliner Viral Lain di GrabFood? - Kompas.com</t>
  </si>
  <si>
    <t xml:space="preserve">Kompas.com</t>
  </si>
  <si>
    <t xml:space="preserve">2026-09-24</t>
  </si>
  <si>
    <t xml:space="preserve">Blok M Hub</t>
  </si>
  <si>
    <t xml:space="preserve">Blok M, Jakarta Selatan</t>
  </si>
  <si>
    <t xml:space="preserve">Melawai</t>
  </si>
  <si>
    <t xml:space="preserve">Kebayoran Baru</t>
  </si>
  <si>
    <t xml:space="preserve">Kota Jakarta Selatan</t>
  </si>
  <si>
    <t xml:space="preserve">Spot nongkrong nge-trend, pusat kuliner viral, antre panjang</t>
  </si>
  <si>
    <t xml:space="preserve">https://www.tripzilla.id/kuliner-blok-m-hub-jakarta/27660</t>
  </si>
  <si>
    <t xml:space="preserve">10 Kuliner Viral di Blok M Hub Jakarta, Dari Ayam Pedas Hingga Cimol Keju - tripzilla.id</t>
  </si>
  <si>
    <t xml:space="preserve">2026-09-17</t>
  </si>
  <si>
    <t xml:space="preserve">Blok M Hub, Jakarta Selatan</t>
  </si>
  <si>
    <t xml:space="preserve">Kuliner viral milik influencer, olahan ayam aneka bumbu</t>
  </si>
  <si>
    <t xml:space="preserve">Susu Murni Bahagia</t>
  </si>
  <si>
    <t xml:space="preserve">Minuman susu viral, buka banyak cabang di Jabodetabek</t>
  </si>
  <si>
    <t xml:space="preserve">Cimol Keju Barito</t>
  </si>
  <si>
    <t xml:space="preserve">Cimol isi keju lumer, kuliner viral favorit anak muda</t>
  </si>
  <si>
    <t xml:space="preserve">Hutan Kota GBK, Jakarta</t>
  </si>
  <si>
    <t xml:space="preserve">Festival kuliner dengan 40+ tenant makanan viral di TikTok</t>
  </si>
  <si>
    <t xml:space="preserve">26-27 September 2026</t>
  </si>
  <si>
    <t xml:space="preserve">https://food.detik.com/pengalaman-bersantap/d-8680372/di-tiktok-food-fest-2026-ada-mochi-gelato-hingga-nasi-lidah-enak</t>
  </si>
  <si>
    <t xml:space="preserve">Di TikTok Food Fest 2026 Ada Mochi Gelato hingga Nasi Lidah Enak - detikFood</t>
  </si>
  <si>
    <t xml:space="preserve">Bagel viral di TikTok</t>
  </si>
  <si>
    <t xml:space="preserve">Blok M, Jakarta</t>
  </si>
  <si>
    <t xml:space="preserve">Viral di Blok M, nasi rames dan nasi lidah</t>
  </si>
  <si>
    <t xml:space="preserve">Jakarta Barat hingga Tangerang</t>
  </si>
  <si>
    <t xml:space="preserve">Beberapa lokasi: Jakarta Barat (DKI Jakarta) hingga Tangerang (Banten)</t>
  </si>
  <si>
    <t xml:space="preserve">Milk tea populer</t>
  </si>
  <si>
    <t xml:space="preserve">Dessert gelato mochi kekinian</t>
  </si>
  <si>
    <t xml:space="preserve">Bakmie 96</t>
  </si>
  <si>
    <t xml:space="preserve">Jalan Taman Cibeunying Utara, Kota Bandung</t>
  </si>
  <si>
    <t xml:space="preserve">Olahan mi, masuk rekomendasi kuliner viral</t>
  </si>
  <si>
    <t xml:space="preserve">https://jabar.antaranews.com/berita/708412/rekomendasi-kuliner-viral-di-sepanjang-jalan-cibeunying-utara-bandung</t>
  </si>
  <si>
    <t xml:space="preserve">jabar.antaranews.com</t>
  </si>
  <si>
    <t xml:space="preserve">Rekomendasi kuliner viral di sepanjang Jalan Cibeunying Utara Bandung - ANTARA News Jawa Barat</t>
  </si>
  <si>
    <t xml:space="preserve">ANTARA News Jawa Barat</t>
  </si>
  <si>
    <t xml:space="preserve">Dimxie</t>
  </si>
  <si>
    <t xml:space="preserve">Dimsum</t>
  </si>
  <si>
    <t xml:space="preserve">Gebros</t>
  </si>
  <si>
    <t xml:space="preserve">Gorengan mini seperti gehu cikur dan combro lemet</t>
  </si>
  <si>
    <t xml:space="preserve">Sate Pak Gito</t>
  </si>
  <si>
    <t xml:space="preserve">Sajian sate</t>
  </si>
  <si>
    <t xml:space="preserve">Jue Kopi</t>
  </si>
  <si>
    <t xml:space="preserve">Kopi Vietnam</t>
  </si>
  <si>
    <t xml:space="preserve">Toko Kari</t>
  </si>
  <si>
    <t xml:space="preserve">Kuliner bercita rasa kari</t>
  </si>
  <si>
    <t xml:space="preserve">Pempek B3doloer</t>
  </si>
  <si>
    <t xml:space="preserve">Pempek khas Palembang</t>
  </si>
  <si>
    <t xml:space="preserve">RM Sari Moerni</t>
  </si>
  <si>
    <t xml:space="preserve">Jalan Kisamaun, dekat Pasar Lama, Kota Tangerang</t>
  </si>
  <si>
    <t xml:space="preserve">Sukasari</t>
  </si>
  <si>
    <t xml:space="preserve">Destinasi kuliner baru bernuansa Betawi-Sunda, ayam kukus dan es teh kampul</t>
  </si>
  <si>
    <t xml:space="preserve">https://tangerangkota.go.id/berita/detail/68715/hadirkan-cita-rasa-betawi-sunda-rm-sari-moerni-jadi-destinasi-kuliner-baru-di-kota-tangerang</t>
  </si>
  <si>
    <t xml:space="preserve">tangerangkota.go.id</t>
  </si>
  <si>
    <t xml:space="preserve">Hadirkan Cita Rasa Betawi-Sunda, RM Sari Moerni Jadi Destinasi Kuliner Baru di Kota Tangerang - Pemerintah Kota Tangerang</t>
  </si>
  <si>
    <t xml:space="preserve">Pemerintah Kota Tangerang</t>
  </si>
  <si>
    <t xml:space="preserve">2026-09-07</t>
  </si>
  <si>
    <t xml:space="preserve">Festival Kuliner Nusantarasa by Roadshow Kuliner Viral Indonesia</t>
  </si>
  <si>
    <t xml:space="preserve">Mal Ratu Indah, Makassar, Sulawesi Selatan</t>
  </si>
  <si>
    <t xml:space="preserve">Kota Makassar</t>
  </si>
  <si>
    <t xml:space="preserve">Mal Ratu Indah</t>
  </si>
  <si>
    <t xml:space="preserve">Festival kuliner viral dengan ratusan menu dan UMKM</t>
  </si>
  <si>
    <t xml:space="preserve">26 Agustus - 6 September 2026</t>
  </si>
  <si>
    <t xml:space="preserve">https://www.antarafoto.com/id/view/2850808/festival-kuliner-viral-indonesia-di-makassar</t>
  </si>
  <si>
    <t xml:space="preserve">www.antarafoto.com</t>
  </si>
  <si>
    <t xml:space="preserve">Festival kuliner viral Indonesia di Makassar - antarafoto.com</t>
  </si>
  <si>
    <t xml:space="preserve">antarafoto.com</t>
  </si>
  <si>
    <t xml:space="preserve">2026-08-26</t>
  </si>
  <si>
    <t xml:space="preserve">002</t>
  </si>
  <si>
    <t xml:space="preserve">Sop Durian Margando</t>
  </si>
  <si>
    <t xml:space="preserve">Ikon kuliner Depok, sop durian dengan durian asli melimpah, hampir selalu ramai; viral lewat food vlogger dan medsos</t>
  </si>
  <si>
    <t xml:space="preserve">https://chanelmuslim.com/wisata/5-wisata-kuliner-viral-di-depok-yang-wajib-dicoba-dijamin-bikin-ketagihan</t>
  </si>
  <si>
    <t xml:space="preserve">chanelmuslim.com</t>
  </si>
  <si>
    <t xml:space="preserve">5 Wisata Kuliner Viral di Depok yang Wajib Dicoba, Dijamin Bikin Ketagihan - Chanelmuslim.com</t>
  </si>
  <si>
    <t xml:space="preserve">Chanelmuslim.com</t>
  </si>
  <si>
    <t xml:space="preserve">2026-07-30</t>
  </si>
  <si>
    <t xml:space="preserve">Soto Bu Tjondro</t>
  </si>
  <si>
    <t xml:space="preserve">Kuah soto gurih kaya rempah; masuk daftar kuliner viral Depok</t>
  </si>
  <si>
    <t xml:space="preserve">Warung Pancong Mang Kumis &amp; Mang Dadang</t>
  </si>
  <si>
    <t xml:space="preserve">Mengubah pancong tradisional menjadi kuliner viral</t>
  </si>
  <si>
    <t xml:space="preserve">Blok M</t>
  </si>
  <si>
    <t xml:space="preserve">Kawasan kuliner viral yang ramai, destinasi favorit wisman Malaysia</t>
  </si>
  <si>
    <t xml:space="preserve">https://www.idxchannel.com/ecotainment/kuliner-viral-jadi-daya-tarik-blok-m-masuk-daftar-destinasi-favorit-wisman-malaysia</t>
  </si>
  <si>
    <t xml:space="preserve">www.idxchannel.com</t>
  </si>
  <si>
    <t xml:space="preserve">Kuliner Viral Jadi Daya Tarik, Blok M Masuk Daftar Destinasi Favorit Wisman Malaysia - IDX Channel</t>
  </si>
  <si>
    <t xml:space="preserve">IDX Channel</t>
  </si>
  <si>
    <t xml:space="preserve">2026-09-15</t>
  </si>
  <si>
    <t xml:space="preserve">Tidak sesuai</t>
  </si>
  <si>
    <t xml:space="preserve">Pasar Cihapit, Kota Bandung</t>
  </si>
  <si>
    <t xml:space="preserve">Destinasi kuliner yang diburu, ramai dibahas di TikTok</t>
  </si>
  <si>
    <t xml:space="preserve">https://jabar.antaranews.com/berita/707015/rekomendasi-kuliner-viral-pasar-cihapit-bandung-dari-brownies-kunafa-hingga-warung-bu-eha-legendaris</t>
  </si>
  <si>
    <t xml:space="preserve">Rekomendasi Kuliner Viral Pasar Cihapit Bandung: Dari Brownies Kunafa hingga Warung Bu Eha Legendaris - ANTARA News Jawa Barat</t>
  </si>
  <si>
    <t xml:space="preserve">2026-09-14</t>
  </si>
  <si>
    <t xml:space="preserve">Brownies Tjihapit</t>
  </si>
  <si>
    <t xml:space="preserve">Brownies fudgy varian kunafa pistachio, kuliner yang tengah ramai</t>
  </si>
  <si>
    <t xml:space="preserve">Rama Ramen</t>
  </si>
  <si>
    <t xml:space="preserve">Disebut sebagai penanda lokasi Brownies Tjihapit</t>
  </si>
  <si>
    <t xml:space="preserve">Ceu Eha X Dapur Indung</t>
  </si>
  <si>
    <t xml:space="preserve">Batagor Kahuripan</t>
  </si>
  <si>
    <t xml:space="preserve">Batagor legendaris sejak 2007, tengah ramai</t>
  </si>
  <si>
    <t xml:space="preserve">Toko Kopi Pasar Cihapit (Toko Kopi 1810)</t>
  </si>
  <si>
    <t xml:space="preserve">Supplier kopi premium green bean dan roasted bean</t>
  </si>
  <si>
    <t xml:space="preserve">Warung Nasi Bu Eha</t>
  </si>
  <si>
    <t xml:space="preserve">Warung nasi Sunda legendaris sejak 1947, tanpa pengawet</t>
  </si>
  <si>
    <t xml:space="preserve">Jalan Sabang (Jalan H. Agus Salim)</t>
  </si>
  <si>
    <t xml:space="preserve">Kebon Sirih, Menteng, Jakarta Pusat</t>
  </si>
  <si>
    <t xml:space="preserve">Kebon Sirih</t>
  </si>
  <si>
    <t xml:space="preserve">Pusat kuliner legendaris, ramai pada malam hari</t>
  </si>
  <si>
    <t xml:space="preserve">https://www.tripzilla.id/kuliner-jalan-sabang-murah-legendaris-viral/27681</t>
  </si>
  <si>
    <t xml:space="preserve">Murah Tapi Melegenda, Kuliner Jalan Sabang Memang Beda! - tripzilla.id</t>
  </si>
  <si>
    <t xml:space="preserve">2026-09-19</t>
  </si>
  <si>
    <t xml:space="preserve">Ketupat Sayur Pasar Lama</t>
  </si>
  <si>
    <t xml:space="preserve">Pasar Lama dekat Bank BCA, Kota Tangerang</t>
  </si>
  <si>
    <t xml:space="preserve">Kawasan Pasar Lama Tangerang</t>
  </si>
  <si>
    <t xml:space="preserve">Menu sarapan favorit yang selalu ramai</t>
  </si>
  <si>
    <t xml:space="preserve">https://www.tangerangkota.go.id/berita/detail/67479/cari-sarapan-enak-di-kota-tangerang-ini-rekomendasi-tempatnya</t>
  </si>
  <si>
    <t xml:space="preserve">www.tangerangkota.go.id</t>
  </si>
  <si>
    <t xml:space="preserve">Cari Sarapan Enak di Kota Tangerang? Ini Rekomendasi Tempatnya - Pemerintah Kota Tangerang</t>
  </si>
  <si>
    <t xml:space="preserve">2026-07-31</t>
  </si>
  <si>
    <t xml:space="preserve">Soto Benteng Bang Udin</t>
  </si>
  <si>
    <t xml:space="preserve">Jalan Saham, Kelurahan Sukasari, Kecamatan Tangerang, Kota Tangerang</t>
  </si>
  <si>
    <t xml:space="preserve">Soto khas Tangerang dengan daging dan jeroan dibakar</t>
  </si>
  <si>
    <t xml:space="preserve">Bubur Ayam Spesial Ko Iyo</t>
  </si>
  <si>
    <t xml:space="preserve">Kawasan Pasar Lama, Kota Tangerang</t>
  </si>
  <si>
    <t xml:space="preserve">Bubur ayam banyak diburu dengan pelengkap lengkap</t>
  </si>
  <si>
    <t xml:space="preserve">Bubur Ayam Mas Yanto</t>
  </si>
  <si>
    <t xml:space="preserve">Jalan Kasasi Raya Blok C10 No.1, Komplek Pengayoman, Sukasari, Kota Tangerang</t>
  </si>
  <si>
    <t xml:space="preserve">Bubur ayam legendaris sejak 1970</t>
  </si>
  <si>
    <t xml:space="preserve">Mie Ayam Bangka Asen</t>
  </si>
  <si>
    <t xml:space="preserve">Perumahan Banjar Wijaya, Kecamatan Cipondoh, Kota Tangerang</t>
  </si>
  <si>
    <t xml:space="preserve">Cipondoh</t>
  </si>
  <si>
    <t xml:space="preserve">Mi ayam Bangka</t>
  </si>
  <si>
    <t xml:space="preserve">Pure Amboina</t>
  </si>
  <si>
    <t xml:space="preserve">Kota Ambon</t>
  </si>
  <si>
    <t xml:space="preserve">Maluku</t>
  </si>
  <si>
    <t xml:space="preserve">UMKM cold-pressed juice tanpa gula dan pengawet</t>
  </si>
  <si>
    <t xml:space="preserve">https://rri.co.id/ambon/ekonomi/umkm/2725229/gaya-hidup-sehat-kuliner-viral-3-umkm-ambon-bagikan-rahasia-sukses</t>
  </si>
  <si>
    <t xml:space="preserve">Gaya Hidup Sehat, Kuliner Viral, 3 UMKM Ambon Bagikan Rahasia Sukses - RRI.co.id</t>
  </si>
  <si>
    <t xml:space="preserve">Fresh Lemora</t>
  </si>
  <si>
    <t xml:space="preserve">Smoothies instagramable untuk Gen Z</t>
  </si>
  <si>
    <t xml:space="preserve">John House</t>
  </si>
  <si>
    <t xml:space="preserve">Populer di TikTok lewat Roti John isian khas Maluku</t>
  </si>
  <si>
    <t xml:space="preserve">Baked (Cafe Baked Gunawarman)</t>
  </si>
  <si>
    <t xml:space="preserve">Gunawarman, Kebayoran Baru, Jakarta Selatan</t>
  </si>
  <si>
    <t xml:space="preserve">Selong</t>
  </si>
  <si>
    <t xml:space="preserve">Jalan Gunawarman</t>
  </si>
  <si>
    <t xml:space="preserve">Viral karena tarif parkir motor Rp150 ribu (isu negatif)</t>
  </si>
  <si>
    <t xml:space="preserve">24 September 2026</t>
  </si>
  <si>
    <t xml:space="preserve">https://informasi.com/nasional/infrms-28254/viral-parkir-motor-rp150-ribu-di-cafe-baked-gunawarman-jaksel-parkir-valet-atau-pungli</t>
  </si>
  <si>
    <t xml:space="preserve">informasi.com</t>
  </si>
  <si>
    <t xml:space="preserve">Viral Parkir Motor Rp150 Ribu di Cafe Baked Gunawarman Jaksel, Parkir Valet atau Pungli? - Informasi.com</t>
  </si>
  <si>
    <t xml:space="preserve">Informasi.com</t>
  </si>
  <si>
    <t xml:space="preserve">Motel Mexicola</t>
  </si>
  <si>
    <t xml:space="preserve">Seminyak, Bali</t>
  </si>
  <si>
    <t xml:space="preserve">Seminyak</t>
  </si>
  <si>
    <t xml:space="preserve">Kuta</t>
  </si>
  <si>
    <t xml:space="preserve">Kabupaten Badung</t>
  </si>
  <si>
    <t xml:space="preserve">Bali</t>
  </si>
  <si>
    <t xml:space="preserve">Kafe hits dan instagramable, disebut kafe viral</t>
  </si>
  <si>
    <t xml:space="preserve">https://20.detik.com/spot-wisata/20260902-260902049/mengunjungi-cafe-viral-yang-instagramable-di-seminyak-bali</t>
  </si>
  <si>
    <t xml:space="preserve">20.detik.com</t>
  </si>
  <si>
    <t xml:space="preserve">Mengunjungi Cafe Viral yang Instagramable di Seminyak, Bali - 20detik</t>
  </si>
  <si>
    <t xml:space="preserve">20detik</t>
  </si>
  <si>
    <t xml:space="preserve">Faste Coffee Heritage Rawa Laut</t>
  </si>
  <si>
    <t xml:space="preserve">Rawa Laut, Bandar Lampung</t>
  </si>
  <si>
    <t xml:space="preserve">Rawa Laut</t>
  </si>
  <si>
    <t xml:space="preserve">Enggal</t>
  </si>
  <si>
    <t xml:space="preserve">Kota Bandar Lampung</t>
  </si>
  <si>
    <t xml:space="preserve">Lampung</t>
  </si>
  <si>
    <t xml:space="preserve">Viral karena catatan kasir tidak pantas soal pesanan seblak (isu negatif)</t>
  </si>
  <si>
    <t xml:space="preserve">1 September 2026</t>
  </si>
  <si>
    <t xml:space="preserve">https://lampung.idntimes.com/news/lampung/viral-catatan-kasir-cafe-di-balam-customer-marah-soal-pesanan-seblak-00-jf67w-4sk93g</t>
  </si>
  <si>
    <t xml:space="preserve">lampung.idntimes.com</t>
  </si>
  <si>
    <t xml:space="preserve">Viral Catatan Kasir Cafe di Balam, Customer Marah soal Pesanan Seblak - IDN Times Lampung</t>
  </si>
  <si>
    <t xml:space="preserve">IDN Times Lampung</t>
  </si>
  <si>
    <t xml:space="preserve">2026-09-02</t>
  </si>
  <si>
    <t xml:space="preserve">Moment Cafe</t>
  </si>
  <si>
    <t xml:space="preserve">Zamzam Tower, Mekkah, Arab Saudi</t>
  </si>
  <si>
    <t xml:space="preserve">Luar negeri: Arab Saudi (Zamzam Tower, Mekkah)</t>
  </si>
  <si>
    <t xml:space="preserve">Kafe viral dengan pemandangan langsung ke Masjidil Haram</t>
  </si>
  <si>
    <t xml:space="preserve">https://www.bloombergtechnoz.com/detail-news/107928/10-cafe-viral-di-mekkah-madinah-sekitarnya/2</t>
  </si>
  <si>
    <t xml:space="preserve">www.bloombergtechnoz.com</t>
  </si>
  <si>
    <t xml:space="preserve">10 Cafe Viral di Mekkah, Madinah &amp; Sekitarnya - Gaya Hidup - Bloomberg Technoz</t>
  </si>
  <si>
    <t xml:space="preserve">Bloomberg Technoz</t>
  </si>
  <si>
    <t xml:space="preserve">2026-05-04</t>
  </si>
  <si>
    <t xml:space="preserve">Camel Step Coffee</t>
  </si>
  <si>
    <t xml:space="preserve">Mekkah, Arab Saudi</t>
  </si>
  <si>
    <t xml:space="preserve">Luar negeri: Arab Saudi (Mekkah)</t>
  </si>
  <si>
    <t xml:space="preserve">Desain minimalis, kopi premium, latte art</t>
  </si>
  <si>
    <t xml:space="preserve">RATIO Speciality Coffee</t>
  </si>
  <si>
    <t xml:space="preserve">Tiga menit dari Masjidil Haram, Mekkah, Arab Saudi</t>
  </si>
  <si>
    <t xml:space="preserve">Suasana tenang, harga terjangkau</t>
  </si>
  <si>
    <t xml:space="preserve">BREW92° Cafe</t>
  </si>
  <si>
    <t xml:space="preserve">Biji kopi berkualitas, Spanish Latte</t>
  </si>
  <si>
    <t xml:space="preserve">Barn Cafe</t>
  </si>
  <si>
    <t xml:space="preserve">Jeddah, Arab Saudi</t>
  </si>
  <si>
    <t xml:space="preserve">Luar negeri: Arab Saudi (Jeddah)</t>
  </si>
  <si>
    <t xml:space="preserve">Interior monokrom dengan sentuhan kayu</t>
  </si>
  <si>
    <t xml:space="preserve">Kiffa Roaster</t>
  </si>
  <si>
    <t xml:space="preserve">Dekat Masjid Nabawi, Madinah, Arab Saudi</t>
  </si>
  <si>
    <t xml:space="preserve">Luar negeri: Arab Saudi (dekat Masjid Nabawi, Madinah)</t>
  </si>
  <si>
    <t xml:space="preserve">Coffee of the Day terjangkau</t>
  </si>
  <si>
    <t xml:space="preserve">Tulip Cafe</t>
  </si>
  <si>
    <t xml:space="preserve">Madinah, Arab Saudi</t>
  </si>
  <si>
    <t xml:space="preserve">Luar negeri: Arab Saudi (Madinah)</t>
  </si>
  <si>
    <t xml:space="preserve">Pemandangan ke arah Masjid Nabawi</t>
  </si>
  <si>
    <t xml:space="preserve">Ajwatech AlHaram</t>
  </si>
  <si>
    <t xml:space="preserve">Masuk daftar kafe viral Madinah</t>
  </si>
  <si>
    <t xml:space="preserve">Cafe Janna Kita</t>
  </si>
  <si>
    <t xml:space="preserve">Kec. Patumbak, Kab. Deliserdang, Sumatera Utara</t>
  </si>
  <si>
    <t xml:space="preserve">Patumbak</t>
  </si>
  <si>
    <t xml:space="preserve">Kabupaten Deli Serdang</t>
  </si>
  <si>
    <t xml:space="preserve">Tempat hiburan malam yang sempat viral, digerebek kasus narkoba (isu negatif)</t>
  </si>
  <si>
    <t xml:space="preserve">30 Agustus 2026</t>
  </si>
  <si>
    <t xml:space="preserve">https://www.waspada.id/berita/sempat-viral-cafe-janna-patumbak-akhirnya-digerebek-dan-di-police-line</t>
  </si>
  <si>
    <t xml:space="preserve">www.waspada.id</t>
  </si>
  <si>
    <t xml:space="preserve">Sempat Viral, Cafe Janna Patumbak Akhirnya Digerebek dan di Police Line - waspada.id</t>
  </si>
  <si>
    <t xml:space="preserve">waspada.id</t>
  </si>
  <si>
    <t xml:space="preserve">Social Affair</t>
  </si>
  <si>
    <t xml:space="preserve">Mal di kawasan PIK, Jakarta Utara</t>
  </si>
  <si>
    <t xml:space="preserve">Penjaringan</t>
  </si>
  <si>
    <t xml:space="preserve">Pantai Indah Kapuk (PIK)</t>
  </si>
  <si>
    <t xml:space="preserve">Kafe hits viral di PIK, industrial, Martabak Croissant dan Nasi Gila</t>
  </si>
  <si>
    <t xml:space="preserve">https://www.inilah.com/cafe-viral-di-pantai-indah-kapuk</t>
  </si>
  <si>
    <t xml:space="preserve">www.inilah.com</t>
  </si>
  <si>
    <t xml:space="preserve">10 Kafe Hits dan Viral di PIK, Tempat Nongkrong Estetik Favorit Anak Muda - Inilah.com</t>
  </si>
  <si>
    <t xml:space="preserve">Inilah.com</t>
  </si>
  <si>
    <t xml:space="preserve">2026-04-08</t>
  </si>
  <si>
    <t xml:space="preserve">70 Fahrenheit</t>
  </si>
  <si>
    <t xml:space="preserve">PIK, Jakarta Utara</t>
  </si>
  <si>
    <t xml:space="preserve">Kafe hits viral di PIK, interior industrial, kopi</t>
  </si>
  <si>
    <t xml:space="preserve">Kinanthi Coffee &amp; Eatery</t>
  </si>
  <si>
    <t xml:space="preserve">Jalan Engku Putri Utara Nomor 3, Teluk Tering, Kecamatan Batam Kota, Batam</t>
  </si>
  <si>
    <t xml:space="preserve">Teluk Tering</t>
  </si>
  <si>
    <t xml:space="preserve">Batam Kota</t>
  </si>
  <si>
    <t xml:space="preserve">Kota Batam</t>
  </si>
  <si>
    <t xml:space="preserve">Kepulauan Riau</t>
  </si>
  <si>
    <t xml:space="preserve">Kafe baru viral 2026, interior minimalis dan harga terjangkau</t>
  </si>
  <si>
    <t xml:space="preserve">https://metropolis.batampos.co.id/viral-di-batam-ini-5-cafe-baru-hits-yang-cocok-buat-nongkrong-santai/</t>
  </si>
  <si>
    <t xml:space="preserve">metropolis.batampos.co.id</t>
  </si>
  <si>
    <t xml:space="preserve">Viral di Batam, Ini 5 Cafe Baru Hits yang Cocok Buat Nongkrong Santai - Batam Pos</t>
  </si>
  <si>
    <t xml:space="preserve">Batam Pos</t>
  </si>
  <si>
    <t xml:space="preserve">2026-05-20</t>
  </si>
  <si>
    <t xml:space="preserve">Grind Now Coffee Bar Specialty Coffee Batam</t>
  </si>
  <si>
    <t xml:space="preserve">Permata Regency Blok DD Nomor 9, Baloi Indah, Lubuk Baja, Batam</t>
  </si>
  <si>
    <t xml:space="preserve">Baloi Indah</t>
  </si>
  <si>
    <t xml:space="preserve">Lubuk Baja</t>
  </si>
  <si>
    <t xml:space="preserve">Kafe baru viral 2026, specialty coffee bar</t>
  </si>
  <si>
    <t xml:space="preserve">Pretty Please Coffee</t>
  </si>
  <si>
    <t xml:space="preserve">Sukajadi, Batam Kota, Batam</t>
  </si>
  <si>
    <t xml:space="preserve">Kafe baru viral 2026, desain cantik, mulai ramai</t>
  </si>
  <si>
    <t xml:space="preserve">Frui</t>
  </si>
  <si>
    <t xml:space="preserve">Komplek Bumi Indah Nomor 8 Blok 2, Lubuk Baja Kota, Kecamatan Lubuk Baja, Batam</t>
  </si>
  <si>
    <t xml:space="preserve">Lubuk Baja Kota</t>
  </si>
  <si>
    <t xml:space="preserve">Kafe baru viral 2026, gelato mochi dan kue</t>
  </si>
  <si>
    <t xml:space="preserve">Blite's Coffee</t>
  </si>
  <si>
    <t xml:space="preserve">Ruko Tunas Regency Blok C9 Nomor 3A dan 5, Tanjung Uncang, Kecamatan Sagulung, Batam</t>
  </si>
  <si>
    <t xml:space="preserve">Tanjung Uncang</t>
  </si>
  <si>
    <t xml:space="preserve">Sagulung</t>
  </si>
  <si>
    <t xml:space="preserve">Kafe baru viral 2026, modern minimalis</t>
  </si>
  <si>
    <t xml:space="preserve">Mady's Gelato, Cafe and Grill</t>
  </si>
  <si>
    <t xml:space="preserve">Pangandaran</t>
  </si>
  <si>
    <t xml:space="preserve">Kabupaten Pangandaran</t>
  </si>
  <si>
    <t xml:space="preserve">Kafe viral yang hits, menghadap langsung ke laut lepas</t>
  </si>
  <si>
    <t xml:space="preserve">https://20.detik.com/spot-wisata/20260716-260716133/menyusuri-cafe-viral-yang-menghadap-laut-di-pangandaran</t>
  </si>
  <si>
    <t xml:space="preserve">Menyusuri Cafe Viral yang Menghadap Laut di Pangandaran - 20detik</t>
  </si>
  <si>
    <t xml:space="preserve">2026-08-12</t>
  </si>
  <si>
    <t xml:space="preserve">Kafe de'Clan</t>
  </si>
  <si>
    <t xml:space="preserve">Jalan Tole Iskandar, Kota Depok, Jawa Barat</t>
  </si>
  <si>
    <t xml:space="preserve">Sukmajaya</t>
  </si>
  <si>
    <t xml:space="preserve">Jl. Tole Iskandar</t>
  </si>
  <si>
    <t xml:space="preserve">Viral di medsos karena tutup dan dipasang rantai (isu negatif)</t>
  </si>
  <si>
    <t xml:space="preserve">Juli 2026</t>
  </si>
  <si>
    <t xml:space="preserve">https://news.detik.com/berita/d-8571939/viral-kafe-declan-di-depok-tutup-bagian-depan-dipasang-rantai</t>
  </si>
  <si>
    <t xml:space="preserve">news.detik.com</t>
  </si>
  <si>
    <t xml:space="preserve">Viral Kafe de'Clan di Depok Tutup, Bagian Depan Dipasang Rantai - detikNews</t>
  </si>
  <si>
    <t xml:space="preserve">detikNews</t>
  </si>
  <si>
    <t xml:space="preserve">2026-07-13</t>
  </si>
  <si>
    <t xml:space="preserve">El Tintero</t>
  </si>
  <si>
    <t xml:space="preserve">Málaga, Spanyol</t>
  </si>
  <si>
    <t xml:space="preserve">Luar negeri: Spanyol (Malaga)</t>
  </si>
  <si>
    <t xml:space="preserve">Restoran tanpa menu, pelayan meneriakkan hidangan seperti lelang; video viral 23 juta+ tayangan</t>
  </si>
  <si>
    <t xml:space="preserve">September 2026</t>
  </si>
  <si>
    <t xml:space="preserve">https://food.detik.com/info-kuliner/d-8675683/viral-restoran-teriak-di-spanyol-pesan-makanannya-mirip-lelang</t>
  </si>
  <si>
    <t xml:space="preserve">Viral Restoran 'Teriak' di Spanyol, Pesan Makanannya Mirip Lelang - detikFood</t>
  </si>
  <si>
    <t xml:space="preserve">Chili's Plaza Senayan</t>
  </si>
  <si>
    <t xml:space="preserve">Plaza Senayan, Jakarta Selatan</t>
  </si>
  <si>
    <t xml:space="preserve">Plaza Senayan secara administratif di Jakarta Pusat (teks menyebut Jakarta Selatan)</t>
  </si>
  <si>
    <t xml:space="preserve">Restoran dengan Fried Mozzarella yang viral, buka gerai kedua</t>
  </si>
  <si>
    <t xml:space="preserve">https://investor.id/lifestyle/455584/restoran-dengan-fried-mozzarella-yang-viral-buka-gerai-kedua</t>
  </si>
  <si>
    <t xml:space="preserve">investor.id</t>
  </si>
  <si>
    <t xml:space="preserve">Restoran dengan Fried Mozzarella yang Viral Buka Gerai Kedua - investor.id</t>
  </si>
  <si>
    <t xml:space="preserve">Chili's Tribeca Central Park Mall</t>
  </si>
  <si>
    <t xml:space="preserve">Tribeca Central Park Mall, Jakarta Barat</t>
  </si>
  <si>
    <t xml:space="preserve">Tanjung Duren Selatan</t>
  </si>
  <si>
    <t xml:space="preserve">Grogol Petamburan</t>
  </si>
  <si>
    <t xml:space="preserve">Kota Jakarta Barat</t>
  </si>
  <si>
    <t xml:space="preserve">Central Park Mall</t>
  </si>
  <si>
    <t xml:space="preserve">Gerai pertama Chili's di Indonesia, Fried Mozzarella viral</t>
  </si>
  <si>
    <t xml:space="preserve">Almaz Fried Chicken</t>
  </si>
  <si>
    <t xml:space="preserve">Jalan dr Wahidin Sudirohusodo, Kota Pasuruan</t>
  </si>
  <si>
    <t xml:space="preserve">Kota Pasuruan</t>
  </si>
  <si>
    <t xml:space="preserve">Viral karena video CCTV pencurian besi tutup saluran air (isu negatif)</t>
  </si>
  <si>
    <t xml:space="preserve">16 September 2026</t>
  </si>
  <si>
    <t xml:space="preserve">https://jatim.akurat.co/news/891580/viral-di-pasuruan-maling-terekam-cctv-curi-besi-tutup-saluran-air-di-restoran-cepat-saji</t>
  </si>
  <si>
    <t xml:space="preserve">jatim.akurat.co</t>
  </si>
  <si>
    <t xml:space="preserve">Viral di Pasuruan, Maling Terekam CCTV Curi Besi Tutup Saluran Air di Restoran Cepat Saji - Akurat Jatim</t>
  </si>
  <si>
    <t xml:space="preserve">Akurat Jatim</t>
  </si>
  <si>
    <t xml:space="preserve">Alun-alun Kidul (Alkid)</t>
  </si>
  <si>
    <t xml:space="preserve">Alun-alun Kidul, Yogyakarta</t>
  </si>
  <si>
    <t xml:space="preserve">Patehan</t>
  </si>
  <si>
    <t xml:space="preserve">Viral karena dugaan pungli terhadap food truck hingga Rp1 juta per hari (isu negatif)</t>
  </si>
  <si>
    <t xml:space="preserve">16-20 September 2026</t>
  </si>
  <si>
    <t xml:space="preserve">https://mitrapost.com/2026/09/19/viral-pungli-di-alun-alun-kidul-capai-rp1-juta-per-hari-pemilik-restoran-menjerit/</t>
  </si>
  <si>
    <t xml:space="preserve">mitrapost.com</t>
  </si>
  <si>
    <t xml:space="preserve">Viral Pungli di Alun-alun Kidul Capai Rp1 Juta per Hari, Pemilik Restoran Menjerit - mitrapost.com</t>
  </si>
  <si>
    <t xml:space="preserve">003</t>
  </si>
  <si>
    <t xml:space="preserve">Bolosego (food truck di Alun-alun Kidul)</t>
  </si>
  <si>
    <t xml:space="preserve">Alun-alun Kidul (Alkid), Jogja; kantor di Gamping, Sleman</t>
  </si>
  <si>
    <t xml:space="preserve">Kantor Bolosego di Gamping, Kabupaten Sleman</t>
  </si>
  <si>
    <t xml:space="preserve">Viral karena pemilik mengeluhkan pungli parkir Rp1 juta per hari (isu negatif)</t>
  </si>
  <si>
    <t xml:space="preserve">16-21 September 2026</t>
  </si>
  <si>
    <t xml:space="preserve">https://www.detik.com/jogja/berita/d-8673195/babak-baru-kasus-pungli-parkir-food-truck-bolosego-di-alkid-jogja</t>
  </si>
  <si>
    <t xml:space="preserve">www.detik.com</t>
  </si>
  <si>
    <t xml:space="preserve">Babak Baru Kasus Pungli Parkir Food Truck Bolosego di Alkid Jogja - detikcom</t>
  </si>
  <si>
    <t xml:space="preserve">detikcom</t>
  </si>
  <si>
    <t xml:space="preserve">Alun-alun Kidul (Alkid), Jogja</t>
  </si>
  <si>
    <t xml:space="preserve">Resto viral yang mengeluhkan pungli; jukir mengembalikan Rp3 juta (isu negatif)</t>
  </si>
  <si>
    <t xml:space="preserve">18 September 2026</t>
  </si>
  <si>
    <t xml:space="preserve">https://www.detik.com/jogja/berita/d-8669436/jukir-alkid-jogja-balikin-rp-3-juta-ke-food-truck-resto-viral-sambat-pungli</t>
  </si>
  <si>
    <t xml:space="preserve">Jukir Alkid Jogja Balikin Rp 3 Juta ke Food Truck Resto Viral Sambat Pungli - detikcom</t>
  </si>
  <si>
    <t xml:space="preserve">2026-09-18</t>
  </si>
  <si>
    <t xml:space="preserve">Alun-alun Kidul (Alkid), Jogja; office di Gamping, Sleman</t>
  </si>
  <si>
    <t xml:space="preserve">Video keluhan pungli parkir dan jatah makan preman/polisi viral (isu negatif)</t>
  </si>
  <si>
    <t xml:space="preserve">16-18 September 2026</t>
  </si>
  <si>
    <t xml:space="preserve">https://www.detik.com/jogja/berita/d-8668886/viral-food-truck-resto-sambat-kena-pungli-di-alkid-jogja</t>
  </si>
  <si>
    <t xml:space="preserve">Viral Food Truck Resto Sambat Kena Pungli di Alkid Jogja - detikcom</t>
  </si>
  <si>
    <t xml:space="preserve">Alun-alun Kidul, Jogja</t>
  </si>
  <si>
    <t xml:space="preserve">Viral terkait dugaan pungli terhadap food truck resto (isu negatif)</t>
  </si>
  <si>
    <t xml:space="preserve">https://www.detik.com/jogja/berita/d-8669389/respons-wawali-jogja-soal-viral-truck-resto-sambat-kena-pungli-di-alkid</t>
  </si>
  <si>
    <t xml:space="preserve">Respons Wawali Jogja soal Viral Truck Resto Sambat Kena Pungli di Alkid - detikcom</t>
  </si>
  <si>
    <t xml:space="preserve">Bebek Suroboyo Green Lake City</t>
  </si>
  <si>
    <t xml:space="preserve">Green Lake City, Cengkareng, Jakarta Barat</t>
  </si>
  <si>
    <t xml:space="preserve">Cengkareng</t>
  </si>
  <si>
    <t xml:space="preserve">Green Lake City</t>
  </si>
  <si>
    <t xml:space="preserve">Viral usai membagikan CCTV pengunjung merusak sofa (isu negatif)</t>
  </si>
  <si>
    <t xml:space="preserve">https://food.detik.com/info-kuliner/d-8648567/viral-cctv-rekam-aksi-pengunjung-rusak-sofa-di-resto-bebek-jakbar</t>
  </si>
  <si>
    <t xml:space="preserve">Viral! CCTV Rekam Aksi Pengunjung Rusak Sofa di Resto Bebek Jakbar - detikFood</t>
  </si>
  <si>
    <t xml:space="preserve">2026-09-04</t>
  </si>
  <si>
    <t xml:space="preserve">Class Soiree Steakhouse</t>
  </si>
  <si>
    <t xml:space="preserve">Hollywood, Florida, Amerika Serikat</t>
  </si>
  <si>
    <t xml:space="preserve">Luar negeri: Amerika Serikat (Hollywood, Florida)</t>
  </si>
  <si>
    <t xml:space="preserve">Viral karena konsep nude dining experience</t>
  </si>
  <si>
    <t xml:space="preserve">Agustus 2026</t>
  </si>
  <si>
    <t xml:space="preserve">https://food.detik.com/info-kuliner/d-8605565/restoran-steak-ini-viral-usai-tawarkan-pengalaman-makan-tanpa-busana</t>
  </si>
  <si>
    <t xml:space="preserve">Restoran Steak Ini Viral Usai Tawarkan Pengalaman Makan Tanpa Busana - detikFood</t>
  </si>
  <si>
    <t xml:space="preserve">2026-08-05</t>
  </si>
  <si>
    <t xml:space="preserve">Mo's Chicken Hotpot</t>
  </si>
  <si>
    <t xml:space="preserve">Kota Foshan, Provinsi Guangdong, China</t>
  </si>
  <si>
    <t xml:space="preserve">Luar negeri: China (Foshan, Guangdong)</t>
  </si>
  <si>
    <t xml:space="preserve">Viral karena pemilik meminta orang jangan datang (reverse marketing), 2.000-3.000 pengunjung per hari</t>
  </si>
  <si>
    <t xml:space="preserve">https://food.detik.com/info-kuliner/d-8606645/pemilik-restoran-ini-minta-orang-jangan-datang-malah-viral-dan-diserbu</t>
  </si>
  <si>
    <t xml:space="preserve">Pemilik Restoran Ini Minta Orang Jangan Datang, Malah Viral dan Diserbu! - detikFood</t>
  </si>
  <si>
    <t xml:space="preserve">2026-08-06</t>
  </si>
  <si>
    <t xml:space="preserve">Warung makan di TPU Karangpamulang (milik Ida Nengsih)</t>
  </si>
  <si>
    <t xml:space="preserve">TPU Karangpamulang, Kampung Sukasari, Kelurahan Karawang Wetan, Kecamatan Karawang Timur, Karawang</t>
  </si>
  <si>
    <t xml:space="preserve">Karawang Wetan</t>
  </si>
  <si>
    <t xml:space="preserve">Karawang Timur</t>
  </si>
  <si>
    <t xml:space="preserve">Kabupaten Karawang</t>
  </si>
  <si>
    <t xml:space="preserve">Warung di tengah kompleks makam menjadi perhatian publik, ramai pengunjung penasaran</t>
  </si>
  <si>
    <t xml:space="preserve">Baru beroperasi sekitar dua pekan</t>
  </si>
  <si>
    <t xml:space="preserve">https://carapandang.com/news/read/warung-di-tengah-makam-viral-ulama-tegaskan-kuburan-muslim-harus-dijaga-kehormatannya</t>
  </si>
  <si>
    <t xml:space="preserve">carapandang.com</t>
  </si>
  <si>
    <t xml:space="preserve">Warung di Tengah Makam Viral, Ulama Tegaskan Kuburan Muslim Harus Dijaga Kehormatannya - CaraPandang</t>
  </si>
  <si>
    <t xml:space="preserve">CaraPandang</t>
  </si>
  <si>
    <t xml:space="preserve">2026-07-24</t>
  </si>
  <si>
    <t xml:space="preserve">Warung lontong sayur milik Maryati</t>
  </si>
  <si>
    <t xml:space="preserve">Desa Kebolampang, Kecamatan Winong, Kabupaten Pati, Jawa Tengah</t>
  </si>
  <si>
    <t xml:space="preserve">Kebolampang</t>
  </si>
  <si>
    <t xml:space="preserve">Winong</t>
  </si>
  <si>
    <t xml:space="preserve">Kabupaten Pati</t>
  </si>
  <si>
    <t xml:space="preserve">Viral karena ditarik retribusi Rp840.000 (isu negatif)</t>
  </si>
  <si>
    <t xml:space="preserve">https://regional.kompas.com/read/2026/07/17/183019078/viral-warung-lontong-di-pati-ditarik-retribusi-rp-840000-dputr-bukan-tarif?page=all</t>
  </si>
  <si>
    <t xml:space="preserve">regional.kompas.com</t>
  </si>
  <si>
    <t xml:space="preserve">Viral Warung Lontong di Pati Ditarik Retribusi Rp 840.000, DPUTR: Bukan Tarif Setahun - Kompas.com</t>
  </si>
  <si>
    <t xml:space="preserve">2026-07-17</t>
  </si>
  <si>
    <t xml:space="preserve">Warung Mundu</t>
  </si>
  <si>
    <t xml:space="preserve">Kota Batu</t>
  </si>
  <si>
    <t xml:space="preserve">Nasi campur khas, populer dari mulut ke mulut; artikel menyebut tidak viral</t>
  </si>
  <si>
    <t xml:space="preserve">https://timesindonesia.co.id/kuliner/601107/tidak-viral-tapi-warung-ini-punya-menu-andalan-yang-bikin-pelanggan-rela-balik-lagi</t>
  </si>
  <si>
    <t xml:space="preserve">timesindonesia.co.id</t>
  </si>
  <si>
    <t xml:space="preserve">Tidak Viral, Tapi Warung ini Punya Menu Andalan yang Bikin Pelanggan Rela Balik Lagi - TIMES Indonesia</t>
  </si>
  <si>
    <t xml:space="preserve">TIMES Indonesia</t>
  </si>
  <si>
    <t xml:space="preserve">2026-07-28</t>
  </si>
  <si>
    <t xml:space="preserve">Mie Ayam Donoloyo</t>
  </si>
  <si>
    <t xml:space="preserve">Kawasan Fatmawati dekat One Bell Park, Jakarta Selatan</t>
  </si>
  <si>
    <t xml:space="preserve">Cilandak</t>
  </si>
  <si>
    <t xml:space="preserve">Kawasan Fatmawati dekat One Bell Park</t>
  </si>
  <si>
    <t xml:space="preserve">Mie ayam langganan Bebi Romeo yang kontennya viral</t>
  </si>
  <si>
    <t xml:space="preserve">https://food.detik.com/info-kuliner/d-8649807/viral-bebi-romeo-hobi-makan-mie-ayam-warung-makan-ini-jadi-favorit</t>
  </si>
  <si>
    <t xml:space="preserve">Viral! Bebi Romeo Hobi Makan Mie Ayam, Warung Makan Ini Jadi Favorit - detikFood</t>
  </si>
  <si>
    <t xml:space="preserve">2026-09-05</t>
  </si>
  <si>
    <t xml:space="preserve">Mama K's</t>
  </si>
  <si>
    <t xml:space="preserve">Fraser Island, Queensland, Australia</t>
  </si>
  <si>
    <t xml:space="preserve">Luar negeri: Australia (Fraser Island, Queensland)</t>
  </si>
  <si>
    <t xml:space="preserve">Kisah nenek 80 tahun pemilik restoran viral hingga kebanjiran pelanggan</t>
  </si>
  <si>
    <t xml:space="preserve">https://food.detik.com/info-kuliner/d-8585532/kisahnya-viral-warung-nenek-80-tahun-ini-kebanjiran-pelanggan</t>
  </si>
  <si>
    <t xml:space="preserve">Kisahnya Viral, Warung Nenek 80 Tahun Ini Kebanjiran Pelanggan - detikFood</t>
  </si>
  <si>
    <t xml:space="preserve">2026-07-23</t>
  </si>
  <si>
    <t xml:space="preserve">004</t>
  </si>
  <si>
    <t xml:space="preserve">Jakarta</t>
  </si>
  <si>
    <t xml:space="preserve">Festival dua hari dengan 40+ tenant jajanan viral dan konser musik</t>
  </si>
  <si>
    <t xml:space="preserve">https://food.detik.com/foto-kuliner/d-8681320/serunya-cicip-jajanan-viral-di-tiktok-food-fest-2026-sambil-nonton-konser</t>
  </si>
  <si>
    <t xml:space="preserve">Serunya Cicip Jajanan Viral di TikTok Food Fest 2026 sambil Nonton Konser - detikFood</t>
  </si>
  <si>
    <t xml:space="preserve">Populer di Blok M, Nasi Lidah</t>
  </si>
  <si>
    <t xml:space="preserve">Tenant TikTok Food Fest, Jakarta</t>
  </si>
  <si>
    <t xml:space="preserve">Milk tea creamy Sea Salt Iced Tea</t>
  </si>
  <si>
    <t xml:space="preserve">Lintas Rasa Es Krim Goreng Malang</t>
  </si>
  <si>
    <t xml:space="preserve">Malang ambigu (Kota/Kabupaten Malang)</t>
  </si>
  <si>
    <t xml:space="preserve">Menjual es gabin, jajanan jadul yang viral di Malang lewat media sosial</t>
  </si>
  <si>
    <t xml:space="preserve">https://radarmalang.jawapos.com/amp/wisata-kuliner/2609270018/jajanan-es-gabin-buat-kudapan-jadul-kembali-eksis-setiap-gigitan-buat-nostalgia</t>
  </si>
  <si>
    <t xml:space="preserve">radarmalang.jawapos.com</t>
  </si>
  <si>
    <t xml:space="preserve">Jajanan Es Gabin Buat Kudapan Jadul Kembali Eksis, Setiap Gigitan Buat Nostalgia - radarmalang.jawapos.com</t>
  </si>
  <si>
    <t xml:space="preserve">Chicken Crunchy Roll</t>
  </si>
  <si>
    <t xml:space="preserve">Sawangan, Depok</t>
  </si>
  <si>
    <t xml:space="preserve">Jajanan Rp10 ribu, antrean panjang hingga macet, ulasan influencer viral</t>
  </si>
  <si>
    <t xml:space="preserve">Akhir pekan lalu (sebelum tanggal artikel)</t>
  </si>
  <si>
    <t xml:space="preserve">https://adv.kompas.id/baca/krisis-ekonomi-jajanan-viral-chicken-crunchy-roll-cuma-rp-10-ribu-ini-buka-peluang-usaha-emas-di-sawangan/</t>
  </si>
  <si>
    <t xml:space="preserve">adv.kompas.id</t>
  </si>
  <si>
    <t xml:space="preserve">Krisis Ekonomi? Jajanan Viral Chicken Crunchy Roll Cuma Rp 10 Ribu Ini Buka Peluang Usaha Emas di Sawangan - Advertorial Kompas.id</t>
  </si>
  <si>
    <t xml:space="preserve">Advertorial Kompas.id</t>
  </si>
  <si>
    <t xml:space="preserve">2026-06-19</t>
  </si>
  <si>
    <t xml:space="preserve">Kibow Corner</t>
  </si>
  <si>
    <t xml:space="preserve">Jalan Swadaya Raya, Larangan, Kota Tangerang (cabang di Komplek DKI Joglo, Petukangan, Taman Asri Lama, Pondok Kacang, Karang Tengah)</t>
  </si>
  <si>
    <t xml:space="preserve">Larangan</t>
  </si>
  <si>
    <t xml:space="preserve">Juga cabang di beberapa lokasi (Joglo, Petukangan, Pondok Kacang, Karang Tengah)</t>
  </si>
  <si>
    <t xml:space="preserve">Lapak jajanan viral: mochi daifuku, risol warna-warni, donat kentang</t>
  </si>
  <si>
    <t xml:space="preserve">https://www.tangerangkota.go.id/berita/detail/65781/dari-mochi-sampai-risol-warna-warni-kibow-corner-surganya-jajanan-viral-di-kota-tangerang</t>
  </si>
  <si>
    <t xml:space="preserve">Dari Mochi Sampai Risol Warna-warni, Kibow Corner Surganya Jajanan Viral di Kota Tangerang - Pemerintah Kota Tangerang</t>
  </si>
  <si>
    <t xml:space="preserve">Kayutangan Heritage</t>
  </si>
  <si>
    <t xml:space="preserve">Kayutangan, Kota Malang</t>
  </si>
  <si>
    <t xml:space="preserve">Kauman</t>
  </si>
  <si>
    <t xml:space="preserve">Klojen</t>
  </si>
  <si>
    <t xml:space="preserve">Kawasan wisata sejarah dengan jajanan viral dan unik</t>
  </si>
  <si>
    <t xml:space="preserve">https://malangposcomedia.id/mulai-rp-5-ribuan-ini-5-jajanan-viral-dan-unik-di-kayutangan-heritage-yang-wajib-dicoba/</t>
  </si>
  <si>
    <t xml:space="preserve">malangposcomedia.id</t>
  </si>
  <si>
    <t xml:space="preserve">Mulai Rp 5 Ribuan! Ini 5 Jajanan Viral dan Unik di Kayutangan Heritage yang Wajib Dicoba - Malang Posco Media</t>
  </si>
  <si>
    <t xml:space="preserve">Malang Posco Media</t>
  </si>
  <si>
    <t xml:space="preserve">Kantine Nyi Aisyah</t>
  </si>
  <si>
    <t xml:space="preserve">Gang 4 dekat Es Podjok Serut, Kayutangan Heritage, Malang</t>
  </si>
  <si>
    <t xml:space="preserve">Soft cookies homemade, Cookies Boom dengan es krim</t>
  </si>
  <si>
    <t xml:space="preserve">Es Podjok Serut</t>
  </si>
  <si>
    <t xml:space="preserve">Gang 4, Kayutangan Heritage, Malang</t>
  </si>
  <si>
    <t xml:space="preserve">Disebut sebagai penanda lokasi</t>
  </si>
  <si>
    <t xml:space="preserve">Donat Kenangan</t>
  </si>
  <si>
    <t xml:space="preserve">Gang 6 dekat Langgar Muttaqin, Kayutangan Heritage, Malang</t>
  </si>
  <si>
    <t xml:space="preserve">Donat kentang homemade dengan topping es krim</t>
  </si>
  <si>
    <t xml:space="preserve">Es Krim Lepen</t>
  </si>
  <si>
    <t xml:space="preserve">Pinggir kanal sungai Kayutangan, Malang</t>
  </si>
  <si>
    <t xml:space="preserve">Makan es krim di tepi sungai kecil yang teduh</t>
  </si>
  <si>
    <t xml:space="preserve">Toko Bu Chamim</t>
  </si>
  <si>
    <t xml:space="preserve">Kampoeng Heritage Kajoetangan, Malang</t>
  </si>
  <si>
    <t xml:space="preserve">Toko legendaris mainan dan jajanan jadul</t>
  </si>
  <si>
    <t xml:space="preserve">Pasar Kue Subuh Senen</t>
  </si>
  <si>
    <t xml:space="preserve">Senen, Jakarta Pusat</t>
  </si>
  <si>
    <t xml:space="preserve">Senen</t>
  </si>
  <si>
    <t xml:space="preserve">Pasar Senen</t>
  </si>
  <si>
    <t xml:space="preserve">Pasar kue tradisional yang kini menjual Dubai chewy cookies yang viral, ramai anak muda</t>
  </si>
  <si>
    <t xml:space="preserve">https://news.detik.com/x/detail/intermeso/20260926/Cerita-Kue-Viral-yang-Nyasar-ke-Pasar-Kue-Subuh/</t>
  </si>
  <si>
    <t xml:space="preserve">Cerita Kue Viral yang Nyasar ke Pasar Kue Subuh - detikNews</t>
  </si>
  <si>
    <t xml:space="preserve">Laris Manis Bakery</t>
  </si>
  <si>
    <t xml:space="preserve">Pasar Kue Subuh Senen, Jakarta Pusat</t>
  </si>
  <si>
    <t xml:space="preserve">Lapak penjual Dubai chewy cookies yang viral</t>
  </si>
  <si>
    <t xml:space="preserve">Handak Ubi</t>
  </si>
  <si>
    <t xml:space="preserve">Polder Air Hitam Juanda, Samarinda</t>
  </si>
  <si>
    <t xml:space="preserve">Air Hitam</t>
  </si>
  <si>
    <t xml:space="preserve">Samarinda Ulu</t>
  </si>
  <si>
    <t xml:space="preserve">Kota Samarinda</t>
  </si>
  <si>
    <t xml:space="preserve">Kalimantan Timur</t>
  </si>
  <si>
    <t xml:space="preserve">Menjual Ubi Cream Brulee, jajanan khas Jepang yang viral</t>
  </si>
  <si>
    <t xml:space="preserve">https://rri.co.id/samarinda/ekonomi/umkm/2737152/ubi-cream-brulee-jajanan-viral-khas-jepang-hadir-di-samarinda</t>
  </si>
  <si>
    <t xml:space="preserve">Ubi Cream Brulee, Jajanan Viral Khas Jepang Hadir di Samarinda - RRI.co.id</t>
  </si>
  <si>
    <t xml:space="preserve">FIX Dessert Chocolatier</t>
  </si>
  <si>
    <t xml:space="preserve">Dubai</t>
  </si>
  <si>
    <t xml:space="preserve">Luar negeri: Uni Emirat Arab (Dubai)</t>
  </si>
  <si>
    <t xml:space="preserve">Asal inspirasi cokelat Dubai yang viral via TikTok</t>
  </si>
  <si>
    <t xml:space="preserve">https://rri.co.id/jayapura/kuliner/2579317/jajanan-viral-dubai-strawberry-sensasi-manis-asam-dan-renyah</t>
  </si>
  <si>
    <t xml:space="preserve">Jajanan Viral Dubai Strawberry, Sensasi Manis, Asam, dan Renyah - RRI.co.id</t>
  </si>
  <si>
    <t xml:space="preserve">2026-07-19</t>
  </si>
  <si>
    <t xml:space="preserve">Jalan Lengkong Kecil</t>
  </si>
  <si>
    <t xml:space="preserve">Jalan Lengkong Kecil, Kota Bandung</t>
  </si>
  <si>
    <t xml:space="preserve">Paledang</t>
  </si>
  <si>
    <t xml:space="preserve">Kawasan kuliner malam paling viral 2026, dipadati ribuan pengunjung</t>
  </si>
  <si>
    <t xml:space="preserve">Pertengahan 2026</t>
  </si>
  <si>
    <t xml:space="preserve">https://www.harapanrakyat.com/2026/05/eksplor-5-spot-street-food-viral-di-bandung-saat-malam-wajib-masuk-daftar-liburan-kamu/</t>
  </si>
  <si>
    <t xml:space="preserve">www.harapanrakyat.com</t>
  </si>
  <si>
    <t xml:space="preserve">Eksplor 5 Spot Street Food Viral di Bandung Saat Malam, Wajib Masuk Daftar Liburan Kamu - Harapan Rakyat</t>
  </si>
  <si>
    <t xml:space="preserve">Harapan Rakyat</t>
  </si>
  <si>
    <t xml:space="preserve">2026-05-09</t>
  </si>
  <si>
    <t xml:space="preserve">Kepak Madu Mael</t>
  </si>
  <si>
    <t xml:space="preserve">Primadona sayap ayam panggang madu</t>
  </si>
  <si>
    <t xml:space="preserve">Gyoza 234</t>
  </si>
  <si>
    <t xml:space="preserve">Pangsit ala Jepang pan-seared</t>
  </si>
  <si>
    <t xml:space="preserve">Jawara Basmut</t>
  </si>
  <si>
    <t xml:space="preserve">Bakso mulut goreng bumbu kacang</t>
  </si>
  <si>
    <t xml:space="preserve">Steak Simantan</t>
  </si>
  <si>
    <t xml:space="preserve">Steak ramah kantong</t>
  </si>
  <si>
    <t xml:space="preserve">Kenhotbar</t>
  </si>
  <si>
    <t xml:space="preserve">Pilihan pecinta daging ramah kantong</t>
  </si>
  <si>
    <t xml:space="preserve">Jalan Braga</t>
  </si>
  <si>
    <t xml:space="preserve">Jalan Braga, Kota Bandung</t>
  </si>
  <si>
    <t xml:space="preserve">Braga</t>
  </si>
  <si>
    <t xml:space="preserve">Sumur Bandung</t>
  </si>
  <si>
    <t xml:space="preserve">Spot street food viral dengan arsitektur heritage, car-free Sabtu malam</t>
  </si>
  <si>
    <t xml:space="preserve">FOMO Land</t>
  </si>
  <si>
    <t xml:space="preserve">Area Outdoor Icon Mall Gresik</t>
  </si>
  <si>
    <t xml:space="preserve">Kebomas</t>
  </si>
  <si>
    <t xml:space="preserve">Kabupaten Gresik</t>
  </si>
  <si>
    <t xml:space="preserve">Icon Mall Gresik</t>
  </si>
  <si>
    <t xml:space="preserve">Event kuliner viral bernuansa street food Tokyo dengan 50+ tenant, photobooth dan wahana</t>
  </si>
  <si>
    <t xml:space="preserve">1-17 Mei</t>
  </si>
  <si>
    <t xml:space="preserve">https://klikjatim.com/news-46826-fomo-land-di-icon-mall-gresik-hadirkan-street-food-kekinian-bernuansa-tokyo</t>
  </si>
  <si>
    <t xml:space="preserve">klikjatim.com</t>
  </si>
  <si>
    <t xml:space="preserve">FOMO Land di Icon Mall Gresik, Hadirkan Street Food Kekinian Bernuansa Tokyo - KlikJatim</t>
  </si>
  <si>
    <t xml:space="preserve">KlikJatim</t>
  </si>
  <si>
    <t xml:space="preserve">2026-05-02</t>
  </si>
  <si>
    <t xml:space="preserve">Kawasan Ampel</t>
  </si>
  <si>
    <t xml:space="preserve">Sekitar Masjid Sunan Ampel, Surabaya</t>
  </si>
  <si>
    <t xml:space="preserve">Ampel</t>
  </si>
  <si>
    <t xml:space="preserve">Semampir</t>
  </si>
  <si>
    <t xml:space="preserve">Kota Surabaya</t>
  </si>
  <si>
    <t xml:space="preserve">Masjid Sunan Ampel</t>
  </si>
  <si>
    <t xml:space="preserve">Magnet street food viral bernuansa Timur Tengah, selalu ramai antrean</t>
  </si>
  <si>
    <t xml:space="preserve">https://jogja.disway.id/gaya-hidup/read/699775/rekomendasi-street-food-viral-bikin-kenyang-paling-wajib-dicoba-di-ampel-surabaya</t>
  </si>
  <si>
    <t xml:space="preserve">Rekomendasi Street Food Viral Bikin Kenyang Paling Wajib Dicoba di Ampel Surabaya - jogja.disway.id - Disway Jogja</t>
  </si>
  <si>
    <t xml:space="preserve">Kawasan Wonokromo</t>
  </si>
  <si>
    <t xml:space="preserve">Wonokromo, Surabaya</t>
  </si>
  <si>
    <t xml:space="preserve">Wonokromo</t>
  </si>
  <si>
    <t xml:space="preserve">Pusat street food legendaris yang viral, mie ayam murah dan martabak usus</t>
  </si>
  <si>
    <t xml:space="preserve">https://jogja.disway.id/gaya-hidup/read/700961/rekomendasi-street-food-legendaris-sekitar-wonokromo-surabaya-yang-viral</t>
  </si>
  <si>
    <t xml:space="preserve">Rekomendasi Street Food Legendaris Sekitar Wonokromo Surabaya yang Viral - jogja.disway.id - Disway Jogja</t>
  </si>
  <si>
    <t xml:space="preserve">Disorot karena viral dugaan pungli terhadap food truck (isu negatif)</t>
  </si>
  <si>
    <t xml:space="preserve">https://travel.detik.com/travel-news/d-8682349/viral-dugaan-pungli-di-alkid-jogja-tata-kelola-kawasan-wisata-ikonik-disorot</t>
  </si>
  <si>
    <t xml:space="preserve">travel.detik.com</t>
  </si>
  <si>
    <t xml:space="preserve">Viral Dugaan Pungli di Alkid Jogja, Tata Kelola Kawasan Wisata Ikonik Disorot - detikTravel</t>
  </si>
  <si>
    <t xml:space="preserve">detikTravel</t>
  </si>
  <si>
    <t xml:space="preserve">2026-09-28</t>
  </si>
  <si>
    <t xml:space="preserve">Bolosego (food truck)</t>
  </si>
  <si>
    <t xml:space="preserve">Pemilik mengunggah dugaan pungli parkir Rp1 juta per hari, viral (isu negatif)</t>
  </si>
  <si>
    <t xml:space="preserve">Pantai Jagu</t>
  </si>
  <si>
    <t xml:space="preserve">Kota Lhokseumawe, Aceh</t>
  </si>
  <si>
    <t xml:space="preserve">Kota Lhokseumawe</t>
  </si>
  <si>
    <t xml:space="preserve">Aceh</t>
  </si>
  <si>
    <t xml:space="preserve">Lokasi wisata yang pengamanannya ditingkatkan</t>
  </si>
  <si>
    <t xml:space="preserve">https://rri.co.id/lhokseumawe/wisata/2765054/tingkatkan-pengamanan-objek-wisata-imbau-pengunjung-utamakan-keselamatan</t>
  </si>
  <si>
    <t xml:space="preserve">Tingkatkan Pengamanan Objek Wisata, Imbau Pengunjung Utamakan Keselamatan - RRI.co.id</t>
  </si>
  <si>
    <t xml:space="preserve">Pantai Ujong Blang</t>
  </si>
  <si>
    <t xml:space="preserve">Ujong Blang</t>
  </si>
  <si>
    <t xml:space="preserve">Banda Sakti</t>
  </si>
  <si>
    <t xml:space="preserve">Nusa Penida</t>
  </si>
  <si>
    <t xml:space="preserve">Nusa Penida, Bali</t>
  </si>
  <si>
    <t xml:space="preserve">Kabupaten Klungkung</t>
  </si>
  <si>
    <t xml:space="preserve">Kawasan yang viral setelah Canggu dan Ubud</t>
  </si>
  <si>
    <t xml:space="preserve">https://theconversation.com/akibat-kebelet-viral-tempat-wisata-potensial-kerap-layu-sebelum-berkembang-283129</t>
  </si>
  <si>
    <t xml:space="preserve">theconversation.com</t>
  </si>
  <si>
    <t xml:space="preserve">Akibat kebelet viral, tempat wisata potensial kerap layu sebelum berkembang - The Conversation</t>
  </si>
  <si>
    <t xml:space="preserve">The Conversation</t>
  </si>
  <si>
    <t xml:space="preserve">2026-05-19</t>
  </si>
  <si>
    <t xml:space="preserve">Canggu</t>
  </si>
  <si>
    <t xml:space="preserve">Canggu, Bali</t>
  </si>
  <si>
    <t xml:space="preserve">Kuta Utara</t>
  </si>
  <si>
    <t xml:space="preserve">Kawasan wisata yang sempat viral</t>
  </si>
  <si>
    <t xml:space="preserve">Ubud</t>
  </si>
  <si>
    <t xml:space="preserve">Ubud, Bali</t>
  </si>
  <si>
    <t xml:space="preserve">Kabupaten Gianyar</t>
  </si>
  <si>
    <t xml:space="preserve">Pantai Glagah</t>
  </si>
  <si>
    <t xml:space="preserve">Kapanewon Temon, Kulon Progo</t>
  </si>
  <si>
    <t xml:space="preserve">Glagah</t>
  </si>
  <si>
    <t xml:space="preserve">Temon</t>
  </si>
  <si>
    <t xml:space="preserve">Kabupaten Kulon Progo</t>
  </si>
  <si>
    <t xml:space="preserve">Destinasi viral dengan kafe-kafe baru, pengunjung Mei 467.081</t>
  </si>
  <si>
    <t xml:space="preserve">Mei 2026</t>
  </si>
  <si>
    <t xml:space="preserve">https://yogyakarta.bpk.go.id/pad-wisata-kulon-progo-terkerek-3066-persen-di-2026-imbas-destinasi-viral-di-pantai-glagah-2/</t>
  </si>
  <si>
    <t xml:space="preserve">yogyakarta.bpk.go.id</t>
  </si>
  <si>
    <t xml:space="preserve">PAD Wisata Kulon Progo Terkerek 30,66 Persen di 2026, Imbas Destinasi Viral di Pantai Glagah - BPK RI Perwakilan Provinsi Daerah Istimewa Yogyakarta</t>
  </si>
  <si>
    <t xml:space="preserve">BPK RI Perwakilan Provinsi Daerah Istimewa Yogyakarta</t>
  </si>
  <si>
    <t xml:space="preserve">Pantai Congot</t>
  </si>
  <si>
    <t xml:space="preserve">Jangkaran</t>
  </si>
  <si>
    <t xml:space="preserve">Kapanewon = kecamatan</t>
  </si>
  <si>
    <t xml:space="preserve">Kafe-kafe baru di jalur Glagah-Congot yang viral</t>
  </si>
  <si>
    <t xml:space="preserve">Pictniq Land (Pictniq Jogja)</t>
  </si>
  <si>
    <t xml:space="preserve">Patuk, Gunungkidul, Yogyakarta</t>
  </si>
  <si>
    <t xml:space="preserve">Patuk</t>
  </si>
  <si>
    <t xml:space="preserve">Kabupaten Gunungkidul</t>
  </si>
  <si>
    <t xml:space="preserve">Wisata viral replika landmark dunia, urban picnic estetik, jeep offroad</t>
  </si>
  <si>
    <t xml:space="preserve">https://www.harapanrakyat.com/2026/09/pictniq-land-jogja-wisata-viral-keliling-dunia-dan-petualangan-offroad-di-perbukitan-gunungkidul/</t>
  </si>
  <si>
    <t xml:space="preserve">Pictniq Land Jogja: Wisata Viral Keliling Dunia dan Petualangan Offroad di Perbukitan Gunungkidul - Harapan Rakyat</t>
  </si>
  <si>
    <t xml:space="preserve">Enchanting Valley</t>
  </si>
  <si>
    <t xml:space="preserve">Kawasan Taman Safari Indonesia, Puncak, Bogor</t>
  </si>
  <si>
    <t xml:space="preserve">Cibeureum</t>
  </si>
  <si>
    <t xml:space="preserve">Cisarua</t>
  </si>
  <si>
    <t xml:space="preserve">Tempat wisata di Puncak yang lagi viral, tengah menarik perhatian</t>
  </si>
  <si>
    <t xml:space="preserve">https://rentak.id/5-tempat-wisata-di-puncak-yang-lagi-viral-cocok-untuk-liburan-keluarga/</t>
  </si>
  <si>
    <t xml:space="preserve">rentak.id</t>
  </si>
  <si>
    <t xml:space="preserve">5 Tempat Wisata di Puncak yang Lagi Viral, Cocok untuk Liburan Keluarga - rentak.id</t>
  </si>
  <si>
    <t xml:space="preserve">Agrowisata Gunung Mas</t>
  </si>
  <si>
    <t xml:space="preserve">Puncak, Bogor</t>
  </si>
  <si>
    <t xml:space="preserve">Tugu Selatan</t>
  </si>
  <si>
    <t xml:space="preserve">Perkebunan teh dengan panorama pegunungan</t>
  </si>
  <si>
    <t xml:space="preserve">Talaga Saat</t>
  </si>
  <si>
    <t xml:space="preserve">Panorama telaga dan lanskap alam asri</t>
  </si>
  <si>
    <t xml:space="preserve">Wonderful Citamiang</t>
  </si>
  <si>
    <t xml:space="preserve">Kawasan Puncak (Cisarua/Megamendung)</t>
  </si>
  <si>
    <t xml:space="preserve">Wisata alam bernuansa perkemahan</t>
  </si>
  <si>
    <t xml:space="preserve">Melrimba Garden</t>
  </si>
  <si>
    <t xml:space="preserve">Kawasan Puncak</t>
  </si>
  <si>
    <t xml:space="preserve">Taman bunga untuk bersantai dan berfoto</t>
  </si>
  <si>
    <t xml:space="preserve">Telaga Sarangan (spot foto bugenvil)</t>
  </si>
  <si>
    <t xml:space="preserve">Telaga Sarangan, Kabupaten Magetan, Jawa Timur</t>
  </si>
  <si>
    <t xml:space="preserve">Sarangan</t>
  </si>
  <si>
    <t xml:space="preserve">Plaosan</t>
  </si>
  <si>
    <t xml:space="preserve">Spot foto bunga bugenvil mirip Danau Como Italia viral, kunjungan naik hingga 9.000 orang per hari</t>
  </si>
  <si>
    <t xml:space="preserve">https://jatim.antaranews.com/berita/1094615/disbudpar-spot-foto-viral-mirip-di-italia-dongkrak-wisata-sarangan</t>
  </si>
  <si>
    <t xml:space="preserve">jatim.antaranews.com</t>
  </si>
  <si>
    <t xml:space="preserve">Disbudpar: Spot foto viral mirip di Italia dongkrak wisata Sarangan - jatim.antaranews.com</t>
  </si>
  <si>
    <t xml:space="preserve">2026-08-31</t>
  </si>
  <si>
    <t xml:space="preserve">005</t>
  </si>
  <si>
    <t xml:space="preserve">Ba Na Hills</t>
  </si>
  <si>
    <t xml:space="preserve">Vietnam</t>
  </si>
  <si>
    <t xml:space="preserve">Luar negeri: Vietnam (Da Nang)</t>
  </si>
  <si>
    <t xml:space="preserve">Kawasan wisata yang dirancang menarik perhatian wisatawan, pariwisata viral</t>
  </si>
  <si>
    <t xml:space="preserve">https://www.dw.com/id/vietnam-disneyland-asia-siapa-yang-untung-dan-rugi-dari-pariwisata-viral/video-78261469</t>
  </si>
  <si>
    <t xml:space="preserve">www.dw.com</t>
  </si>
  <si>
    <t xml:space="preserve">Vietnam ‘Disneyland Asia’: Siapa Yang Untung dan Rugi dari Pariwisata Viral? - DW.com</t>
  </si>
  <si>
    <t xml:space="preserve">DW.com</t>
  </si>
  <si>
    <t xml:space="preserve">2026-08-11</t>
  </si>
  <si>
    <t xml:space="preserve">Monkey Mountain</t>
  </si>
  <si>
    <t xml:space="preserve">Luar negeri: Vietnam (Semenanjung Son Tra, Da Nang)</t>
  </si>
  <si>
    <t xml:space="preserve">Habitat langur bercak merah yang semakin ramai dikunjungi</t>
  </si>
  <si>
    <t xml:space="preserve">Kalipangus</t>
  </si>
  <si>
    <t xml:space="preserve">Perbatasan Desa Lerep dan Desa Kalisidi, Kecamatan Ungaran Barat, Kabupaten Semarang</t>
  </si>
  <si>
    <t xml:space="preserve">Ungaran Barat</t>
  </si>
  <si>
    <t xml:space="preserve">Kabupaten Semarang</t>
  </si>
  <si>
    <t xml:space="preserve">Perbatasan Desa Lerep dan Desa Kalisidi</t>
  </si>
  <si>
    <t xml:space="preserve">Wisata alam dadakan viral, aliran air jernih dari lereng Gunung Ungaran, konten KKN viral</t>
  </si>
  <si>
    <t xml:space="preserve">Tiga pekan terakhir sebelum 8 Juni 2026</t>
  </si>
  <si>
    <t xml:space="preserve">https://rasikafm.com/ini-dia-kalipangus-obyek-wisata-dadakan-yang-viral-di-ungaran/</t>
  </si>
  <si>
    <t xml:space="preserve">rasikafm.com</t>
  </si>
  <si>
    <t xml:space="preserve">Ini Dia Kalipangus, Obyek Wisata Dadakan yang Viral di Ungaran - rasikafm.com</t>
  </si>
  <si>
    <t xml:space="preserve">2026-06-08</t>
  </si>
  <si>
    <t xml:space="preserve">Lau Debuk-Debuk</t>
  </si>
  <si>
    <t xml:space="preserve">Kabupaten Karo, Sumatera Utara</t>
  </si>
  <si>
    <t xml:space="preserve">Kabupaten Karo</t>
  </si>
  <si>
    <t xml:space="preserve">Jadi sorotan publik karena dugaan pungli di beberapa pos (isu negatif)</t>
  </si>
  <si>
    <t xml:space="preserve">https://www.facebook.com/medandailynews/videos/dugaan-praktik-pungutan-liar-pungli-di-kawasan-wisata-lau-debuk-debuk-kabupaten-/1003482995483706/</t>
  </si>
  <si>
    <t xml:space="preserve">www.facebook.com</t>
  </si>
  <si>
    <t xml:space="preserve">MEDAN DAILY. . Dugaan praktik pungutan liar (pungli) di kawasan wisata Lau Debuk-Debuk, Kabupaten Karo, Sumatera Utara, kembali menjadi sorotan publik setelah sejumlah pengunjung mengeluhkan adanya penarikan uang di beberapa pos sepanjang - facebook.com</t>
  </si>
  <si>
    <t xml:space="preserve">facebook.com</t>
  </si>
  <si>
    <t xml:space="preserve">2026-06-02</t>
  </si>
  <si>
    <t xml:space="preserve">Bendungan Kampili</t>
  </si>
  <si>
    <t xml:space="preserve">Kabupaten Gowa, Sulawesi Selatan</t>
  </si>
  <si>
    <t xml:space="preserve">Kabupaten Gowa</t>
  </si>
  <si>
    <t xml:space="preserve">Wisata viral karena bebatuan dan aliran air unik saat debit air turun, ramai diperbincangkan di medsos</t>
  </si>
  <si>
    <t xml:space="preserve">https://rri.co.id/makassar/wisata/2739899/bendungan-kampili-kabupaten-gowa-jadi-wisata-viral</t>
  </si>
  <si>
    <t xml:space="preserve">Bendungan Kampili Kabupaten Gowa Jadi Wisata Viral - RRI.co.id</t>
  </si>
  <si>
    <t xml:space="preserve">Wisata berkuda Pererenan</t>
  </si>
  <si>
    <t xml:space="preserve">Pererenan, Kecamatan Mengwi, Badung, Bali</t>
  </si>
  <si>
    <t xml:space="preserve">Pererenan</t>
  </si>
  <si>
    <t xml:space="preserve">Mengwi</t>
  </si>
  <si>
    <t xml:space="preserve">Viral karena dugaan eksploitasi kuda, kini berhenti beroperasi (isu negatif)</t>
  </si>
  <si>
    <t xml:space="preserve">https://www.detik.com/bali/berita/d-8671285/wisata-berkuda-di-pererenan-berhenti-beroperasi-usai-viral-dugaan-eksploitasi</t>
  </si>
  <si>
    <t xml:space="preserve">Wisata Berkuda di Pererenan Berhenti Beroperasi Usai Viral Dugaan Eksploitasi - detikcom</t>
  </si>
  <si>
    <t xml:space="preserve">2026-09-20</t>
  </si>
  <si>
    <t xml:space="preserve">Glagah Sunset View (Pantai Glagah)</t>
  </si>
  <si>
    <t xml:space="preserve">Sisi barat Pantai Glagah, Kulonprogo, Yogyakarta</t>
  </si>
  <si>
    <t xml:space="preserve">Sisi barat Pantai Glagah</t>
  </si>
  <si>
    <t xml:space="preserve">Spot sunset viral di medsos, dongkrak PAD dan kunjungan</t>
  </si>
  <si>
    <t xml:space="preserve">Januari-Mei 2026</t>
  </si>
  <si>
    <t xml:space="preserve">https://yogyakarta.bpk.go.id/efek-viral-pantai-glagah-pad-pariwisata-kulonprogo-melonjak/</t>
  </si>
  <si>
    <t xml:space="preserve">Efek Viral Pantai Glagah, PAD Pariwisata Kulonprogo Melonjak - BPK RI Perwakilan Provinsi Daerah Istimewa Yogyakarta</t>
  </si>
  <si>
    <t xml:space="preserve">Bendung Karet Sungai Juana</t>
  </si>
  <si>
    <t xml:space="preserve">Desa Bungasrejo, Kecamatan Jakenan, Kabupaten Pati</t>
  </si>
  <si>
    <t xml:space="preserve">Bungasrejo</t>
  </si>
  <si>
    <t xml:space="preserve">Jakenan</t>
  </si>
  <si>
    <t xml:space="preserve">Wisata dadakan setelah viral sungai kering dan ribuan ikan terdampar, sunset</t>
  </si>
  <si>
    <t xml:space="preserve">https://www.detik.com/jateng/berita/d-8648775/sungai-juana-pati-jadi-wisata-dadakan-gegara-viral-ribuan-ikan-terdampar</t>
  </si>
  <si>
    <t xml:space="preserve">Sungai Juana Pati Jadi Wisata Dadakan gegara Viral Ribuan Ikan Terdampar - detikcom</t>
  </si>
  <si>
    <t xml:space="preserve">Raja Ampat</t>
  </si>
  <si>
    <t xml:space="preserve">Papua Barat Daya</t>
  </si>
  <si>
    <t xml:space="preserve">Kabupaten Raja Ampat</t>
  </si>
  <si>
    <t xml:space="preserve">Destinasi viral, gugusan pulau karst dan kekayaan bawah laut</t>
  </si>
  <si>
    <t xml:space="preserve">https://rri.co.id/bukittinggi/wisata/2503983/sedang-hits-ini-5-tempat-wisata-viral-di-indonesia-yang-wajib-dikunjungi</t>
  </si>
  <si>
    <t xml:space="preserve">Sedang Hits, Ini 5 Tempat Wisata Viral di Indonesia yang Wajib Dikunjungi - RRI.co.id</t>
  </si>
  <si>
    <t xml:space="preserve">2026-06-20</t>
  </si>
  <si>
    <t xml:space="preserve">Labuan Bajo</t>
  </si>
  <si>
    <t xml:space="preserve">Nusa Tenggara Timur</t>
  </si>
  <si>
    <t xml:space="preserve">Komodo</t>
  </si>
  <si>
    <t xml:space="preserve">Kabupaten Manggarai Barat</t>
  </si>
  <si>
    <t xml:space="preserve">Destinasi viral, gerbang Taman Nasional Komodo</t>
  </si>
  <si>
    <t xml:space="preserve">Nusa Penida (Pantai Kelingking)</t>
  </si>
  <si>
    <t xml:space="preserve">Bunga Mekar</t>
  </si>
  <si>
    <t xml:space="preserve">Pantai Kelingking</t>
  </si>
  <si>
    <t xml:space="preserve">Viral berkat tebing dramatis Pantai Kelingking</t>
  </si>
  <si>
    <t xml:space="preserve">Kawah Ijen</t>
  </si>
  <si>
    <t xml:space="preserve">Kawah Ijen di perbatasan Kab. Banyuwangi dan Kab. Bondowoso</t>
  </si>
  <si>
    <t xml:space="preserve">Destinasi viral dengan fenomena blue fire</t>
  </si>
  <si>
    <t xml:space="preserve">Pulau Derawan</t>
  </si>
  <si>
    <t xml:space="preserve">Kabupaten Berau</t>
  </si>
  <si>
    <t xml:space="preserve">Destinasi viral, laut jernih, berenang bersama penyu</t>
  </si>
  <si>
    <t xml:space="preserve">Candi Gedong Songo</t>
  </si>
  <si>
    <t xml:space="preserve">Museum</t>
  </si>
  <si>
    <t xml:space="preserve">Candi</t>
  </si>
  <si>
    <t xml:space="preserve">Bandungan</t>
  </si>
  <si>
    <t xml:space="preserve">Wisata sejarah dan alam yang disukai wisatawan luar kota</t>
  </si>
  <si>
    <t xml:space="preserve">https://www.kompasiana.com/471313/6a53b183c925c44fee3082d2/kabupaten-semarang-punya-tempat-wisata-yang-tak-kalah-hebat</t>
  </si>
  <si>
    <t xml:space="preserve">www.kompasiana.com</t>
  </si>
  <si>
    <t xml:space="preserve">Kabupaten Semarang Punya Tempat Wisata yang Tak Kalah Hebat! Halaman 1 - Kompasiana.com</t>
  </si>
  <si>
    <t xml:space="preserve">Kompasiana.com</t>
  </si>
  <si>
    <t xml:space="preserve">2026-07-12</t>
  </si>
  <si>
    <t xml:space="preserve">Taman Safari Indonesia (Safari Water Park)</t>
  </si>
  <si>
    <t xml:space="preserve">Wahana</t>
  </si>
  <si>
    <t xml:space="preserve">Bogor</t>
  </si>
  <si>
    <t xml:space="preserve">Destinasi wisata keluarga hits di Bogor</t>
  </si>
  <si>
    <t xml:space="preserve">https://www.metrotvnews.com/read/b2lC6gd0-5-destinasi-wisata-keluarga-di-bogor-lengkap-beserta-harga-tiket-dan-aktivitasnya</t>
  </si>
  <si>
    <t xml:space="preserve">www.metrotvnews.com</t>
  </si>
  <si>
    <t xml:space="preserve">5 Destinasi Wisata Keluarga di Bogor Lengkap Beserta Harga Tiket dan Aktivitasnya - MetroTVNews.com</t>
  </si>
  <si>
    <t xml:space="preserve">MetroTVNews.com</t>
  </si>
  <si>
    <t xml:space="preserve">2026-07-02</t>
  </si>
  <si>
    <t xml:space="preserve">Kebun Raya Bogor</t>
  </si>
  <si>
    <t xml:space="preserve">Disebut sebagai ilustrasi wisata Bogor</t>
  </si>
  <si>
    <t xml:space="preserve">Bukit Krisna</t>
  </si>
  <si>
    <t xml:space="preserve">Kampung Yokiwa, Distrik Ebungfau, Kabupaten Jayapura, Papua</t>
  </si>
  <si>
    <t xml:space="preserve">Yokiwa</t>
  </si>
  <si>
    <t xml:space="preserve">Ebungfau</t>
  </si>
  <si>
    <t xml:space="preserve">Kabupaten Jayapura</t>
  </si>
  <si>
    <t xml:space="preserve">Papua</t>
  </si>
  <si>
    <t xml:space="preserve">Viral di TikTok, panorama Danau Sentani dan savana</t>
  </si>
  <si>
    <t xml:space="preserve">https://papuatengah.tribunnews.com/jayapura/6209/usai-viral-di-tiktok-keindahan-bukit-krisna-jayapura-jadi-destinasi-wisata-ikonik-terbaru-di-papua</t>
  </si>
  <si>
    <t xml:space="preserve">papuatengah.tribunnews.com</t>
  </si>
  <si>
    <t xml:space="preserve">Usai Viral di TikTok, Keindahan Bukit Krisna Jayapura Jadi Destinasi Wisata Ikonik Terbaru di Papua - Tribunpapuatengah.com</t>
  </si>
  <si>
    <t xml:space="preserve">Tribunpapuatengah.com</t>
  </si>
  <si>
    <t xml:space="preserve">Dataran Tinggi Dieng</t>
  </si>
  <si>
    <t xml:space="preserve">Wonosobo</t>
  </si>
  <si>
    <t xml:space="preserve">Kejajar</t>
  </si>
  <si>
    <t xml:space="preserve">Kabupaten Wonosobo</t>
  </si>
  <si>
    <t xml:space="preserve">Dataran Tinggi Dieng juga mencakup Kab. Banjarnegara</t>
  </si>
  <si>
    <t xml:space="preserve">Destinasi hits dengan Telaga Warna, Kawah Sikidang, Candi Arjuna</t>
  </si>
  <si>
    <t xml:space="preserve">https://travel.tribunnews.com/destinasi/145805/5-tempat-wisata-di-wonosobo-yang-lagi-hits-indahnya-telaga-menjer</t>
  </si>
  <si>
    <t xml:space="preserve">travel.tribunnews.com</t>
  </si>
  <si>
    <t xml:space="preserve">5 Tempat Wisata di Wonosobo yang Lagi Hits, Indahnya Telaga Menjer - Tribun Travel</t>
  </si>
  <si>
    <t xml:space="preserve">Tribun Travel</t>
  </si>
  <si>
    <t xml:space="preserve">Telaga Menjer</t>
  </si>
  <si>
    <t xml:space="preserve">Garung, Wonosobo</t>
  </si>
  <si>
    <t xml:space="preserve">Garung</t>
  </si>
  <si>
    <t xml:space="preserve">Danau alami dengan latar perbukitan hijau, lagi hits</t>
  </si>
  <si>
    <t xml:space="preserve">Bukit Sikunir</t>
  </si>
  <si>
    <t xml:space="preserve">Kawasan Dieng, Wonosobo</t>
  </si>
  <si>
    <t xml:space="preserve">Sembungan</t>
  </si>
  <si>
    <t xml:space="preserve">Spot sunrise favorit</t>
  </si>
  <si>
    <t xml:space="preserve">Curug Silawe</t>
  </si>
  <si>
    <t xml:space="preserve">Curug Silawe sering disebut berada di Desa Sutopati, Kec. Kajoran, Kab. Magelang (dekat perbatasan Wonosobo)</t>
  </si>
  <si>
    <t xml:space="preserve">Air terjun dengan suasana alami</t>
  </si>
  <si>
    <t xml:space="preserve">Pantai Mutun</t>
  </si>
  <si>
    <t xml:space="preserve">Teluk Pandan</t>
  </si>
  <si>
    <t xml:space="preserve">Kabupaten Pesawaran</t>
  </si>
  <si>
    <t xml:space="preserve">Pantai pasir putih ombak tenang, banana boat dan snorkeling</t>
  </si>
  <si>
    <t xml:space="preserve">https://www.detik.com/sumbagsel/wisata/d-8482740/17-tempat-wisata-favorit-di-lampung-yang-wajib-dikunjungi</t>
  </si>
  <si>
    <t xml:space="preserve">17 Tempat Wisata Favorit di Lampung yang Wajib Dikunjungi - detikcom</t>
  </si>
  <si>
    <t xml:space="preserve">2026-05-10</t>
  </si>
  <si>
    <t xml:space="preserve">Danau Ranau</t>
  </si>
  <si>
    <t xml:space="preserve">Perbatasan Lampung dan Sumatera Selatan</t>
  </si>
  <si>
    <t xml:space="preserve">Perbatasan Kab. Lampung Barat (Lampung) dan Kab. OKU Selatan (Sumatera Selatan)</t>
  </si>
  <si>
    <t xml:space="preserve">Danau terbesar kedua di Sumatera dengan latar Gunung Seminung</t>
  </si>
  <si>
    <t xml:space="preserve">Air Terjun Putri Malu</t>
  </si>
  <si>
    <t xml:space="preserve">Lampung Barat</t>
  </si>
  <si>
    <t xml:space="preserve">Kabupaten Lampung Barat</t>
  </si>
  <si>
    <t xml:space="preserve">Beberapa sumber menyebut Air Terjun Putri Malu di Kab. Way Kanan</t>
  </si>
  <si>
    <t xml:space="preserve">Air terjun berbentuk unik seperti perempuan menunduk</t>
  </si>
  <si>
    <t xml:space="preserve">Song Wat</t>
  </si>
  <si>
    <t xml:space="preserve">Bangkok, Thailand</t>
  </si>
  <si>
    <t xml:space="preserve">Luar negeri: Thailand (Bangkok)</t>
  </si>
  <si>
    <t xml:space="preserve">Kawasan bersejarah yang viral, disebut Blok M-nya Bangkok</t>
  </si>
  <si>
    <t xml:space="preserve">https://www.tripzilla.id/tempat-wisata-baru-bangkok-thailand/26990</t>
  </si>
  <si>
    <t xml:space="preserve">12 Tempat Baru dan Viral di Bangkok, Thailand Dari Wisata Hingga Kafe - tripzilla.id</t>
  </si>
  <si>
    <t xml:space="preserve">2026-05-05</t>
  </si>
  <si>
    <t xml:space="preserve">SkyFlyers Asiatique Bangkok</t>
  </si>
  <si>
    <t xml:space="preserve">Asiatique The Riverfront, 2194 Charoenkrung Road, Wat Phraya Krai, Bang Kho Laem, Bangkok, Thailand</t>
  </si>
  <si>
    <t xml:space="preserve">Luar negeri: Thailand (Asiatique The Riverfront, Bangkok)</t>
  </si>
  <si>
    <t xml:space="preserve">Ayunan raksasa tertinggi di Asia Pasifik 135 meter, tengah viral</t>
  </si>
  <si>
    <t xml:space="preserve">Dib Bangkok</t>
  </si>
  <si>
    <t xml:space="preserve">Museum baru yang viral di Bangkok</t>
  </si>
  <si>
    <t xml:space="preserve">Taman wisata 22 hektar di Jl. Raya Puncak KM 77</t>
  </si>
  <si>
    <t xml:space="preserve">Jl. Raya Puncak KM 77, Cilember, Cisarua, Bogor</t>
  </si>
  <si>
    <t xml:space="preserve">Cilember</t>
  </si>
  <si>
    <t xml:space="preserve">Wahana permainan, drama musikal, spot foto estetik</t>
  </si>
  <si>
    <t xml:space="preserve">https://travel.detik.com/domestic-destination/d-8508203/12-rekomendasi-tempat-wisata-keluarga-paling-hits-di-bogor-2026</t>
  </si>
  <si>
    <t xml:space="preserve">12 Rekomendasi Tempat Wisata Keluarga Paling Hits di Bogor 2026 - detikTravel</t>
  </si>
  <si>
    <t xml:space="preserve">2026-05-28</t>
  </si>
  <si>
    <t xml:space="preserve">Minimania</t>
  </si>
  <si>
    <t xml:space="preserve">Jl. Sentul Paradise Park, Bojong Koneng, Babakan Madang, Bogor</t>
  </si>
  <si>
    <t xml:space="preserve">Bojong Koneng</t>
  </si>
  <si>
    <t xml:space="preserve">Babakan Madang</t>
  </si>
  <si>
    <t xml:space="preserve">Miniatur landmark dunia dan skyride</t>
  </si>
  <si>
    <t xml:space="preserve">Sakura Park</t>
  </si>
  <si>
    <t xml:space="preserve">Wahana di kawasan Sentul Paradise Park</t>
  </si>
  <si>
    <t xml:space="preserve">Adventure Land</t>
  </si>
  <si>
    <t xml:space="preserve">Lalay (restorasi bekas tambang)</t>
  </si>
  <si>
    <t xml:space="preserve">Bogor diasumsikan Kabupaten Bogor (wisata alam)</t>
  </si>
  <si>
    <t xml:space="preserve">Restorasi lahan bekas tambang ilegal menjadi destinasi kreatif</t>
  </si>
  <si>
    <t xml:space="preserve">Melrimba</t>
  </si>
  <si>
    <t xml:space="preserve">Wisata balon udara premium</t>
  </si>
  <si>
    <t xml:space="preserve">Taman Bunga dan Kebun Edukasi</t>
  </si>
  <si>
    <t xml:space="preserve">Solo (Surakarta)</t>
  </si>
  <si>
    <t xml:space="preserve">Kota Surakarta</t>
  </si>
  <si>
    <t xml:space="preserve">Tempat wisata baru yang viral, hamparan bunga dan kebun edukasi</t>
  </si>
  <si>
    <t xml:space="preserve">https://lahatpos.disway.id/topik-utama/read/662887/bukan-sekadar-keraton-5-tempat-wisata-terbaru-di-solo-yang-sedang-viral-dan-wajib-dikunjungi</t>
  </si>
  <si>
    <t xml:space="preserve">lahatpos.disway.id</t>
  </si>
  <si>
    <t xml:space="preserve">Bukan Sekadar Keraton! 5 Tempat Wisata Terbaru di Solo yang Sedang Viral dan Wajib Dikunjungi - lahatpos.disway.id - lahat pos</t>
  </si>
  <si>
    <t xml:space="preserve">lahat pos</t>
  </si>
  <si>
    <t xml:space="preserve">2026-08-27</t>
  </si>
  <si>
    <t xml:space="preserve">Pasar Seni dan Kuliner Kekinian</t>
  </si>
  <si>
    <t xml:space="preserve">Wisata baru viral, karya seni dan kuliner tradisional gaya baru</t>
  </si>
  <si>
    <t xml:space="preserve">Taman Wisata Alam Bukit Pandang</t>
  </si>
  <si>
    <t xml:space="preserve">Wisata baru viral, pemandangan kota dari ketinggian</t>
  </si>
  <si>
    <t xml:space="preserve">Museum Interaktif Budaya</t>
  </si>
  <si>
    <t xml:space="preserve">Wisata baru viral, museum interaktif</t>
  </si>
  <si>
    <t xml:space="preserve">Ibarbo Park</t>
  </si>
  <si>
    <t xml:space="preserve">Jogja</t>
  </si>
  <si>
    <t xml:space="preserve">Jogja: kabupaten/kota tidak pasti</t>
  </si>
  <si>
    <t xml:space="preserve">Destinasi wisata baru di Jogja</t>
  </si>
  <si>
    <t xml:space="preserve">https://swa.co.id/read/471273/destinasi-wisata-baru-di-jogja-ini-6-hal-yang-ditawarkan-di-ibarbo-park</t>
  </si>
  <si>
    <t xml:space="preserve">swa.co.id</t>
  </si>
  <si>
    <t xml:space="preserve">Destinasi Wisata Baru di Jogja, Ini 6 Hal yang Ditawarkan Di Ibarbo Park! - SWA.co.id</t>
  </si>
  <si>
    <t xml:space="preserve">SWA.co.id</t>
  </si>
  <si>
    <t xml:space="preserve">Mikutopia Batu</t>
  </si>
  <si>
    <t xml:space="preserve">Kota Batu, Malang Raya</t>
  </si>
  <si>
    <t xml:space="preserve">Taman tematik negeri jamur yang viral di medsos, instagramable</t>
  </si>
  <si>
    <t xml:space="preserve">https://nativeindonesia.com/mikutopia-batu/</t>
  </si>
  <si>
    <t xml:space="preserve">nativeindonesia.com</t>
  </si>
  <si>
    <t xml:space="preserve">Mikutopia Batu, Surga Wisata Baru yang Lagi Viral di Malang - NativeIndonesia.com</t>
  </si>
  <si>
    <t xml:space="preserve">NativeIndonesia.com</t>
  </si>
  <si>
    <t xml:space="preserve">2026-04-03</t>
  </si>
  <si>
    <t xml:space="preserve">Canyoning Bogor</t>
  </si>
  <si>
    <t xml:space="preserve">Destinasi baru yang viral di kalangan muda, olahraga canyoning</t>
  </si>
  <si>
    <t xml:space="preserve">https://chanelmuslim.com/wisata/viral-canyoning-banyak-digemari-kalangan-muda-dan-jadi-destinasi-baru-di-bogor</t>
  </si>
  <si>
    <t xml:space="preserve">Viral, Canyoning Banyak Digemari Kalangan Muda dan Jadi Destinasi Baru di Bogor - Chanelmuslim.com</t>
  </si>
  <si>
    <t xml:space="preserve">2026-08-24</t>
  </si>
  <si>
    <t xml:space="preserve">Curug Tebing</t>
  </si>
  <si>
    <t xml:space="preserve">Spot canyoning 16 meter untuk pemula</t>
  </si>
  <si>
    <t xml:space="preserve">Dibuka Agustus 2024</t>
  </si>
  <si>
    <t xml:space="preserve">Curug Ciampea</t>
  </si>
  <si>
    <t xml:space="preserve">Ciampea, Bogor</t>
  </si>
  <si>
    <t xml:space="preserve">Ciampea</t>
  </si>
  <si>
    <t xml:space="preserve">Spot canyoning 23 meter</t>
  </si>
  <si>
    <t xml:space="preserve">Dibuka Januari 2025</t>
  </si>
  <si>
    <t xml:space="preserve">Curug Bungsu</t>
  </si>
  <si>
    <t xml:space="preserve">Spot canyoning terbaru 27 meter</t>
  </si>
  <si>
    <t xml:space="preserve">Dibuka Oktober 2025</t>
  </si>
  <si>
    <t xml:space="preserve">Goalpara Tea Park (GTP)</t>
  </si>
  <si>
    <t xml:space="preserve">Sukabumi</t>
  </si>
  <si>
    <t xml:space="preserve">Sukaraja</t>
  </si>
  <si>
    <t xml:space="preserve">Kabupaten Sukabumi</t>
  </si>
  <si>
    <t xml:space="preserve">Spot paling viral di TikTok, rainbow slide dan ATV di kebun teh</t>
  </si>
  <si>
    <t xml:space="preserve">https://radarsukabumi.com/wisata/10-tempat-wisata-hits-di-sukabumi-2026-yang-wajib-masuk-bucket-list-kamu/</t>
  </si>
  <si>
    <t xml:space="preserve">radarsukabumi.com</t>
  </si>
  <si>
    <t xml:space="preserve">10 Tempat Wisata Hits di Sukabumi 2026 yang Wajib Masuk Bucket List Kamu! - radarsukabumi.com</t>
  </si>
  <si>
    <t xml:space="preserve">Situ Gunung Suspension Bridge</t>
  </si>
  <si>
    <t xml:space="preserve">Kadudampit</t>
  </si>
  <si>
    <t xml:space="preserve">Jembatan gantung tengah hutan terpanjang di Asia Tenggara</t>
  </si>
  <si>
    <t xml:space="preserve">Wisata Alam OASIS Sukabumi</t>
  </si>
  <si>
    <t xml:space="preserve">Sukabumi ambigu (Kota/Kabupaten Sukabumi)</t>
  </si>
  <si>
    <t xml:space="preserve">Arsitektur bergaya Eropa, mini zoo, kolam renang</t>
  </si>
  <si>
    <t xml:space="preserve">UNESCO Global Geopark Ciletuh</t>
  </si>
  <si>
    <t xml:space="preserve">Ciemas</t>
  </si>
  <si>
    <t xml:space="preserve">Bukit batu purba, laut lepas, belasan air terjun</t>
  </si>
  <si>
    <t xml:space="preserve">Curug Cikaso</t>
  </si>
  <si>
    <t xml:space="preserve">Cibitung</t>
  </si>
  <si>
    <t xml:space="preserve">Air terjun tiga aliran dengan kolam hijau toska</t>
  </si>
  <si>
    <t xml:space="preserve">Wisata Bukit Baros</t>
  </si>
  <si>
    <t xml:space="preserve">Glamping di hutan pinus</t>
  </si>
  <si>
    <t xml:space="preserve">Mikutopia</t>
  </si>
  <si>
    <t xml:space="preserve">Kecamatan Bumiaji, Kota Batu</t>
  </si>
  <si>
    <t xml:space="preserve">Bumiaji</t>
  </si>
  <si>
    <t xml:space="preserve">Viral karena insiden wahana Tiram diduga patah, pengunjung meninggal, dan isu Amdal (isu negatif)</t>
  </si>
  <si>
    <t xml:space="preserve">https://www.detik.com/jatim/wisata/d-8429886/5-fakta-uji-coba-berbahaya-mikutopia-pengunjung-tewas-wahana-patah</t>
  </si>
  <si>
    <t xml:space="preserve">5 Fakta Uji Coba Berbahaya Mikutopia: Pengunjung Tewas-Wahana Patah - detikcom</t>
  </si>
  <si>
    <t xml:space="preserve">2026-04-05</t>
  </si>
  <si>
    <t xml:space="preserve">Museum Anti Stres</t>
  </si>
  <si>
    <t xml:space="preserve">Kota Shenzhen, China</t>
  </si>
  <si>
    <t xml:space="preserve">Luar negeri: China (Shenzhen)</t>
  </si>
  <si>
    <t xml:space="preserve">Museum viral dengan instalasi seni nyeleneh menyindir tekanan hidup</t>
  </si>
  <si>
    <t xml:space="preserve">https://tv.sinpo.id/detail/museum-anti-stres-viral-di-china</t>
  </si>
  <si>
    <t xml:space="preserve">tv.sinpo.id</t>
  </si>
  <si>
    <t xml:space="preserve">Museum Anti Stres Viral di China - SinPo.id</t>
  </si>
  <si>
    <t xml:space="preserve">SinPo.id</t>
  </si>
  <si>
    <t xml:space="preserve">Museum Terumbu Karang Indonesia</t>
  </si>
  <si>
    <t xml:space="preserve">Kawasan Demangan, Kota Yogyakarta</t>
  </si>
  <si>
    <t xml:space="preserve">Demangan</t>
  </si>
  <si>
    <t xml:space="preserve">Gondokusuman</t>
  </si>
  <si>
    <t xml:space="preserve">Museum gratis dan viral yang menyajikan pesona bawah laut</t>
  </si>
  <si>
    <t xml:space="preserve">https://jogja.times.co.id/news/wisata/YF3oMMsA/gratis-plus-viral-museum-terumbu-karang-indonesia-sajikan-pesona-bawah-laut</t>
  </si>
  <si>
    <t xml:space="preserve">jogja.times.co.id</t>
  </si>
  <si>
    <t xml:space="preserve">Gratis plus Viral, Museum Terumbu Karang Indonesia Sajikan Pesona Bawah Laut - TIMES Jogja</t>
  </si>
  <si>
    <t xml:space="preserve">TIMES Jogja</t>
  </si>
  <si>
    <t xml:space="preserve">2026-07-10</t>
  </si>
  <si>
    <t xml:space="preserve">Art Dialogue II</t>
  </si>
  <si>
    <t xml:space="preserve">Galeri di Tasikmalaya</t>
  </si>
  <si>
    <t xml:space="preserve">Tasikmalaya ambigu (Kota/Kabupaten)</t>
  </si>
  <si>
    <t xml:space="preserve">Antrean panjang sebelum galeri buka menjadi viral</t>
  </si>
  <si>
    <t xml:space="preserve">https://mimbarrakyatnews.com/art-dialogue-ii-viral-dan-antrean-panjang-di-tasikmalaya-galeri-belum-buka-kang-acong-monolog/</t>
  </si>
  <si>
    <t xml:space="preserve">mimbarrakyatnews.com</t>
  </si>
  <si>
    <t xml:space="preserve">Art dialogue II viral dan antrean panjang di Tasikmalaya: galeri belum buka, kang acong monolog - mimbarrakyatnews.com</t>
  </si>
  <si>
    <t xml:space="preserve">2026-08-01</t>
  </si>
  <si>
    <t xml:space="preserve">006</t>
  </si>
  <si>
    <t xml:space="preserve">Festival Kuliner Gang Senggol Jakarta Viral</t>
  </si>
  <si>
    <t xml:space="preserve">Padang, Sumatera Barat</t>
  </si>
  <si>
    <t xml:space="preserve">Kota Padang</t>
  </si>
  <si>
    <t xml:space="preserve">Sumatera Barat</t>
  </si>
  <si>
    <t xml:space="preserve">Pameran 400 menu kuliner halal UMKM Jakarta yang viral</t>
  </si>
  <si>
    <t xml:space="preserve">29 Agustus 2026</t>
  </si>
  <si>
    <t xml:space="preserve">https://www.antarafoto.com/id/view/2852899/pameran-kuliner-jakarta-viral-di-padang</t>
  </si>
  <si>
    <t xml:space="preserve">Pameran kuliner Jakarta Viral di Padang - antarafoto.com</t>
  </si>
  <si>
    <t xml:space="preserve">2026-08-29</t>
  </si>
  <si>
    <t xml:space="preserve">GIIAS 2026</t>
  </si>
  <si>
    <t xml:space="preserve">BSD City, Tangerang</t>
  </si>
  <si>
    <t xml:space="preserve">Pagedangan</t>
  </si>
  <si>
    <t xml:space="preserve">Kabupaten Tangerang</t>
  </si>
  <si>
    <t xml:space="preserve">GIIAS di ICE BSD City (Kab. Tangerang)</t>
  </si>
  <si>
    <t xml:space="preserve">Pameran otomotif; menampilkan Hyundai Ioniq 3 yang viral di Eropa</t>
  </si>
  <si>
    <t xml:space="preserve">30 Juli - 9 Agustus 2026</t>
  </si>
  <si>
    <t xml:space="preserve">https://www.rctiplus.com/news/detail/otomotif/5424370/viral-di-eropa--hyundai-bakal-boyong-ioniq-3-ke-giias-2026</t>
  </si>
  <si>
    <t xml:space="preserve">www.rctiplus.com</t>
  </si>
  <si>
    <t xml:space="preserve">Viral di Eropa, Hyundai Bakal Boyong Ioniq 3 ke GIIAS 2026 - RCTI+</t>
  </si>
  <si>
    <t xml:space="preserve">RCTI+</t>
  </si>
  <si>
    <t xml:space="preserve">2026-07-09</t>
  </si>
  <si>
    <t xml:space="preserve">Viral kasus SPG direkam diam-diam untuk konten di pameran (isu negatif)</t>
  </si>
  <si>
    <t xml:space="preserve">https://www.rctiplus.com/news/detail/otomotif/5443987/viral-spg-giias-direkam-diam-diam-jadi-konten--minta-video-dihapus-malah-harus-bayar</t>
  </si>
  <si>
    <t xml:space="preserve">Viral SPG GIIAS Direkam Diam-Diam Jadi Konten, Minta Video Dihapus malah Harus Bayar - RCTI+</t>
  </si>
  <si>
    <t xml:space="preserve">2026-08-04</t>
  </si>
  <si>
    <t xml:space="preserve">Event kuliner khas Jakarta di Palembang Indah Mall</t>
  </si>
  <si>
    <t xml:space="preserve">Palembang Indah Mall (PIM), Palembang</t>
  </si>
  <si>
    <t xml:space="preserve">Festival 40+ tenant makanan viral Jakarta, dipadati pengunjung</t>
  </si>
  <si>
    <t xml:space="preserve">22 Juni - 2 Juli 2026</t>
  </si>
  <si>
    <t xml:space="preserve">https://rri.co.id/palembang/regional/2532795/festival-kuliner-viral-jakarta-tarik-minat-pengunjung-palembang-indah-mall</t>
  </si>
  <si>
    <t xml:space="preserve">Festival Kuliner Viral Jakarta Tarik Minat Pengunjung Palembang Indah Mall - RRI.co.id</t>
  </si>
  <si>
    <t xml:space="preserve">2026-06-30</t>
  </si>
  <si>
    <t xml:space="preserve">Tenant di Palembang Indah Mall, Palembang</t>
  </si>
  <si>
    <t xml:space="preserve">Kuliner viral dari Jakarta</t>
  </si>
  <si>
    <t xml:space="preserve">Chewy's Dessert by Jennifer Coppen</t>
  </si>
  <si>
    <t xml:space="preserve">Bungeoppang</t>
  </si>
  <si>
    <t xml:space="preserve">Tenant kewalahan melayani pembeli</t>
  </si>
  <si>
    <t xml:space="preserve">Dubai Chewy Cookies by Momoichi</t>
  </si>
  <si>
    <t xml:space="preserve">Highland Fest Bukittinggi</t>
  </si>
  <si>
    <t xml:space="preserve">Bukittinggi, Sumatera Barat</t>
  </si>
  <si>
    <t xml:space="preserve">Kota Bukittinggi</t>
  </si>
  <si>
    <t xml:space="preserve">Viral momen hujan abu vulkanik saat konser</t>
  </si>
  <si>
    <t xml:space="preserve">26 September 2026</t>
  </si>
  <si>
    <t xml:space="preserve">https://women.okezone.com/read/2026/09/28/25/3244560/viral-netizen-bagikan-momen-hujan-abu-vulkanik-saat-festival-musik-diduga-akibat-erupsi-gunung-marapi</t>
  </si>
  <si>
    <t xml:space="preserve">women.okezone.com</t>
  </si>
  <si>
    <t xml:space="preserve">Viral! Netizen Bagikan Momen Hujan Abu Vulkanik saat Festival Musik, Diduga Akibat Erupsi Gunung Marapi - women.okezone.com</t>
  </si>
  <si>
    <t xml:space="preserve">Savoria Festival 2026</t>
  </si>
  <si>
    <t xml:space="preserve">Kampus Universitas Adiwangsa Jambi (UNAJA), Jambi</t>
  </si>
  <si>
    <t xml:space="preserve">Kota Jambi</t>
  </si>
  <si>
    <t xml:space="preserve">Jambi</t>
  </si>
  <si>
    <t xml:space="preserve">Kampus UNAJA</t>
  </si>
  <si>
    <t xml:space="preserve">Festival kampus dengan 22 tenant makanan viral</t>
  </si>
  <si>
    <t xml:space="preserve">25 September 2026</t>
  </si>
  <si>
    <t xml:space="preserve">https://jektvnews.disway.id/adv/read/26897/mahasiswa-unaja-sulap-tugas-kuliah-jadi-savoria-festival-2026-hadirkan-22-tenant-viral</t>
  </si>
  <si>
    <t xml:space="preserve">jektvnews.disway.id</t>
  </si>
  <si>
    <t xml:space="preserve">Mahasiswa UNAJA Sulap Tugas Kuliah Jadi ‘Savoria Festival 2026’, Hadirkan 22 Tenant Viral - jektvnews.disway.id - Disway</t>
  </si>
  <si>
    <t xml:space="preserve">Disway</t>
  </si>
  <si>
    <t xml:space="preserve">Lobi Barat PTC Mall Palembang dan Palembang Indah Mall, Palembang</t>
  </si>
  <si>
    <t xml:space="preserve">Dua lokasi: PTC Mall dan Palembang Indah Mall</t>
  </si>
  <si>
    <t xml:space="preserve">Festival 45 tenant kuliner yang ramai di media sosial, dipadati pengunjung</t>
  </si>
  <si>
    <t xml:space="preserve">25 Juni - 5 Juli 2026</t>
  </si>
  <si>
    <t xml:space="preserve">https://rri.co.id/palembang/ekonomi/umkm/2546159/festival-kuliner-gang-senggol-jakarta-viral-ramai-pengunjung</t>
  </si>
  <si>
    <t xml:space="preserve">Festival Kuliner Gang Senggol Jakarta Viral Ramai Pengunjung - RRI.co.id</t>
  </si>
  <si>
    <t xml:space="preserve">2026-07-05</t>
  </si>
  <si>
    <t xml:space="preserve">Jakarta Halal Viral Culinary Festival</t>
  </si>
  <si>
    <t xml:space="preserve">Kota Kediri, Jawa Timur</t>
  </si>
  <si>
    <t xml:space="preserve">Kota Kediri</t>
  </si>
  <si>
    <t xml:space="preserve">Pameran jajanan viral dari berbagai daerah</t>
  </si>
  <si>
    <t xml:space="preserve">19 Juli 2026</t>
  </si>
  <si>
    <t xml:space="preserve">https://www.antarafoto.com/view/2823927/jakarta-halal-culinary-festival-goes-viral-in-kediri</t>
  </si>
  <si>
    <t xml:space="preserve">Jakarta Halal Culinary Festival Goes Viral in Kediri - antarafoto.com</t>
  </si>
  <si>
    <t xml:space="preserve">007</t>
  </si>
  <si>
    <t xml:space="preserve">Pasar Triwindu</t>
  </si>
  <si>
    <t xml:space="preserve">Kecamatan Banjarsari, Kota Solo, Jawa Tengah</t>
  </si>
  <si>
    <t xml:space="preserve">Keprabon</t>
  </si>
  <si>
    <t xml:space="preserve">Banjarsari</t>
  </si>
  <si>
    <t xml:space="preserve">Viral karena oknum satpam menarik parkir ngepruk (isu negatif)</t>
  </si>
  <si>
    <t xml:space="preserve">19-22 September 2026</t>
  </si>
  <si>
    <t xml:space="preserve">https://regional.kompas.com/read/2026/09/23/055209778/wali-kota-solo-buka-suara-soal-video-viral-oknum-satpam-pasar-triwindu</t>
  </si>
  <si>
    <t xml:space="preserve">Wali Kota Solo Buka Suara soal Video Viral Oknum Satpam Pasar Triwindu Tarik Parkir - Kompas.com</t>
  </si>
  <si>
    <t xml:space="preserve">Pusat Grosir Asemka</t>
  </si>
  <si>
    <t xml:space="preserve">Asemka, Jakarta Barat</t>
  </si>
  <si>
    <t xml:space="preserve">Roa Malaka</t>
  </si>
  <si>
    <t xml:space="preserve">Tambora</t>
  </si>
  <si>
    <t xml:space="preserve">Pusat grosir Asemka</t>
  </si>
  <si>
    <t xml:space="preserve">Tempat Gen Z berburu barang tren/viral untuk dijual ulang</t>
  </si>
  <si>
    <t xml:space="preserve">https://www.cnbcindonesia.com/news/20260909132930-4-766508/gen-z-jadi-reseller-online-modal-segini-ke-pasar-asemka-bisa-viral</t>
  </si>
  <si>
    <t xml:space="preserve">www.cnbcindonesia.com</t>
  </si>
  <si>
    <t xml:space="preserve">Gen Z Jadi Reseller Online, Modal Segini ke Pasar Asemka Bisa Viral - CNBC Indonesia</t>
  </si>
  <si>
    <t xml:space="preserve">CNBC Indonesia</t>
  </si>
  <si>
    <t xml:space="preserve">2026-09-09</t>
  </si>
  <si>
    <t xml:space="preserve">Kota Solo, Jawa Tengah</t>
  </si>
  <si>
    <t xml:space="preserve">Pusat oleh-oleh barang antik; viral karena tarif parkir ngepruk oleh oknum satpam (isu negatif)</t>
  </si>
  <si>
    <t xml:space="preserve">https://regional.kompas.com/read/2026/09/22/055200178/satpam-di-pasar-triwindu-solo-viral-usai-tarik-parkir-ngepruk-ke-pengunjung?page=all</t>
  </si>
  <si>
    <t xml:space="preserve">Satpam di Pasar Triwindu Solo Viral Usai Tarik Parkir Ngepruk ke Pengunjung - Kompas.com</t>
  </si>
  <si>
    <t xml:space="preserve">2026-09-21</t>
  </si>
  <si>
    <t xml:space="preserve">Tahir Solo Museum</t>
  </si>
  <si>
    <t xml:space="preserve">Kota Solo</t>
  </si>
  <si>
    <t xml:space="preserve">Pengunjung mengeluhkan tarif parkir mobil ngepruk</t>
  </si>
  <si>
    <t xml:space="preserve">Viral satpam tarik parkir ngepruk (isu negatif)</t>
  </si>
  <si>
    <t xml:space="preserve">https://regional.kompas.com/image/2026/09/22/055200178/satpam-di-pasar-triwindu-solo-viral-usai-tarik-parkir-ngepruk-ke-pengunjung</t>
  </si>
  <si>
    <t xml:space="preserve">Foto : Satpam di Pasar Triwindu Solo Viral Usai Tarik Parkir Ngepruk ke Pengunjung - Kompas.com</t>
  </si>
  <si>
    <t xml:space="preserve">Pasar Jambu Dua</t>
  </si>
  <si>
    <t xml:space="preserve">Jl. A. Yani No.1, Bantarjati, Kota Bogor</t>
  </si>
  <si>
    <t xml:space="preserve">Bantarjati</t>
  </si>
  <si>
    <t xml:space="preserve">Bogor Utara</t>
  </si>
  <si>
    <t xml:space="preserve">Viral jadi tempat nongkrong kalcer Gen Z, dijuluki Blok M-nya Bogor, sentra kuliner kekinian lantai 2 dengan 184 tenant</t>
  </si>
  <si>
    <t xml:space="preserve">Mulai Mei 2026</t>
  </si>
  <si>
    <t xml:space="preserve">https://travel.detik.com/cerita-perjalanan/d-8674916/viral-pasar-jambu-dua-jadi-tempat-nongkrong-kalcer-gen-z-bogor</t>
  </si>
  <si>
    <t xml:space="preserve">Viral, Pasar Jambu Dua Jadi Tempat Nongkrong Kalcer Gen Z Bogor - detikTravel</t>
  </si>
  <si>
    <t xml:space="preserve">Bakmi Posar</t>
  </si>
  <si>
    <t xml:space="preserve">Lantai 2 Pasar Jambu Dua, Kota Bogor</t>
  </si>
  <si>
    <t xml:space="preserve">Pelopor tenant kuliner di Pasar Jambu Dua</t>
  </si>
  <si>
    <t xml:space="preserve">Kecamatan Banjarsari, Kota Solo</t>
  </si>
  <si>
    <t xml:space="preserve">Viral pemotor ditarik parkir ngepruk oleh satpam (isu negatif)</t>
  </si>
  <si>
    <t xml:space="preserve">19 September 2026</t>
  </si>
  <si>
    <t xml:space="preserve">https://www.detik.com/jateng/berita/d-8672294/viral-satpam-pasar-triwindu-solo-tarik-parkir-ngepruk-ke-pemotor</t>
  </si>
  <si>
    <t xml:space="preserve">Viral Satpam Pasar Triwindu Solo Tarik Parkir Ngepruk ke Pemotor - detikcom</t>
  </si>
  <si>
    <t xml:space="preserve">Wahana Bianglala Pasar Malam Desa Laut Dendang</t>
  </si>
  <si>
    <t xml:space="preserve">Desa Laut Dendang, Kecamatan Percut Sei Tuan, Kabupaten Deli Serdang</t>
  </si>
  <si>
    <t xml:space="preserve">Laut Dendang</t>
  </si>
  <si>
    <t xml:space="preserve">Percut Sei Tuan</t>
  </si>
  <si>
    <t xml:space="preserve">Viral karena bianglala rusak dan 30 pengunjung terjebak (isu negatif)</t>
  </si>
  <si>
    <t xml:space="preserve">11 Juli 2026</t>
  </si>
  <si>
    <t xml:space="preserve">https://medan.kompas.com/read/2026/07/13/111246278/30-orang-terjebak-di-bianglala-pasar-malam-deli-serdang-pengelola-ungkap</t>
  </si>
  <si>
    <t xml:space="preserve">medan.kompas.com</t>
  </si>
  <si>
    <t xml:space="preserve">30 Orang Terjebak di Bianglala Pasar Malam Deli Serdang, Pengelola Ungkap Penyebabnya - Kompas.com</t>
  </si>
  <si>
    <t xml:space="preserve">Pasar Malam Raohe (Raohe Street Night Market)</t>
  </si>
  <si>
    <t xml:space="preserve">Taipei, Taiwan</t>
  </si>
  <si>
    <t xml:space="preserve">Luar negeri: Taiwan (Taipei)</t>
  </si>
  <si>
    <t xml:space="preserve">Viral karena aksi Jensen Huang mentraktir antrean jagung bakar</t>
  </si>
  <si>
    <t xml:space="preserve">https://www.kompas.com/food/read/2026/05/28/075854975/demi-jagung-bakar-bos-nvidia-jensen-huang-traktir-antrean-1-pasar-malam?page=all</t>
  </si>
  <si>
    <t xml:space="preserve">Demi Jagung Bakar, Bos NVIDIA Jensen Huang Traktir Antrean 1 Pasar Malam - Kompas.com</t>
  </si>
  <si>
    <t xml:space="preserve">Toko buku di Kawasan Wisata Mianhua Tiankeng</t>
  </si>
  <si>
    <t xml:space="preserve">Desa Mianhua, Kota Hechi, Guangxi, Tiongkok</t>
  </si>
  <si>
    <t xml:space="preserve">Luar negeri: China (Hechi, Guangxi)</t>
  </si>
  <si>
    <t xml:space="preserve">Toko buku di tebing lubang runtuhan sedalam 326 meter menjadi viral dan tempat check-in populer</t>
  </si>
  <si>
    <t xml:space="preserve">Dibuka Mei 2025</t>
  </si>
  <si>
    <t xml:space="preserve">https://www.vietnam.vn/id/hieu-sach-trong-ho-sut-khong-lo-o-trung-quoc-gay-sot</t>
  </si>
  <si>
    <t xml:space="preserve">www.vietnam.vn</t>
  </si>
  <si>
    <t xml:space="preserve">Toko buku di dalam lubang raksasa di China menjadi viral. - Vietnam.vn</t>
  </si>
  <si>
    <t xml:space="preserve">Vietnam.vn</t>
  </si>
  <si>
    <t xml:space="preserve">008</t>
  </si>
  <si>
    <t xml:space="preserve">Tiramisusu</t>
  </si>
  <si>
    <t xml:space="preserve">Jalan Anggrek No.48, Cihapit, Kecamatan Bandung Wetan, Kota Bandung</t>
  </si>
  <si>
    <t xml:space="preserve">Oleh-oleh viral yang sering diburu, rela antre</t>
  </si>
  <si>
    <t xml:space="preserve">https://travel.tribunnews.com/shopping/142748/5-toko-oleh-oleh-unik-di-bandung-yang-lagi-viral-dan-selalu-ramai</t>
  </si>
  <si>
    <t xml:space="preserve">5 Toko Oleh-oleh Unik di Bandung yang Lagi Viral dan Selalu Ramai - Tribun Travel</t>
  </si>
  <si>
    <t xml:space="preserve">2026-04-07</t>
  </si>
  <si>
    <t xml:space="preserve">Accra Bakes</t>
  </si>
  <si>
    <t xml:space="preserve">Jalan Mandolin No.6, Turangga, Kecamatan Lengkong, Kota Bandung</t>
  </si>
  <si>
    <t xml:space="preserve">Turangga</t>
  </si>
  <si>
    <t xml:space="preserve">Toko dessert rumahan drive thru, basque burnt cheesecake; masuk daftar oleh-oleh viral</t>
  </si>
  <si>
    <t xml:space="preserve">Sepotong Warisan</t>
  </si>
  <si>
    <t xml:space="preserve">Jalan Purnawarman, Bandung</t>
  </si>
  <si>
    <t xml:space="preserve">Oleh-oleh viral Bandung, toko kue konsep tempo dulu, Kue Warisan bolu marmer</t>
  </si>
  <si>
    <t xml:space="preserve">https://travel.tribunnews.com/shopping/144603/oleh-oleh-viral-di-bandung-ini-daftar-harga-menu-sepotong-warisan</t>
  </si>
  <si>
    <t xml:space="preserve">Oleh-oleh Viral di Bandung, Ini Daftar Harga Menu Sepotong Warisan - Tribun Travel</t>
  </si>
  <si>
    <t xml:space="preserve">Toko Roti Merak</t>
  </si>
  <si>
    <t xml:space="preserve">Oleh-oleh viral Bandung, antre hingga 3 jam</t>
  </si>
  <si>
    <t xml:space="preserve">https://travel.tribunnews.com/shopping/144780/oleh-oleh-viral-bandung-toko-roti-merak-ramai-hingga-antre-3-jam</t>
  </si>
  <si>
    <t xml:space="preserve">Oleh-oleh Viral Bandung, Toko Roti Merak Ramai hingga Antre 3 Jam - Tribun Travel</t>
  </si>
  <si>
    <t xml:space="preserve">Kawasan naik daun, antrean mengular di toko makanan viral dan photobooth</t>
  </si>
  <si>
    <t xml:space="preserve">https://www.cnnindonesia.com/ekonomi/20260529061425-92-1363217/bisnis-pendulang-cuan-di-blok-m-modal-miliaran-jurus-anti-tekor</t>
  </si>
  <si>
    <t xml:space="preserve">www.cnnindonesia.com</t>
  </si>
  <si>
    <t xml:space="preserve">Bisnis Pendulang Cuan di Blok M: Modal Miliaran, Jurus Anti-Tekor - cnnindonesia.com</t>
  </si>
  <si>
    <t xml:space="preserve">cnnindonesia.com</t>
  </si>
  <si>
    <t xml:space="preserve">2026-05-29</t>
  </si>
  <si>
    <t xml:space="preserve">EM Gelato</t>
  </si>
  <si>
    <t xml:space="preserve">Usaha kuliner di Blok M, strategi viral</t>
  </si>
  <si>
    <t xml:space="preserve">Kawasan Cihapit</t>
  </si>
  <si>
    <t xml:space="preserve">Cihapit, Kec. Bandung Wetan, Kota Bandung</t>
  </si>
  <si>
    <t xml:space="preserve">Kawasan naik daun dan viral, dijuluki Blok M-nya Bandung</t>
  </si>
  <si>
    <t xml:space="preserve">https://www.tripzilla.id/tempat-cihapit-bandung/26925</t>
  </si>
  <si>
    <t xml:space="preserve">13 Tempat Hits di Cihapit, Bandung Yang Wajib Kamu Kunjungi, Dari Kuliner Hingga Store Gemas - tripzilla.id</t>
  </si>
  <si>
    <t xml:space="preserve">2026-04-25</t>
  </si>
  <si>
    <t xml:space="preserve">Jl. Cihapit Jl. Sabang No.32, Cihapit, Kec. Bandung Wetan, Kota Bandung</t>
  </si>
  <si>
    <t xml:space="preserve">Surga kuliner hits dan viral, tempat sarapan</t>
  </si>
  <si>
    <t xml:space="preserve">Toko Bakmi Feng</t>
  </si>
  <si>
    <t xml:space="preserve">Tenant menarik di Pasar Cihapit</t>
  </si>
  <si>
    <t xml:space="preserve">Nasi Telur Sumber Rezeki</t>
  </si>
  <si>
    <t xml:space="preserve">Baso Gepeng 99</t>
  </si>
  <si>
    <t xml:space="preserve">Tempat paling hits dan viral di Cihapit, antrean mengular setiap hari</t>
  </si>
  <si>
    <t xml:space="preserve">Jakarta Fair (Pekan Raya Jakarta/PRJ)</t>
  </si>
  <si>
    <t xml:space="preserve">Pademangan Timur</t>
  </si>
  <si>
    <t xml:space="preserve">Pademangan</t>
  </si>
  <si>
    <t xml:space="preserve">JIExpo Kemayoran</t>
  </si>
  <si>
    <t xml:space="preserve">Pameran tahunan dengan ratusan tenant dan barang viral</t>
  </si>
  <si>
    <t xml:space="preserve">https://wolipop.detik.com/advertorial-news-block/d-8561909/cari-tas-viral-di-prj-ini-5-pilihan-yang-patut-dilirik</t>
  </si>
  <si>
    <t xml:space="preserve">wolipop.detik.com</t>
  </si>
  <si>
    <t xml:space="preserve">Cari Tas Viral di PRJ? Ini 5 Pilihan yang Patut Dilirik - Wolipop</t>
  </si>
  <si>
    <t xml:space="preserve">Wolipop</t>
  </si>
  <si>
    <t xml:space="preserve">Roti Unyil Venus</t>
  </si>
  <si>
    <t xml:space="preserve">Ruko V Point, Jl. Raya Pajajaran No. 1, Bogor</t>
  </si>
  <si>
    <t xml:space="preserve">Jalan Pajajaran melintasi beberapa kecamatan</t>
  </si>
  <si>
    <t xml:space="preserve">Ikon oleh-oleh legendaris sejak 1992, selalu ramai antrean</t>
  </si>
  <si>
    <t xml:space="preserve">https://www.tripzilla.id/oleh-oleh-khas-bogor/27427</t>
  </si>
  <si>
    <t xml:space="preserve">Main ke Bogor? Cek List Oleh Oleh Khas Bogor yang Paling Dicari Ini! - tripzilla.id</t>
  </si>
  <si>
    <t xml:space="preserve">Lapis Bogor</t>
  </si>
  <si>
    <t xml:space="preserve">Jl. Raya Pajajaran No. 20i, Bogor</t>
  </si>
  <si>
    <t xml:space="preserve">Pelopor bolu talas modern</t>
  </si>
  <si>
    <t xml:space="preserve">Strudel Bogor</t>
  </si>
  <si>
    <t xml:space="preserve">Jl. Pajajaran No. 3F / No. 78K, Bogor</t>
  </si>
  <si>
    <t xml:space="preserve">Pastry berlapis dengan isian lokal</t>
  </si>
  <si>
    <t xml:space="preserve">The Harvest Cakes</t>
  </si>
  <si>
    <t xml:space="preserve">Jakarta Pusat</t>
  </si>
  <si>
    <t xml:space="preserve">Cheesecake viral, banyak varian</t>
  </si>
  <si>
    <t xml:space="preserve">https://travel.tribunnews.com/kuliner/142986/5-cheesecake-viral-di-jakarta-pusat-cocok-untuk-oleh-oleh</t>
  </si>
  <si>
    <t xml:space="preserve">5 Cheesecake Viral di Jakarta Pusat, Cocok untuk Oleh-oleh - Tribun Travel</t>
  </si>
  <si>
    <t xml:space="preserve">2026-04-29</t>
  </si>
  <si>
    <t xml:space="preserve">Kibo Cheese</t>
  </si>
  <si>
    <t xml:space="preserve">Molten cheesecake yang unik, masuk daftar cheesecake viral</t>
  </si>
  <si>
    <t xml:space="preserve">Dapur Cokelat</t>
  </si>
  <si>
    <t xml:space="preserve">Toko kue legendaris, masuk daftar cheesecake viral</t>
  </si>
  <si>
    <t xml:space="preserve">Pasar Beringharjo</t>
  </si>
  <si>
    <t xml:space="preserve">Ngupasan</t>
  </si>
  <si>
    <t xml:space="preserve">Gondomanan</t>
  </si>
  <si>
    <t xml:space="preserve">Pusat oleh-oleh legendaris yang selalu ramai</t>
  </si>
  <si>
    <t xml:space="preserve">https://travel.tribunnews.com/shopping/142761/5-tempat-beli-oleh-oleh-di-jogja-yang-ramai-lengkap-dan-terjangkau</t>
  </si>
  <si>
    <t xml:space="preserve">5 Tempat Beli Oleh-oleh di Jogja yang Ramai, Lengkap, dan Terjangkau - Tribun Travel</t>
  </si>
  <si>
    <t xml:space="preserve">Teras Malioboro</t>
  </si>
  <si>
    <t xml:space="preserve">Teras Malioboro ada dua lokasi di kawasan Malioboro</t>
  </si>
  <si>
    <t xml:space="preserve">Tempat belanja oleh-oleh</t>
  </si>
  <si>
    <t xml:space="preserve">Lombok</t>
  </si>
  <si>
    <t xml:space="preserve">Lombok, Nusa Tenggara Barat</t>
  </si>
  <si>
    <t xml:space="preserve">Nusa Tenggara Barat</t>
  </si>
  <si>
    <t xml:space="preserve">Pulau Lombok (mencakup beberapa kabupaten/kota)</t>
  </si>
  <si>
    <t xml:space="preserve">Destinasi hidden gem dengan pertumbuhan menginap tercepat</t>
  </si>
  <si>
    <t xml:space="preserve">https://travel.kompas.com/read/2026/06/09/170000027/wisatawan-indonesia-makin-sering-liburan-ke-hidden-gem-mana-saja-?page=all</t>
  </si>
  <si>
    <t xml:space="preserve">travel.kompas.com</t>
  </si>
  <si>
    <t xml:space="preserve">Wisatawan Indonesia Makin Sering Liburan ke "Hidden Gem", Mana Saja? - Kompas.com</t>
  </si>
  <si>
    <t xml:space="preserve">Pantai Senggigi</t>
  </si>
  <si>
    <t xml:space="preserve">Senggigi</t>
  </si>
  <si>
    <t xml:space="preserve">Batu Layar</t>
  </si>
  <si>
    <t xml:space="preserve">Kabupaten Lombok Barat</t>
  </si>
  <si>
    <t xml:space="preserve">Disebut sebagai tempat wisatawan menikmati sunset</t>
  </si>
  <si>
    <t xml:space="preserve">https://nationalgeographic.grid.id/read/134386113/destinasi-hidden-gems-indonesia-makin-diminati-wisatawan</t>
  </si>
  <si>
    <t xml:space="preserve">nationalgeographic.grid.id</t>
  </si>
  <si>
    <t xml:space="preserve">Destinasi ‘Hidden Gems’ Indonesia Makin Diminati Wisatawan - National Geographic Indonesia</t>
  </si>
  <si>
    <t xml:space="preserve">National Geographic Indonesia</t>
  </si>
  <si>
    <t xml:space="preserve">2026-06-11</t>
  </si>
  <si>
    <t xml:space="preserve">Danau Kaco</t>
  </si>
  <si>
    <t xml:space="preserve">Taman Nasional Kerinci Seblat, Jambi</t>
  </si>
  <si>
    <t xml:space="preserve">Kabupaten Kerinci</t>
  </si>
  <si>
    <t xml:space="preserve">Hidden gem, air biru kristal yang tampak bercahaya di malam hari</t>
  </si>
  <si>
    <t xml:space="preserve">https://harianbanyuasin.disway.id/selebriti-hiburan/read/654649/7-hidden-gem-wisata-alam-di-indonesia-yang-bikin-betah-nomor-5-dijuluki-surga-tersembunyi</t>
  </si>
  <si>
    <t xml:space="preserve">harianbanyuasin.disway.id</t>
  </si>
  <si>
    <t xml:space="preserve">7 Hidden Gem Wisata Alam di Indonesia yang Bikin Betah! Nomor 5 Dijuluki Surga Tersembunyi - harianbanyuasin.disway.id - Harian Banyuasin</t>
  </si>
  <si>
    <t xml:space="preserve">Harian Banyuasin</t>
  </si>
  <si>
    <t xml:space="preserve">009</t>
  </si>
  <si>
    <t xml:space="preserve">Dinobatkan destinasi terbaik dunia 2026 versi TripAdvisor</t>
  </si>
  <si>
    <t xml:space="preserve">https://www.harapanrakyat.com/2026/04/tren-wisata-indonesia-2026-bali-raih-predikat-terbaik-dunia-hingga-munculnya-fenomena-hidden-gem-baru/</t>
  </si>
  <si>
    <t xml:space="preserve">15 Museum Hidden Gem di Jakarta, Sepi tapi Sarat Cerita - cnnindonesia.com</t>
  </si>
  <si>
    <t xml:space="preserve">2026-06-29</t>
  </si>
  <si>
    <t xml:space="preserve">Tidak sesuai (isi = judul artikel N-1)</t>
  </si>
  <si>
    <t xml:space="preserve">Karimunjawa</t>
  </si>
  <si>
    <t xml:space="preserve">Karimunjawa, Jawa Tengah</t>
  </si>
  <si>
    <t xml:space="preserve">Kabupaten Jepara</t>
  </si>
  <si>
    <t xml:space="preserve">Lokasi viral di TikTok dan Instagram, perairan bening</t>
  </si>
  <si>
    <t xml:space="preserve">Blue fire Banyuwangi (Kawah Ijen)</t>
  </si>
  <si>
    <t xml:space="preserve">Banyuwangi, Jawa Timur</t>
  </si>
  <si>
    <t xml:space="preserve">Kabupaten Banyuwangi</t>
  </si>
  <si>
    <t xml:space="preserve">Fenomena blue fire yang viral di media sosial</t>
  </si>
  <si>
    <t xml:space="preserve">Wisata Perahu Kalimas</t>
  </si>
  <si>
    <t xml:space="preserve">Surabaya</t>
  </si>
  <si>
    <t xml:space="preserve">Wajah baru wisata perahu, Venice of Java</t>
  </si>
  <si>
    <t xml:space="preserve">Museum Kebangkitan Nasional (gedung STOVIA)</t>
  </si>
  <si>
    <t xml:space="preserve">Jl. Abdul Rahman Saleh No.26, Senen, Jakarta Pusat</t>
  </si>
  <si>
    <t xml:space="preserve">Museum hidden gem di bekas gedung STOVIA, tempat lahir Boedi Oetomo</t>
  </si>
  <si>
    <t xml:space="preserve">https://www.cnnindonesia.com/gaya-hidup/20260629103411-269-1374548/15-museum-hidden-gem-di-jakarta-sepi-tapi-sarat-cerita</t>
  </si>
  <si>
    <t xml:space="preserve">Maluku's Hidden Gem: The Magic of Bair Island - RRI.co.id</t>
  </si>
  <si>
    <t xml:space="preserve">Museum Perumusan Naskah Proklamasi (rumah Laksamana Maeda)</t>
  </si>
  <si>
    <t xml:space="preserve">Menteng, Jakarta Pusat</t>
  </si>
  <si>
    <t xml:space="preserve">Museum hidden gem tempat penyusunan naskah Proklamasi</t>
  </si>
  <si>
    <t xml:space="preserve">Pulau Bair</t>
  </si>
  <si>
    <t xml:space="preserve">Tual, Kepulauan Kei, Maluku</t>
  </si>
  <si>
    <t xml:space="preserve">Kota Tual</t>
  </si>
  <si>
    <t xml:space="preserve">Hidden gem wisata bahari, tebing karang dan laguna jernih</t>
  </si>
  <si>
    <t xml:space="preserve">https://rri.co.id/voice-of-indonesia/tourism/2712569/malukus-hidden-gem-the-magic-of-bair-island</t>
  </si>
  <si>
    <t xml:space="preserve">Hidden Gem Kuliner, Lezatnya Rujak Cingur Legendaris di Gresik - TIMES Indonesia</t>
  </si>
  <si>
    <t xml:space="preserve">2026-04-12</t>
  </si>
  <si>
    <t xml:space="preserve">Rujak Cingur Bu Is</t>
  </si>
  <si>
    <t xml:space="preserve">Gang di Kelurahan Sidomoro, Kecamatan Kebomas, Kabupaten Gresik, Jawa Timur</t>
  </si>
  <si>
    <t xml:space="preserve">Sidomoro</t>
  </si>
  <si>
    <t xml:space="preserve">Hidden gem kuliner rujak cingur legendaris sejak 2003</t>
  </si>
  <si>
    <t xml:space="preserve">https://timesindonesia.co.id/kuliner/585243/hidden-gem-kuliner-lezatnya-rujak-cingur-legendaris-di-gresik</t>
  </si>
  <si>
    <t xml:space="preserve">Tak Melulu Harus Viral, Ini 6 Rekomendasi Hidden Gem di Blok M - cnnindonesia.com</t>
  </si>
  <si>
    <t xml:space="preserve">Basement Blok M Square</t>
  </si>
  <si>
    <t xml:space="preserve">Blok M Square, Jakarta Selatan</t>
  </si>
  <si>
    <t xml:space="preserve">Hidden gem Blok M: kaset, CD, vinyl, dan buku bekas</t>
  </si>
  <si>
    <t xml:space="preserve">https://www.cnnindonesia.com/gaya-hidup/20260520141739-269-1360408/tak-melulu-harus-viral-ini-6-rekomendasi-hidden-gem-di-blok-m</t>
  </si>
  <si>
    <t xml:space="preserve">Daftar Bioskop IMAX di Indonesia 2026, Lengkap Beserta Lokasi Terbaru - Bisnis Style</t>
  </si>
  <si>
    <t xml:space="preserve">Bisnis Style</t>
  </si>
  <si>
    <t xml:space="preserve">2026-07-16</t>
  </si>
  <si>
    <t xml:space="preserve">Mie Aceh Seulawah</t>
  </si>
  <si>
    <t xml:space="preserve">Jl. Bendungan Hilir Raya No. 41, Bendungan Hilir, Tanah Abang, Jakarta Pusat</t>
  </si>
  <si>
    <t xml:space="preserve">Restoran mie Aceh tertua di Jakarta sejak 1996</t>
  </si>
  <si>
    <t xml:space="preserve">https://www.nibble.id/restoran-aceh-jakarta/</t>
  </si>
  <si>
    <t xml:space="preserve">11 Warung Aceh Terbaik di Jakarta: Kuliner Autentik, Kaya Rempah, dan Nyaman untuk Tempat Nongkrong - Bank Mega Syariah</t>
  </si>
  <si>
    <t xml:space="preserve">Bank Mega Syariah</t>
  </si>
  <si>
    <t xml:space="preserve">2026-05-26</t>
  </si>
  <si>
    <t xml:space="preserve">Warung Aceh Bang Ari</t>
  </si>
  <si>
    <t xml:space="preserve">Suasana mirip Aceh, Mie Aceh Udang dan Sate Matang</t>
  </si>
  <si>
    <t xml:space="preserve">Waroeng Aceh Kemang</t>
  </si>
  <si>
    <t xml:space="preserve">Kemang, Jakarta Selatan</t>
  </si>
  <si>
    <t xml:space="preserve">Mampang Prapatan</t>
  </si>
  <si>
    <t xml:space="preserve">Kemang (area)</t>
  </si>
  <si>
    <t xml:space="preserve">Warung Aceh di Jakarta</t>
  </si>
  <si>
    <t xml:space="preserve">Mie Aceh Kring-kring</t>
  </si>
  <si>
    <t xml:space="preserve">Kawasan Saharjo, Tebet, Jakarta Selatan</t>
  </si>
  <si>
    <t xml:space="preserve">Tebet</t>
  </si>
  <si>
    <t xml:space="preserve">Konsep mobil toko, tempat nongkrong sejak 2020</t>
  </si>
  <si>
    <t xml:space="preserve">https://food.detik.com/tempat-makan/d-8459750/7-kedai-mie-aceh-favorit-di-jakarta-rasanya-nendang</t>
  </si>
  <si>
    <t xml:space="preserve">Kuliner Jalan Sabang, Enaknya Bikin Lupa Diet - tripzilla.id</t>
  </si>
  <si>
    <t xml:space="preserve">2026-05-06</t>
  </si>
  <si>
    <t xml:space="preserve">Sekitar Mampang Prapatan, Jakarta Selatan</t>
  </si>
  <si>
    <t xml:space="preserve">Kedai mie Aceh legendaris sejak 1996</t>
  </si>
  <si>
    <t xml:space="preserve">Kawasan wisata kuliner malam</t>
  </si>
  <si>
    <t xml:space="preserve">https://www.tripzilla.id/kuliner-malam-jalan-sabang/26993</t>
  </si>
  <si>
    <t xml:space="preserve">5 Makan Malam Dekat Stasiun Pasar Minggu Jaksel, Cocok Buat Pulang Kerja - Tribun Travel</t>
  </si>
  <si>
    <t xml:space="preserve">2026-04-21</t>
  </si>
  <si>
    <t xml:space="preserve">Kopi Oey</t>
  </si>
  <si>
    <t xml:space="preserve">Jl. H. Agus Salim No.20, Kb. Sirih, Kec. Menteng, Jakarta Pusat</t>
  </si>
  <si>
    <t xml:space="preserve">Kedai kopi didirikan Bondan Winarno, buka 24 jam</t>
  </si>
  <si>
    <t xml:space="preserve">Arab Hadramot Jakarta</t>
  </si>
  <si>
    <t xml:space="preserve">Jl. H. Agus Salim No.46, Kb. Sirih, Kec. Menteng, Jakarta Pusat</t>
  </si>
  <si>
    <t xml:space="preserve">Menu khas Yaman, nasi mandi</t>
  </si>
  <si>
    <t xml:space="preserve">Restoran Garuda</t>
  </si>
  <si>
    <t xml:space="preserve">Jalan Sabang, Jakarta Pusat</t>
  </si>
  <si>
    <t xml:space="preserve">Disebut dalam daftar kuliner malam Jalan Sabang</t>
  </si>
  <si>
    <t xml:space="preserve">Mie Aceh Pondok</t>
  </si>
  <si>
    <t xml:space="preserve">Dekat Stasiun Pasar Minggu, Jakarta Selatan</t>
  </si>
  <si>
    <t xml:space="preserve">Pasar Minggu</t>
  </si>
  <si>
    <t xml:space="preserve">Dekat Stasiun Pasar Minggu</t>
  </si>
  <si>
    <t xml:space="preserve">Mie Aceh dengan bumbu kaya rempah, rasa mendekati asli</t>
  </si>
  <si>
    <t xml:space="preserve">https://travel.tribunnews.com/kuliner/142905/5-makan-malam-dekat-stasiun-pasar-minggu-jaksel-cocok-buat-pulang-kerja</t>
  </si>
  <si>
    <t xml:space="preserve">ANAT Fair 2026 Hadirkan Travel Tiga Negara di Aceh, Tawarkan Paket Perjalanan Murah - RRI.co.id</t>
  </si>
  <si>
    <t xml:space="preserve">Pempek Palembang Musi Raya</t>
  </si>
  <si>
    <t xml:space="preserve">Jalan Raya Ragunan No 91, Pasar Minggu, Jakarta Selatan</t>
  </si>
  <si>
    <t xml:space="preserve">Pempek dengan rasa konsisten sejak dulu</t>
  </si>
  <si>
    <t xml:space="preserve">ANAT Fair 2026</t>
  </si>
  <si>
    <t xml:space="preserve">Suzuya Mall Banda Aceh</t>
  </si>
  <si>
    <t xml:space="preserve">Kota Banda Aceh</t>
  </si>
  <si>
    <t xml:space="preserve">Pameran travel 12 agen perjalanan dari tiga negara</t>
  </si>
  <si>
    <t xml:space="preserve">25-27 September 2026</t>
  </si>
  <si>
    <t xml:space="preserve">https://rri.co.id/banda-aceh/ekonomi/bisnis/2759672/anat-fair-2026-hadirkan-travel-tiga-negara-di-aceh-tawarkan-paket-perjalanan-murah</t>
  </si>
  <si>
    <t xml:space="preserve">250 Foto Berbagai Wisata Aceh Dipamerkan di Kampus, Upaya Promosi Pariwisata - Kompas.com</t>
  </si>
  <si>
    <t xml:space="preserve">Pameran 250 foto wisata Aceh</t>
  </si>
  <si>
    <t xml:space="preserve">Aula FISIP Universitas Malikussaleh, Aceh Utara</t>
  </si>
  <si>
    <t xml:space="preserve">Kabupaten Aceh Utara</t>
  </si>
  <si>
    <t xml:space="preserve">Pameran foto wisata Aceh untuk promosi pascabanjir</t>
  </si>
  <si>
    <t xml:space="preserve">22 Juli 2026</t>
  </si>
  <si>
    <t xml:space="preserve">https://travel.kompas.com/read/2026/07/23/070426427/250-foto-berbagai-wisata-aceh-dipamerkan-di-kampus-upaya-promosi-pariwisata</t>
  </si>
  <si>
    <t xml:space="preserve">Villa Pink Love Jadi Magnet Baru Wisata Alam Seulawah RG di Aceh Besar - Waspada Aceh</t>
  </si>
  <si>
    <t xml:space="preserve">Waspada Aceh</t>
  </si>
  <si>
    <t xml:space="preserve">Wisata Alam Seulawah RG (Villa Pink Love)</t>
  </si>
  <si>
    <t xml:space="preserve">Desa Peurumping, Kecamatan Montasik, Aceh Besar</t>
  </si>
  <si>
    <t xml:space="preserve">Peurumping</t>
  </si>
  <si>
    <t xml:space="preserve">Montasik</t>
  </si>
  <si>
    <t xml:space="preserve">Kabupaten Aceh Besar</t>
  </si>
  <si>
    <t xml:space="preserve">Villa pink berbentuk love ramai diperbincangkan di media sosial</t>
  </si>
  <si>
    <t xml:space="preserve">Dibuka 14 Maret 2026</t>
  </si>
  <si>
    <t xml:space="preserve">https://waspadaaceh.com/villa-pink-love-jadi-magnet-baru-wisata-alam-seulawah-rg-di-aceh-besar/</t>
  </si>
  <si>
    <t xml:space="preserve">waspadaaceh.com</t>
  </si>
  <si>
    <t xml:space="preserve">Pante Biram, Surga Wisata Sungai di Pedalaman Aceh Utara yang Kini Viral di Media Sosial - Portalsatu.com</t>
  </si>
  <si>
    <t xml:space="preserve">Portalsatu.com</t>
  </si>
  <si>
    <t xml:space="preserve">2026-05-22</t>
  </si>
  <si>
    <t xml:space="preserve">Pante Biram</t>
  </si>
  <si>
    <t xml:space="preserve">Gampong Blang Pante, Kecamatan Paya Bakong, Aceh Utara</t>
  </si>
  <si>
    <t xml:space="preserve">Blang Pante</t>
  </si>
  <si>
    <t xml:space="preserve">Paya Bakong</t>
  </si>
  <si>
    <t xml:space="preserve">Wisata sungai jernih, video dan foto pengunjung viral di media sosial</t>
  </si>
  <si>
    <t xml:space="preserve">https://portalsatu.com/pante-biram-surga-wisata-sungai-di-pedalaman-aceh-utara-yang-kini-viral-di-media-sosial/</t>
  </si>
  <si>
    <t xml:space="preserve">portalsatu.com</t>
  </si>
  <si>
    <t xml:space="preserve">Basarnas Siapkan Program Wisata Selamat dan Penjaga Pantai - MODUS ACEH</t>
  </si>
  <si>
    <t xml:space="preserve">MODUS ACEH</t>
  </si>
  <si>
    <t xml:space="preserve">Pantai Lampuuk</t>
  </si>
  <si>
    <t xml:space="preserve">Lampuuk</t>
  </si>
  <si>
    <t xml:space="preserve">Lhoknga</t>
  </si>
  <si>
    <t xml:space="preserve">Lokasi pengunjung tenggelam, diusulkan jadi percontohan wisata selamat</t>
  </si>
  <si>
    <t xml:space="preserve">13 September 2026</t>
  </si>
  <si>
    <t xml:space="preserve">https://modusaceh.co/news/basarnas-siapkan-program-wisata-selamat-dan-penjaga-pantai/index.html</t>
  </si>
  <si>
    <t xml:space="preserve">modusaceh.co</t>
  </si>
  <si>
    <t xml:space="preserve">Jiva Takengon Pilihan Destinasi Wisata Camping di Aceh Tengah - lintasgayo.com</t>
  </si>
  <si>
    <t xml:space="preserve">lintasgayo.com</t>
  </si>
  <si>
    <t xml:space="preserve">Jiva Takengon</t>
  </si>
  <si>
    <t xml:space="preserve">Danau Lut Tawar, Takengon, Aceh Tengah</t>
  </si>
  <si>
    <t xml:space="preserve">Kabupaten Aceh Tengah</t>
  </si>
  <si>
    <t xml:space="preserve">Takengon, tepi Danau Lut Tawar</t>
  </si>
  <si>
    <t xml:space="preserve">Destinasi camping dan glamping; sempat viral berkat konsep private boat</t>
  </si>
  <si>
    <t xml:space="preserve">https://lintasgayo.com/jiva-takengon-pilihan-destinasi-wisata-camping-di-aceh-tengah/</t>
  </si>
  <si>
    <t xml:space="preserve">Sempat Ditutup karena Pungli, Wisata Bukit Lamreh Dibuka Kembali - detikcom</t>
  </si>
  <si>
    <t xml:space="preserve">Bukit Lamreh</t>
  </si>
  <si>
    <t xml:space="preserve">Desa Lamreh, Kecamatan Mesjid Raya, Aceh Besar</t>
  </si>
  <si>
    <t xml:space="preserve">Lamreh</t>
  </si>
  <si>
    <t xml:space="preserve">Mesjid Raya</t>
  </si>
  <si>
    <t xml:space="preserve">Sempat ditutup setelah viral pungli, dibuka kembali (isu negatif)</t>
  </si>
  <si>
    <t xml:space="preserve">Ditutup akhir Juni, dibuka 24 Agustus 2026</t>
  </si>
  <si>
    <t xml:space="preserve">https://www.detik.com/sumut/wisata/d-8633252/sempat-ditutup-karena-pungli-wisata-bukit-lamreh-dibuka-kembali</t>
  </si>
  <si>
    <t xml:space="preserve">Pasca Kisruh di Bukit Lamreh, Satpol PP Aceh Besar Janji Perketat Pengawasan - BITHE.co</t>
  </si>
  <si>
    <t xml:space="preserve">BITHE.co</t>
  </si>
  <si>
    <t xml:space="preserve">2026-06-18</t>
  </si>
  <si>
    <t xml:space="preserve">Kecamatan Mesjid Raya, Aceh Besar</t>
  </si>
  <si>
    <t xml:space="preserve">Gangguan ketertiban di kawasan wisata (isu negatif)</t>
  </si>
  <si>
    <t xml:space="preserve">https://www.bithe.co/news/pasca-kisruh-di-bukit-lamreh-satpol-pp-aceh-besar-janji-perketat-pengawasan/index.html</t>
  </si>
  <si>
    <t xml:space="preserve">www.bithe.co</t>
  </si>
  <si>
    <t xml:space="preserve">Generasi Muda Dorong Wisata Aceh Mendunia lewat Konten Digital - RRI.co.id</t>
  </si>
  <si>
    <t xml:space="preserve">2026-06-24</t>
  </si>
  <si>
    <t xml:space="preserve">Air Terjun Blang Kolam</t>
  </si>
  <si>
    <t xml:space="preserve">Desa Sidomulyo, Kecamatan Kuta Makmur, Kabupaten Aceh Utara</t>
  </si>
  <si>
    <t xml:space="preserve">Sidomulyo</t>
  </si>
  <si>
    <t xml:space="preserve">Kuta Makmur</t>
  </si>
  <si>
    <t xml:space="preserve">Wisata canyoneering 70 meter yang viral</t>
  </si>
  <si>
    <t xml:space="preserve">Mulai November 2025</t>
  </si>
  <si>
    <t xml:space="preserve">https://travel.kompas.com/read/2026/06/10/180000927/menaklukkan-air-terjun-blang-kolam-wisata-canyoneering-70-meter-yang-viral-di</t>
  </si>
  <si>
    <t xml:space="preserve">Di Balik Keindahan Bukit Lamreh, Ada Dugaan Pemerasan dan Pungli Capai Rp2,4 Juta - MODUS ACEH</t>
  </si>
  <si>
    <t xml:space="preserve">2026-06-17</t>
  </si>
  <si>
    <t xml:space="preserve">Kecamatan Mesjid Raya, Kabupaten Aceh Besar</t>
  </si>
  <si>
    <t xml:space="preserve">Viral unggahan dugaan pungli dan pemerasan pengunjung (isu negatif)</t>
  </si>
  <si>
    <t xml:space="preserve">https://modusaceh.co/news/di-balik-keindahan-bukit-lamreh-ada-dugaan-pemerasan-dan-pungli-capai-rp2-4-juta/index.html</t>
  </si>
  <si>
    <t xml:space="preserve">JAKLOM Dorong Regulasi Terpadu untuk Pariwisata Digital Aceh - RRI.co.id</t>
  </si>
  <si>
    <t xml:space="preserve">Viral, villa pink berbentuk love ramai diperbincangkan di medsos</t>
  </si>
  <si>
    <t xml:space="preserve">https://rri.co.id/lhokseumawe/wisata/2458791/pesona-villa-pink-love-wisata-alam-seulawah-rg-di-aceh-besar</t>
  </si>
  <si>
    <t xml:space="preserve">Jalan Lintas Aceh Jaya Tol Pesisir Aceh View Laut yang Viral - RRI.co.id</t>
  </si>
  <si>
    <t xml:space="preserve">2026-04-26</t>
  </si>
  <si>
    <t xml:space="preserve">Jalan Lintas Aceh Jaya-Meulaboh</t>
  </si>
  <si>
    <t xml:space="preserve">Krueng Sabee dan Calang, Aceh Jaya</t>
  </si>
  <si>
    <t xml:space="preserve">Krueng Sabee</t>
  </si>
  <si>
    <t xml:space="preserve">Kabupaten Aceh Jaya</t>
  </si>
  <si>
    <t xml:space="preserve">Ruas jalan lintas; Calang berada di Kec. Krueng Sabee</t>
  </si>
  <si>
    <t xml:space="preserve">Jalan pesisir mulus dengan view laut viral di TikTok dan Instagram, dijuluki jalan tol-nya Aceh</t>
  </si>
  <si>
    <t xml:space="preserve">26 April 2026</t>
  </si>
  <si>
    <t xml:space="preserve">https://rri.co.id/meulaboh/wisata/2365250/jalan-lintas-aceh-jaya-tol-pesisir-aceh-view-laut-yang-viral</t>
  </si>
  <si>
    <t xml:space="preserve">Menteri Pariwisata Dukung Pemulihan Wisata Aceh Tengah - RRI.co.id</t>
  </si>
  <si>
    <t xml:space="preserve">2026-05-14</t>
  </si>
  <si>
    <t xml:space="preserve">Danau Lut Tawar</t>
  </si>
  <si>
    <t xml:space="preserve">Aceh Tengah</t>
  </si>
  <si>
    <t xml:space="preserve">Destinasi unggulan Aceh Tengah</t>
  </si>
  <si>
    <t xml:space="preserve">https://rri.co.id/takengon/daerah-3t/2413999/menteri-pariwisata-dukung-pemulihan-wisata-aceh-tengah</t>
  </si>
  <si>
    <t xml:space="preserve">Pesona Pulau Banyak Aceh Singkil Pikat Konten Kreator Shella Saukia - RRI.co.id</t>
  </si>
  <si>
    <t xml:space="preserve">2026-06-12</t>
  </si>
  <si>
    <t xml:space="preserve">Pulau Banyak</t>
  </si>
  <si>
    <t xml:space="preserve">Kabupaten Aceh Singkil</t>
  </si>
  <si>
    <t xml:space="preserve">Memikat kreator konten Shella Saukia</t>
  </si>
  <si>
    <t xml:space="preserve">11 Juni 2026</t>
  </si>
  <si>
    <t xml:space="preserve">https://rri.co.id/aceh-singkil/wisata/2486429/pesona-pulau-banyak-aceh-singkil-pikat-konten-kreator-shella-saukia</t>
  </si>
  <si>
    <t xml:space="preserve">Pesona Masjid Al-Munawwarah Jadi Daya Tarik Wisata Religi di Aceh Tengah - RRI.co.id</t>
  </si>
  <si>
    <t xml:space="preserve">Pulau Panjang</t>
  </si>
  <si>
    <t xml:space="preserve">Pulau Banyak, Aceh Singkil</t>
  </si>
  <si>
    <t xml:space="preserve">Dikunjungi Shella Saukia</t>
  </si>
  <si>
    <t xml:space="preserve">010</t>
  </si>
  <si>
    <t xml:space="preserve">Masjid Al-Munawwarah</t>
  </si>
  <si>
    <t xml:space="preserve">Kampung Uning, Kecamatan Pegasing, Kabupaten Aceh Tengah</t>
  </si>
  <si>
    <t xml:space="preserve">Uning</t>
  </si>
  <si>
    <t xml:space="preserve">Pegasing</t>
  </si>
  <si>
    <t xml:space="preserve">Destinasi wisata religi di tepi Sungai Peusangan, ramai dikunjungi wisatawan hingga mancanegara</t>
  </si>
  <si>
    <t xml:space="preserve">https://rri.co.id/takengon/wisata/2576945/pesona-masjid-al-munawwarah-jadi-daya-tarik-wisata-religi-di-aceh-tengah</t>
  </si>
  <si>
    <t xml:space="preserve">PFI Aceh Ajak Masyarakat Kunjungi Pameran Foto "Prahara Pulau Emas" di Museum Tsunami - AJNN.net</t>
  </si>
  <si>
    <t xml:space="preserve">AJNN.net</t>
  </si>
  <si>
    <t xml:space="preserve">2026-08-02</t>
  </si>
  <si>
    <t xml:space="preserve">Pameran foto Prahara Pulau Emas</t>
  </si>
  <si>
    <t xml:space="preserve">Museum Tsunami Aceh, Banda Aceh</t>
  </si>
  <si>
    <t xml:space="preserve">Sukaramai</t>
  </si>
  <si>
    <t xml:space="preserve">Baiturrahman</t>
  </si>
  <si>
    <t xml:space="preserve">Pameran foto jurnalistik bencana banjir dan longsor akhir 2025</t>
  </si>
  <si>
    <t xml:space="preserve">3-8 Agustus 2026</t>
  </si>
  <si>
    <t xml:space="preserve">https://www.ajnn.net/news/pfi-aceh-ajak-masyarakat-kunjungi-pameran-foto-prahara-pulau-emas-di-museum-tsunami/index.html</t>
  </si>
  <si>
    <t xml:space="preserve">www.ajnn.net</t>
  </si>
  <si>
    <t xml:space="preserve">Oknum Polisi Rampok Toko Emas di Tapaktuan Pakai Senpi, Polda Aceh Sebut Motif Tekanan Ekonomi - Kompas.com</t>
  </si>
  <si>
    <t xml:space="preserve">Museum Tsunami Aceh</t>
  </si>
  <si>
    <t xml:space="preserve">Banda Aceh</t>
  </si>
  <si>
    <t xml:space="preserve">Lokasi pameran Prahara Pulau Emas</t>
  </si>
  <si>
    <t xml:space="preserve">Travel fair dengan tema Jelajahi Dunia dari Serambi Mekkah</t>
  </si>
  <si>
    <t xml:space="preserve">https://distori.id/2026/09/26/anat-fair-2026-digelar-banda-aceh-bidik-wisatawan-tinggal-lebih-lama-dan-belanja-produk-lokal/</t>
  </si>
  <si>
    <t xml:space="preserve">distori.id</t>
  </si>
  <si>
    <t xml:space="preserve">Jelang Idul Adha: Warga Banda Aceh Serbu Toko Kue Kering - Waspada Aceh</t>
  </si>
  <si>
    <t xml:space="preserve">2026-05-25</t>
  </si>
  <si>
    <t xml:space="preserve">Festival Kuliner Serpong (FKS) 2026</t>
  </si>
  <si>
    <t xml:space="preserve">Summarecon Mall Serpong, Gading Serpong, Banten</t>
  </si>
  <si>
    <t xml:space="preserve">Pakulonan Barat</t>
  </si>
  <si>
    <t xml:space="preserve">Kelapa Dua</t>
  </si>
  <si>
    <t xml:space="preserve">Festival kuliner dengan kuliner viral Sambal Seruit Lampung</t>
  </si>
  <si>
    <t xml:space="preserve">13 Agustus - 13 September 2026</t>
  </si>
  <si>
    <t xml:space="preserve">https://investor.id/lifestyle/453879/festival-kuliner-serpong-2026-menjelajah-nikmatnya-sambal-seruit-lampung-hingga-mie-aceh-seulawah</t>
  </si>
  <si>
    <t xml:space="preserve">Illiza akan Sulap Terminal Keudah jadi Lokasi Event Kota - Seputar Aceh</t>
  </si>
  <si>
    <t xml:space="preserve">Seputar Aceh</t>
  </si>
  <si>
    <t xml:space="preserve">Rumah Sambal Seruit Lampung</t>
  </si>
  <si>
    <t xml:space="preserve">Booth FKS 2026, Summarecon Mall Serpong</t>
  </si>
  <si>
    <t xml:space="preserve">inferensi</t>
  </si>
  <si>
    <t xml:space="preserve">Kuliner khas Lampung yang sedang viral, booth tidak pernah sepi</t>
  </si>
  <si>
    <t xml:space="preserve">Mie Ayam Koga</t>
  </si>
  <si>
    <t xml:space="preserve">Bandar Lampung (booth di FKS 2026)</t>
  </si>
  <si>
    <t xml:space="preserve">Asal usaha Bandar Lampung; booth di FKS 2026 Summarecon Mall Serpong</t>
  </si>
  <si>
    <t xml:space="preserve">Mie ayam legendaris Bandar Lampung sejak 1978</t>
  </si>
  <si>
    <t xml:space="preserve">Sate Mak Syukur Padang Pandjang</t>
  </si>
  <si>
    <t xml:space="preserve">Padang Panjang, Sumatera Barat (booth di FKS 2026)</t>
  </si>
  <si>
    <t xml:space="preserve">Kota Padang Panjang</t>
  </si>
  <si>
    <t xml:space="preserve">Asal usaha Padang Panjang; booth di FKS 2026 Summarecon Mall Serpong</t>
  </si>
  <si>
    <t xml:space="preserve">Sate legendaris sejak 1941</t>
  </si>
  <si>
    <t xml:space="preserve">Terminal Keudah</t>
  </si>
  <si>
    <t xml:space="preserve">Keudah</t>
  </si>
  <si>
    <t xml:space="preserve">Kuta Raja</t>
  </si>
  <si>
    <t xml:space="preserve">Dimanfaatkan sebagai lokasi event kota</t>
  </si>
  <si>
    <t xml:space="preserve">https://seputaraceh.id/terminal-keudah-sentral-telepon-banda-aceh/</t>
  </si>
  <si>
    <t xml:space="preserve">seputaraceh.id</t>
  </si>
  <si>
    <t xml:space="preserve">Ada Festival Lhok Buloh di Aceh Utara, Bisa Nonton Tari dan Kulineran - Kompas.com</t>
  </si>
  <si>
    <t xml:space="preserve">2026-06-13</t>
  </si>
  <si>
    <t xml:space="preserve">Taman Telepon (Sentral Telepon)</t>
  </si>
  <si>
    <t xml:space="preserve">Situs bersejarah cikal bakal jaringan telepon sejak 1903, akan ditata</t>
  </si>
  <si>
    <t xml:space="preserve">Masjid Raya Baiturrahman</t>
  </si>
  <si>
    <t xml:space="preserve">Kampung Baru</t>
  </si>
  <si>
    <t xml:space="preserve">Bagian kawasan wisata sejarah kota</t>
  </si>
  <si>
    <t xml:space="preserve">Taman Putroe Phang</t>
  </si>
  <si>
    <t xml:space="preserve">Festival Lhok Buloh</t>
  </si>
  <si>
    <t xml:space="preserve">Desa Cot Beudak, Kecamatan Kuta Makmur, Kabupaten Aceh Utara</t>
  </si>
  <si>
    <t xml:space="preserve">Cot Beudak</t>
  </si>
  <si>
    <t xml:space="preserve">Festival tari, kuliner, dan bazar untuk dorong wisata pascabanjir</t>
  </si>
  <si>
    <t xml:space="preserve">13-14 Juni 2026</t>
  </si>
  <si>
    <t xml:space="preserve">https://travel.kompas.com/read/2026/06/13/190700027/ada-festival-lhok-buloh-di-aceh-utara-bisa-nonton-tari-dan-kulineran</t>
  </si>
  <si>
    <t xml:space="preserve">Stan UTU Tampilkan Karya dan Dorong Minat Baca di Festival Literasi Aceh Barat - RRI.co.id</t>
  </si>
  <si>
    <t xml:space="preserve">Sungai Lhok Buloh</t>
  </si>
  <si>
    <t xml:space="preserve">Kecamatan Kuta Makmur, Kabupaten Aceh Utara</t>
  </si>
  <si>
    <t xml:space="preserve">Salah satu destinasi paling ramai dikunjungi saat ini</t>
  </si>
  <si>
    <t xml:space="preserve">Festival Literasi Aceh Barat</t>
  </si>
  <si>
    <t xml:space="preserve">Halaman Dinas Pendidikan Aceh Barat, Meulaboh</t>
  </si>
  <si>
    <t xml:space="preserve">Johan Pahlawan</t>
  </si>
  <si>
    <t xml:space="preserve">Kabupaten Aceh Barat</t>
  </si>
  <si>
    <t xml:space="preserve">Meulaboh</t>
  </si>
  <si>
    <t xml:space="preserve">Festival dengan stan karya literasi</t>
  </si>
  <si>
    <t xml:space="preserve">23-26 September 2026</t>
  </si>
  <si>
    <t xml:space="preserve">https://rri.co.id/meulaboh/regional/2758874/stan-utu-tampilkan-karya-dan-dorong-minat-baca-di-festival-literasi-aceh-barat</t>
  </si>
  <si>
    <t xml:space="preserve">Dukung Festival Sagu Singkel 2026, PT Nafasindo Tegaskan Komitmen Jaga Warisan Budaya - ketik.com</t>
  </si>
  <si>
    <t xml:space="preserve">ketik.com</t>
  </si>
  <si>
    <t xml:space="preserve">Festival Sagu Singkel 2026</t>
  </si>
  <si>
    <t xml:space="preserve">Halaman Masjid Al-Ikhlas, Desa Kuta Simboling, Singkil, Aceh Singkil</t>
  </si>
  <si>
    <t xml:space="preserve">Kuta Simboling</t>
  </si>
  <si>
    <t xml:space="preserve">Singkil</t>
  </si>
  <si>
    <t xml:space="preserve">Festival pelestarian budaya sagu</t>
  </si>
  <si>
    <t xml:space="preserve">https://ketik.com/aceh-singkil/daerah/dukung-festival-sagu-singkel-2026-pt-nafasindo-tegaskan-komitmen-jaga-warisan-budaya</t>
  </si>
  <si>
    <t xml:space="preserve">Wajib Disinggahi, 6 Tempat Makan Seafood Enak di Sibolga - IDN Times Sumut</t>
  </si>
  <si>
    <t xml:space="preserve">IDN Times Sumut</t>
  </si>
  <si>
    <t xml:space="preserve">2026-04-11</t>
  </si>
  <si>
    <t xml:space="preserve">Restoran Pak Nas</t>
  </si>
  <si>
    <t xml:space="preserve">Jl. Brigjen Katamso No. 40, Kec. Sibolga</t>
  </si>
  <si>
    <t xml:space="preserve">Kota Sibolga</t>
  </si>
  <si>
    <t xml:space="preserve">Teks menyebut 'Kec. Sibolga' (tidak ada kecamatan dengan nama persis itu)</t>
  </si>
  <si>
    <t xml:space="preserve">Sop daging kerbau andalan yang sering kehabisan</t>
  </si>
  <si>
    <t xml:space="preserve">https://sumut.idntimes.com/food/dining-guide/wajib-disinggahi-6-tempat-makan-seafood-enak-di-sibolga-00-hz1ln-6kf4rm</t>
  </si>
  <si>
    <t xml:space="preserve">sumut.idntimes.com</t>
  </si>
  <si>
    <t xml:space="preserve">8 Rekomendasi Rumah Makan Padang di Jakarta, Kuliner Autentik Minang - Kompas.com</t>
  </si>
  <si>
    <t xml:space="preserve">Rumah Makan Medan Seafood</t>
  </si>
  <si>
    <t xml:space="preserve">Jl. Imam Bonjol No.27, Pasar Baru, Kec. Sibolga Kota</t>
  </si>
  <si>
    <t xml:space="preserve">Pasar Baru</t>
  </si>
  <si>
    <t xml:space="preserve">Sibolga Kota</t>
  </si>
  <si>
    <t xml:space="preserve">Seafood segar, pilih ikan dari kolam</t>
  </si>
  <si>
    <t xml:space="preserve">Tempat makan Thamrin</t>
  </si>
  <si>
    <t xml:space="preserve">Jl. MH. Thamrin No.5, Kota Beringin, Kec. Sibolga Kota</t>
  </si>
  <si>
    <t xml:space="preserve">Kota Beringin</t>
  </si>
  <si>
    <t xml:space="preserve">Tempat makan di Sibolga</t>
  </si>
  <si>
    <t xml:space="preserve">011</t>
  </si>
  <si>
    <t xml:space="preserve">BPK Tesalonika</t>
  </si>
  <si>
    <t xml:space="preserve">Jl. Jamin Ginting No.103, Medan</t>
  </si>
  <si>
    <t xml:space="preserve">Warung BPK populer buka 24 jam, BPK Campur</t>
  </si>
  <si>
    <t xml:space="preserve">https://www.detik.com/sumut/kuliner/d-8486761/7-rekomendasi-bpk-paling-populer-di-medan-kuliner-non-halal-wajib-dicoba</t>
  </si>
  <si>
    <t xml:space="preserve">5 Tempat Wajib Kamu Coba untuk Makan Sushi Enak di Medan - IDN Times Sumut</t>
  </si>
  <si>
    <t xml:space="preserve">Olakisat</t>
  </si>
  <si>
    <t xml:space="preserve">Jl. Jamin Ginting (Selayang), cabang Jl. Dame (Medan Petisah), Medan</t>
  </si>
  <si>
    <t xml:space="preserve">Dua lokasi: Jl. Jamin Ginting (Selayang) dan Jl. Dame (Medan Petisah)</t>
  </si>
  <si>
    <t xml:space="preserve">BPK dan masakan Karo, selalu ramai</t>
  </si>
  <si>
    <t xml:space="preserve">BPK Haleluya</t>
  </si>
  <si>
    <t xml:space="preserve">Jl. Berdikari (Padang Bulan) dan Jl. Setiabudi Ujung, Medan</t>
  </si>
  <si>
    <t xml:space="preserve">Dua lokasi: Padang Bulan dan Jl. Setiabudi Ujung</t>
  </si>
  <si>
    <t xml:space="preserve">BPK konsisten 20+ tahun</t>
  </si>
  <si>
    <t xml:space="preserve">Sushi Tei</t>
  </si>
  <si>
    <t xml:space="preserve">Pusat perbelanjaan utama, Medan</t>
  </si>
  <si>
    <t xml:space="preserve">Restoran sushi legendaris pelopor kuliner Jepang di Medan, selalu ramai</t>
  </si>
  <si>
    <t xml:space="preserve">https://sumut.idntimes.com/food/dining-guide/5-rekomendasi-sushi-hits-di-medan-dari-yang-murah-sampai-premium-c1c2-01-2j5kq-n56mxl</t>
  </si>
  <si>
    <t xml:space="preserve">5 Rekomendasi Kuliner Legendaris Binjai dengan Cita Rasa Khas - IDN Times Sumut</t>
  </si>
  <si>
    <t xml:space="preserve">Okinawa Sushi</t>
  </si>
  <si>
    <t xml:space="preserve">Medan</t>
  </si>
  <si>
    <t xml:space="preserve">Sushi premium untuk momen spesial</t>
  </si>
  <si>
    <t xml:space="preserve">Tau Kua Hechi Apo Brahrang</t>
  </si>
  <si>
    <t xml:space="preserve">Jalan Anggur Nomor 64X, Bandar Senembah, Binjai</t>
  </si>
  <si>
    <t xml:space="preserve">Bandar Senembah</t>
  </si>
  <si>
    <t xml:space="preserve">Binjai Barat</t>
  </si>
  <si>
    <t xml:space="preserve">Kota Binjai</t>
  </si>
  <si>
    <t xml:space="preserve">Kuliner legendaris Binjai sejak 1960-an</t>
  </si>
  <si>
    <t xml:space="preserve">https://sumut.idntimes.com/food/dining-guide/5-rekomendasi-kuliner-legendaris-binjai-wajib-coba-c1c2-01-2j5kq-6ql5tp</t>
  </si>
  <si>
    <t xml:space="preserve">Bobby Hapus Retribusi Masuk Wisata Air Panas Karo Usai Video Pungutan Berlapis Viral - Kompas.com</t>
  </si>
  <si>
    <t xml:space="preserve">2026-06-23</t>
  </si>
  <si>
    <t xml:space="preserve">Pemandian Air Panas Sidebuk-debuk</t>
  </si>
  <si>
    <t xml:space="preserve">Semangat Gunung</t>
  </si>
  <si>
    <t xml:space="preserve">Merdeka</t>
  </si>
  <si>
    <t xml:space="preserve">Retribusi masuk dihapus setelah video pungutan berlapis viral (isu negatif)</t>
  </si>
  <si>
    <t xml:space="preserve">22 Juni 2026</t>
  </si>
  <si>
    <t xml:space="preserve">https://regional.kompas.com/read/2026/06/23/053555178/bobby-hapus-retribusi-masuk-wisata-air-panas-karo-usai-video-pungutan</t>
  </si>
  <si>
    <t xml:space="preserve">Kembali Viral Video Dugaan Pungli di Sidebuk Debuk, DPRD Sumut Minta Verifikasi Sistem Pengutipan - Sumut Pos</t>
  </si>
  <si>
    <t xml:space="preserve">Sumut Pos</t>
  </si>
  <si>
    <t xml:space="preserve">2026-06-03</t>
  </si>
  <si>
    <t xml:space="preserve">Tugu Raja Sitanggang</t>
  </si>
  <si>
    <t xml:space="preserve">Jalan Gereja, Sait Nihuta, Kecamatan Pangururan, Kabupaten Samosir, Sumatera Utara</t>
  </si>
  <si>
    <t xml:space="preserve">Sait Nihuta</t>
  </si>
  <si>
    <t xml:space="preserve">Pangururan</t>
  </si>
  <si>
    <t xml:space="preserve">Kabupaten Samosir</t>
  </si>
  <si>
    <t xml:space="preserve">Panorama Gunung Pusuk Buhit dan Danau Toba viral di media sosial sejak sebulan lalu</t>
  </si>
  <si>
    <t xml:space="preserve">Sekitar sebulan sebelum artikel</t>
  </si>
  <si>
    <t xml:space="preserve">https://www.detik.com/sumut/wisata/d-8580335/tugu-raja-sitanggang-di-samosir-spot-nikmati-panorama-pusuk-buhit-danau-toba</t>
  </si>
  <si>
    <t xml:space="preserve">Gubernur Sumatera Utara, Bobby Nasution, akhirnya angkat bicara terkait video viral dugaan pungutan retribusi berlapis yang dialami wisatawan menuju kawasan Pemandian Air Panas Sidebuk-debuk, Kabupaten Karo. Menanggapi peristiwa tersebut, Bobb - facebook.com</t>
  </si>
  <si>
    <t xml:space="preserve">Bukit Anduhur</t>
  </si>
  <si>
    <t xml:space="preserve">Kecamatan Sianjur Mula-Mula, Kabupaten Samosir</t>
  </si>
  <si>
    <t xml:space="preserve">Sianjur Mula-Mula</t>
  </si>
  <si>
    <t xml:space="preserve">Lokasi pungli dan ancaman rusak mobil wisatawan yang viral (isu negatif)</t>
  </si>
  <si>
    <t xml:space="preserve">17 Mei 2026</t>
  </si>
  <si>
    <t xml:space="preserve">https://medan.kompas.com/read/2026/06/16/201921078/dinas-pariwisata-sumut-sesalkan-kasus-pungli-di-danau-toba-pelaku-langsung</t>
  </si>
  <si>
    <t xml:space="preserve">Pimpinan DPRD Sumut Angkat Bicara Kasus Pungli Sidebuk-Debuk, Salman : Harus Jadi Momentum Pembenahan Pariwisata Sumut - Sumut Pos</t>
  </si>
  <si>
    <t xml:space="preserve">Kawasan Paropo, Danau Toba</t>
  </si>
  <si>
    <t xml:space="preserve">Kecamatan Silahisabungan, Kabupaten Dairi, Sumatera Utara</t>
  </si>
  <si>
    <t xml:space="preserve">Paropo</t>
  </si>
  <si>
    <t xml:space="preserve">Silahisabungan</t>
  </si>
  <si>
    <t xml:space="preserve">Kabupaten Dairi</t>
  </si>
  <si>
    <t xml:space="preserve">Viral video pungli terhadap pengendara menuju wisata Danau Toba (isu negatif)</t>
  </si>
  <si>
    <t xml:space="preserve">15 Agustus 2026</t>
  </si>
  <si>
    <t xml:space="preserve">https://www.detik.com/sumut/berita/d-8627215/viral-pemotor-di-danau-toba-dipungli-rp-50-ribu-modus-bagikan-stiker-hut-ri</t>
  </si>
  <si>
    <t xml:space="preserve">Pesona Desa Singkam Samosir, Jalan Viral di Tengah Sawah yang Memikat Wisatawan - detikcom</t>
  </si>
  <si>
    <t xml:space="preserve">Desa Singkam (jalan viral)</t>
  </si>
  <si>
    <t xml:space="preserve">Desa Singkam, Kecamatan Sianjur Mula Mula, Samosir, Sumatera Utara</t>
  </si>
  <si>
    <t xml:space="preserve">Singkam</t>
  </si>
  <si>
    <t xml:space="preserve">Jalan mulus di tengah sawah dijuluki jalan viral, spot foto favorit</t>
  </si>
  <si>
    <t xml:space="preserve">https://www.detik.com/sumut/wisata/d-8599948/pesona-desa-singkam-samosir-jalan-viral-di-tengah-sawah-yang-memikat-wisatawan</t>
  </si>
  <si>
    <t xml:space="preserve">Protes 2 Pelaku Pungli Ditangkap, Warga Blokir Jalan ke Wisata Sidebuk-Debuk Karo - detikcom</t>
  </si>
  <si>
    <t xml:space="preserve">2026-08-09</t>
  </si>
  <si>
    <t xml:space="preserve">Pemandian Air Panas Sidebuk Debuk</t>
  </si>
  <si>
    <t xml:space="preserve">Viral unggahan akses diblokir warga karena pelaku pungli ditangkap (isu negatif)</t>
  </si>
  <si>
    <t xml:space="preserve">https://www.detik.com/sumut/berita/d-8610773/protes-2-pelaku-pungli-ditangkap-warga-blokir-jalan-ke-wisata-sidebuk-debuk-karo</t>
  </si>
  <si>
    <t xml:space="preserve">Selebgram asal Kota Medan, Dinda Anwar, melayangkan protes terkait dugaan praktik pungutan liar (pungli) yang terjadi di kawasan wisata Lau Debuk-Debuk, Kabupaten Karo, Sumatera Utara. Melalui akun Instagram pribadinya, Dinda mengaku telah mem - facebook.com</t>
  </si>
  <si>
    <t xml:space="preserve">Viral keluhan pungli di pintu masuk (isu negatif)</t>
  </si>
  <si>
    <t xml:space="preserve">https://www.detik.com/sumut/berita/d-8530335/marak-pungli-di-wisata-sidebuk-debuk-gubsu-bobby-ultimatum-pemkab-karo</t>
  </si>
  <si>
    <t xml:space="preserve">Kreator Konten Keluhkan Pungutan Berlapis Wisata Air Panas, Pemkab Karo Minta Maaf - Kompas.com</t>
  </si>
  <si>
    <t xml:space="preserve">2026-06-04</t>
  </si>
  <si>
    <t xml:space="preserve">Wisata Air Panas Doulu (Desa Semangat)</t>
  </si>
  <si>
    <t xml:space="preserve">Doulu, Desa Semangat, Kabupaten Karo, Sumatera Utara</t>
  </si>
  <si>
    <t xml:space="preserve">Teks menyebut Doulu dan Desa Semangat (keduanya nama desa); desa tidak dipastikan</t>
  </si>
  <si>
    <t xml:space="preserve">Viral video pungutan retribusi berlapis oleh kreator Dinda Anwar (isu negatif)</t>
  </si>
  <si>
    <t xml:space="preserve">https://medan.kompas.com/read/2026/06/04/200420978/kreator-konten-keluhkan-pungutan-berlapis-wisata-air-panas-pemkab-karo-minta</t>
  </si>
  <si>
    <t xml:space="preserve">Perumahan Bergaya Belanda di Deli Serdang Viral, Jadi Wisata Dadakan - deteksi.co</t>
  </si>
  <si>
    <t xml:space="preserve">deteksi.co</t>
  </si>
  <si>
    <t xml:space="preserve">Pantai Watulawang</t>
  </si>
  <si>
    <t xml:space="preserve">Gunungkidul</t>
  </si>
  <si>
    <t xml:space="preserve">Viral wisatawan diminta uang seikhlasnya, dugaan pungli (isu negatif)</t>
  </si>
  <si>
    <t xml:space="preserve">Perumahan Suryamas Liandra City</t>
  </si>
  <si>
    <t xml:space="preserve">Desa Paya Gambar, Kecamatan Batang Kuis, Kabupaten Deli Serdang, Sumatera Utara</t>
  </si>
  <si>
    <t xml:space="preserve">Paya Gambar</t>
  </si>
  <si>
    <t xml:space="preserve">Batang Kuis</t>
  </si>
  <si>
    <t xml:space="preserve">Perumahan bergaya Belanda viral jadi wisata dadakan, ratusan pengunjung berfoto setiap hari</t>
  </si>
  <si>
    <t xml:space="preserve">Dibangun sejak 2025</t>
  </si>
  <si>
    <t xml:space="preserve">https://deteksi.co/perumahan-bergaya-belanda-di-deli-serdang-viral-jadi-w/</t>
  </si>
  <si>
    <t xml:space="preserve">Unik! Museum Jamin Ginting Berbentuk Kacang Tanah, Simpan Jejak Perjuangan dan Budaya Karo - Radar Purworejo</t>
  </si>
  <si>
    <t xml:space="preserve">Radar Purworejo</t>
  </si>
  <si>
    <t xml:space="preserve">Museum Jamin Ginting</t>
  </si>
  <si>
    <t xml:space="preserve">Arsitektur unik berbentuk kacang tanah, koleksi perjuangan dan budaya Karo</t>
  </si>
  <si>
    <t xml:space="preserve">https://radarpurworejo.jawapos.com/news/2609150009/unik-museum-jamin-ginting-berbentuk-kacang-tanah-simpan-jejak-perjuangan-dan-budaya-karo</t>
  </si>
  <si>
    <t xml:space="preserve">radarpurworejo.jawapos.com</t>
  </si>
  <si>
    <t xml:space="preserve">Viral Dugaan KDRT terhadap Istri, Terduga Pelaku Serahkan Diri ke Polisi - hariansib.com</t>
  </si>
  <si>
    <t xml:space="preserve">Pekan Raya Sumatera Utara (PRSU) 2026</t>
  </si>
  <si>
    <t xml:space="preserve">Jalan Gatot Subroto, Medan</t>
  </si>
  <si>
    <t xml:space="preserve">Arena PRSU Tapian Daya</t>
  </si>
  <si>
    <t xml:space="preserve">Arena pameran dengan kuliner, wahana, dan Hall Disdik Sumut</t>
  </si>
  <si>
    <t xml:space="preserve">https://koranmedan.id/2026/07/sisi-lain-dari-event-prsu-2026-hall-disdik-sumut-bikin-fenomenal-anak-slb/</t>
  </si>
  <si>
    <t xml:space="preserve">koranmedan.id</t>
  </si>
  <si>
    <t xml:space="preserve">Kontes Burung Berkicau, Bobby Nasution: Pokoknya Event Nasional Kita Gelar di Sumatera Utara - VIVA Medan</t>
  </si>
  <si>
    <t xml:space="preserve">VIVA Medan</t>
  </si>
  <si>
    <t xml:space="preserve">2026-05-17</t>
  </si>
  <si>
    <t xml:space="preserve">Festival Kesenian Sumatera Utara 2026</t>
  </si>
  <si>
    <t xml:space="preserve">Pelataran Plaza Medan Fair, Medan</t>
  </si>
  <si>
    <t xml:space="preserve">Pameran kesenian dan kriya, creative market UMKM</t>
  </si>
  <si>
    <t xml:space="preserve">8-10 Mei 2026</t>
  </si>
  <si>
    <t xml:space="preserve">https://rri.co.id/medan/regional/2401246/disbudparekraf-sumut-gelar-festival-kesenian-sumatera-utara</t>
  </si>
  <si>
    <t xml:space="preserve">Bobby Nasution Dorong Penambahan Skatepark dan Event Skateboarding di Sumut - Kaldera.id</t>
  </si>
  <si>
    <t xml:space="preserve">Kaldera.id</t>
  </si>
  <si>
    <t xml:space="preserve">2026-06-22</t>
  </si>
  <si>
    <t xml:space="preserve">Skate Plaza Lapangan Merdeka Medan</t>
  </si>
  <si>
    <t xml:space="preserve">Lapangan Merdeka, Medan</t>
  </si>
  <si>
    <t xml:space="preserve">Kesawan</t>
  </si>
  <si>
    <t xml:space="preserve">Medan Barat</t>
  </si>
  <si>
    <t xml:space="preserve">Fasilitas skateboarding ikon Sumut, lokasi Go Skateboarding Day</t>
  </si>
  <si>
    <t xml:space="preserve">21 Juni 2026</t>
  </si>
  <si>
    <t xml:space="preserve">https://kaldera.id/medan/87679/bobby-nasution-dorong-penambahan-skatepark-dan-event-skateboarding-di-sumut/</t>
  </si>
  <si>
    <t xml:space="preserve">kaldera.id</t>
  </si>
  <si>
    <t xml:space="preserve">Influencer TikTok Sumut Turun ke Lintasan, EMAS Karo-Karo Motocross 2026 Makin Semarak - Intipos.com</t>
  </si>
  <si>
    <t xml:space="preserve">Intipos.com</t>
  </si>
  <si>
    <t xml:space="preserve">Viral video tiket disebut mahal hingga event sepi (isu negatif)</t>
  </si>
  <si>
    <t xml:space="preserve">https://medan.kompas.com/read/2026/07/10/172514278/viral-tiket-prsu-disebut-mahal-hingga-event-sepi-pengelola-buka-suara?page=all</t>
  </si>
  <si>
    <t xml:space="preserve">Viral, Orang Berlari di Rumput Stadion Teladan, Panitia ASEAN U-19 2026 Beri Penjelasan - topmetro news</t>
  </si>
  <si>
    <t xml:space="preserve">topmetro news</t>
  </si>
  <si>
    <t xml:space="preserve">012</t>
  </si>
  <si>
    <t xml:space="preserve">Stadion Teladan Medan</t>
  </si>
  <si>
    <t xml:space="preserve">Teladan Barat</t>
  </si>
  <si>
    <t xml:space="preserve">Medan Kota</t>
  </si>
  <si>
    <t xml:space="preserve">Viral video orang berlari di rumput stadion jelang ASEAN U-19 (isu negatif)</t>
  </si>
  <si>
    <t xml:space="preserve">https://topmetro.news/239978/viral-orang-berlari-di-rumput-stadion-teladan-panitia-asean-u-19-2026-beri-penjelasan/</t>
  </si>
  <si>
    <t xml:space="preserve">topmetro.news</t>
  </si>
  <si>
    <t xml:space="preserve">Pemprov Sumut Siap Perbanyak Skatepark dan Kompetisi Skateboarding - Viral24.co.id</t>
  </si>
  <si>
    <t xml:space="preserve">Viral24.co.id</t>
  </si>
  <si>
    <t xml:space="preserve">2026-06-21</t>
  </si>
  <si>
    <t xml:space="preserve">Skatepark ikonik, lokasi Go Skateboarding Day</t>
  </si>
  <si>
    <t xml:space="preserve">https://www.viral24.co.id/pemprov-sumut-siap-perbanyak-skatepark-dan-kompetisi-skateboarding/</t>
  </si>
  <si>
    <t xml:space="preserve">www.viral24.co.id</t>
  </si>
  <si>
    <t xml:space="preserve">Komisi VII Dorong PRSU Masuk Kalender Event Nasional - Kaldera.id</t>
  </si>
  <si>
    <t xml:space="preserve">Pekan Raya Sumatera Utara (PRSU) ke-50</t>
  </si>
  <si>
    <t xml:space="preserve">Pameran budaya dan ekonomi kreatif, didorong masuk kalender event nasional</t>
  </si>
  <si>
    <t xml:space="preserve">https://kaldera.id/medan/88316/komisi-vii-dorong-prsu-masuk-kalender-event-nasional/</t>
  </si>
  <si>
    <t xml:space="preserve">Buka Anniversary SKMN, Bobby Siap Support Kontes Kicau Mania Nasional - Viral24.co.id</t>
  </si>
  <si>
    <t xml:space="preserve">REGALE International Convention Centre Medan</t>
  </si>
  <si>
    <t xml:space="preserve">Lokasi konser Candlelight</t>
  </si>
  <si>
    <t xml:space="preserve">https://sumut.idntimes.com/news/sumatra-utara/event-musik-sepanjang-mei-2026-candlelight-sampai-festival-rock-00-fj96j-kqnv85</t>
  </si>
  <si>
    <t xml:space="preserve">Makan Enak di Pasar Tebet Barat, 7 Tempat Ini Jadi Langganan Warlok! - detikFood</t>
  </si>
  <si>
    <t xml:space="preserve">Pasar Tebet Barat</t>
  </si>
  <si>
    <t xml:space="preserve">Tebet, Jakarta Selatan</t>
  </si>
  <si>
    <t xml:space="preserve">Tebet Barat</t>
  </si>
  <si>
    <t xml:space="preserve">Kawasan kuliner legendaris langganan warga</t>
  </si>
  <si>
    <t xml:space="preserve">https://food.detik.com/tempat-makan/d-8680686/makan-enak-di-pasar-tebet-barat-7-tempat-ini-jadi-langganan-warlok</t>
  </si>
  <si>
    <t xml:space="preserve">Lagi Hits! Ini 5 Tempat Nongkrong Baru di Batam untuk Kuliner dan Santai - Batam Pos</t>
  </si>
  <si>
    <t xml:space="preserve">Kantin Uni Linda</t>
  </si>
  <si>
    <t xml:space="preserve">Dalam Pasar Tebet Barat, Jakarta Selatan</t>
  </si>
  <si>
    <t xml:space="preserve">Ketupat sayur khas Padang</t>
  </si>
  <si>
    <t xml:space="preserve">Warung Nasi Bu Aris</t>
  </si>
  <si>
    <t xml:space="preserve">Pasar Tebet Barat, Jakarta Selatan</t>
  </si>
  <si>
    <t xml:space="preserve">Warung nasi dengan 30+ lauk setiap hari</t>
  </si>
  <si>
    <t xml:space="preserve">Kantin Bu Inem</t>
  </si>
  <si>
    <t xml:space="preserve">Lantai dasar Pasar Tebet Barat, Jakarta Selatan</t>
  </si>
  <si>
    <t xml:space="preserve">Jajanan pasar lengkap</t>
  </si>
  <si>
    <t xml:space="preserve">Baba's Rice</t>
  </si>
  <si>
    <t xml:space="preserve">Komplek Windsor Central Blok E7, Lubuk Baja, Batam</t>
  </si>
  <si>
    <t xml:space="preserve">Tempat nongkrong baru yang lagi hits, kopitiam modern peranakan</t>
  </si>
  <si>
    <t xml:space="preserve">https://metropolis.batampos.co.id/lagi-hits-ini-5-tempat-nongkrong-baru-di-batam-untuk-kuliner-dan-santai/</t>
  </si>
  <si>
    <t xml:space="preserve">Tujuh tempat hidangan seafood favorit di Padang - ANTARA News Sumbar</t>
  </si>
  <si>
    <t xml:space="preserve">ANTARA News Sumbar</t>
  </si>
  <si>
    <t xml:space="preserve">Pagi Sore</t>
  </si>
  <si>
    <t xml:space="preserve">Komplek Dermaga Sukajadi, Jalan Jenderal Sudirman, Baloi Permai, Batam Kota</t>
  </si>
  <si>
    <t xml:space="preserve">Baloi Permai</t>
  </si>
  <si>
    <t xml:space="preserve">Rumah makan Padang premium hadir di Batam</t>
  </si>
  <si>
    <t xml:space="preserve">D'Sambelin &amp; Coffee</t>
  </si>
  <si>
    <t xml:space="preserve">Jalan Bida Asri II, Belian, Batam Kota</t>
  </si>
  <si>
    <t xml:space="preserve">Belian</t>
  </si>
  <si>
    <t xml:space="preserve">Penyetan dengan sambal segar dan kopi</t>
  </si>
  <si>
    <t xml:space="preserve">Sancha</t>
  </si>
  <si>
    <t xml:space="preserve">Batam</t>
  </si>
  <si>
    <t xml:space="preserve">Milk tea kekinian</t>
  </si>
  <si>
    <t xml:space="preserve">Rumah Makan Fuja</t>
  </si>
  <si>
    <t xml:space="preserve">Jalan Samudera Purus II, pinggir Pantai Padang</t>
  </si>
  <si>
    <t xml:space="preserve">Purus</t>
  </si>
  <si>
    <t xml:space="preserve">Padang Barat</t>
  </si>
  <si>
    <t xml:space="preserve">Tepi Pantai Padang</t>
  </si>
  <si>
    <t xml:space="preserve">Seafood favorit dengan pemandangan senja</t>
  </si>
  <si>
    <t xml:space="preserve">https://sumbar.antaranews.com/berita/763052/tujuh-tempat-hidangan-seafood-favorit-di-padang</t>
  </si>
  <si>
    <t xml:space="preserve">sumbar.antaranews.com</t>
  </si>
  <si>
    <t xml:space="preserve">TVRI Sumbar Rilis Daftar Lokasi Nobar Resmi Piala Dunia 2026 di Kota Padang - TVRI Sumatera Barat</t>
  </si>
  <si>
    <t xml:space="preserve">TVRI Sumatera Barat</t>
  </si>
  <si>
    <t xml:space="preserve">Ikan Bakar Djoni/Kun</t>
  </si>
  <si>
    <t xml:space="preserve">Jalan Pulau Air no.1A, Chinatown, Padang</t>
  </si>
  <si>
    <t xml:space="preserve">Kawasan Pondok (Chinatown)</t>
  </si>
  <si>
    <t xml:space="preserve">Seafood sejak 2000</t>
  </si>
  <si>
    <t xml:space="preserve">Truntum Padang</t>
  </si>
  <si>
    <t xml:space="preserve">Jl. Bandar Gereja No. 5A, Padang Barat</t>
  </si>
  <si>
    <t xml:space="preserve">Lokasi nobar resmi Piala Dunia 2026</t>
  </si>
  <si>
    <t xml:space="preserve">https://www.tvrisumbar.co.id/berita/detil/9395/tvri-sumbar-rilis-daftar-lokasi-nobar-resmi-piala-dunia-2026-di-kota-padang.html</t>
  </si>
  <si>
    <t xml:space="preserve">www.tvrisumbar.co.id</t>
  </si>
  <si>
    <t xml:space="preserve">Masakan Padang Mendunia! Ini 5 Restoran Padang Populer di Luar Negeri - detikFood</t>
  </si>
  <si>
    <t xml:space="preserve">The Atmosfer Skylounge Santika Premiere</t>
  </si>
  <si>
    <t xml:space="preserve">Jl. Jend. Ahmad Yani No. 20, Olo, Padang Barat</t>
  </si>
  <si>
    <t xml:space="preserve">Olo</t>
  </si>
  <si>
    <t xml:space="preserve">Sikuai Lounge</t>
  </si>
  <si>
    <t xml:space="preserve">Jl. Ir. H. Juanda, Flamboyan Baru, Padang Barat</t>
  </si>
  <si>
    <t xml:space="preserve">Flamboyan Baru</t>
  </si>
  <si>
    <t xml:space="preserve">McDonald's Padang Ahmad Yani</t>
  </si>
  <si>
    <t xml:space="preserve">Jl. Bandar Damar No. 18A, Olo, Padang Barat</t>
  </si>
  <si>
    <t xml:space="preserve">J. Chicken Simpang Kinol Padang</t>
  </si>
  <si>
    <t xml:space="preserve">Jl. Pondok No. 155, Padang Barat</t>
  </si>
  <si>
    <t xml:space="preserve">Warung Anisah</t>
  </si>
  <si>
    <t xml:space="preserve">Belanda</t>
  </si>
  <si>
    <t xml:space="preserve">Di luar Indonesia: Belanda</t>
  </si>
  <si>
    <t xml:space="preserve">Restoran nasi Padang autentik populer di Belanda</t>
  </si>
  <si>
    <t xml:space="preserve">https://food.detik.com/info-kuliner/d-8498737/masakan-padang-mendunia-ini-5-restoran-padang-populer-di-luar-negeri</t>
  </si>
  <si>
    <t xml:space="preserve">7 Nasi Padang Paling Enak di Sidoarjo, Pilihan Lauknya Lengkap! - IDN Times Jatim</t>
  </si>
  <si>
    <t xml:space="preserve">Pondok Buyung</t>
  </si>
  <si>
    <t xml:space="preserve">Sydney, Australia</t>
  </si>
  <si>
    <t xml:space="preserve">Di luar Indonesia: Sydney, Australia</t>
  </si>
  <si>
    <t xml:space="preserve">Restoran Padang populer dengan bumbu medok</t>
  </si>
  <si>
    <t xml:space="preserve">RM Padang Amanah Mande</t>
  </si>
  <si>
    <t xml:space="preserve">Atsugi, Kanagawa, Jepang</t>
  </si>
  <si>
    <t xml:space="preserve">Di luar Indonesia: Atsugi, Kanagawa, Jepang</t>
  </si>
  <si>
    <t xml:space="preserve">Bangunan beratap gonjong, rendang dan sate wagyu</t>
  </si>
  <si>
    <t xml:space="preserve">Masakan Padang Doa Mande</t>
  </si>
  <si>
    <t xml:space="preserve">Jalan Sukodono Gedangan, Magersari, Kecamatan Gedangan, Kabupaten Sidoarjo</t>
  </si>
  <si>
    <t xml:space="preserve">Gedangan</t>
  </si>
  <si>
    <t xml:space="preserve">Teks menyebut Magersari; Magersari dikenal sebagai kelurahan di Kec. Sidoarjo, tidak dipastikan</t>
  </si>
  <si>
    <t xml:space="preserve">Masakan Padang autentik, ramai pengunjung</t>
  </si>
  <si>
    <t xml:space="preserve">https://jatim.idntimes.com/food/dining-guide/rekomendasi-nasi-padang-terenak-di-sidoarjo-c1c2-01-7sd13-fvz0d0</t>
  </si>
  <si>
    <t xml:space="preserve">Viral Menpar Disebut Pakai Sepatu Masuk Masjid Raya Sumbar, Pemprov Buka Suara - detikcom</t>
  </si>
  <si>
    <t xml:space="preserve">RM Padang Prasmanan Murah</t>
  </si>
  <si>
    <t xml:space="preserve">Jalan Imam Bonjol No. 89A, Dusun Legok, Geluran, Kecamatan Taman, Kabupaten Sidoarjo</t>
  </si>
  <si>
    <t xml:space="preserve">Geluran</t>
  </si>
  <si>
    <t xml:space="preserve">Taman</t>
  </si>
  <si>
    <t xml:space="preserve">Dusun Legok</t>
  </si>
  <si>
    <t xml:space="preserve">Prasmanan nasi sepuasnya, murah</t>
  </si>
  <si>
    <t xml:space="preserve">Surya Minang</t>
  </si>
  <si>
    <t xml:space="preserve">Ruko Taman Pondok Jati Blok A No. 1, Geluran, Kabupaten Sidoarjo</t>
  </si>
  <si>
    <t xml:space="preserve">Warung nasi Padang</t>
  </si>
  <si>
    <t xml:space="preserve">Masjid Raya Sumatera Barat (Masjid Syekh Khatib Al Minangkabawi)</t>
  </si>
  <si>
    <t xml:space="preserve">Alai Parak Kopi</t>
  </si>
  <si>
    <t xml:space="preserve">Padang Utara</t>
  </si>
  <si>
    <t xml:space="preserve">Viral potongan video Menpar disebut memakai sepatu di masjid (hoaks)</t>
  </si>
  <si>
    <t xml:space="preserve">https://www.detik.com/sumut/berita/d-8471406/viral-menpar-disebut-pakai-sepatu-masuk-masjid-raya-sumbar-pemprov-buka-suara</t>
  </si>
  <si>
    <t xml:space="preserve">Viral! Dua Wisatawan Terjebak di Akuarium TMSBK Bukittinggi karena Pintu Dikunci Petugas Pergi Salat - padang.inews.id</t>
  </si>
  <si>
    <t xml:space="preserve">padang.inews.id</t>
  </si>
  <si>
    <t xml:space="preserve">2026-04-13</t>
  </si>
  <si>
    <t xml:space="preserve">Aquarium Ikan Raksasa TMSBK</t>
  </si>
  <si>
    <t xml:space="preserve">Taman Margasatwa dan Budaya Kinantan, Kota Bukittinggi</t>
  </si>
  <si>
    <t xml:space="preserve">Guguk Panjang</t>
  </si>
  <si>
    <t xml:space="preserve">Viral dua wisatawan terkunci di akuarium saat petugas salat (isu negatif)</t>
  </si>
  <si>
    <t xml:space="preserve">9 April 2026</t>
  </si>
  <si>
    <t xml:space="preserve">https://padang.inews.id/read/684171/viral-dua-wisatawan-terjebak-di-akuarium-tmsbk-bukittinggi-karena-pintu-dikunci-petugas-pergi-salat</t>
  </si>
  <si>
    <t xml:space="preserve">Festival Kuliner Viral Ramaikan Promosi Wisata Kuliner di Padang - Bisnis.com - Foto</t>
  </si>
  <si>
    <t xml:space="preserve">Bisnis.com - Foto</t>
  </si>
  <si>
    <t xml:space="preserve">2026-05-23</t>
  </si>
  <si>
    <t xml:space="preserve">Viral video Menpar disebut memakai sepatu di masjid (hoaks)</t>
  </si>
  <si>
    <t xml:space="preserve">https://travel.detik.com/travel-news/d-8471826/viral-menpar-disebut-pakai-sepatu-di-masjid-raya-sumbar-begini-klarifikasinya</t>
  </si>
  <si>
    <t xml:space="preserve">Tempat Wisata di Padang Terbaru 2026 Paling Memukau Menawarkan Pesona Alam dan Budaya Minang - jogja.disway.id - Disway Jogja</t>
  </si>
  <si>
    <t xml:space="preserve">2026-05-13</t>
  </si>
  <si>
    <t xml:space="preserve">Pantai Padang (Taplau)</t>
  </si>
  <si>
    <t xml:space="preserve">Pusat Kota Padang</t>
  </si>
  <si>
    <t xml:space="preserve">Pantai tertata rapi dengan pedestrian luas dan kuliner laut</t>
  </si>
  <si>
    <t xml:space="preserve">https://jogja.disway.id/wisata/read/699105/tempat-wisata-di-padang-terbaru-2026-paling-memukau-menawarkan-pesona-alam-dan-budaya-minang/15</t>
  </si>
  <si>
    <t xml:space="preserve">Viral Pengunjung Kebun Binatang Bukittinggi Terkunci di Area Akuarium - detikcom</t>
  </si>
  <si>
    <t xml:space="preserve">2026-04-14</t>
  </si>
  <si>
    <t xml:space="preserve">Masjid Raya Sumatera Barat</t>
  </si>
  <si>
    <t xml:space="preserve">Padang</t>
  </si>
  <si>
    <t xml:space="preserve">Masjid beratap bagonjong peraih penghargaan arsitektur</t>
  </si>
  <si>
    <t xml:space="preserve">Museum Adityawarman</t>
  </si>
  <si>
    <t xml:space="preserve">Belakang Tangsi</t>
  </si>
  <si>
    <t xml:space="preserve">Museum berbentuk rumah gadang, koleksi budaya Minangkabau</t>
  </si>
  <si>
    <t xml:space="preserve">Pulau Sirandah</t>
  </si>
  <si>
    <t xml:space="preserve">Lepas pantai Padang</t>
  </si>
  <si>
    <t xml:space="preserve">Bungus Teluk Kabung</t>
  </si>
  <si>
    <t xml:space="preserve">Pulau lepas pantai</t>
  </si>
  <si>
    <t xml:space="preserve">Pulau landai berpasir putih</t>
  </si>
  <si>
    <t xml:space="preserve">Jembatan Siti Nurbaya</t>
  </si>
  <si>
    <t xml:space="preserve">Melintasi Batang Arau</t>
  </si>
  <si>
    <t xml:space="preserve">Ikon wisata kota Padang</t>
  </si>
  <si>
    <t xml:space="preserve">Taman Margasatwa dan Budaya Kinantan (TMSBK) / Kebun Binatang Bukittinggi</t>
  </si>
  <si>
    <t xml:space="preserve">Kota Bukittinggi, Sumatera Barat</t>
  </si>
  <si>
    <t xml:space="preserve">Viral dua pengunjung terkunci di area akuarium raksasa (isu negatif)</t>
  </si>
  <si>
    <t xml:space="preserve">https://www.detik.com/sumut/berita/d-8444027/viral-pengunjung-kebun-binatang-bukittinggi-terkunci-di-area-akuarium</t>
  </si>
  <si>
    <t xml:space="preserve">Riar Rizaldi Ajak Jelajahi Pengalaman Sinematik ke Museum MACAN - detikcom</t>
  </si>
  <si>
    <t xml:space="preserve">Museum MACAN</t>
  </si>
  <si>
    <t xml:space="preserve">Kebon Jeruk, Jakarta Barat</t>
  </si>
  <si>
    <t xml:space="preserve">Kedoya Utara</t>
  </si>
  <si>
    <t xml:space="preserve">Kebon Jeruk</t>
  </si>
  <si>
    <t xml:space="preserve">Pameran Period Piece karya Riar Rizaldi, instalasi Bioskop Asymptotic</t>
  </si>
  <si>
    <t xml:space="preserve">https://www.detik.com/pop/culture/d-8528088/riar-rizaldi-ajak-jelajahi-pengalaman-sinematik-ke-museum-macan</t>
  </si>
  <si>
    <t xml:space="preserve">3 Bocah Bobol 5 Toko HP di Padang, Diburu Polisi Malah Masuk Markas TNI - kumparan.com - Kumparan.com</t>
  </si>
  <si>
    <t xml:space="preserve">Kumparan.com</t>
  </si>
  <si>
    <t xml:space="preserve">2026-08-25</t>
  </si>
  <si>
    <t xml:space="preserve">Sumatera Barat Creative Economy Festival (SCEF) 2026</t>
  </si>
  <si>
    <t xml:space="preserve">Hotel Pangeran Padang</t>
  </si>
  <si>
    <t xml:space="preserve">Festival ekonomi kreatif oleh Bank Indonesia</t>
  </si>
  <si>
    <t xml:space="preserve">28 Agustus 2026</t>
  </si>
  <si>
    <t xml:space="preserve">https://sumbar.sigapnews.co.id/pemprov-sumbar/sn-122913/gubernur-mahyeldi-umkm-sumbar-harus-naik-kelas-dan-tembus-pasar-global</t>
  </si>
  <si>
    <t xml:space="preserve">sumbar.sigapnews.co.id</t>
  </si>
  <si>
    <t xml:space="preserve">Viral Polisi Injak Kepala Pria di Pasar Inpres Lubuklinggau - detikcom</t>
  </si>
  <si>
    <t xml:space="preserve">2026-04-01</t>
  </si>
  <si>
    <t xml:space="preserve">Festival Minangkabau 2026</t>
  </si>
  <si>
    <t xml:space="preserve">Istano Basa Pagaruyung dan Lapangan Cindua Mato, Kabupaten Tanah Datar</t>
  </si>
  <si>
    <t xml:space="preserve">Kabupaten Tanah Datar</t>
  </si>
  <si>
    <t xml:space="preserve">Dua lokasi: Istano Basa Pagaruyung (Tanjung Emas) dan Lapangan Cindua Mato (Batusangkar)</t>
  </si>
  <si>
    <t xml:space="preserve">Festival budaya dengan pameran benda pusaka, UMKM, desa wisata</t>
  </si>
  <si>
    <t xml:space="preserve">25 Juni 2026</t>
  </si>
  <si>
    <t xml:space="preserve">https://mediaindonesia.com/nusantara/904533/festival-minangkabau-2026-dibuka-mahyeldi-budaya-kekuatan-masa-depan-sumbar</t>
  </si>
  <si>
    <t xml:space="preserve">mediaindonesia.com</t>
  </si>
  <si>
    <t xml:space="preserve">The Director of Criminal Investigation at the West Sumatra Regional Police is suspected of hitting a car driver on the road. - Kompas.id</t>
  </si>
  <si>
    <t xml:space="preserve">Kompas.id</t>
  </si>
  <si>
    <t xml:space="preserve">2026-08-07</t>
  </si>
  <si>
    <t xml:space="preserve">Istano Basa Pagaruyung</t>
  </si>
  <si>
    <t xml:space="preserve">Kabupaten Tanah Datar, Sumatera Barat</t>
  </si>
  <si>
    <t xml:space="preserve">Pagaruyung</t>
  </si>
  <si>
    <t xml:space="preserve">Tanjung Emas</t>
  </si>
  <si>
    <t xml:space="preserve">Lokasi Festival Minangkabau 2026</t>
  </si>
  <si>
    <t xml:space="preserve">013</t>
  </si>
  <si>
    <t xml:space="preserve">Desa Lebong Tandai (Batavia Kecil)</t>
  </si>
  <si>
    <t xml:space="preserve">Kecamatan Napal Putih, Kabupaten Bengkulu Utara</t>
  </si>
  <si>
    <t xml:space="preserve">Lebong Tandai</t>
  </si>
  <si>
    <t xml:space="preserve">Napal Putih</t>
  </si>
  <si>
    <t xml:space="preserve">Kabupaten Bengkulu Utara</t>
  </si>
  <si>
    <t xml:space="preserve">Bengkulu</t>
  </si>
  <si>
    <t xml:space="preserve">Kawasan bersejarah bekas tambang emas, lokasi event trail BerASA #2</t>
  </si>
  <si>
    <t xml:space="preserve">19-20 September 2026</t>
  </si>
  <si>
    <t xml:space="preserve">https://radarutara.disway.id/berita-utama/read/683975/sensasi-explore-wisata-sejarah-bupati-ajak-rider-nusantara-ramaikan-event-berasa2</t>
  </si>
  <si>
    <t xml:space="preserve">radarutara.disway.id</t>
  </si>
  <si>
    <t xml:space="preserve">Festival Minangkabau di Istano Basa Pagaruyuang - ANTARA News</t>
  </si>
  <si>
    <t xml:space="preserve">ANTARA News</t>
  </si>
  <si>
    <t xml:space="preserve">2026-06-25</t>
  </si>
  <si>
    <t xml:space="preserve">Festival Minangkabau di Istano Basa Pagaruyuang</t>
  </si>
  <si>
    <t xml:space="preserve">Istano Basa Pagaruyuang, Tanah Datar, Sumatera Barat</t>
  </si>
  <si>
    <t xml:space="preserve">Festival budaya Kharisma Event Nusantara, pawai budaya dan tarian kolosal</t>
  </si>
  <si>
    <t xml:space="preserve">https://www.antaranews.com/foto/5622637/festival-minangkabau-di-istano-basa-pagaruyuang</t>
  </si>
  <si>
    <t xml:space="preserve">www.antaranews.com</t>
  </si>
  <si>
    <t xml:space="preserve">204 Jalur Berpacu di Kuansing, Ada dari Jambi-Sumbar - detikcom</t>
  </si>
  <si>
    <t xml:space="preserve">2026-08-19</t>
  </si>
  <si>
    <t xml:space="preserve">Festival Pacu Jalur Tepian Narosa</t>
  </si>
  <si>
    <t xml:space="preserve">Tepian Narosa, Batang Kuantan, Teluk Kuantan, Kuantan Singingi, Riau</t>
  </si>
  <si>
    <t xml:space="preserve">Kuantan Tengah</t>
  </si>
  <si>
    <t xml:space="preserve">Kabupaten Kuantan Singingi</t>
  </si>
  <si>
    <t xml:space="preserve">Riau</t>
  </si>
  <si>
    <t xml:space="preserve">Tepian Narosa, Teluk Kuantan</t>
  </si>
  <si>
    <t xml:space="preserve">Festival yang menggemparkan dunia lewat tren aura farming</t>
  </si>
  <si>
    <t xml:space="preserve">19-23 Agustus 2026</t>
  </si>
  <si>
    <t xml:space="preserve">https://www.detik.com/sumut/berita/d-8625565/204-jalur-berpacu-di-kuansing-ada-dari-jambi-sumbar</t>
  </si>
  <si>
    <t xml:space="preserve">Rekomendasi 5 Tempat Makan Gonggong Enak di Batam, Dijamin Bikin Ketagihan - Batam Pos</t>
  </si>
  <si>
    <t xml:space="preserve">2026-06-26</t>
  </si>
  <si>
    <t xml:space="preserve">Love Seafood</t>
  </si>
  <si>
    <t xml:space="preserve">Batam Centre, Nagoya, dan Piayu, Batam</t>
  </si>
  <si>
    <t xml:space="preserve">Beberapa cabang</t>
  </si>
  <si>
    <t xml:space="preserve">Gonggong segar setiap hari</t>
  </si>
  <si>
    <t xml:space="preserve">https://metropolis.batampos.co.id/rekomendasi-5-tempat-makan-gonggong-enak-di-batam-dijamin-bikin-ketagihan/</t>
  </si>
  <si>
    <t xml:space="preserve">Rekomendasi 4 Tempat Sarapan di Nongsa yang Wajib Dicoba, dari Kuliner Melayu hingga Kopi - Batam Pos</t>
  </si>
  <si>
    <t xml:space="preserve">Golden Prawn Restaurant</t>
  </si>
  <si>
    <t xml:space="preserve">Bengkong Laut, Batam</t>
  </si>
  <si>
    <t xml:space="preserve">Bengkong Laut</t>
  </si>
  <si>
    <t xml:space="preserve">Bengkong</t>
  </si>
  <si>
    <t xml:space="preserve">Gonggong ukuran besar dengan saus sambal khas</t>
  </si>
  <si>
    <t xml:space="preserve">Seafood Anak Nelayan</t>
  </si>
  <si>
    <t xml:space="preserve">Kampung Terih, Kecamatan Nongsa, Batam</t>
  </si>
  <si>
    <t xml:space="preserve">Nongsa</t>
  </si>
  <si>
    <t xml:space="preserve">Kampung Terih</t>
  </si>
  <si>
    <t xml:space="preserve">Gonggong segar dengan panorama laut</t>
  </si>
  <si>
    <t xml:space="preserve">Riverside Restaurant</t>
  </si>
  <si>
    <t xml:space="preserve">Kabil, Nongsa, Batam</t>
  </si>
  <si>
    <t xml:space="preserve">Kabil</t>
  </si>
  <si>
    <t xml:space="preserve">Seafood ramai saat jam makan</t>
  </si>
  <si>
    <t xml:space="preserve">Kopak Jaya 007 Kelong Seafood Batam</t>
  </si>
  <si>
    <t xml:space="preserve">Jalan Kampung Tua Tiangwangkang, Tembesi, Kecamatan Sagulung, Batam</t>
  </si>
  <si>
    <t xml:space="preserve">Tembesi</t>
  </si>
  <si>
    <t xml:space="preserve">Restoran seafood legendaris</t>
  </si>
  <si>
    <t xml:space="preserve">Kedai Melayu Sarapan Pagi</t>
  </si>
  <si>
    <t xml:space="preserve">Batu Besar, Kecamatan Nongsa, Kota Batam</t>
  </si>
  <si>
    <t xml:space="preserve">Batu Besar</t>
  </si>
  <si>
    <t xml:space="preserve">Menu khas Melayu harga ramah</t>
  </si>
  <si>
    <t xml:space="preserve">https://metropolis.batampos.co.id/rekomendasi-4-tempat-sarapan-di-nongsa-yang-wajib-dicoba-dari-kuliner-melayu-hingga-kopi/</t>
  </si>
  <si>
    <t xml:space="preserve">15 Makanan Blok M Square yang Viral 2026: Wajib Coba! - - Gramedia</t>
  </si>
  <si>
    <t xml:space="preserve">Gramedia</t>
  </si>
  <si>
    <t xml:space="preserve">Tenang Coffee &amp; Resto Cabang Batu Besar</t>
  </si>
  <si>
    <t xml:space="preserve">Jalan Hang Jebat, Batu Besar, Kecamatan Nongsa, Kota Batam</t>
  </si>
  <si>
    <t xml:space="preserve">Sarapan suasana kafe</t>
  </si>
  <si>
    <t xml:space="preserve">3N Coffee &amp; Bakery</t>
  </si>
  <si>
    <t xml:space="preserve">Komplek Ruko Citra Nusa Niaga Blok A5 No. 1-2, Kabil, Kecamatan Nongsa, Kota Batam</t>
  </si>
  <si>
    <t xml:space="preserve">Roti, pastry, dan kopi</t>
  </si>
  <si>
    <t xml:space="preserve">Blok M Square (area bawah tanah)</t>
  </si>
  <si>
    <t xml:space="preserve">Pusat makanan viral 2026, antre panjang</t>
  </si>
  <si>
    <t xml:space="preserve">https://www.gramedia.com/best-seller/15-makanan-blok-m-square-yang-viral-2026-wajib-coba/</t>
  </si>
  <si>
    <t xml:space="preserve">www.gramedia.com</t>
  </si>
  <si>
    <t xml:space="preserve">6 Tempat Makan Keluarga di Pekanbaru yang Bikin Acara Kumpul Jadi Lebih Seru - Hipwee</t>
  </si>
  <si>
    <t xml:space="preserve">Thai Baby</t>
  </si>
  <si>
    <t xml:space="preserve">Mango sticky rice, makanan Blok M Square yang viral</t>
  </si>
  <si>
    <t xml:space="preserve">RM Pondok Gurih</t>
  </si>
  <si>
    <t xml:space="preserve">Pekanbaru</t>
  </si>
  <si>
    <t xml:space="preserve">Kota Pekanbaru</t>
  </si>
  <si>
    <t xml:space="preserve">Tempat makan keluarga langganan, gulai kepala ikan kakap</t>
  </si>
  <si>
    <t xml:space="preserve">https://www.hipwee.com/travel/tempat-makan-keluarga-di-pekanbaru/</t>
  </si>
  <si>
    <t xml:space="preserve">Patut Dicoba! Ini 5 Tempat Makan Viral di Batam Favorit Pecinta Kuliner - Batam Pos</t>
  </si>
  <si>
    <t xml:space="preserve">2026-04-27</t>
  </si>
  <si>
    <t xml:space="preserve">Tudung Saji Bunda Viera</t>
  </si>
  <si>
    <t xml:space="preserve">Masakan Nusantara dengan sentuhan Medan, interior estetik</t>
  </si>
  <si>
    <t xml:space="preserve">Bakso dan Mie Ayam Cumi Bunting Rantau Tiga Saudara AB</t>
  </si>
  <si>
    <t xml:space="preserve">Simpang 4 Nato Dapur 12, area Ziomart, Batuaji, Kota Batam</t>
  </si>
  <si>
    <t xml:space="preserve">Batu Aji</t>
  </si>
  <si>
    <t xml:space="preserve">Tempat makan viral, menu cumi bunting sering ludes</t>
  </si>
  <si>
    <t xml:space="preserve">https://metropolis.batampos.co.id/patut-dicoba-ini-5-tempat-makan-viral-di-batam-favorit-pecinta-kuliner/</t>
  </si>
  <si>
    <t xml:space="preserve">Wisatawan Riau Makin Selektif Pilih Perjalanan - cakaplah.com</t>
  </si>
  <si>
    <t xml:space="preserve">cakaplah.com</t>
  </si>
  <si>
    <t xml:space="preserve">2026-09-12</t>
  </si>
  <si>
    <t xml:space="preserve">Misoa (Golden City Residence)</t>
  </si>
  <si>
    <t xml:space="preserve">Jl. Golden City Residence Blok Salmon 3 No.07, Tanjung Buntung, Bengkong, Batam</t>
  </si>
  <si>
    <t xml:space="preserve">Tanjung Buntung</t>
  </si>
  <si>
    <t xml:space="preserve">Misoa carbonara menu viral</t>
  </si>
  <si>
    <t xml:space="preserve">Mama Adam Kitchen</t>
  </si>
  <si>
    <t xml:space="preserve">Cumi pedas dan mie laut pedas, tempat makan viral</t>
  </si>
  <si>
    <t xml:space="preserve">Nasi Kapau H. Amrizal</t>
  </si>
  <si>
    <t xml:space="preserve">Tanjung Buntung, Bengkong, Batam</t>
  </si>
  <si>
    <t xml:space="preserve">Masakan Minang prasmanan, tempat makan viral</t>
  </si>
  <si>
    <t xml:space="preserve">Angetin - Wedang &amp; Minuman Rempah Tradisional</t>
  </si>
  <si>
    <t xml:space="preserve">Batam Centre Mall, Teluk Tering, Batam Kota</t>
  </si>
  <si>
    <t xml:space="preserve">Kafe minuman rempah, tempat makan viral</t>
  </si>
  <si>
    <t xml:space="preserve">Rumah Tuan Kadi</t>
  </si>
  <si>
    <t xml:space="preserve">Senapelan (Kampung Bandar), Pekanbaru</t>
  </si>
  <si>
    <t xml:space="preserve">Kampung Bandar</t>
  </si>
  <si>
    <t xml:space="preserve">Senapelan</t>
  </si>
  <si>
    <t xml:space="preserve">Destinasi budaya yang dikunjungi peserta RTM 6</t>
  </si>
  <si>
    <t xml:space="preserve">https://www.cakaplah.com/berita/baca/135800/2026/05/08/riau-travel-mart-6-resmi-dibuka-ratusan-buyer-dan-seller-pariwisata-hadir-di-pekanbaru</t>
  </si>
  <si>
    <t xml:space="preserve">www.cakaplah.com</t>
  </si>
  <si>
    <t xml:space="preserve">RITEX 2026 Buka Peluang Pasar Baru bagi Pariwisata Riau - cakaplah.com</t>
  </si>
  <si>
    <t xml:space="preserve">2026-08-21</t>
  </si>
  <si>
    <t xml:space="preserve">Kopi Kimteng</t>
  </si>
  <si>
    <t xml:space="preserve">Kuliner khas yang dikenalkan ke peserta RTM</t>
  </si>
  <si>
    <t xml:space="preserve">Museum Bank Indonesia (MuBI)</t>
  </si>
  <si>
    <t xml:space="preserve">Pinangsia</t>
  </si>
  <si>
    <t xml:space="preserve">Taman Sari</t>
  </si>
  <si>
    <t xml:space="preserve">Kawasan Kota Tua</t>
  </si>
  <si>
    <t xml:space="preserve">Museum sejarah mata uang yang menjadi ruang literasi dan pameran temporer</t>
  </si>
  <si>
    <t xml:space="preserve">https://riau.harianhaluan.com/nasional/amp/1117676326/fungsi-mubi-tak-hanya-sekadar-museum-jadi-ruang-tumbuhnya-gagasan-dan-literasi-ekonomi</t>
  </si>
  <si>
    <t xml:space="preserve">riau.harianhaluan.com</t>
  </si>
  <si>
    <t xml:space="preserve">Ini Dia Media Online Riau dengan Pembaca Terbanyak Berdasarkan Data Trafik Terbaru - DataRiau.com</t>
  </si>
  <si>
    <t xml:space="preserve">DataRiau.com</t>
  </si>
  <si>
    <t xml:space="preserve">2026-06-05</t>
  </si>
  <si>
    <t xml:space="preserve">KKV</t>
  </si>
  <si>
    <t xml:space="preserve">Indonesia</t>
  </si>
  <si>
    <t xml:space="preserve">Lokasi hanya 'Indonesia'</t>
  </si>
  <si>
    <t xml:space="preserve">Retail lifestyle baru yang langsung viral sejak pembukaan, toko fotogenik</t>
  </si>
  <si>
    <t xml:space="preserve">https://m.jpnn.com/news/kkv-langsung-viral-sejak-pembukaan-retail-lifestyle-baru-yang-ramai-dikunjungi?page=2</t>
  </si>
  <si>
    <t xml:space="preserve">m.jpnn.com</t>
  </si>
  <si>
    <t xml:space="preserve">Osu Shopping District, denyut belanja dan kuliner Nagoya yang tak pernah sepi - ANTARA News Riau</t>
  </si>
  <si>
    <t xml:space="preserve">ANTARA News Riau</t>
  </si>
  <si>
    <t xml:space="preserve">Osu Shopping District</t>
  </si>
  <si>
    <t xml:space="preserve">Nagoya, Prefektur Aichi, Jepang</t>
  </si>
  <si>
    <t xml:space="preserve">Di luar Indonesia: Nagoya, Aichi, Jepang</t>
  </si>
  <si>
    <t xml:space="preserve">Pusat belanja dan kuliner yang tak pernah sepi, 1.200 toko</t>
  </si>
  <si>
    <t xml:space="preserve">https://riau.antaranews.com/berita/453727/osu-shopping-district-denyut-belanja-dan-kuliner-nagoya-yang-tak-pernah-sepi</t>
  </si>
  <si>
    <t xml:space="preserve">riau.antaranews.com</t>
  </si>
  <si>
    <t xml:space="preserve">Seorang pria terekam kamera CCTV diduga membawa lari emas dari salah satu toko perhiasan di kawasan Pasar Horas, Kota Pematangsiantar, Rabu (3/6/2026). Berdasarkan rekaman yang beredar, pria tersebut terlihat datang ke toko dan diduga berpura-p - facebook.com</t>
  </si>
  <si>
    <t xml:space="preserve">Festival Kue Talam Durian</t>
  </si>
  <si>
    <t xml:space="preserve">Jalan Jenderal Sudirman (MPP hingga Tugu Zapin), Pekanbaru</t>
  </si>
  <si>
    <t xml:space="preserve">Jl. Jenderal Sudirman</t>
  </si>
  <si>
    <t xml:space="preserve">Festival talam durian 1 km jadi perbincangan hangat dan dikritik di medsos</t>
  </si>
  <si>
    <t xml:space="preserve">https://www.riauonline.co.id/kota-pekanbaru/read/2026/06/21/festival-talam-durian-1-km-di-pekanbaru-dikritik-warganet-yang-panjang-mejanya</t>
  </si>
  <si>
    <t xml:space="preserve">www.riauonline.co.id</t>
  </si>
  <si>
    <t xml:space="preserve">Living World Pekanbaru dan Gebyarkuliner.id Kembali Hadirkan Festival Kuliner Terbesar, Gebyar Kuliner Jakarta Halal Viral Vol. 3 - HALLORIAU.COM</t>
  </si>
  <si>
    <t xml:space="preserve">HALLORIAU.COM</t>
  </si>
  <si>
    <t xml:space="preserve">2026-04-24</t>
  </si>
  <si>
    <t xml:space="preserve">Gebyar Kuliner Jakarta Halal Viral Vol. 3</t>
  </si>
  <si>
    <t xml:space="preserve">Living World Pekanbaru</t>
  </si>
  <si>
    <t xml:space="preserve">Festival kuliner 45 tenant dan 300+ menu halal viral</t>
  </si>
  <si>
    <t xml:space="preserve">24 April - 3 Mei 2026</t>
  </si>
  <si>
    <t xml:space="preserve">https://halloriau.com/read-ekonomi-14616985-2026-04-24-living-world-pekanbaru-dan-gebyarkulinerid-kembali-hadirkan-festival-kuliner-terbesar-gebyar-kuliner-jakarta-halal-viral-vol-3.html</t>
  </si>
  <si>
    <t xml:space="preserve">halloriau.com</t>
  </si>
  <si>
    <t xml:space="preserve">Kalender Event Pariwisata Kepri Mei 2026: Kolaborasi Budaya, Sport Tourism, dan Promosi Global Tarik Wisatawan - lintaskepri.com</t>
  </si>
  <si>
    <t xml:space="preserve">lintaskepri.com</t>
  </si>
  <si>
    <t xml:space="preserve">2026-04-30</t>
  </si>
  <si>
    <t xml:space="preserve">Nasi Pedas Ibu Andika Bali</t>
  </si>
  <si>
    <t xml:space="preserve">Tenant Gebyar Kuliner, Living World Pekanbaru</t>
  </si>
  <si>
    <t xml:space="preserve">Tenant di Living World Pekanbaru</t>
  </si>
  <si>
    <t xml:space="preserve">Sajian pedas khas Bali</t>
  </si>
  <si>
    <t xml:space="preserve">PekingDuckLovers</t>
  </si>
  <si>
    <t xml:space="preserve">Bebek peking halal</t>
  </si>
  <si>
    <t xml:space="preserve">Rujak Bang Shultan</t>
  </si>
  <si>
    <t xml:space="preserve">Rujak yang viral di berbagai platform digital</t>
  </si>
  <si>
    <t xml:space="preserve">Bittersweet by Najla</t>
  </si>
  <si>
    <t xml:space="preserve">Dessert yang disambut antusias</t>
  </si>
  <si>
    <t xml:space="preserve">LOAFJKT</t>
  </si>
  <si>
    <t xml:space="preserve">Patisserie</t>
  </si>
  <si>
    <t xml:space="preserve">Roti prata Pujasera Tiban Centre</t>
  </si>
  <si>
    <t xml:space="preserve">Pujasera Tiban Centre, Jalan Gajah Mada, Tiban Indah, Kecamatan Sekupang, Kota Batam</t>
  </si>
  <si>
    <t xml:space="preserve">Tiban Indah</t>
  </si>
  <si>
    <t xml:space="preserve">Sekupang</t>
  </si>
  <si>
    <t xml:space="preserve">Roti prata favorit warga Batam</t>
  </si>
  <si>
    <t xml:space="preserve">https://metropolis.batampos.co.id/rekomendasi-4-tempat-sarapan-minggu-pagi-di-tiban-yang-enak-murah-dan-wajib-dicoba/</t>
  </si>
  <si>
    <t xml:space="preserve">Wisata Kuliner Pagi di Batam, Ini 5 Tempat Sarapan yang Patut Dicoba - Batam Pos</t>
  </si>
  <si>
    <t xml:space="preserve">2026-06-14</t>
  </si>
  <si>
    <t xml:space="preserve">Mie Tarempa Tiban Center</t>
  </si>
  <si>
    <t xml:space="preserve">Tiban Center, Jalan Gajah Mada Blok L, Tiban Indah, Kecamatan Sekupang, Kota Batam</t>
  </si>
  <si>
    <t xml:space="preserve">Mie khas Kepulauan Riau</t>
  </si>
  <si>
    <t xml:space="preserve">Morning Bakery Tiban</t>
  </si>
  <si>
    <t xml:space="preserve">Sungai Harapan, Kecamatan Sekupang, Kota Batam</t>
  </si>
  <si>
    <t xml:space="preserve">Sungai Harapan</t>
  </si>
  <si>
    <t xml:space="preserve">Roti, kopi, nasi lemak</t>
  </si>
  <si>
    <t xml:space="preserve">Sarapan Pagi Bu Sri</t>
  </si>
  <si>
    <t xml:space="preserve">Jalan Natuna, Tiban Indah, Kecamatan Sekupang, Kota Batam</t>
  </si>
  <si>
    <t xml:space="preserve">Menu rumahan harga terjangkau</t>
  </si>
  <si>
    <t xml:space="preserve">Morning Bakery</t>
  </si>
  <si>
    <t xml:space="preserve">Greenland, Batam Center</t>
  </si>
  <si>
    <t xml:space="preserve">Ikon sarapan di Batam</t>
  </si>
  <si>
    <t xml:space="preserve">https://metropolis.batampos.co.id/wisata-kuliner-pagi-di-batam-ini-5-tempat-sarapan-yang-patut-dicoba/</t>
  </si>
  <si>
    <t xml:space="preserve">Rekomendasi 4 Tempat Sarapan Enak di Bengkong Batam, Ada Lontong hingga Mie Tarempa - Batam Pos</t>
  </si>
  <si>
    <t xml:space="preserve">Tempat Makan Kopitiam</t>
  </si>
  <si>
    <t xml:space="preserve">Jalan Raja H. Fisabilillah Nomor 8, Teluk Tering, Batam Kota</t>
  </si>
  <si>
    <t xml:space="preserve">Kopitiam klasik</t>
  </si>
  <si>
    <t xml:space="preserve">Cita rasa Melayu autentik</t>
  </si>
  <si>
    <t xml:space="preserve">Kez's Bakery &amp; Restaurant</t>
  </si>
  <si>
    <t xml:space="preserve">Ruko Kara Junction, Jalan Ahmad Yani Blok A No 7-9, Taman Baloi, Batam Kota</t>
  </si>
  <si>
    <t xml:space="preserve">Taman Baloi</t>
  </si>
  <si>
    <t xml:space="preserve">Roti, pastry, menu sarapan</t>
  </si>
  <si>
    <t xml:space="preserve">La Kopi Cafe &amp; Resto</t>
  </si>
  <si>
    <t xml:space="preserve">Menu lokal dan suasana modern</t>
  </si>
  <si>
    <t xml:space="preserve">Lontong sayur Jalan Bengkong Baru</t>
  </si>
  <si>
    <t xml:space="preserve">Jalan Bengkong Baru No. 40, Bengkong Indah, Kecamatan Bengkong, Batam</t>
  </si>
  <si>
    <t xml:space="preserve">Bengkong Indah</t>
  </si>
  <si>
    <t xml:space="preserve">Lontong sayur favorit warga</t>
  </si>
  <si>
    <t xml:space="preserve">https://metropolis.batampos.co.id/rekomendasi-4-tempat-sarapan-enak-di-bengkong-batam-ada-lontong-hingga-mie-tarempa/</t>
  </si>
  <si>
    <t xml:space="preserve">Pacu Sektor Pariwisata, Pemprov Kepri Benahi Pintu Masuk Wisatawan - Batam Pos</t>
  </si>
  <si>
    <t xml:space="preserve">2026-04-22</t>
  </si>
  <si>
    <t xml:space="preserve">Mentari Kopitiam Pasir Putih</t>
  </si>
  <si>
    <t xml:space="preserve">Pasar Pasir Putih C No. 10-12, Sadai, Kecamatan Bengkong, Batam</t>
  </si>
  <si>
    <t xml:space="preserve">Sadai</t>
  </si>
  <si>
    <t xml:space="preserve">Menu sarapan roti bakar dan kopi</t>
  </si>
  <si>
    <t xml:space="preserve">Mie Tarempa Bengkong</t>
  </si>
  <si>
    <t xml:space="preserve">Tanjung Buntung, Kecamatan Bengkong, Batam</t>
  </si>
  <si>
    <t xml:space="preserve">Rumah Makan Bawean</t>
  </si>
  <si>
    <t xml:space="preserve">Jalan Laksamana Bintan No. 5 Blok F, Bengkong Indah, Batam</t>
  </si>
  <si>
    <t xml:space="preserve">Masakan Indonesia harga ramah</t>
  </si>
  <si>
    <t xml:space="preserve">Lagoi Bay, Bintan Resorts</t>
  </si>
  <si>
    <t xml:space="preserve">Kabupaten Bintan, Kepulauan Riau</t>
  </si>
  <si>
    <t xml:space="preserve">Sebong Lagoi</t>
  </si>
  <si>
    <t xml:space="preserve">Teluk Sebong</t>
  </si>
  <si>
    <t xml:space="preserve">Kabupaten Bintan</t>
  </si>
  <si>
    <t xml:space="preserve">Lokasi Tour de Bintan 2026</t>
  </si>
  <si>
    <t xml:space="preserve">21-23 Agustus 2026</t>
  </si>
  <si>
    <t xml:space="preserve">https://presmedia.id/pemprov-kepri-perkuat-sport-tourism-dan-pariwisata-internasional-di-even-tour-de-bintan-2026/</t>
  </si>
  <si>
    <t xml:space="preserve">presmedia.id</t>
  </si>
  <si>
    <t xml:space="preserve">Lingga dan Tanjungpinang Disiapkan Jadi Pusat Industri Pariwisata Kepri - Batamnews</t>
  </si>
  <si>
    <t xml:space="preserve">Batamnews</t>
  </si>
  <si>
    <t xml:space="preserve">014</t>
  </si>
  <si>
    <t xml:space="preserve">Taman Budaya Nyat Kadir</t>
  </si>
  <si>
    <t xml:space="preserve">Gedung Beringin, Kota Batam</t>
  </si>
  <si>
    <t xml:space="preserve">Rencana destinasi wisata budaya baru senilai Rp50 miliar</t>
  </si>
  <si>
    <t xml:space="preserve">Perencanaan 2026</t>
  </si>
  <si>
    <t xml:space="preserve">https://regional.kompas.com/read/2026/07/29/150000778/pemkot-batam-bangun-taman-budaya-nyat-kadir-rp-50-miliar-siap-jadi-ikon</t>
  </si>
  <si>
    <t xml:space="preserve">Catat! Ini 9 Agenda Wisata dan Budaya Kepri Sepanjang Agustus 2026 - inikepri.com</t>
  </si>
  <si>
    <t xml:space="preserve">inikepri.com</t>
  </si>
  <si>
    <t xml:space="preserve">Pulau Penyengat (Gelar Budaya Pulau Penyengat)</t>
  </si>
  <si>
    <t xml:space="preserve">Pulau Penyengat, Kota Tanjungpinang</t>
  </si>
  <si>
    <t xml:space="preserve">Penyengat</t>
  </si>
  <si>
    <t xml:space="preserve">Tanjungpinang Kota</t>
  </si>
  <si>
    <t xml:space="preserve">Kota Tanjungpinang</t>
  </si>
  <si>
    <t xml:space="preserve">Event seni dan budaya Melayu</t>
  </si>
  <si>
    <t xml:space="preserve">1-2 Agustus 2026</t>
  </si>
  <si>
    <t xml:space="preserve">https://www.inikepri.com/2026/08/02/catat-ini-9-agenda-wisata-dan-budaya-kepri-sepanjang-agustus-2026/</t>
  </si>
  <si>
    <t xml:space="preserve">www.inikepri.com</t>
  </si>
  <si>
    <t xml:space="preserve">Catat Tanggalnya! Ini 9 Agenda Wisata Kepri Selama Agustus 2026 - batampos.co.id</t>
  </si>
  <si>
    <t xml:space="preserve">batampos.co.id</t>
  </si>
  <si>
    <t xml:space="preserve">Masjid Sultan Riau</t>
  </si>
  <si>
    <t xml:space="preserve">Pulau Penyengat, Tanjungpinang</t>
  </si>
  <si>
    <t xml:space="preserve">Masjid bersejarah</t>
  </si>
  <si>
    <t xml:space="preserve">Akau Taman Kota Kijang (Kijang Food Court)</t>
  </si>
  <si>
    <t xml:space="preserve">Kijang, Kabupaten Bintan</t>
  </si>
  <si>
    <t xml:space="preserve">Bintan Timur</t>
  </si>
  <si>
    <t xml:space="preserve">Kijang</t>
  </si>
  <si>
    <t xml:space="preserve">Lokasi Festival Kompang</t>
  </si>
  <si>
    <t xml:space="preserve">1 Agustus 2026</t>
  </si>
  <si>
    <t xml:space="preserve">Bintan Resort Night Parade</t>
  </si>
  <si>
    <t xml:space="preserve">Lagoi, Bintan</t>
  </si>
  <si>
    <t xml:space="preserve">Parade malam 200+ kostum tematik, bazar</t>
  </si>
  <si>
    <t xml:space="preserve">7-10 Agustus 2026</t>
  </si>
  <si>
    <t xml:space="preserve">Plaza Lagoi, Bintan</t>
  </si>
  <si>
    <t xml:space="preserve">Parade malam 200+ kostum tematik, bazar, musik</t>
  </si>
  <si>
    <t xml:space="preserve">https://batampos.co.id/2026/08/02/catat-tanggalnya-ini-9-agenda-wisata-kepri-selama-agustus-2026/</t>
  </si>
  <si>
    <t xml:space="preserve">Kadin Kepri Dorong Pariwisata Berkualitas, Berkelanjutan, dan - WartaKepri.co.id</t>
  </si>
  <si>
    <t xml:space="preserve">WartaKepri.co.id</t>
  </si>
  <si>
    <t xml:space="preserve">2026-07-08</t>
  </si>
  <si>
    <t xml:space="preserve">Pertunjukan seni dan budaya Melayu</t>
  </si>
  <si>
    <t xml:space="preserve">Pulau Katang</t>
  </si>
  <si>
    <t xml:space="preserve">Pintu masuk wilayah Kabupaten Lingga, Kepulauan Riau</t>
  </si>
  <si>
    <t xml:space="preserve">Kabupaten Lingga</t>
  </si>
  <si>
    <t xml:space="preserve">Viral di media sosial karena ditawarkan dijual Rp65 miliar</t>
  </si>
  <si>
    <t xml:space="preserve">https://www.batamnews.co.id/berita-127730-viral-pulau-katang-di-lingga-dijual-rp65-miliar-di-media-sosial.html</t>
  </si>
  <si>
    <t xml:space="preserve">www.batamnews.co.id</t>
  </si>
  <si>
    <t xml:space="preserve">Event Wisata dengan Dana APBD Terus Digelar, Kunjungan Wisman ke Kepri Maret-April 2026 Turun - presmedia.id</t>
  </si>
  <si>
    <t xml:space="preserve">Pulau Benan</t>
  </si>
  <si>
    <t xml:space="preserve">Kabupaten Lingga, Kepulauan Riau</t>
  </si>
  <si>
    <t xml:space="preserve">Destinasi wisata bahari unggulan dengan spot snorkeling dan diving</t>
  </si>
  <si>
    <t xml:space="preserve">Gunung Bintan</t>
  </si>
  <si>
    <t xml:space="preserve">Lokasi Open Trip Canyoneering</t>
  </si>
  <si>
    <t xml:space="preserve">1 dan 7 Juni 2026</t>
  </si>
  <si>
    <t xml:space="preserve">https://lintaskepri.com/kalender-event-juni-2026-kepulauan-riau-festival-budaya-hingga-sport-tourism-internasional/</t>
  </si>
  <si>
    <t xml:space="preserve">Kunjungan Wisman ke Kepri Naik Tajam, Tapi Lama Menginap di Hotel Justru Turun, Ada Apa? - presmedia.id</t>
  </si>
  <si>
    <t xml:space="preserve">2026-07-03</t>
  </si>
  <si>
    <t xml:space="preserve">Kawasan Gurindam 12</t>
  </si>
  <si>
    <t xml:space="preserve">Tanjungpinang</t>
  </si>
  <si>
    <t xml:space="preserve">Kawasan tepi laut</t>
  </si>
  <si>
    <t xml:space="preserve">Lokasi Kemilau Nusantara Kepri 2026</t>
  </si>
  <si>
    <t xml:space="preserve">13-15 Juni 2026</t>
  </si>
  <si>
    <t xml:space="preserve">Pulau Penyengat (Penyengat Heritage 2026)</t>
  </si>
  <si>
    <t xml:space="preserve">Festival warisan sejarah dan budaya Melayu</t>
  </si>
  <si>
    <t xml:space="preserve">19-21 Juni 2026</t>
  </si>
  <si>
    <t xml:space="preserve">Pelabuhan Ferry Batam Centre</t>
  </si>
  <si>
    <t xml:space="preserve">Batam Centre, Batam</t>
  </si>
  <si>
    <t xml:space="preserve">Isu pungli viral di medsos mencoreng kepercayaan wisman (isu negatif)</t>
  </si>
  <si>
    <t xml:space="preserve">https://www.batamnews.co.id/berita-126944-harga-tiket-naik-konflik-global-mulai-goyang-wisata-kepri.html</t>
  </si>
  <si>
    <t xml:space="preserve">Museum dan Monumen Bahasa Nasional Dibangun di Pulau Penyengat, Bupati Bintan: Kebanggaan Masyarakat Kepri - kepripedia.com</t>
  </si>
  <si>
    <t xml:space="preserve">kepripedia.com</t>
  </si>
  <si>
    <t xml:space="preserve">Museum dan Monumen Bahasa Nasional</t>
  </si>
  <si>
    <t xml:space="preserve">Pulau Penyengat, Kepulauan Riau</t>
  </si>
  <si>
    <t xml:space="preserve">Pembangunan museum sejarah bahasa, calon destinasi wisata baru</t>
  </si>
  <si>
    <t xml:space="preserve">Groundbreaking 24 September 2026</t>
  </si>
  <si>
    <t xml:space="preserve">https://kepripedia.com/museum-dan-monumen-bahasa-nasional-dibangun-di-pulau-penyengat-bupati-bintan-kebanggaan-masyarakat-kepri/</t>
  </si>
  <si>
    <t xml:space="preserve">Mendagri Tito Karnavian Groundbreaking Pembangunan Museum dan Monumen Bahasa Rp101 M di Penyengat-Kepri - presmedia.id</t>
  </si>
  <si>
    <t xml:space="preserve">Pulau Penyengat, Tanjungpinang, Kepulauan Riau</t>
  </si>
  <si>
    <t xml:space="preserve">Groundbreaking museum senilai Rp101 miliar</t>
  </si>
  <si>
    <t xml:space="preserve">https://presmedia.id/mendagri-tito-karnavian-groundbreaking-pembangunan-museum-dan-monumen-bahasa-rp101-m-di-penyengat-kepri/</t>
  </si>
  <si>
    <t xml:space="preserve">Mendagri Tito Resmikan Pembangunan Museum dan Monumen Bahasa Nasional di Pulau Penyengat - WartaKepri.co.id</t>
  </si>
  <si>
    <t xml:space="preserve">Peresmian dimulainya pembangunan</t>
  </si>
  <si>
    <t xml:space="preserve">https://wartakepri.co.id/2026/09/25/mendagri-tito-resmikan-pembangunan-museum-dan-monumen-bahasa-nasional-di-pulau-penyengat/</t>
  </si>
  <si>
    <t xml:space="preserve">wartakepri.co.id</t>
  </si>
  <si>
    <t xml:space="preserve">Groundbreaking Museum dan Monumen Bahasa, Bupati Bintan Sebut Ini Kebanggan Masyarakat Kepri - Klikwarta.com</t>
  </si>
  <si>
    <t xml:space="preserve">Klikwarta.com</t>
  </si>
  <si>
    <t xml:space="preserve">Pulau Penyengat, Kepri</t>
  </si>
  <si>
    <t xml:space="preserve">Diharapkan jadi objek wisata dan ruang edukasi</t>
  </si>
  <si>
    <t xml:space="preserve">https://www.klikwarta.com/groundbreaking-museum-dan-monumen-bahasa-bupati-bintan-sebut-ini-kebanggan-masyarakat-kepri</t>
  </si>
  <si>
    <t xml:space="preserve">www.klikwarta.com</t>
  </si>
  <si>
    <t xml:space="preserve">24 Tahun Kepri, Gubernur Ansar Tegaskan Semangat Bersama Menuju Kepri Maju Berkelanjutan - lintaskepri.com</t>
  </si>
  <si>
    <t xml:space="preserve">Rencana pembangunan anggaran Rp101 miliar</t>
  </si>
  <si>
    <t xml:space="preserve">Juni-Desember 2026</t>
  </si>
  <si>
    <t xml:space="preserve">https://www.detik.com/sumut/berita/d-8526084/pemprov-kepri-anggarkan-rp-101-m-bangun-museum-monumen-bahasa-di-pulau-penyengat</t>
  </si>
  <si>
    <t xml:space="preserve">Mendagri Tito Groundbreaking Museum dan Monumen Bahasa Nasional - Klikwarta.com</t>
  </si>
  <si>
    <t xml:space="preserve">Destinasi wisata sejarah dan sarana edukasi</t>
  </si>
  <si>
    <t xml:space="preserve">https://www.klikwarta.com/mendagri-tito-groundbreaking-museum-dan-monumen-bahasa-nasional</t>
  </si>
  <si>
    <t xml:space="preserve">Pemprov Kepri Matangkan Proyek Museum dan Monumen Bahasa Nasional Rp101 M di Pulau Penyengat - presmedia.id</t>
  </si>
  <si>
    <t xml:space="preserve">Proyek ikon pelestarian sejarah bahasa, target 2028</t>
  </si>
  <si>
    <t xml:space="preserve">https://presmedia.id/pemprov-kepri-matangkan-proyek-museum-dan-monumen-bahasa-nasional-rp101-m-di-pulau-penyengat/</t>
  </si>
  <si>
    <t xml:space="preserve">Jelang Groundbreaking Museum Bahasa, Gubernur Ansar Ziarah ke Makam Raja Ali Haji - Klikwarta.com</t>
  </si>
  <si>
    <t xml:space="preserve">Makam Raja Ali Haji</t>
  </si>
  <si>
    <t xml:space="preserve">Makam tokoh bahasa Melayu, lokasi ziarah</t>
  </si>
  <si>
    <t xml:space="preserve">23 September 2026</t>
  </si>
  <si>
    <t xml:space="preserve">https://www.klikwarta.com/jelang-groundbreaking-museum-bahasa-gubernur-ansar-ziarah-ke-makam-raja-ali-haji</t>
  </si>
  <si>
    <t xml:space="preserve">Museum Tugu Bahasa di Pulau Penyengat Diproyeksi Jadi Magnet Wisata Sejarah - inikepri.com</t>
  </si>
  <si>
    <t xml:space="preserve">Museum dan Monumen Tugu Bahasa</t>
  </si>
  <si>
    <t xml:space="preserve">Diproyeksi jadi magnet wisata sejarah</t>
  </si>
  <si>
    <t xml:space="preserve">April 2026</t>
  </si>
  <si>
    <t xml:space="preserve">https://www.inikepri.com/2026/04/11/museum-tugu-bahasa-di-pulau-penyengat-diproyeksi-jadi-magnet-wisata-sejarah/</t>
  </si>
  <si>
    <t xml:space="preserve">Ini Pengganti Kepala Imigrasi Kepri dan Batam yang Dicopot Usai Viral Pungli WNA Singapura - alurnews.com</t>
  </si>
  <si>
    <t xml:space="preserve">alurnews.com</t>
  </si>
  <si>
    <t xml:space="preserve">Pelabuhan Internasional Batam Center</t>
  </si>
  <si>
    <t xml:space="preserve">Viral dugaan pungli terhadap WNA Singapura (isu negatif)</t>
  </si>
  <si>
    <t xml:space="preserve">14 Maret 2026</t>
  </si>
  <si>
    <t xml:space="preserve">https://alurnews.com/2026/04/08/ini-pengganti-kepala-imigrasi-kepri-dan-batam-yang-dicopot-usai-viral-pungli-wna-singapura/</t>
  </si>
  <si>
    <t xml:space="preserve">Met Gala 2026 Jadi Ajang Fashion Termahal, Harga Tiket Melonjak Tajam - Jawa Pos</t>
  </si>
  <si>
    <t xml:space="preserve">Jawa Pos</t>
  </si>
  <si>
    <t xml:space="preserve">Groundbreaking museum sejarah bahasa Indonesia</t>
  </si>
  <si>
    <t xml:space="preserve">https://beritaprioritas.com/museum-dan-monumen-bahasa-nasional-pembangunan-resmi-dimulai-di-kepri-jadi-jejak-sejarah-bahasa-indonesia/</t>
  </si>
  <si>
    <t xml:space="preserve">beritaprioritas.com</t>
  </si>
  <si>
    <t xml:space="preserve">Pria di Batam Ajak 2 Anak Tak Dikenal Jajan, Lalu Diduga Bawa Kabur 2 Goni Beras - detikcom</t>
  </si>
  <si>
    <t xml:space="preserve">Mega Wisata Ocarina</t>
  </si>
  <si>
    <t xml:space="preserve">Kawasan Sadai, Kecamatan Bengkong, Kota Batam</t>
  </si>
  <si>
    <t xml:space="preserve">Taman rekreasi hits dengan bianglala raksasa dan waterpark</t>
  </si>
  <si>
    <t xml:space="preserve">https://www.hipwee.com/travel/tempat-liburan-di-batam/</t>
  </si>
  <si>
    <t xml:space="preserve">International Business Forum 2026 Digelar di Batam, Perluas Akses Pasar Pelaku UMKM ke Pasar Global - gotvnews.co.id</t>
  </si>
  <si>
    <t xml:space="preserve">gotvnews.co.id</t>
  </si>
  <si>
    <t xml:space="preserve">Jembatan Barelang</t>
  </si>
  <si>
    <t xml:space="preserve">Rangkaian jembatan Batam-Rempang-Galang</t>
  </si>
  <si>
    <t xml:space="preserve">Destinasi hits dan ikonik Batam</t>
  </si>
  <si>
    <t xml:space="preserve">015</t>
  </si>
  <si>
    <t xml:space="preserve">Bazar dan Expo MTQ XII Kepri 2026</t>
  </si>
  <si>
    <t xml:space="preserve">Gedung Dekranasda Provinsi Kepri, Jalan Hang Tuah, Tepi Laut (Taman Gurindam 12), Tanjungpinang</t>
  </si>
  <si>
    <t xml:space="preserve">Tepi Laut (Taman Gurindam 12)</t>
  </si>
  <si>
    <t xml:space="preserve">Bazar produk unggulan kabupaten/kota se-Kepri</t>
  </si>
  <si>
    <t xml:space="preserve">4-5 Juli 2026</t>
  </si>
  <si>
    <t xml:space="preserve">https://www.batamnews.co.id/berita-128521-bazar-mtq-xii-kepri-2026-targetkan-produk-umkm-tembus-pasar-regional.html</t>
  </si>
  <si>
    <t xml:space="preserve">Gerindra Sanksi Teguran Tertulis ke Ketua DPRD Kepri, Kendarai Harley Tanpa Helm - kumparan.com - Kumparan.com</t>
  </si>
  <si>
    <t xml:space="preserve">Pasar Tos 3000 Batam</t>
  </si>
  <si>
    <t xml:space="preserve">Lokasi kasus copet yang viral di media sosial (isu negatif)</t>
  </si>
  <si>
    <t xml:space="preserve">https://batamline.com/2026/04/09/kapolsek-lubuk-baja-kompol-deni-langie-terima-penghargaan-dari-kapolda-kepri/</t>
  </si>
  <si>
    <t xml:space="preserve">batamline.com</t>
  </si>
  <si>
    <t xml:space="preserve">Viral Disebut Makan Biji Cempedak Setiap Hari, Pasutri Lansia di Bintan Bantah: Tetap Makan Nasi - Jawa Pos</t>
  </si>
  <si>
    <t xml:space="preserve">2026-07-27</t>
  </si>
  <si>
    <t xml:space="preserve">Pelantar 3 Tanjungpinang (Dragon Boat Race 2026)</t>
  </si>
  <si>
    <t xml:space="preserve">Pelantar 3, Kota Tanjungpinang</t>
  </si>
  <si>
    <t xml:space="preserve">Lomba perahu naga tahunan, daya tarik wisata</t>
  </si>
  <si>
    <t xml:space="preserve">26-28 Juni 2026</t>
  </si>
  <si>
    <t xml:space="preserve">https://www.batamnews.co.id/berita-128376-tiga-hari-perlombaan-dragon-boat-race-2026-siap-jadi-event-internasional-kepulauan-riau.html</t>
  </si>
  <si>
    <t xml:space="preserve">Ketika Secangkir Kopi Menjadi Strategi Pariwisata dan Ekonomi Kreatif Kepulauan Riau - batamtoday.com</t>
  </si>
  <si>
    <t xml:space="preserve">batamtoday.com</t>
  </si>
  <si>
    <t xml:space="preserve">Festival Kopi Merdeka 2026</t>
  </si>
  <si>
    <t xml:space="preserve">Jalan Merdeka, Kawasan Kota Lama, Tanjungpinang</t>
  </si>
  <si>
    <t xml:space="preserve">Kawasan Kota Lama</t>
  </si>
  <si>
    <t xml:space="preserve">Festival kopi dihadiri puluhan ribu warga, event based tourism</t>
  </si>
  <si>
    <t xml:space="preserve">20-24 Agustus 2026</t>
  </si>
  <si>
    <t xml:space="preserve">https://batamtoday.com/news/ketika-secangkir-kopi-menjadi-strategi-pariwisata-dan-ekonomi-kreatif-kepulauan-riau</t>
  </si>
  <si>
    <t xml:space="preserve">Jalin Silaturahmi, Mahasiswa KKN STAIN Sultan Abdurrahman Kepri Sambangi Ketua PKK Bahas Program Kerja - kepripedia.com</t>
  </si>
  <si>
    <t xml:space="preserve">Jalan Merdeka, Kota Lama, Tanjungpinang</t>
  </si>
  <si>
    <t xml:space="preserve">Festival dengan 241 stan UMKM dan atraksi budaya</t>
  </si>
  <si>
    <t xml:space="preserve">https://batamtoday.com/news/festival-kopi-merdeka-2026-meriah-ribuan-warga-padati-kota-lama-tanjungpinang</t>
  </si>
  <si>
    <t xml:space="preserve">Bupati Bintan Pastikan Program Pembangunan Sinkron dengan Provinsi Kepri - kepripedia.com</t>
  </si>
  <si>
    <t xml:space="preserve">2026-04-06</t>
  </si>
  <si>
    <t xml:space="preserve">Teras Nyai</t>
  </si>
  <si>
    <t xml:space="preserve">Jalan Layang-Layang Nomor 67, dekat Tugu Tari Sekapur Sirih The Hok, Kota Jambi</t>
  </si>
  <si>
    <t xml:space="preserve">Rumah makan hidden gem khas Melayu Jambi yang tengah jadi perhatian pecinta kuliner, olahan tempoyak</t>
  </si>
  <si>
    <t xml:space="preserve">First anniversary 1 September 2026</t>
  </si>
  <si>
    <t xml:space="preserve">https://www.kompasiana.com/rion35636/6aa00a4bed6415209a56ac23/teras-nyai-sensasi-kuliner-hidden-gem-otentik-khas-melayu-jambi</t>
  </si>
  <si>
    <t xml:space="preserve">Jelajah Pesona Kawasan Kuliner di Kota Jambi Saat Weekend, Ini 4 Tempat yang Bikin Diet Auto Lupa! - https://jambiindependent.disway.id/ - Jambi Independent</t>
  </si>
  <si>
    <t xml:space="preserve">Jambi Independent</t>
  </si>
  <si>
    <t xml:space="preserve">Wisata Kuliner Kota Tua Jambi</t>
  </si>
  <si>
    <t xml:space="preserve">Area depan Hotel Duta Jambi, Jl. Sultan Thaha, Kecamatan Pasar, Kota Jambi</t>
  </si>
  <si>
    <t xml:space="preserve">Pasar Jambi</t>
  </si>
  <si>
    <t xml:space="preserve">Pusat kuliner malam baru yang diluncurkan Pemkot</t>
  </si>
  <si>
    <t xml:space="preserve">2 April 2026</t>
  </si>
  <si>
    <t xml:space="preserve">https://jambiindependent.disway.id/hiburan/read/711746/jelajah-pesona-kawasan-kuliner-di-kota-jambi-saat-weekend-ini-4-tempat-yang-bikin-diet-auto-lupa</t>
  </si>
  <si>
    <t xml:space="preserve">jambiindependent.disway.id</t>
  </si>
  <si>
    <t xml:space="preserve">TANTANGAN INDUSTRI AVIASI DAN DAMPAKNYA PADA SEKTOR PARIWISATA DI PROVINSI JAMBI - JambiLINK.id</t>
  </si>
  <si>
    <t xml:space="preserve">JambiLINK.id</t>
  </si>
  <si>
    <t xml:space="preserve">Masjid Agung Al-Falah (Masjid Seribu Tiang)</t>
  </si>
  <si>
    <t xml:space="preserve">Ikon wisata religi dengan arsitektur unik</t>
  </si>
  <si>
    <t xml:space="preserve">https://lahatpos.disway.id/nasional/read/662180/7-rekomendasi-wisata-religi-di-jambi-yang-sarat-nilai-sejarah-dan-spiritualitas</t>
  </si>
  <si>
    <t xml:space="preserve">7 Rekomendasi Wisata Jambi yang Wajib Masuk Daftar Liburan Anda - lahatpos.disway.id - lahat pos</t>
  </si>
  <si>
    <t xml:space="preserve">Candi Muaro Jambi</t>
  </si>
  <si>
    <t xml:space="preserve">Muaro Jambi</t>
  </si>
  <si>
    <t xml:space="preserve">Muara Jambi</t>
  </si>
  <si>
    <t xml:space="preserve">Maro Sebo</t>
  </si>
  <si>
    <t xml:space="preserve">Kabupaten Muaro Jambi</t>
  </si>
  <si>
    <t xml:space="preserve">Kompleks percandian Buddha terbesar di Asia Tenggara</t>
  </si>
  <si>
    <t xml:space="preserve">Makam Sultan Thaha Syaifuddin</t>
  </si>
  <si>
    <t xml:space="preserve">Kabupaten Tebo</t>
  </si>
  <si>
    <t xml:space="preserve">Teks hanya 'Jambi'; makam dikenal berada di Muara Tebo</t>
  </si>
  <si>
    <t xml:space="preserve">Tujuan ziarah pahlawan nasional</t>
  </si>
  <si>
    <t xml:space="preserve">Menara Gentala Arasy</t>
  </si>
  <si>
    <t xml:space="preserve">Arab Melayu</t>
  </si>
  <si>
    <t xml:space="preserve">Pelayangan</t>
  </si>
  <si>
    <t xml:space="preserve">Kawasan Seberang Kota Jambi</t>
  </si>
  <si>
    <t xml:space="preserve">Menara dengan museum perkembangan Islam</t>
  </si>
  <si>
    <t xml:space="preserve">Kompleks candi Buddha terbesar di Asia Tenggara</t>
  </si>
  <si>
    <t xml:space="preserve">https://lahatpos.disway.id/nasional/read/662145/7-rekomendasi-wisata-jambi-yang-wajib-masuk-daftar-liburan-anda</t>
  </si>
  <si>
    <t xml:space="preserve">Kampung Batik Ulu Gedong Diproyeksikan Jadi Ikon Wisata Budaya Melayu di Kota Jambi - jambitv.disway.id - Jambitv.co</t>
  </si>
  <si>
    <t xml:space="preserve">Jambitv.co</t>
  </si>
  <si>
    <t xml:space="preserve">Air biru kristal yang tampak bercahaya</t>
  </si>
  <si>
    <t xml:space="preserve">Danau Gunung Tujuh</t>
  </si>
  <si>
    <t xml:space="preserve">Kerinci, Jambi</t>
  </si>
  <si>
    <t xml:space="preserve">Danau vulkanik tertinggi di Asia Tenggara</t>
  </si>
  <si>
    <t xml:space="preserve">Geopark Merangin</t>
  </si>
  <si>
    <t xml:space="preserve">Merangin, Jambi</t>
  </si>
  <si>
    <t xml:space="preserve">Kabupaten Merangin</t>
  </si>
  <si>
    <t xml:space="preserve">Fosil tumbuhan purba, arung jeram</t>
  </si>
  <si>
    <t xml:space="preserve">Kampung Batik Ulu Gedong</t>
  </si>
  <si>
    <t xml:space="preserve">Kelurahan Ulu Gedong, Kecamatan Danau Teluk, Kota Jambi</t>
  </si>
  <si>
    <t xml:space="preserve">Ulu Gedong</t>
  </si>
  <si>
    <t xml:space="preserve">Danau Teluk</t>
  </si>
  <si>
    <t xml:space="preserve">Diproyeksikan jadi ikon wisata budaya Melayu</t>
  </si>
  <si>
    <t xml:space="preserve">https://jambitv.disway.id/kota-jambi/read/14699/kampung-batik-ulu-gedong-diproyeksikan-jadi-ikon-wisata-budaya-melayu-di-kota-jambi</t>
  </si>
  <si>
    <t xml:space="preserve">jambitv.disway.id</t>
  </si>
  <si>
    <t xml:space="preserve">Kota Tua Jambi Resmi Dibuka, Wali Kota Dorong Wisata Sejarah dan UMKM Terpadu - jambitv.disway.id - Jambitv.co</t>
  </si>
  <si>
    <t xml:space="preserve">Kawasan Wisata Kota Tua Jambi</t>
  </si>
  <si>
    <t xml:space="preserve">Kecamatan Pasar, Kota Jambi</t>
  </si>
  <si>
    <t xml:space="preserve">Grand opening kawasan wisata sejarah, kuliner, dan UMKM</t>
  </si>
  <si>
    <t xml:space="preserve">3 April 2026</t>
  </si>
  <si>
    <t xml:space="preserve">https://jambitv.disway.id/kota-jambi/read/13193/kota-tua-jambi-resmi-dibuka-wali-kota-dorong-wisata-sejarah-dan-umkm-terpadu</t>
  </si>
  <si>
    <t xml:space="preserve">Museum Sriwijaya Dharmakirti Muaro Jambi di Buka untuk Umum - RRI.co.id</t>
  </si>
  <si>
    <t xml:space="preserve">2026-08-30</t>
  </si>
  <si>
    <t xml:space="preserve">Masjid Margasari</t>
  </si>
  <si>
    <t xml:space="preserve">Kota Tua, Kota Jambi</t>
  </si>
  <si>
    <t xml:space="preserve">Pusat area wisata religi Kota Tua</t>
  </si>
  <si>
    <t xml:space="preserve">Museum Sriwijaya Dharmakirti</t>
  </si>
  <si>
    <t xml:space="preserve">Kawasan Cagar Budaya Nasional (KCBN) Muaro Jambi</t>
  </si>
  <si>
    <t xml:space="preserve">Kawasan Cagar Budaya Nasional Muaro Jambi</t>
  </si>
  <si>
    <t xml:space="preserve">Museum baru dengan wahana imersif, resmi dibuka untuk umum</t>
  </si>
  <si>
    <t xml:space="preserve">https://rri.co.id/jambi/regional/2692271/museum-sriwijaya-dharmakirti-muaro-jambi-di-buka-untuk-umum</t>
  </si>
  <si>
    <t xml:space="preserve">Museum Sriwijaya Dharmakirti Resmi Dibuka, Bupati BBS: Jadi Pusat Edukasi dan Kebanggaan Muaro Jambi - Sekato Jambi</t>
  </si>
  <si>
    <t xml:space="preserve">Sekato Jambi</t>
  </si>
  <si>
    <t xml:space="preserve">Diresmikan Menteri Kebudayaan Fadli Zon</t>
  </si>
  <si>
    <t xml:space="preserve">31 Juli 2026</t>
  </si>
  <si>
    <t xml:space="preserve">https://sekatojambi.com/museum-sriwijaya-dharmakirti-resmi-dibuka-bupati-bbs-jadi-pusat-edukasi-dan-kebanggaan-muaro-jambi/</t>
  </si>
  <si>
    <t xml:space="preserve">sekatojambi.com</t>
  </si>
  <si>
    <t xml:space="preserve">Video Diduga Staf DPRD Muaro Jambi Konsumsi Narkotika Viral, Polisi Lakukan Penyelidikan - Orasi.ID</t>
  </si>
  <si>
    <t xml:space="preserve">Orasi.ID</t>
  </si>
  <si>
    <t xml:space="preserve">2026-04-17</t>
  </si>
  <si>
    <t xml:space="preserve">Kawasan cagar budaya tercemar debu stockpile batu bara (isu negatif)</t>
  </si>
  <si>
    <t xml:space="preserve">https://jambiekspres.disway.id/nasional/read/719848/usai-gibran-kini-giliran-fadli-zon-yang-janji-tutup-stockpile-batubara-di-sekitar-candi</t>
  </si>
  <si>
    <t xml:space="preserve">jambiekspres.disway.id</t>
  </si>
  <si>
    <t xml:space="preserve">Gubernur Dorong Candi Muaro Jambi Jadi Magnet Investasi dan Penggerak Ekonomi - imcnews.id</t>
  </si>
  <si>
    <t xml:space="preserve">imcnews.id</t>
  </si>
  <si>
    <t xml:space="preserve">Museum Bioskop Tempoa</t>
  </si>
  <si>
    <t xml:space="preserve">Teks hanya 'Jambi' (kota/provinsi tidak jelas); koordinat Kota Jambi</t>
  </si>
  <si>
    <t xml:space="preserve">Dikunjungi Menteri Kebudayaan</t>
  </si>
  <si>
    <t xml:space="preserve">Kawasan Candi Muaro Jambi</t>
  </si>
  <si>
    <t xml:space="preserve">Diresmikan Menteri Kebudayaan</t>
  </si>
  <si>
    <t xml:space="preserve">Lokasi High Level Meeting TP2DD, dinilai setara Borobudur</t>
  </si>
  <si>
    <t xml:space="preserve">4 September 2026</t>
  </si>
  <si>
    <t xml:space="preserve">https://imcnews.id/read/2026/09/05/27290/gubernur-dorong-candi-muaro-jambi-jadi-magnet-investasi-dan-penggerak-ekonomi</t>
  </si>
  <si>
    <t xml:space="preserve">Dukung Tranformasi Tata Kelola Persampahan di Kota Jambi, Masyarakat Solok Sipin Hadirkan OPBM Solok Sipin viral - Pemerintah Kota Jambi</t>
  </si>
  <si>
    <t xml:space="preserve">Pemerintah Kota Jambi</t>
  </si>
  <si>
    <t xml:space="preserve">Festival Budaya Baselang Ka Umo 2026</t>
  </si>
  <si>
    <t xml:space="preserve">RT 10, Kelurahan Olak Kemang, Kecamatan Danau Teluk, Kota Jambi</t>
  </si>
  <si>
    <t xml:space="preserve">Olak Kemang</t>
  </si>
  <si>
    <t xml:space="preserve">Festival budaya pertanian tradisional</t>
  </si>
  <si>
    <t xml:space="preserve">30 Mei 2026</t>
  </si>
  <si>
    <t xml:space="preserve">https://jambitv.disway.id/kota-jambi/read/13919/jambi-kota-seberang-siap-gelar-festival-budaya-baselang-ka-umo-2026</t>
  </si>
  <si>
    <t xml:space="preserve">Gubernur Al Haris Buka Jambi Elok Nian Kota Jambi 2026 - imcnews.id</t>
  </si>
  <si>
    <t xml:space="preserve">016</t>
  </si>
  <si>
    <t xml:space="preserve">Pekan Kebudayaan Jambi Elok Nian Kota Jambi 2026</t>
  </si>
  <si>
    <t xml:space="preserve">Anjungan Kota Jambi, Taman Mini Melayu Jambi (Arena Eks MTQ)</t>
  </si>
  <si>
    <t xml:space="preserve">Taman Mini Melayu Jambi (Arena eks MTQ)</t>
  </si>
  <si>
    <t xml:space="preserve">Pameran budaya, kuliner, batik, dan UMKM</t>
  </si>
  <si>
    <t xml:space="preserve">23 Juli 2026</t>
  </si>
  <si>
    <t xml:space="preserve">https://imcnews.id/read/2026/07/24/27127/gubernur-al-haris-buka-jambi-elok-nian-kota-jambi-2026/</t>
  </si>
  <si>
    <t xml:space="preserve">Video Gaji ke-13 Viral, Wali Kota Jambi Ingatkan ASN Jaga Etika dan Bijak Bermedia Sosial - Kompas.com</t>
  </si>
  <si>
    <t xml:space="preserve">2026-06-15</t>
  </si>
  <si>
    <t xml:space="preserve">Taman Hutan Raya (Tahura) Sultan Thaha</t>
  </si>
  <si>
    <t xml:space="preserve">Kabupaten Batanghari, Jambi</t>
  </si>
  <si>
    <t xml:space="preserve">Kabupaten Batanghari</t>
  </si>
  <si>
    <t xml:space="preserve">Kawasan hutan terbakar karhutla meluas (isu negatif)</t>
  </si>
  <si>
    <t xml:space="preserve">Juli-September 2026</t>
  </si>
  <si>
    <t xml:space="preserve">https://regional.kompas.com/read/2026/09/10/192218878/karhutla-tahura-sultan-thaha-jambi-meluas-satwa-berlindung-di-hamparan-yang?page=all</t>
  </si>
  <si>
    <t xml:space="preserve">Rekomendasi Kuliner Halal Palembang yang Jadi Pilihan untuk Dicoba - Chanelmuslim.com</t>
  </si>
  <si>
    <t xml:space="preserve">2026-09-08</t>
  </si>
  <si>
    <t xml:space="preserve">Mie Celor 26 Ilir H. M. Syafei Z</t>
  </si>
  <si>
    <t xml:space="preserve">26 Ilir, Palembang</t>
  </si>
  <si>
    <t xml:space="preserve">26 Ilir</t>
  </si>
  <si>
    <t xml:space="preserve">Bukit Kecil</t>
  </si>
  <si>
    <t xml:space="preserve">Mie celor paling terkenal, cita rasa tradisional puluhan tahun</t>
  </si>
  <si>
    <t xml:space="preserve">https://chanelmuslim.com/wisata/rekomendasi-kuliner-halal-palembang-yang-jadi-pilihan-untuk-dicoba</t>
  </si>
  <si>
    <t xml:space="preserve">8 Rekomendasi Tempat Rujak Mie di Palembang, Kuliner Khas yang Wajib Dicoba - Akurat Sumsel</t>
  </si>
  <si>
    <t xml:space="preserve">Akurat Sumsel</t>
  </si>
  <si>
    <t xml:space="preserve">Martabak HAR</t>
  </si>
  <si>
    <t xml:space="preserve">Palembang</t>
  </si>
  <si>
    <t xml:space="preserve">Martabak kari legendaris</t>
  </si>
  <si>
    <t xml:space="preserve">Pempek &amp; Es Kacang Vico</t>
  </si>
  <si>
    <t xml:space="preserve">Jl. Letkol Iskandar No. 541-542, 24 Ilir, Kecamatan Bukit Kecil, Palembang</t>
  </si>
  <si>
    <t xml:space="preserve">24 Ilir</t>
  </si>
  <si>
    <t xml:space="preserve">Pempek dan rujak mie</t>
  </si>
  <si>
    <t xml:space="preserve">https://sumsel.akurat.co/kuliner/889151/8-rekomendasi-tempat-rujak-mie-di-palembang-kuliner-khas-yang-wajib-dicoba</t>
  </si>
  <si>
    <t xml:space="preserve">sumsel.akurat.co</t>
  </si>
  <si>
    <t xml:space="preserve">Gerak Cepat Gubernur Herman Deru, Desa Wisata Gunung Dempo Pagar Alam Dibuka Lagi - rmolsumsel.id</t>
  </si>
  <si>
    <t xml:space="preserve">rmolsumsel.id</t>
  </si>
  <si>
    <t xml:space="preserve">Pempek Kiki</t>
  </si>
  <si>
    <t xml:space="preserve">Jl. Perindustrian 2 No. 3, Kebun Bunga, Kecamatan Sukarami, Palembang</t>
  </si>
  <si>
    <t xml:space="preserve">Kebun Bunga</t>
  </si>
  <si>
    <t xml:space="preserve">Sukarami</t>
  </si>
  <si>
    <t xml:space="preserve">Pempek ikan gabus</t>
  </si>
  <si>
    <t xml:space="preserve">Pempek Cik Puan</t>
  </si>
  <si>
    <t xml:space="preserve">Komplek Sarjana, Jl. Sukabangun 1, Palembang</t>
  </si>
  <si>
    <t xml:space="preserve">Kuliner tradisional Palembang</t>
  </si>
  <si>
    <t xml:space="preserve">Desa Wisata Gunung Dempo</t>
  </si>
  <si>
    <t xml:space="preserve">Kaki Gunung Dempo, Kota Pagar Alam, Sumatera Selatan</t>
  </si>
  <si>
    <t xml:space="preserve">Kota Pagar Alam</t>
  </si>
  <si>
    <t xml:space="preserve">Kaki Gunung Dempo</t>
  </si>
  <si>
    <t xml:space="preserve">Penutupan sempat viral dan menuai sorotan, kini dibuka kembali</t>
  </si>
  <si>
    <t xml:space="preserve">13 Mei 2026</t>
  </si>
  <si>
    <t xml:space="preserve">https://www.rmolsumsel.id/gerak-cepat-gubernur-herman-deru-desa-wisata-gunung-dempo-pagar-alam-dibuka-lagi</t>
  </si>
  <si>
    <t xml:space="preserve">www.rmolsumsel.id</t>
  </si>
  <si>
    <t xml:space="preserve">Bukti Nyata CSR Bank Sumsel Babel di Sawah Namang, Dorong Pertumbuhan UMKM dan Sektor Wisata - babelpos.disway.id - Babelpos.id</t>
  </si>
  <si>
    <t xml:space="preserve">Babelpos.id</t>
  </si>
  <si>
    <t xml:space="preserve">Sawah Namang Pelangi</t>
  </si>
  <si>
    <t xml:space="preserve">Desa Namang, Kecamatan Namang, Kabupaten Bangka Tengah</t>
  </si>
  <si>
    <t xml:space="preserve">Namang</t>
  </si>
  <si>
    <t xml:space="preserve">Kabupaten Bangka Tengah</t>
  </si>
  <si>
    <t xml:space="preserve">Kepulauan Bangka Belitung</t>
  </si>
  <si>
    <t xml:space="preserve">Unggahan ngopi di tepi sawah viral di kalangan anak muda, ledakan kunjungan sejak 2025</t>
  </si>
  <si>
    <t xml:space="preserve">Sejak 2025</t>
  </si>
  <si>
    <t xml:space="preserve">https://babelpos.disway.id/probis/read/687402/bukti-nyata-csr-bank-sumsel-babel-di-sawah-namang-dorong-pertumbuhan-umkm-dan-sektor-wisata</t>
  </si>
  <si>
    <t xml:space="preserve">babelpos.disway.id</t>
  </si>
  <si>
    <t xml:space="preserve">Sungai Lintang Meluap, Objek Wisata di Sumsel Rusak-Jembatan Roboh - detikTravel</t>
  </si>
  <si>
    <t xml:space="preserve">Tan Kopi</t>
  </si>
  <si>
    <t xml:space="preserve">Sawah Namang, Bangka Tengah</t>
  </si>
  <si>
    <t xml:space="preserve">UMKM kopi di area sawah viral</t>
  </si>
  <si>
    <t xml:space="preserve">2025</t>
  </si>
  <si>
    <t xml:space="preserve">Zyla Coffee</t>
  </si>
  <si>
    <t xml:space="preserve">Objek wisata Air Lintang Indah</t>
  </si>
  <si>
    <t xml:space="preserve">Desa Muara Danau, Kabupaten Empat Lawang, Sumatera Selatan</t>
  </si>
  <si>
    <t xml:space="preserve">Muara Danau</t>
  </si>
  <si>
    <t xml:space="preserve">Kabupaten Empat Lawang</t>
  </si>
  <si>
    <t xml:space="preserve">Rusak parah akibat luapan Sungai Lintang (isu negatif)</t>
  </si>
  <si>
    <t xml:space="preserve">21 Mei 2026</t>
  </si>
  <si>
    <t xml:space="preserve">https://travel.detik.com/travel-news/d-8501032/sungai-lintang-meluap-objek-wisata-di-sumsel-rusak-jembatan-roboh</t>
  </si>
  <si>
    <t xml:space="preserve">Viral Kekerasan terhadap Balita di Palembang, Polisi Amankan Pelaku - mitrapost.com</t>
  </si>
  <si>
    <t xml:space="preserve">Toko Emas Zam-Zam</t>
  </si>
  <si>
    <t xml:space="preserve">Pasar Baru, Kecamatan Baturaja Timur, Kabupaten OKU</t>
  </si>
  <si>
    <t xml:space="preserve">Baturaja Timur</t>
  </si>
  <si>
    <t xml:space="preserve">Kabupaten Ogan Komering Ulu</t>
  </si>
  <si>
    <t xml:space="preserve">Pasar Baru Baturaja</t>
  </si>
  <si>
    <t xml:space="preserve">Viral video penipuan tukar cincin perak dengan emas (isu negatif)</t>
  </si>
  <si>
    <t xml:space="preserve">12 Juli 2026</t>
  </si>
  <si>
    <t xml:space="preserve">https://palpos.disway.id/ogan-komering-ulu/read/717942/viral-aksi-wanita-tukar-cincin-perak-dengan-emas-di-toko-perhiasan-baturaja-aksinya-terekam-cctv</t>
  </si>
  <si>
    <t xml:space="preserve">palpos.disway.id</t>
  </si>
  <si>
    <t xml:space="preserve">Toko Emas Mustika Diamond Bantah Jual Emas Palsu, Pilih Buktikan Persoalan Lewat Jalur Hukum - aliansinews.id</t>
  </si>
  <si>
    <t xml:space="preserve">aliansinews.id</t>
  </si>
  <si>
    <t xml:space="preserve">Pasar Jukung</t>
  </si>
  <si>
    <t xml:space="preserve">Kecamatan Sungai Baung, Kabupaten Ogan Komering Ilir, Sumatera Selatan</t>
  </si>
  <si>
    <t xml:space="preserve">Sungai Baung</t>
  </si>
  <si>
    <t xml:space="preserve">Kabupaten Ogan Komering Ilir</t>
  </si>
  <si>
    <t xml:space="preserve">Nama kecamatan sesuai teks, belum terverifikasi</t>
  </si>
  <si>
    <t xml:space="preserve">Viral video dua gajah liar masuk pasar</t>
  </si>
  <si>
    <t xml:space="preserve">19 Mei 2026</t>
  </si>
  <si>
    <t xml:space="preserve">https://travel.detik.com/travel-news/d-8501220/saat-2-gajah-liar-di-sumsel-tiba-tiba-masuk-pasar-apa-kata-bksda</t>
  </si>
  <si>
    <t xml:space="preserve">Viral di Medsos, Pedagang dan Pemprov Sumsel Minta Pempek Tumpah Pasar 16 Ilir Tak Digeneralisasi - rmolsumsel.id</t>
  </si>
  <si>
    <t xml:space="preserve">Pempek Tumpah Pasar 16 Ilir</t>
  </si>
  <si>
    <t xml:space="preserve">Pasar 16 Ilir, Palembang</t>
  </si>
  <si>
    <t xml:space="preserve">16 Ilir</t>
  </si>
  <si>
    <t xml:space="preserve">Kuliner legendaris jadi perbincangan hangat di medsos karena isu kebersihan (isu negatif)</t>
  </si>
  <si>
    <t xml:space="preserve">https://www.rmolsumsel.id/viral-di-medsos-pedagang-dan-pemprov-sumsel-minta-pempek-tumpah-pasar-16-ilir-tak-digeneralisasi</t>
  </si>
  <si>
    <t xml:space="preserve">Video Viral, Dua Gajah Masuk Pasar Jukung OKI Sempat Bikin Warga Sempat Panik - Kompas.com</t>
  </si>
  <si>
    <t xml:space="preserve">Kecamatan Sungai Baung, Kabupaten OKI</t>
  </si>
  <si>
    <t xml:space="preserve">Video dua gajah masuk pasar viral</t>
  </si>
  <si>
    <t xml:space="preserve">https://regional.kompas.com/read/2026/05/21/120051078/video-viral-dua-gajah-masuk-pasar-jukung-oki-sempat-bikin-warga-sempat</t>
  </si>
  <si>
    <t xml:space="preserve">Heboh Dua Gajah Liar Masuk Pasar di OKI, Ini Kata BKSDA Sumsel - detikcom</t>
  </si>
  <si>
    <t xml:space="preserve">Video dua gajah liar masuk pasar viral</t>
  </si>
  <si>
    <t xml:space="preserve">https://www.detik.com/sumbagsel/berita/d-8498869/heboh-dua-gajah-liar-masuk-pasar-di-oki-ini-kata-bksda-sumsel</t>
  </si>
  <si>
    <t xml:space="preserve">Sepi Pembeli Usai Viral Isu Kebersihan Pempek Pasar 16 Ilir Palembang, Pedagang: Jangan Matikan Rezeki Kami - Kompas.com</t>
  </si>
  <si>
    <t xml:space="preserve">2026-07-29</t>
  </si>
  <si>
    <t xml:space="preserve">Pasar 16 Ilir, Kota Palembang</t>
  </si>
  <si>
    <t xml:space="preserve">Sepi pembeli setelah isu kebersihan viral di medsos (isu negatif)</t>
  </si>
  <si>
    <t xml:space="preserve">https://regional.kompas.com/read/2026/07/29/134401778/sepi-pembeli-usai-viral-isu-kebersihan-pempek-pasar-16-ilir-palembang?page=all</t>
  </si>
  <si>
    <t xml:space="preserve">Viral di Medsos, Pempek Tumpah Pasar 16 Ilir Bakal Ditata Pemko Palembang - sumselsatu.com</t>
  </si>
  <si>
    <t xml:space="preserve">sumselsatu.com</t>
  </si>
  <si>
    <t xml:space="preserve">Viral di medsos, Pemkot siapkan penataan kawasan kuliner</t>
  </si>
  <si>
    <t xml:space="preserve">https://sumselsatu.com/viral-di-medsos-pempek-tumpah-pasar-16-ilir-bakal-ditata-pemko-palembang/</t>
  </si>
  <si>
    <t xml:space="preserve">Kata Pengelola soal Jalan di Pasar Buah Jakabaring Rusak dan Becek - detikcom</t>
  </si>
  <si>
    <t xml:space="preserve">Pasar Buah Induk Jakabaring</t>
  </si>
  <si>
    <t xml:space="preserve">Jakabaring, Palembang</t>
  </si>
  <si>
    <t xml:space="preserve">Jakabaring</t>
  </si>
  <si>
    <t xml:space="preserve">Viral kondisi jalan pasar rusak dan becek (isu negatif)</t>
  </si>
  <si>
    <t xml:space="preserve">https://www.detik.com/sumbagsel/berita/d-8443151/kata-pengelola-soal-jalan-di-pasar-buah-jakabaring-rusak-dan-becek</t>
  </si>
  <si>
    <t xml:space="preserve">Pemkot Palembang dorong Pasar 26 Ilir jadi destinasi kuliner modern - ANTARA News Sumsel</t>
  </si>
  <si>
    <t xml:space="preserve">ANTARA News Sumsel</t>
  </si>
  <si>
    <t xml:space="preserve">Pasar 26 Ilir</t>
  </si>
  <si>
    <t xml:space="preserve">Dikenal luas dan viral sebagai destinasi kuliner unggulan, akan jadi destinasi kuliner modern</t>
  </si>
  <si>
    <t xml:space="preserve">https://sumsel.antaranews.com/berita/816869/pemkot-palembang-dorong-pasar-26-ilir-jadi-destinasi-kuliner-modern</t>
  </si>
  <si>
    <t xml:space="preserve">sumsel.antaranews.com</t>
  </si>
  <si>
    <t xml:space="preserve">Melarikan Diri, Minibus Tabrak Palang Parkir Pasar Inpres - SinPo.id</t>
  </si>
  <si>
    <t xml:space="preserve">2026-08-03</t>
  </si>
  <si>
    <t xml:space="preserve">Pasar 26 Ilir (Pasar Sentral Kampung Pempek)</t>
  </si>
  <si>
    <t xml:space="preserve">Kerap viral sebagai tujuan wisata kuliner, direvitalisasi</t>
  </si>
  <si>
    <t xml:space="preserve">https://www.detik.com/sumbagsel/berita/d-8459821/revitalisasi-pasar-pempek-26-ilir-target-jadi-destinasi-kuliner-modern</t>
  </si>
  <si>
    <t xml:space="preserve">Wagub Sumsel Cik Ujang Ajak Masyarakat Jadikan Festival Sriwijaya Momentum Kebangkitan Budaya Daerah - palpos.disway.id - Palpos</t>
  </si>
  <si>
    <t xml:space="preserve">Palpos</t>
  </si>
  <si>
    <t xml:space="preserve">2026-05-16</t>
  </si>
  <si>
    <t xml:space="preserve">Festival Sriwijaya 2026</t>
  </si>
  <si>
    <t xml:space="preserve">Kompleks Dekranasda Palembang</t>
  </si>
  <si>
    <t xml:space="preserve">Festival budaya Sriwijaya</t>
  </si>
  <si>
    <t xml:space="preserve">15 Mei 2026</t>
  </si>
  <si>
    <t xml:space="preserve">https://palpos.disway.id/sumsel/read/714857/wagub-sumsel-cik-ujang-ajak-masyarakat-jadikan-festival-sriwijaya-momentum-kebangkitan-budaya-daerah</t>
  </si>
  <si>
    <t xml:space="preserve">Pertama di Palembang, Festival Jajanan Viral Jakarta Hadir di PIM Sajikan Ratusan Menu Kuliner Hits - musionline.co.id</t>
  </si>
  <si>
    <t xml:space="preserve">musionline.co.id</t>
  </si>
  <si>
    <t xml:space="preserve">Festival Jajanan Viral Jakarta</t>
  </si>
  <si>
    <t xml:space="preserve">The Echo, Palembang Indah Mall (PIM), Palembang</t>
  </si>
  <si>
    <t xml:space="preserve">Palembang Indah Mall</t>
  </si>
  <si>
    <t xml:space="preserve">Festival kuliner hits pertama di Palembang dengan ratusan menu</t>
  </si>
  <si>
    <t xml:space="preserve">3-12 April 2026</t>
  </si>
  <si>
    <t xml:space="preserve">https://musionline.co.id/4357-baca-berita-pertama-di-palembang,-festival-jajanan-viral-jakarta-hadir-di-pim-sajikan-ratusan-menu-kuliner-hits.html</t>
  </si>
  <si>
    <t xml:space="preserve">Duta GDI Hadiri HIVE Invitation Event, Perkuat Kolaborasi Kerelawanan di Sumsel - Lingkaran ID</t>
  </si>
  <si>
    <t xml:space="preserve">Lingkaran ID</t>
  </si>
  <si>
    <t xml:space="preserve">The Echo, Palembang Indah Mall, Palembang</t>
  </si>
  <si>
    <t xml:space="preserve">Festival kuliner terbesar dengan 300+ menu hits</t>
  </si>
  <si>
    <t xml:space="preserve">https://palpos.disway.id/sumsel/read/712407/festival-jajanan-viral-jakarta-hadir-di-palembang-indah-mall-ratusan-menu-hits-dari-berbagai-daerah</t>
  </si>
  <si>
    <t xml:space="preserve">Sumsel Bhayangkara Run 2026 Catat Rekor, 8.000 Pelari Siap Ramaikan JSC Palembang - rmolsumsel.id</t>
  </si>
  <si>
    <t xml:space="preserve">Boim Chicken by Harry De Prestes</t>
  </si>
  <si>
    <t xml:space="preserve">Tenant Festival Jajanan Viral Jakarta, PIM Palembang</t>
  </si>
  <si>
    <t xml:space="preserve">Tenant di Palembang Indah Mall</t>
  </si>
  <si>
    <t xml:space="preserve">Tenant hits</t>
  </si>
  <si>
    <t xml:space="preserve">Falala Chocolate X Myfoodies</t>
  </si>
  <si>
    <t xml:space="preserve">Cakwe Medan Ancol</t>
  </si>
  <si>
    <t xml:space="preserve">Susu Segar Paman Kota</t>
  </si>
  <si>
    <t xml:space="preserve">Lumpia Semarang Gang 9</t>
  </si>
  <si>
    <t xml:space="preserve">Jakabaring Sport City (JSC)</t>
  </si>
  <si>
    <t xml:space="preserve">Lokasi Sumsel Bhayangkara Run 2026</t>
  </si>
  <si>
    <t xml:space="preserve">https://www.rmolsumsel.id/sumsel-bhayangkara-run-2026-catat-rekor-8000-pelari-siap-ramaikan-jsc-palembang</t>
  </si>
  <si>
    <t xml:space="preserve">Pasir Putih hingga Air Laut Berwarna Tosca, Pesona Laut Pulau Belitung - Chanelmuslim.com</t>
  </si>
  <si>
    <t xml:space="preserve">017</t>
  </si>
  <si>
    <t xml:space="preserve">Pantai Tanjung Tinggi (Pantai Laskar Pelangi)</t>
  </si>
  <si>
    <t xml:space="preserve">Desa Ciput, Kecamatan Sijuk, Kabupaten Belitung, Kepulauan Bangka Belitung</t>
  </si>
  <si>
    <t xml:space="preserve">Keciput</t>
  </si>
  <si>
    <t xml:space="preserve">Sijuk</t>
  </si>
  <si>
    <t xml:space="preserve">Kabupaten Belitung</t>
  </si>
  <si>
    <t xml:space="preserve">Teks menulis 'Desa Ciput'; nama resmi Keciput</t>
  </si>
  <si>
    <t xml:space="preserve">Pasir putih, air tosca, batu granit raksasa, lokasi film Laskar Pelangi</t>
  </si>
  <si>
    <t xml:space="preserve">https://chanelmuslim.com/wisata/pasir-putih-hingga-air-laut-berwarna-tosca-pesona-laut-pulau-belitung</t>
  </si>
  <si>
    <t xml:space="preserve">Makanan Khas Bangka Selain Martabak, Favorit Warga Lokal hingga Jadi Oleh-oleh - detikcom</t>
  </si>
  <si>
    <t xml:space="preserve">Kebun durian Desa Teruk</t>
  </si>
  <si>
    <t xml:space="preserve">Desa Teruk, Kecamatan Sungaiselan, Kabupaten Bangka Tengah</t>
  </si>
  <si>
    <t xml:space="preserve">Teruk</t>
  </si>
  <si>
    <t xml:space="preserve">Sungaiselan</t>
  </si>
  <si>
    <t xml:space="preserve">Musim durian jadi magnet wisata, durian mulai Rp3.000</t>
  </si>
  <si>
    <t xml:space="preserve">https://rri.co.id/sungailiat/wisata/2529751/wisata-durian-di-desa-teruk-bangka-tengah</t>
  </si>
  <si>
    <t xml:space="preserve">Rekomendasi Wisata Bahari di Belitung 2026, Ada Pantai hingga Pulau Eksotis - detikcom</t>
  </si>
  <si>
    <t xml:space="preserve">2026-04-09</t>
  </si>
  <si>
    <t xml:space="preserve">Pantai Tanjung Tinggi</t>
  </si>
  <si>
    <t xml:space="preserve">Kecamatan Sijuk, Kabupaten Belitung</t>
  </si>
  <si>
    <t xml:space="preserve">Ikon wisata Belitung, batu granit raksasa, lokasi Laskar Pelangi</t>
  </si>
  <si>
    <t xml:space="preserve">https://www.detik.com/sumbagsel/wisata/d-8433754/rekomendasi-wisata-bahari-di-belitung-2026-ada-pantai-hingga-pulau-eksotis</t>
  </si>
  <si>
    <t xml:space="preserve">300 Orang Bikin 300 Kg Terasi di Bangka Selatan, Raih Rekor MURI - Kompas.com</t>
  </si>
  <si>
    <t xml:space="preserve">Pantai Tanjung Kelayang</t>
  </si>
  <si>
    <t xml:space="preserve">Bagian Geopark Belitong UNESCO, pintu utama island hopping</t>
  </si>
  <si>
    <t xml:space="preserve">Festival Memasak Lempah Kuning / Rekor MURI terasi</t>
  </si>
  <si>
    <t xml:space="preserve">Toboali, Bangka Selatan</t>
  </si>
  <si>
    <t xml:space="preserve">Toboali</t>
  </si>
  <si>
    <t xml:space="preserve">Kabupaten Bangka Selatan</t>
  </si>
  <si>
    <t xml:space="preserve">Event kuliner pembuatan 300 kg terasi raih rekor MURI</t>
  </si>
  <si>
    <t xml:space="preserve">https://regional.kompas.com/read/2026/09/27/063624878/300-orang-bikin-300-kg-terasi-di-bangka-selatan-raih-rekor-muri?page=all</t>
  </si>
  <si>
    <t xml:space="preserve">Oknum ASN Basarnas Belitung Maling di 6 TKP demi Hedon dengan 2 Pacar - BeritaSatu.com</t>
  </si>
  <si>
    <t xml:space="preserve">BeritaSatu.com</t>
  </si>
  <si>
    <t xml:space="preserve">Belitung Expo 2026</t>
  </si>
  <si>
    <t xml:space="preserve">Pantai Wisata Tanjung Pendam, Belitung</t>
  </si>
  <si>
    <t xml:space="preserve">Tanjung Pandan</t>
  </si>
  <si>
    <t xml:space="preserve">Pantai Tanjung Pendam</t>
  </si>
  <si>
    <t xml:space="preserve">Pameran dengan stan layanan dan UMKM</t>
  </si>
  <si>
    <t xml:space="preserve">1-5 Juli 2026</t>
  </si>
  <si>
    <t xml:space="preserve">https://www.jpnn.com/news/dorong-umkm-tembus-pasar-ekspor-bea-cukai-jalin-sinergi-dengan-berbagai-instansi</t>
  </si>
  <si>
    <t xml:space="preserve">www.jpnn.com</t>
  </si>
  <si>
    <t xml:space="preserve">Harga Ayam Potong di Pasar Belitung Timur Melonjak - Halaman 2 - Tribunnews.com</t>
  </si>
  <si>
    <t xml:space="preserve">Tribunnews.com</t>
  </si>
  <si>
    <t xml:space="preserve">2026-09-03</t>
  </si>
  <si>
    <t xml:space="preserve">Pantai Wisata Tanjung Pendam</t>
  </si>
  <si>
    <t xml:space="preserve">Tanjungpandan, Belitung</t>
  </si>
  <si>
    <t xml:space="preserve">Lokasi Belitung Expo 2026</t>
  </si>
  <si>
    <t xml:space="preserve">Pantai Panjang</t>
  </si>
  <si>
    <t xml:space="preserve">Kota Bengkulu</t>
  </si>
  <si>
    <t xml:space="preserve">Pantai memanjang melintasi beberapa kecamatan</t>
  </si>
  <si>
    <t xml:space="preserve">Mendapat bantuan lima gazebo gratis untuk wisatawan</t>
  </si>
  <si>
    <t xml:space="preserve">https://bengkulu.antaranews.com/berita/470141/himppera-serahkan-bantuan-gazebo-dukung-pengembangan-wisata-bengkulu</t>
  </si>
  <si>
    <t xml:space="preserve">bengkulu.antaranews.com</t>
  </si>
  <si>
    <t xml:space="preserve">Respon Dugaan Pungli, Dinas Pariwisata Larang Aktivitas Jukir di Gazebo Gratis - Media Center Kota Bengkulu</t>
  </si>
  <si>
    <t xml:space="preserve">Media Center Kota Bengkulu</t>
  </si>
  <si>
    <t xml:space="preserve">2026-06-01</t>
  </si>
  <si>
    <t xml:space="preserve">Gazebo gratis Pantai Panjang (depan Hotel Nala Seaside)</t>
  </si>
  <si>
    <t xml:space="preserve">Pantai Panjang, Kota Bengkulu</t>
  </si>
  <si>
    <t xml:space="preserve">Kawasan Pantai Panjang</t>
  </si>
  <si>
    <t xml:space="preserve">Viral dugaan pungli parkir oleh oknum di area gazebo gratis (isu negatif)</t>
  </si>
  <si>
    <t xml:space="preserve">1 Mei 2026</t>
  </si>
  <si>
    <t xml:space="preserve">https://mediacenter.bengkulukota.go.id/respon-dugaan-pungli-dinas-pariwisata-larang-aktivitas-jukir-di-gazebo-gratis/</t>
  </si>
  <si>
    <t xml:space="preserve">mediacenter.bengkulukota.go.id</t>
  </si>
  <si>
    <t xml:space="preserve">Jaga Kawasan Wisata Tetap Kondusif, Ditpamobvit Polda Bengkulu Intensifkan Patroli Dialogis di Pantai Panjang - Viral Publik</t>
  </si>
  <si>
    <t xml:space="preserve">Viral Publik</t>
  </si>
  <si>
    <t xml:space="preserve">Kawasan wisata yang dipatroli untuk keamanan wisatawan</t>
  </si>
  <si>
    <t xml:space="preserve">21 September 2026</t>
  </si>
  <si>
    <t xml:space="preserve">https://www.viralpublik.com/jaga-kawasan-wisata-tetap-kondusif-ditpamobvit-polda-bengkulu-intensifkan-patroli-dialogis-di</t>
  </si>
  <si>
    <t xml:space="preserve">www.viralpublik.com</t>
  </si>
  <si>
    <t xml:space="preserve">Ini 6 Wisata Bengkulu yang Bikin Kamu Betah dan Fresh - lahatpos.disway.id - lahat pos</t>
  </si>
  <si>
    <t xml:space="preserve">Bengkulu Indah Mall (BIM)</t>
  </si>
  <si>
    <t xml:space="preserve">Kawasan Pantai Panjang, Kota Bengkulu</t>
  </si>
  <si>
    <t xml:space="preserve">Sasaran patroli dialogis</t>
  </si>
  <si>
    <t xml:space="preserve">Ikon wisata Bengkulu, pasir putih 7 km dan sunset</t>
  </si>
  <si>
    <t xml:space="preserve">https://lahatpos.disway.id/topik-utama/read/662130/ini-6-wisata-bengkulu-yang-bikin-kamu-betah-dan-fresh</t>
  </si>
  <si>
    <t xml:space="preserve">Danau Hijau Kepahiang Viral di Media Sosial, Kunjungan Wisatawan Meningkat - RRI.co.id</t>
  </si>
  <si>
    <t xml:space="preserve">Pantai Sungai Suci</t>
  </si>
  <si>
    <t xml:space="preserve">Bengkulu Tengah</t>
  </si>
  <si>
    <t xml:space="preserve">Kabupaten Bengkulu Tengah</t>
  </si>
  <si>
    <t xml:space="preserve">Pulau kecil yang diakses lewat jembatan gantung</t>
  </si>
  <si>
    <t xml:space="preserve">Bukit Kandis</t>
  </si>
  <si>
    <t xml:space="preserve">Kabupaten tidak disebut</t>
  </si>
  <si>
    <t xml:space="preserve">Panorama perbukitan hijau, lokasi fotografi</t>
  </si>
  <si>
    <t xml:space="preserve">Benteng Marlborough</t>
  </si>
  <si>
    <t xml:space="preserve">Teluk Segara</t>
  </si>
  <si>
    <t xml:space="preserve">Benteng peninggalan Inggris, salah satu terbesar di Asia</t>
  </si>
  <si>
    <t xml:space="preserve">Danau Hijau Kepahiang</t>
  </si>
  <si>
    <t xml:space="preserve">Jalan Ring Road, Desa Taba Tebelet, Kecamatan Kepahiang, Kabupaten Kepahiang, Bengkulu</t>
  </si>
  <si>
    <t xml:space="preserve">Taba Tebelet</t>
  </si>
  <si>
    <t xml:space="preserve">Kepahiang</t>
  </si>
  <si>
    <t xml:space="preserve">Kabupaten Kepahiang</t>
  </si>
  <si>
    <t xml:space="preserve">Viral di media sosial dengan air hijau toska, kunjungan meningkat</t>
  </si>
  <si>
    <t xml:space="preserve">Beberapa pekan sebelum 9 Mei 2026</t>
  </si>
  <si>
    <t xml:space="preserve">https://rri.co.id/bengkulu/wisata/2402237/danau-hijau-kepahiang-viral-di-media-sosial-kunjungan-wisatawan-meningkat</t>
  </si>
  <si>
    <t xml:space="preserve">7 Destinasi Wisata Terbaik di Bengkulu yang Wajib Dikunjungi Wisatawan - Suara.com</t>
  </si>
  <si>
    <t xml:space="preserve">Suara.com</t>
  </si>
  <si>
    <t xml:space="preserve">Kawasan wisata ramai akhir pekan, dipatroli polisi</t>
  </si>
  <si>
    <t xml:space="preserve">https://www.viralpublik.com/berikan-rasa-aman-di-akhir-pekan-subdit-wisata-ditpamobvit-polda-bengkulu-patroli-dialogis-di</t>
  </si>
  <si>
    <t xml:space="preserve">Beta Agrowisata Curup viral, tawarkan hamparan bunga estetik bernuansa pegunungan - ANTARA News Bengkulu</t>
  </si>
  <si>
    <t xml:space="preserve">ANTARA News Bengkulu</t>
  </si>
  <si>
    <t xml:space="preserve">Beta Agrowisata</t>
  </si>
  <si>
    <t xml:space="preserve">Curup, Kabupaten Rejang Lebong, Bengkulu</t>
  </si>
  <si>
    <t xml:space="preserve">Curup</t>
  </si>
  <si>
    <t xml:space="preserve">Kabupaten Rejang Lebong</t>
  </si>
  <si>
    <t xml:space="preserve">Viral di medsos berkat hamparan bunga ungu-pink bernuansa pegunungan</t>
  </si>
  <si>
    <t xml:space="preserve">https://bengkulu.antaranews.com/berita/465451/beta-agrowisata-curup-viral-tawarkan-hamparan-bunga-estetik-bernuansa-pegunungan?page=all</t>
  </si>
  <si>
    <t xml:space="preserve">Subdit Wisata Dit Pamobvit Polda Bengkulu Gelar Patroli Dialogis di Kawasan Pantai Panjang - Viral Publik</t>
  </si>
  <si>
    <t xml:space="preserve">Belungguk Point Bengkulu</t>
  </si>
  <si>
    <t xml:space="preserve">Tuai pro kontra warganet</t>
  </si>
  <si>
    <t xml:space="preserve">Taman Berkas</t>
  </si>
  <si>
    <t xml:space="preserve">Kawasan wisata yang direvitalisasi</t>
  </si>
  <si>
    <t xml:space="preserve">Kawasan wisata yang dipatroli</t>
  </si>
  <si>
    <t xml:space="preserve">12 September 2026</t>
  </si>
  <si>
    <t xml:space="preserve">https://www.viralpublik.com/subdit-wisata-dit-pamobvit-polda-bengkulu-gelar-patroli-dialogis-di-kawasan-pantai-panjang</t>
  </si>
  <si>
    <t xml:space="preserve">Subdit Wisata Ditpamobvit Polda Bengkulu Gelar Patroli Dialogis di Pantai Panjang, Pantai Pasir Putih dan BIM - Viral Publik</t>
  </si>
  <si>
    <t xml:space="preserve">2026-07-11</t>
  </si>
  <si>
    <t xml:space="preserve">Pantai Pasir Putih Bengkulu</t>
  </si>
  <si>
    <t xml:space="preserve">https://www.viralpublik.com/subdit-wisata-ditpamobvit-polda-bengkulu-gelar-patroli-dialogis-di-pantai-panjang-pantai-pasir</t>
  </si>
  <si>
    <t xml:space="preserve">Pemprov Bengkulu minta ASN lengkapi data untuk manajemen talenta - ANTARA News Bengkulu</t>
  </si>
  <si>
    <t xml:space="preserve">018</t>
  </si>
  <si>
    <t xml:space="preserve">Jembatan Air Martan</t>
  </si>
  <si>
    <t xml:space="preserve">Desa Pasar Seluma, Kecamatan Seluma Selatan, Bengkulu</t>
  </si>
  <si>
    <t xml:space="preserve">Pasar Seluma</t>
  </si>
  <si>
    <t xml:space="preserve">Seluma Selatan</t>
  </si>
  <si>
    <t xml:space="preserve">Kabupaten Seluma</t>
  </si>
  <si>
    <t xml:space="preserve">Viral jembatan Rp16 miliar amblas dua bulan setelah diresmikan (isu negatif)</t>
  </si>
  <si>
    <t xml:space="preserve">https://infonegeri.id/2026/04/08/usai-viral-baru-diresmikan-dua-bulan-amblas-pemprov-bengkulu-tinjau-jembatan-rp16-miliar/</t>
  </si>
  <si>
    <t xml:space="preserve">infonegeri.id</t>
  </si>
  <si>
    <t xml:space="preserve">Revitalisasi Gagal? Pasar Baru Koto Bengkulu Justru Kumuh, Drainase Amburadul dan Bau Menyengat Dibiarkan Berbulan-bulan - Viral Publik</t>
  </si>
  <si>
    <t xml:space="preserve">Pasar Baru Koto</t>
  </si>
  <si>
    <t xml:space="preserve">Pasar hasil revitalisasi dikeluhkan kumuh dan bau (isu negatif)</t>
  </si>
  <si>
    <t xml:space="preserve">https://www.viralpublik.com/revitalisasi-gagal-pasar-baru-koto-bengkulu-justru-kumuh-drainase-amburadul-dan-bau-menyengat</t>
  </si>
  <si>
    <t xml:space="preserve">Jasa Raharja Bengkulu Gencarkan Sosialisasi Program Pemutihan Pajak Kendaraan di Pasar Induk Pagar Dewa - Viral Publik</t>
  </si>
  <si>
    <t xml:space="preserve">2026-06-16</t>
  </si>
  <si>
    <t xml:space="preserve">Festival Riang &amp; Ceria (Lapangan Sport Center Bengkulu)</t>
  </si>
  <si>
    <t xml:space="preserve">Lapangan Sport Center, Kota Bengkulu</t>
  </si>
  <si>
    <t xml:space="preserve">Festival musik satu hari</t>
  </si>
  <si>
    <t xml:space="preserve">https://bengkulu.antaranews.com/berita/467593/naykilla-dna-x-pakiz-siap-guncang-panggung-bengkulu-agustus-mendatang?page=all</t>
  </si>
  <si>
    <t xml:space="preserve">10 Hari Atraksi Budaya hingga Kuliner Khas, Festival Tabut 2026 Digelar di Bengkulu - Kompas.com</t>
  </si>
  <si>
    <t xml:space="preserve">2026-06-10</t>
  </si>
  <si>
    <t xml:space="preserve">Festival Tabut 2026</t>
  </si>
  <si>
    <t xml:space="preserve">Lapangan Sport Centre, Kota Bengkulu</t>
  </si>
  <si>
    <t xml:space="preserve">Festival budaya tahunan Karisma Event Nusantara</t>
  </si>
  <si>
    <t xml:space="preserve">16-25 Juni 2026</t>
  </si>
  <si>
    <t xml:space="preserve">https://travel.kompas.com/read/2026/06/10/150000527/10-hari-atraksi-budaya-hingga-kuliner-khas-festival-tabut-2026-digelar-di?page=all</t>
  </si>
  <si>
    <t xml:space="preserve">Personel Polda Bengkulu Intensifkan Pengamanan Pembukaan Festival Tabot 2026 - Viral Publik</t>
  </si>
  <si>
    <t xml:space="preserve">Festival Tabot 2026</t>
  </si>
  <si>
    <t xml:space="preserve">Festival budaya tahunan yang diamankan polisi</t>
  </si>
  <si>
    <t xml:space="preserve">15 Juni 2026</t>
  </si>
  <si>
    <t xml:space="preserve">https://www.viralpublik.com/personel-polda-bengkulu-intensifkan-pengamanan-pembukaan-festival-tabot-2026</t>
  </si>
  <si>
    <t xml:space="preserve">Kapolda Bengkulu Pimpin Rapat Kesiapan Pengamanan Festival Tabut 2026 - Viral Publik</t>
  </si>
  <si>
    <t xml:space="preserve">Festival budaya dan pariwisata kebanggaan Bengkulu</t>
  </si>
  <si>
    <t xml:space="preserve">https://www.viralpublik.com/kapolda-bengkulu-pimpin-rapat-kesiapan-pengamanan-festival-tabut-2026</t>
  </si>
  <si>
    <t xml:space="preserve">Sukseskan HUT ke-67 Bengkulu Utara, Polres Bengkulu Utara Amankan dan Ikuti Event "BerAsa Runniversary" - Viral Publik</t>
  </si>
  <si>
    <t xml:space="preserve">Agenda budaya unggulan, tahun keenam masuk Karisma Event Nusantara</t>
  </si>
  <si>
    <t xml:space="preserve">https://women.okezone.com/read/2026/06/11/25/3223886/mengenal-festival-tabut-2026-daya-tarik-wisata-budaya-bengkulu</t>
  </si>
  <si>
    <t xml:space="preserve">Kapolda Bengkulu Tinjau Kesiapan Akhir Pengamanan Festival Tabut 2026 di Sport Center Pantai Panjang - Viral Publik</t>
  </si>
  <si>
    <t xml:space="preserve">Festival Tabut 2026 (Sport Center Pantai Panjang)</t>
  </si>
  <si>
    <t xml:space="preserve">Sport Center Pantai Panjang, Kota Bengkulu</t>
  </si>
  <si>
    <t xml:space="preserve">Sport Center kawasan Pantai Panjang</t>
  </si>
  <si>
    <t xml:space="preserve">Festival budaya terbesar di Bengkulu</t>
  </si>
  <si>
    <t xml:space="preserve">https://www.viralpublik.com/kapolda-bengkulu-tinjau-kesiapan-akhir-pengamanan-festival-tabut-2026-di-sport-center-pantai</t>
  </si>
  <si>
    <t xml:space="preserve">Kapolda Bengkulu Pimpin Apel Kesiapan dan Lepas Peserta Kemala Run 2026 - Viral Publik</t>
  </si>
  <si>
    <t xml:space="preserve">Festival Tabut 2026 (Lapangan Merdeka / Tugu Dhol)</t>
  </si>
  <si>
    <t xml:space="preserve">Lapangan Merdeka, kawasan Tugu Dhol, Kota Bengkulu</t>
  </si>
  <si>
    <t xml:space="preserve">Lapangan Merdeka, kawasan Tugu Dhol</t>
  </si>
  <si>
    <t xml:space="preserve">Perayaan budaya tahunan Tabut</t>
  </si>
  <si>
    <t xml:space="preserve">15-25 Juni 2026</t>
  </si>
  <si>
    <t xml:space="preserve">https://bengkulu.antaranews.com/berita/469139/festival-tabut-bengkulu-siap-digelar-catat-jadwal-dan-lokasinya?page=all</t>
  </si>
  <si>
    <t xml:space="preserve">Open Turnamen Domino Piala Panglima TNI pecahkan rekor MURI - ANTARA News Bengkulu</t>
  </si>
  <si>
    <t xml:space="preserve">Taman Santap Rumah Kayu</t>
  </si>
  <si>
    <t xml:space="preserve">Bandar Lampung</t>
  </si>
  <si>
    <t xml:space="preserve">Restoran keluarga hijau dengan kabin pesawat Boeing 737-400</t>
  </si>
  <si>
    <t xml:space="preserve">https://www.hipwee.com/travel/tempat-makan-keluarga-di-bandar-lampung/</t>
  </si>
  <si>
    <t xml:space="preserve">5 Rekomendasi Tempat Makan Durian di Lampung, Rasa Tak Enak Bakal Ditukar - IDN Times Lampung</t>
  </si>
  <si>
    <t xml:space="preserve">Kampoeng Bamboe</t>
  </si>
  <si>
    <t xml:space="preserve">Garden restaurant bernuansa alam</t>
  </si>
  <si>
    <t xml:space="preserve">BLehong Durian</t>
  </si>
  <si>
    <t xml:space="preserve">Korpri, Jalan Imam Bonjol Kemiling, dan Teluk Betung Selatan, Bandar Lampung</t>
  </si>
  <si>
    <t xml:space="preserve">Beberapa cabang (Kemiling, Teluk Betung Selatan)</t>
  </si>
  <si>
    <t xml:space="preserve">Tempat makan durian dengan es teler durian yang viral, rooftop</t>
  </si>
  <si>
    <t xml:space="preserve">https://lampung.idntimes.com/food/dining-guide/5-rekomendasi-tempat-makan-durian-di-lampung-rasa-tak-enak-bakal-ditukar-00-jf67w-dh21gt</t>
  </si>
  <si>
    <t xml:space="preserve">8 Wisata dan Kuliner Hits Lampung 2026, Simak! - detikcom</t>
  </si>
  <si>
    <t xml:space="preserve">Saburai Durian &amp; Resto</t>
  </si>
  <si>
    <t xml:space="preserve">Jalan Majapahit Nomor 8, Enggal, Bandar Lampung</t>
  </si>
  <si>
    <t xml:space="preserve">Durian lokal dan impor, olahan durian</t>
  </si>
  <si>
    <t xml:space="preserve">Sama Durian Lampung</t>
  </si>
  <si>
    <t xml:space="preserve">Jalan Urip, Bandar Lampung</t>
  </si>
  <si>
    <t xml:space="preserve">Durian impor fresh, buka 24 jam</t>
  </si>
  <si>
    <t xml:space="preserve">Pulau Pahawang</t>
  </si>
  <si>
    <t xml:space="preserve">Kabupaten Pesawaran, Lampung</t>
  </si>
  <si>
    <t xml:space="preserve">Wisata hits dengan air jernih untuk snorkeling</t>
  </si>
  <si>
    <t xml:space="preserve">https://www.detik.com/sumbagsel/wisata/d-8523508/8-wisata-dan-kuliner-hits-lampung-2026-simak</t>
  </si>
  <si>
    <t xml:space="preserve">Ceker Kerang Pedas Nona Viral di Lampung, Menu Serba Rp16 Ribuan - IDN Times Lampung</t>
  </si>
  <si>
    <t xml:space="preserve">Pantai Kyokko (Kyokko Beach)</t>
  </si>
  <si>
    <t xml:space="preserve">Kabupaten Lampung Selatan</t>
  </si>
  <si>
    <t xml:space="preserve">Destinasi pantai populer pasir putih</t>
  </si>
  <si>
    <t xml:space="preserve">Ceker Kerang Pedas Nona</t>
  </si>
  <si>
    <t xml:space="preserve">Jalan Pahlawan Nomor 119, Surabaya, Kedaton, Bandar Lampung</t>
  </si>
  <si>
    <t xml:space="preserve">Kedaton</t>
  </si>
  <si>
    <t xml:space="preserve">Pendatang baru yang viral di media sosial, menu pedas Rp16 ribuan</t>
  </si>
  <si>
    <t xml:space="preserve">Belum lama beroperasi</t>
  </si>
  <si>
    <t xml:space="preserve">https://lampung.idntimes.com/food/dining-guide/ceker-kerang-pedas-nona-viral-di-lampung-menu-serba-rp16-ribuan-00-jf67w-9f7vhs</t>
  </si>
  <si>
    <t xml:space="preserve">7 Rekomendasi Wisata Alam di Bandar Lampung, Pernah Berkunjung? - IDN Times Lampung</t>
  </si>
  <si>
    <t xml:space="preserve">2026-08-22</t>
  </si>
  <si>
    <t xml:space="preserve">Lembah Hijau</t>
  </si>
  <si>
    <t xml:space="preserve">Sukadana Ham, Bandar Lampung</t>
  </si>
  <si>
    <t xml:space="preserve">Sukadana Ham</t>
  </si>
  <si>
    <t xml:space="preserve">Tanjung Karang Barat</t>
  </si>
  <si>
    <t xml:space="preserve">Taman wisata dengan taman satwa dan waterpark</t>
  </si>
  <si>
    <t xml:space="preserve">https://lampung.idntimes.com/travel/destination/7-rekomendasi-wisata-alam-di-bandar-lampung-pernah-berkunjung-00-5h6fh-kdgxyd</t>
  </si>
  <si>
    <t xml:space="preserve">10 Rekomendasi Wisata Pantai Viral di Lampung, Wajib Masuk Bucketlist! - detikcom</t>
  </si>
  <si>
    <t xml:space="preserve">Bukit Aslan</t>
  </si>
  <si>
    <t xml:space="preserve">Way Gubak, Bandar Lampung</t>
  </si>
  <si>
    <t xml:space="preserve">Way Gubak</t>
  </si>
  <si>
    <t xml:space="preserve">Panorama bukit dan laut, citylight, Magic Forest</t>
  </si>
  <si>
    <t xml:space="preserve">Pantai Rio by The Beach</t>
  </si>
  <si>
    <t xml:space="preserve">Lampung Selatan</t>
  </si>
  <si>
    <t xml:space="preserve">Pantai viral konsep beach club kekinian</t>
  </si>
  <si>
    <t xml:space="preserve">https://www.detik.com/sumbagsel/wisata/d-8440586/10-rekomendasi-wisata-pantai-viral-di-lampung-wajib-masuk-bucketlist</t>
  </si>
  <si>
    <t xml:space="preserve">Banyak yang Nggak Tau, Nih 5 Rekomendasi Wisata Bandar Lampung yang Wajib Dikunjungi - lahatpos.disway.id - lahat pos</t>
  </si>
  <si>
    <t xml:space="preserve">Pantai Teluk Hantu</t>
  </si>
  <si>
    <t xml:space="preserve">Desa Pagar Jaya, Pesawaran, Lampung</t>
  </si>
  <si>
    <t xml:space="preserve">Pagar Jaya</t>
  </si>
  <si>
    <t xml:space="preserve">Pantai viral pasir putih dan air biru jernih</t>
  </si>
  <si>
    <t xml:space="preserve">Pulau Wayang</t>
  </si>
  <si>
    <t xml:space="preserve">Pantai viral liburan tropis</t>
  </si>
  <si>
    <t xml:space="preserve">Puncak Mas</t>
  </si>
  <si>
    <t xml:space="preserve">Panorama kota dari ketinggian</t>
  </si>
  <si>
    <t xml:space="preserve">https://lahatpos.disway.id/topik-utama/read/662144/banyak-yang-nggak-tau-nih-5-rekomendasi-wisata-bandar-lampung-yang-wajib-dikunjungi</t>
  </si>
  <si>
    <t xml:space="preserve">Rekomendasi Tempat Liburan di Lampung, Favorit hingga Hidden Gem - detikcom</t>
  </si>
  <si>
    <t xml:space="preserve">Wira Garden</t>
  </si>
  <si>
    <t xml:space="preserve">Aliran sungai jernih, piknik dan kemping</t>
  </si>
  <si>
    <t xml:space="preserve">Wisata keluarga dengan wahana dan satwa</t>
  </si>
  <si>
    <t xml:space="preserve">Bukit AsLan</t>
  </si>
  <si>
    <t xml:space="preserve">Spot foto instagramable di perbukitan</t>
  </si>
  <si>
    <t xml:space="preserve">Pantai Rio By The Beach</t>
  </si>
  <si>
    <t xml:space="preserve">Bulok, Kecamatan Kalianda, Kabupaten Lampung Selatan</t>
  </si>
  <si>
    <t xml:space="preserve">Bulok</t>
  </si>
  <si>
    <t xml:space="preserve">Kalianda</t>
  </si>
  <si>
    <t xml:space="preserve">Destinasi pantai populer dengan fasilitas lengkap</t>
  </si>
  <si>
    <t xml:space="preserve">https://www.detik.com/sumbagsel/wisata/d-8486533/rekomendasi-tempat-liburan-di-lampung-favorit-hingga-hidden-gem</t>
  </si>
  <si>
    <t xml:space="preserve">Daftar Destinasi Wisata Pantai Paling Populer di Lampung Selatan - jogja.disway.id - Disway Jogja</t>
  </si>
  <si>
    <t xml:space="preserve">Kecamatan Punduh Pidada, Kabupaten Pesawaran, Lampung</t>
  </si>
  <si>
    <t xml:space="preserve">Punduh Pidada</t>
  </si>
  <si>
    <t xml:space="preserve">Kecamatan sesuai teks (kini wilayah Marga Punduh)</t>
  </si>
  <si>
    <t xml:space="preserve">Destinasi bahari populer untuk snorkeling</t>
  </si>
  <si>
    <t xml:space="preserve">Taman Nasional Way Kambas</t>
  </si>
  <si>
    <t xml:space="preserve">Lampung Timur</t>
  </si>
  <si>
    <t xml:space="preserve">Labuhan Ratu</t>
  </si>
  <si>
    <t xml:space="preserve">Kabupaten Lampung Timur</t>
  </si>
  <si>
    <t xml:space="preserve">Habitat gajah dan badak Sumatera</t>
  </si>
  <si>
    <t xml:space="preserve">Pantai Gigi Hiu (Pantai Batu Layar)</t>
  </si>
  <si>
    <t xml:space="preserve">Kelumbayan</t>
  </si>
  <si>
    <t xml:space="preserve">Kabupaten Tanggamus</t>
  </si>
  <si>
    <t xml:space="preserve">Batu karang raksasa menyerupai gigi hiu, destinasi tersembunyi</t>
  </si>
  <si>
    <t xml:space="preserve">https://www.detik.com/sumbagsel/wisata/d-8518298/pantai-gigi-hiu-lampung-daya-tarik-harga-tiket-hingga-lokasinya</t>
  </si>
  <si>
    <t xml:space="preserve">Setelah Jokowi Dapat Gelar Adat dari 5 Kerajaan, Lalu Apa? - inilampung.com</t>
  </si>
  <si>
    <t xml:space="preserve">inilampung.com</t>
  </si>
  <si>
    <t xml:space="preserve">Museum Kedatun Keagungan Lampung</t>
  </si>
  <si>
    <t xml:space="preserve">Pembukaan museum adat</t>
  </si>
  <si>
    <t xml:space="preserve">27 Juni 2026</t>
  </si>
  <si>
    <t xml:space="preserve">https://www.inilampung.com/2026/06/setelah-jokowi-dapat-gelar-adat-dari-5.html</t>
  </si>
  <si>
    <t xml:space="preserve">www.inilampung.com</t>
  </si>
  <si>
    <t xml:space="preserve">Apa Itu Sampah Antariksa? Benda Bercahaya yang Lintasi Langit Lampung - detikNews</t>
  </si>
  <si>
    <t xml:space="preserve">019</t>
  </si>
  <si>
    <t xml:space="preserve">Plaza Bandar Jaya</t>
  </si>
  <si>
    <t xml:space="preserve">Kabupaten Lampung Tengah</t>
  </si>
  <si>
    <t xml:space="preserve">Terbanggi Besar</t>
  </si>
  <si>
    <t xml:space="preserve">Bandar Jaya</t>
  </si>
  <si>
    <t xml:space="preserve">Viral CCTV wanita BAB di depan ruko (isu negatif)</t>
  </si>
  <si>
    <t xml:space="preserve">4 Juli 2026</t>
  </si>
  <si>
    <t xml:space="preserve">https://www.detik.com/sumbagsel/berita/d-8566019/wanita-di-lampung-bab-di-depan-ruko-terekam-cctv-pedagang-resah</t>
  </si>
  <si>
    <t xml:space="preserve">ITERA: Benda angkasa viral lintasi langit Lampung sampah antariksa - ANTARA News Sumbar</t>
  </si>
  <si>
    <t xml:space="preserve">Pasar Lama Kotabumi</t>
  </si>
  <si>
    <t xml:space="preserve">Kelurahan Kotabumi Pasar, Lampung Utara</t>
  </si>
  <si>
    <t xml:space="preserve">Kotabumi Pasar</t>
  </si>
  <si>
    <t xml:space="preserve">Kotabumi</t>
  </si>
  <si>
    <t xml:space="preserve">Kabupaten Lampung Utara</t>
  </si>
  <si>
    <t xml:space="preserve">Lokasi aksi curanmor yang viral karena melepaskan tembakan (isu negatif)</t>
  </si>
  <si>
    <t xml:space="preserve">13 Maret 2026</t>
  </si>
  <si>
    <t xml:space="preserve">https://lampung.viva.co.id/berita/8913-buron-curanmor-yang-viral-lepaskan-tembakan-di-kotabumi-ditangkap-saat-razia-lantas</t>
  </si>
  <si>
    <t xml:space="preserve">lampung.viva.co.id</t>
  </si>
  <si>
    <t xml:space="preserve">Diduga Cari Mangsa Baru, Buronan Curanmor Viral Ditangkap Anggota SatLantas Polres Lampura - Rilis.id Lampung</t>
  </si>
  <si>
    <t xml:space="preserve">Rilis.id Lampung</t>
  </si>
  <si>
    <t xml:space="preserve">2026-05-12</t>
  </si>
  <si>
    <t xml:space="preserve">Tanggamus Expo 2026</t>
  </si>
  <si>
    <t xml:space="preserve">Lapangan Tangsi, Talang Padang, Tanggamus</t>
  </si>
  <si>
    <t xml:space="preserve">Talang Padang</t>
  </si>
  <si>
    <t xml:space="preserve">Lapangan Tangsi</t>
  </si>
  <si>
    <t xml:space="preserve">Expo promosi UMKM; jalan rusak di Pasar Talang Padang disindir warganet</t>
  </si>
  <si>
    <t xml:space="preserve">6-10 April 2026</t>
  </si>
  <si>
    <t xml:space="preserve">https://radartanggamus.disway.id/headline/read/20382/jalan-rusak-di-pasar-talang-padang-disindir-warganet-satir-edit-biar-cepat-viral-jelang-expo-2026</t>
  </si>
  <si>
    <t xml:space="preserve">radartanggamus.disway.id</t>
  </si>
  <si>
    <t xml:space="preserve">Polda Lampung Gelar Bazar, Pasar Rakyat, Olahraga Bersama, dan Bakti Sosial Sambut Hari Bhayangkara ke-80 - Viral Publik</t>
  </si>
  <si>
    <t xml:space="preserve">Bazar dan Pasar Rakyat Hari Bhayangkara ke-80</t>
  </si>
  <si>
    <t xml:space="preserve">Lapangan Polda Lampung</t>
  </si>
  <si>
    <t xml:space="preserve">Bazar UMKM, pasar rakyat, dan bakti sosial</t>
  </si>
  <si>
    <t xml:space="preserve">19 Juni 2026</t>
  </si>
  <si>
    <t xml:space="preserve">https://www.viralpublik.com/polda-lampung-gelar-bazar-pasar-rakyat-olahraga-bersama-dan-bakti-sosial-sambut-hari-bhayangkara-0</t>
  </si>
  <si>
    <t xml:space="preserve">Viral Kepala SPPG Pesisir Barat Pamer Tumpukan Uang, KPPG Lampung Minta Klarifikasi - Kupas Tuntas</t>
  </si>
  <si>
    <t xml:space="preserve">Kupas Tuntas</t>
  </si>
  <si>
    <t xml:space="preserve">2026-07-18</t>
  </si>
  <si>
    <t xml:space="preserve">Roadshow Kuliner Viral Indonesia</t>
  </si>
  <si>
    <t xml:space="preserve">Lampung City Mall, Bandar Lampung</t>
  </si>
  <si>
    <t xml:space="preserve">Lampung City Mall</t>
  </si>
  <si>
    <t xml:space="preserve">Festival kuliner tenant makanan dan minuman viral</t>
  </si>
  <si>
    <t xml:space="preserve">2-12 April 2026</t>
  </si>
  <si>
    <t xml:space="preserve">https://lampung.idntimes.com/travel/destination/event-lampung-bulan-april-2026-00-jf67w-f8trdt</t>
  </si>
  <si>
    <t xml:space="preserve">Daftar Event Seru Lampung Mei 2026, Jangan Sampai Ketinggalan - IDN Times Lampung</t>
  </si>
  <si>
    <t xml:space="preserve">2026-05-07</t>
  </si>
  <si>
    <t xml:space="preserve">Expo Tanggamus</t>
  </si>
  <si>
    <t xml:space="preserve">Lapangan Tangsi Talang Padang, Tanggamus</t>
  </si>
  <si>
    <t xml:space="preserve">Festival kuliner, bazar UMKM, launching kain Tappan</t>
  </si>
  <si>
    <t xml:space="preserve">Rio By The Beach</t>
  </si>
  <si>
    <t xml:space="preserve">Lokasi event Pesta Lyric</t>
  </si>
  <si>
    <t xml:space="preserve">11 April 2026</t>
  </si>
  <si>
    <t xml:space="preserve">Blok M Dessert Week</t>
  </si>
  <si>
    <t xml:space="preserve">Event 300+ dessert dan jajanan viral khas Blok M</t>
  </si>
  <si>
    <t xml:space="preserve">24 April - 10 Mei 2026</t>
  </si>
  <si>
    <t xml:space="preserve">https://lampung.idntimes.com/news/lampung/daftar-event-seru-lampung-mei-2026-jangan-sampai-ketinggalan-00-jf67w-z3wtyg</t>
  </si>
  <si>
    <t xml:space="preserve">Festival Krakatau XXXV Jadi Momentum Lampung Perkuat Daya Saing Pariwisata Nasional - Rilis.id Lampung</t>
  </si>
  <si>
    <t xml:space="preserve">2026-08-13</t>
  </si>
  <si>
    <t xml:space="preserve">Festival Krakatau XXXV</t>
  </si>
  <si>
    <t xml:space="preserve">Festival pariwisata Lampung</t>
  </si>
  <si>
    <t xml:space="preserve">https://lampung.rilis.id/Pemerintahan/Berita/festival-krakatau-xxxv-jadi-momentum-lampung-eRUO</t>
  </si>
  <si>
    <t xml:space="preserve">lampung.rilis.id</t>
  </si>
  <si>
    <t xml:space="preserve">Festival UMKM dan Pasar 1001 Malam Lampung Timur Dorong Ekonomi Desa - Media Indonesia</t>
  </si>
  <si>
    <t xml:space="preserve">Media Indonesia</t>
  </si>
  <si>
    <t xml:space="preserve">El's Coffee Roastery</t>
  </si>
  <si>
    <t xml:space="preserve">Lokasi press conference Festival Krakatau</t>
  </si>
  <si>
    <t xml:space="preserve">020</t>
  </si>
  <si>
    <t xml:space="preserve">Festival UMKM dan Pasar 1001 Malam</t>
  </si>
  <si>
    <t xml:space="preserve">Lapangan Bandar Sribhawono, Lampung Timur</t>
  </si>
  <si>
    <t xml:space="preserve">Bandar Sribhawono</t>
  </si>
  <si>
    <t xml:space="preserve">Festival 1.500 pelaku UMKM dalam HUT ke-27 Lampung Timur</t>
  </si>
  <si>
    <t xml:space="preserve">17 April 2026</t>
  </si>
  <si>
    <t xml:space="preserve">https://mediaindonesia.com/nusantara/880916/festival-umkm-dan-pasar-1001-malam-lampung-timur-dorong-ekonomi-desa</t>
  </si>
  <si>
    <t xml:space="preserve">Festival Tapis Masuk Festival Krakatau 2026, Tour Krakatau Dipertimbangkan Ulang karena Status Siaga - radarlampung.disway.id - Radar Lampung</t>
  </si>
  <si>
    <t xml:space="preserve">Radar Lampung</t>
  </si>
  <si>
    <t xml:space="preserve">Festival Krakatau 2026 (Festival Tapis)</t>
  </si>
  <si>
    <t xml:space="preserve">Festival budaya dengan Festival Tapis</t>
  </si>
  <si>
    <t xml:space="preserve">25-30 Agustus 2026</t>
  </si>
  <si>
    <t xml:space="preserve">https://radarlampung.disway.id/provinsi-lampung/read/727193/festival-tapis-masuk-festival-krakatau-2026-tour-krakatau-dipertimbangkan-ulang-karena-status-siaga</t>
  </si>
  <si>
    <t xml:space="preserve">radarlampung.disway.id</t>
  </si>
  <si>
    <t xml:space="preserve">BRIN: Bright Object in the Sky Over Lampung and Banten as Space Debris - RRI.co.id</t>
  </si>
  <si>
    <t xml:space="preserve">Taman Wisata Randu Mas</t>
  </si>
  <si>
    <t xml:space="preserve">Desa Pugung Raharjo, Kecamatan Sekampung Udik, Kabupaten Lampung Timur</t>
  </si>
  <si>
    <t xml:space="preserve">Pugung Raharjo</t>
  </si>
  <si>
    <t xml:space="preserve">Sekampung Udik</t>
  </si>
  <si>
    <t xml:space="preserve">Viral video warga kecewa Jokowi batal hadir di Festival Budaya</t>
  </si>
  <si>
    <t xml:space="preserve">28 Juni 2026</t>
  </si>
  <si>
    <t xml:space="preserve">https://lampung.idntimes.com/news/lampung/viral-warga-kecewa-jokowi-batal-datang-sembako-dan-id-panitia-dibuang-00-5h6fh-jn8ckz</t>
  </si>
  <si>
    <t xml:space="preserve">Jangan Lewatkan! Ini 10 Rekomendasi Makanan Khas DKI Jakarta yang Punya Cita Rasa Autentik - Info Ekonomi</t>
  </si>
  <si>
    <t xml:space="preserve">Info Ekonomi</t>
  </si>
  <si>
    <t xml:space="preserve">2026-08-08</t>
  </si>
  <si>
    <t xml:space="preserve">Pekan Raya Jakarta (PRJ)</t>
  </si>
  <si>
    <t xml:space="preserve">Umumnya di JIExpo Kemayoran</t>
  </si>
  <si>
    <t xml:space="preserve">Hadir kembali dalam HUT Jakarta ke-499</t>
  </si>
  <si>
    <t xml:space="preserve">https://food.detik.com/info-kuliner/d-8542220/spesial-hut-jakarta-ke-499-ini-5-promo-restoran-yang-menarik-dicoba</t>
  </si>
  <si>
    <t xml:space="preserve">Jakarta Jadi Titik Temu Pasar Dunia dengan Destinasi Wisata Indonesia - detikTravel</t>
  </si>
  <si>
    <t xml:space="preserve">Chatime</t>
  </si>
  <si>
    <t xml:space="preserve">Promo B1G1 HUT Jakarta</t>
  </si>
  <si>
    <t xml:space="preserve">22-24 Juni 2026</t>
  </si>
  <si>
    <t xml:space="preserve">Gindaco</t>
  </si>
  <si>
    <t xml:space="preserve">Promo B1G1 takoyaki HUT Jakarta</t>
  </si>
  <si>
    <t xml:space="preserve">Wingstop</t>
  </si>
  <si>
    <t xml:space="preserve">Promo HUT Jakarta ke-499</t>
  </si>
  <si>
    <t xml:space="preserve">22-23 Juni 2026</t>
  </si>
  <si>
    <t xml:space="preserve">The People's Cafe</t>
  </si>
  <si>
    <t xml:space="preserve">Promo Nasi Goreng Gila Rp499</t>
  </si>
  <si>
    <t xml:space="preserve">Wonderful Indonesia Tourism Fair (WITF) 2026</t>
  </si>
  <si>
    <t xml:space="preserve">JIExpo Kemayoran, Jakarta</t>
  </si>
  <si>
    <t xml:space="preserve">JIExpo secara administratif di Pademangan Timur, Jakarta Utara</t>
  </si>
  <si>
    <t xml:space="preserve">Pameran pariwisata B2B dengan 300+ buyers</t>
  </si>
  <si>
    <t xml:space="preserve">15-17 Oktober 2026</t>
  </si>
  <si>
    <t xml:space="preserve">https://travel.detik.com/travel-news/d-8676178/jakarta-jadi-titik-temu-pasar-dunia-dengan-destinasi-wisata-indonesia</t>
  </si>
  <si>
    <t xml:space="preserve">Wagub DKI Tinjau Pariwisata dan Ekonomi di Pulau Tidung - Lampumerahnews</t>
  </si>
  <si>
    <t xml:space="preserve">Lampumerahnews</t>
  </si>
  <si>
    <t xml:space="preserve">Pulau Tidung</t>
  </si>
  <si>
    <t xml:space="preserve">Kabupaten Administrasi Kepulauan Seribu, DKI Jakarta</t>
  </si>
  <si>
    <t xml:space="preserve">Kepulauan Seribu Selatan</t>
  </si>
  <si>
    <t xml:space="preserve">Kabupaten Kepulauan Seribu</t>
  </si>
  <si>
    <t xml:space="preserve">Pengembangan wisata, mural Wall of Jakarta 2026, pasar kreatif</t>
  </si>
  <si>
    <t xml:space="preserve">25 Juli 2026</t>
  </si>
  <si>
    <t xml:space="preserve">https://www.lampumerahnews.id/2026/09/wagub-dki-tinjau-pariwisata-dan-ekonomi.html</t>
  </si>
  <si>
    <t xml:space="preserve">www.lampumerahnews.id</t>
  </si>
  <si>
    <t xml:space="preserve">Tuan Rumah WITF 2026, Jakarta Jadi The Great Hub Pariwisata Indonesia - women.okezone.com</t>
  </si>
  <si>
    <t xml:space="preserve">Grand Ballroom JIExpo Kemayoran, Jakarta</t>
  </si>
  <si>
    <t xml:space="preserve">Pameran pariwisata B2B tahun ketiga</t>
  </si>
  <si>
    <t xml:space="preserve">https://women.okezone.com/read/2026/09/24/25/3243907/tuan-rumah-witf-2026-jakarta-jadi-the-great-hub-pariwisata-indonesia</t>
  </si>
  <si>
    <t xml:space="preserve">WITF 2026 Kembali Digelar di Jakarta, Indonesia Siap Bidik Pasar Pariwisata Global - SINDOnews Lifestyle</t>
  </si>
  <si>
    <t xml:space="preserve">SINDOnews Lifestyle</t>
  </si>
  <si>
    <t xml:space="preserve">Pameran pariwisata B2B target 300 buyers dari 35 negara</t>
  </si>
  <si>
    <t xml:space="preserve">https://lifestyle.sindonews.com/read/1753165/156/witf-2026-kembali-digelar-di-jakarta-indonesia-siap-bidik-pasar-pariwisata-global-1790230166</t>
  </si>
  <si>
    <t xml:space="preserve">lifestyle.sindonews.com</t>
  </si>
  <si>
    <t xml:space="preserve">Pemprov DKI gandeng hotel bidik wisata kebugaran - ANTARA News</t>
  </si>
  <si>
    <t xml:space="preserve">Ancol</t>
  </si>
  <si>
    <t xml:space="preserve">Jakarta Utara</t>
  </si>
  <si>
    <t xml:space="preserve">Tiket masuk kawasan gratis HUT Jakarta ke-499</t>
  </si>
  <si>
    <t xml:space="preserve">22, 27, 28 Juni 2026</t>
  </si>
  <si>
    <t xml:space="preserve">https://www.bloombergtechnoz.com/detail-news/113271/hut-ke-499-jakarta-masuk-tempat-wisata-gratis-cek-syaratnya/2</t>
  </si>
  <si>
    <t xml:space="preserve">Pemprov DKI Kaji Pengoperasian Trem Wisata untuk Keliling Kota Tua - Kompas.com</t>
  </si>
  <si>
    <t xml:space="preserve">Taman Margasatwa Ragunan</t>
  </si>
  <si>
    <t xml:space="preserve">Jakarta Selatan</t>
  </si>
  <si>
    <t xml:space="preserve">Ragunan</t>
  </si>
  <si>
    <t xml:space="preserve">Masuk gratis HUT Jakarta ke-499</t>
  </si>
  <si>
    <t xml:space="preserve">Museum Sejarah Jakarta</t>
  </si>
  <si>
    <t xml:space="preserve">Gratis HUT Jakarta ke-499</t>
  </si>
  <si>
    <t xml:space="preserve">Museum Taman Prasasti</t>
  </si>
  <si>
    <t xml:space="preserve">Petojo Selatan</t>
  </si>
  <si>
    <t xml:space="preserve">Gambir</t>
  </si>
  <si>
    <t xml:space="preserve">Museum Seni Rupa dan Keramik</t>
  </si>
  <si>
    <t xml:space="preserve">Museum Arkeologi Onrust</t>
  </si>
  <si>
    <t xml:space="preserve">Kepulauan Seribu, Jakarta</t>
  </si>
  <si>
    <t xml:space="preserve">Pulau Untung Jawa</t>
  </si>
  <si>
    <t xml:space="preserve">Rumah Si Pitung</t>
  </si>
  <si>
    <t xml:space="preserve">Marunda</t>
  </si>
  <si>
    <t xml:space="preserve">Cilincing</t>
  </si>
  <si>
    <t xml:space="preserve">Taman Mini Indonesia Indah (TMII)</t>
  </si>
  <si>
    <t xml:space="preserve">Jakarta Timur</t>
  </si>
  <si>
    <t xml:space="preserve">Ceger</t>
  </si>
  <si>
    <t xml:space="preserve">Cipayung</t>
  </si>
  <si>
    <t xml:space="preserve">Diskon 49,9% tiket masuk dan kereta gantung, konser gratis</t>
  </si>
  <si>
    <t xml:space="preserve">22-28 Juni 2026</t>
  </si>
  <si>
    <t xml:space="preserve">Kawasan Kota Tua Jakarta</t>
  </si>
  <si>
    <t xml:space="preserve">Jakarta Barat</t>
  </si>
  <si>
    <t xml:space="preserve">Dikaji pengoperasian trem wisata keliling Kota Tua</t>
  </si>
  <si>
    <t xml:space="preserve">https://megapolitan.kompas.com/read/2026/06/14/18494301/pemprov-dki-kaji-pengoperasian-trem-wisata-untuk-keliling-kota-tua</t>
  </si>
  <si>
    <t xml:space="preserve">megapolitan.kompas.com</t>
  </si>
  <si>
    <t xml:space="preserve">Warga Non KTP Jakarta Juga Gratis Naik Transportasi Umum dan Tempat Wisata pada 22, 27 dan 28 Juni - VIVA.co.id</t>
  </si>
  <si>
    <t xml:space="preserve">VIVA.co.id</t>
  </si>
  <si>
    <t xml:space="preserve">Monumen Nasional (Monas)</t>
  </si>
  <si>
    <t xml:space="preserve">https://www.viva.co.id/berita/metro/1907584-warga-non-ktp-jakarta-juga-gratis-naik-transportasi-umum-dan-tempat-wisata-pada-22-27-dan-28-juni</t>
  </si>
  <si>
    <t xml:space="preserve">www.viva.co.id</t>
  </si>
  <si>
    <t xml:space="preserve">Jakarta Selatan Jadi Incaran Turis Lokal pada April 2026 - GoodStats</t>
  </si>
  <si>
    <t xml:space="preserve">GoodStats</t>
  </si>
  <si>
    <t xml:space="preserve">2026-07-01</t>
  </si>
  <si>
    <t xml:space="preserve">Gratis masuk kawasan HUT Jakarta ke-499</t>
  </si>
  <si>
    <t xml:space="preserve">Gratis HUT Jakarta ke-499, Ragunan Night Zoo</t>
  </si>
  <si>
    <t xml:space="preserve">Museum Wayang</t>
  </si>
  <si>
    <t xml:space="preserve">Museum Bahari</t>
  </si>
  <si>
    <t xml:space="preserve">Kawasan perdagangan dan hiburan yang viral di media sosial</t>
  </si>
  <si>
    <t xml:space="preserve">https://goodstats.id/article/jakarta-selatan-jadi-incaran-turis-indonesia-saat-ke-jakarta-yoqA9</t>
  </si>
  <si>
    <t xml:space="preserve">goodstats.id</t>
  </si>
  <si>
    <t xml:space="preserve">Viral Gorong-Gorong Jokowi Muncul di Google Maps, Netizen: Destinasi Wisata Horor Jakarta - OWRITE</t>
  </si>
  <si>
    <t xml:space="preserve">OWRITE</t>
  </si>
  <si>
    <t xml:space="preserve">Gultik (Gulai Tikungan)</t>
  </si>
  <si>
    <t xml:space="preserve">Kuliner yang ramai jadi perbincangan di dunia maya</t>
  </si>
  <si>
    <t xml:space="preserve">Wisata ramah anak ikonik Jakarta Timur</t>
  </si>
  <si>
    <t xml:space="preserve">Museum Fatahillah</t>
  </si>
  <si>
    <t xml:space="preserve">Kota Tua, Jakarta Barat</t>
  </si>
  <si>
    <t xml:space="preserve">Magnet wisatawan di Jakarta Barat</t>
  </si>
  <si>
    <t xml:space="preserve">Gorong-gorong Jokowi</t>
  </si>
  <si>
    <t xml:space="preserve">Jalan MH Thamrin depan Hotel Mandarin Oriental, Menteng, Jakarta Pusat</t>
  </si>
  <si>
    <t xml:space="preserve">Viral muncul di Google Maps, disebut destinasi wisata horor Jakarta</t>
  </si>
  <si>
    <t xml:space="preserve">https://www.owrite.id/hype/2026/05/23/viral-gorong-gorong-jokowi-muncul-di-google-maps-netizen-destinasi-wisata-horor-jakarta/</t>
  </si>
  <si>
    <t xml:space="preserve">www.owrite.id</t>
  </si>
  <si>
    <t xml:space="preserve">HUT ke-500 Jakarta: Transportasi dan Wisata Gratis 5 Hari - merahputih.com</t>
  </si>
  <si>
    <t xml:space="preserve">merahputih.com</t>
  </si>
  <si>
    <t xml:space="preserve">Akan gratis saat HUT ke-500 Jakarta</t>
  </si>
  <si>
    <t xml:space="preserve">2027</t>
  </si>
  <si>
    <t xml:space="preserve">https://www.merahputih.com/post/read/hut-ke-500-jakarta-transportasi-dan-wisata-gratis-5-hari</t>
  </si>
  <si>
    <t xml:space="preserve">www.merahputih.com</t>
  </si>
  <si>
    <t xml:space="preserve">WITF 2026 Jadi Sarana Promosi Pariwisata Indonesia ke Kancah Dunia - detikTravel</t>
  </si>
  <si>
    <t xml:space="preserve">Pengunjung melonjak 135.500 saat gratis HUT ke-499</t>
  </si>
  <si>
    <t xml:space="preserve">Pengunjung melonjak ke 80 ribu saat gratis</t>
  </si>
  <si>
    <t xml:space="preserve">Pameran pariwisata dengan 250-300 buyers dari 35 negara</t>
  </si>
  <si>
    <t xml:space="preserve">https://travel.detik.com/travel-news/d-8676175/witf-2026-jadi-sarana-promosi-pariwisata-indonesia-ke-kancah-dunia</t>
  </si>
  <si>
    <t xml:space="preserve">PHRI Ingin Perkuat Branding Wisata RI usai Jakarta Unjuk Gigi di China - cnnindonesia.com</t>
  </si>
  <si>
    <t xml:space="preserve">Jakarta International Stadium (JIS)</t>
  </si>
  <si>
    <t xml:space="preserve">Papanggo</t>
  </si>
  <si>
    <t xml:space="preserve">Tanjung Priok</t>
  </si>
  <si>
    <t xml:space="preserve">Venue sportainment berskala masif</t>
  </si>
  <si>
    <t xml:space="preserve">https://travel.detik.com/travel-news/d-8467684/ambisi-jakarta-ingin-jadi-kota-destinasi-event-dunia</t>
  </si>
  <si>
    <t xml:space="preserve">Rasakan Sensasi Terbang Dengan Flying Board di Jakarta - 20detik</t>
  </si>
  <si>
    <t xml:space="preserve">Taman Ismail Marzuki (TIM)</t>
  </si>
  <si>
    <t xml:space="preserve">Cikini, Jakarta Pusat</t>
  </si>
  <si>
    <t xml:space="preserve">Cikini</t>
  </si>
  <si>
    <t xml:space="preserve">Pusat kesenian modern dan edukasi</t>
  </si>
  <si>
    <t xml:space="preserve">Lapangan Banteng</t>
  </si>
  <si>
    <t xml:space="preserve">Sawah Besar</t>
  </si>
  <si>
    <t xml:space="preserve">Ruang terbuka untuk festival publik</t>
  </si>
  <si>
    <t xml:space="preserve">Ancol (Flying Board)</t>
  </si>
  <si>
    <t xml:space="preserve">Ancol, Jakarta Utara</t>
  </si>
  <si>
    <t xml:space="preserve">Wahana flying board di atas laut</t>
  </si>
  <si>
    <t xml:space="preserve">https://20.detik.com/spot-wisata/20260729-260729026/rasakan-sensasi-terbang-dengan-flying-board-di-jakarta</t>
  </si>
  <si>
    <t xml:space="preserve">Bosan ke Mal Terus? Cobain 17 Spot Jalan-jalan Seru di Jakarta Ini Buat Weekend! - detikTravel</t>
  </si>
  <si>
    <t xml:space="preserve">M Bloc Space</t>
  </si>
  <si>
    <t xml:space="preserve">Jl. Panglima Polim No. 37, Melawai, Jakarta Selatan</t>
  </si>
  <si>
    <t xml:space="preserve">Bekas percetakan uang jadi kiblat kultur anak muda</t>
  </si>
  <si>
    <t xml:space="preserve">https://travel.detik.com/domestic-destination/d-8482042/bosan-ke-mal-terus-cobain-17-spot-jalan-jalan-seru-di-jakarta-ini-buat-weekend</t>
  </si>
  <si>
    <t xml:space="preserve">Menemukan Fashion Terbaru di Mall Grand Indonesia, Jakarta - 20detik</t>
  </si>
  <si>
    <t xml:space="preserve">Pos Bloc</t>
  </si>
  <si>
    <t xml:space="preserve">Jl. Pos No. 2, Pasar Baru, Jakarta Pusat</t>
  </si>
  <si>
    <t xml:space="preserve">Gedung Filateli jadi pusat produk lokal estetik</t>
  </si>
  <si>
    <t xml:space="preserve">Jl. Cikini Raya No. 73, Menteng, Jakarta Pusat</t>
  </si>
  <si>
    <t xml:space="preserve">Pusat seni dengan Planetarium dan Perpustakaan Jakarta</t>
  </si>
  <si>
    <t xml:space="preserve">Mall Grand Indonesia</t>
  </si>
  <si>
    <t xml:space="preserve">Kebon Melati</t>
  </si>
  <si>
    <t xml:space="preserve">Belanja batik nusantara</t>
  </si>
  <si>
    <t xml:space="preserve">https://20.detik.com/spot-wisata/20260327-260327017/menemukan-fashion-terbaru-di-mall-grand-indonesia-jakarta</t>
  </si>
  <si>
    <t xml:space="preserve">Rustic Market di Sentul Viral, Wisata Vibes Eropa yang Bisa Diakses Menggunakan Transjakarta - Jawa Pos Metropolitan</t>
  </si>
  <si>
    <t xml:space="preserve">Jawa Pos Metropolitan</t>
  </si>
  <si>
    <t xml:space="preserve">Rustic Market (Valley Market)</t>
  </si>
  <si>
    <t xml:space="preserve">Sentul, Bogor</t>
  </si>
  <si>
    <t xml:space="preserve">Sentul umumnya di Kec. Babakan Madang/Citeureup</t>
  </si>
  <si>
    <t xml:space="preserve">Destinasi viral bernuansa pedesaan Eropa</t>
  </si>
  <si>
    <t xml:space="preserve">https://metropolitan.jawapos.com/aglomerasi/2605050001/rustic-market-di-sentul-viral-wisata-vibes-eropa-yang-bisa-diakses-menggunakan-transjakarta</t>
  </si>
  <si>
    <t xml:space="preserve">metropolitan.jawapos.com</t>
  </si>
  <si>
    <t xml:space="preserve">HUT ke-499 Jakarta, Pramono Pertimbangkan Masuk Ancol dan Ragunan Gratis - merahputih.com</t>
  </si>
  <si>
    <t xml:space="preserve">Dikaji gratis masuk untuk HUT ke-499 Jakarta</t>
  </si>
  <si>
    <t xml:space="preserve">https://www.merahputih.com/post/read/hut-ke-499-jakarta-gubernur-pramono-pertimbangkan-ancol-dan-ragunan-gratis-untuk-warga</t>
  </si>
  <si>
    <t xml:space="preserve">Parkir Liar di Jakarta Masih Menjamur Meski Penertiban Terus Dilakukan - MetroTVNews.com</t>
  </si>
  <si>
    <t xml:space="preserve">2026-05-03</t>
  </si>
  <si>
    <t xml:space="preserve">021</t>
  </si>
  <si>
    <t xml:space="preserve">Tempat FOMO dengan deretan tempat makan viral</t>
  </si>
  <si>
    <t xml:space="preserve">https://www.kompasiana.com/471313/6a96427c34777c2bf57581b3/blok-m-versi-melambat</t>
  </si>
  <si>
    <t xml:space="preserve">Pengusaha Bongkar Alasan Mal Pasang Pagar Tinggi - cnnindonesia.com</t>
  </si>
  <si>
    <t xml:space="preserve">Mal Kota Kasablanka</t>
  </si>
  <si>
    <t xml:space="preserve">Menteng Dalam</t>
  </si>
  <si>
    <t xml:space="preserve">Pagar tinggi mal ramai diperbincangkan warganet</t>
  </si>
  <si>
    <t xml:space="preserve">https://www.cnnindonesia.com/ekonomi/20260801150427-92-1387454/pengusaha-bongkar-alasan-mal-pasang-pagar-tinggi</t>
  </si>
  <si>
    <t xml:space="preserve">Viral Asap Hitam Menyembur Dari Dalam Tanah Di Pasar Baru Jakpus - Detak.co</t>
  </si>
  <si>
    <t xml:space="preserve">Detak.co</t>
  </si>
  <si>
    <t xml:space="preserve">Dago Tea House</t>
  </si>
  <si>
    <t xml:space="preserve">Dago, Bandung</t>
  </si>
  <si>
    <t xml:space="preserve">Dago</t>
  </si>
  <si>
    <t xml:space="preserve">Coblong</t>
  </si>
  <si>
    <t xml:space="preserve">Lokasi rangkaian festival HAN</t>
  </si>
  <si>
    <t xml:space="preserve">https://www.inilah.com/festival-kreasi-budaya-anak-jawa-barat-warnai-peringatan-han-tingkat-jabar-2026</t>
  </si>
  <si>
    <t xml:space="preserve">Event di Jabar Maret-April 2026 Hasilkan Perputaran Ekonomi Ratusan Miliar Rupiah - Bisnis.com</t>
  </si>
  <si>
    <t xml:space="preserve">Bisnis.com</t>
  </si>
  <si>
    <t xml:space="preserve">Trans Studio Mall Bandung (Nailoong Summer Holiday)</t>
  </si>
  <si>
    <t xml:space="preserve">Jl. Gatot Subroto No. 289, Bandung</t>
  </si>
  <si>
    <t xml:space="preserve">Cibangkong</t>
  </si>
  <si>
    <t xml:space="preserve">Batununggal</t>
  </si>
  <si>
    <t xml:space="preserve">Event karakter viral Nailoong</t>
  </si>
  <si>
    <t xml:space="preserve">1-12 Juli 2026</t>
  </si>
  <si>
    <t xml:space="preserve">https://www.cnbcindonesia.com/lifestyle/20260701143701-33-747178/tsm-hadirkan-karakter-viral-nailoong-untuk-pertama-kali-di-bandung</t>
  </si>
  <si>
    <t xml:space="preserve">Rekomendasi Tempat Makan di Kek Tanjung Lesung - Industry.co.id</t>
  </si>
  <si>
    <t xml:space="preserve">Industry.co.id</t>
  </si>
  <si>
    <t xml:space="preserve">Rumah Makan Sunset</t>
  </si>
  <si>
    <t xml:space="preserve">Desa Bulakan, Kecamatan Cinangka, Anyer, Serang</t>
  </si>
  <si>
    <t xml:space="preserve">Bulakan</t>
  </si>
  <si>
    <t xml:space="preserve">Cinangka</t>
  </si>
  <si>
    <t xml:space="preserve">Kabupaten Serang</t>
  </si>
  <si>
    <t xml:space="preserve">Rumah makan seafood di kawasan pantai Anyer</t>
  </si>
  <si>
    <t xml:space="preserve">https://www.tripzilla.id/rumah-makan-keluarga-di-anyer/26863</t>
  </si>
  <si>
    <t xml:space="preserve">Rumah Makan Pawon Ma’inin, Tawarkan Menu Prasmanan Mulai 6 Ribuan - radarbanten.co.id</t>
  </si>
  <si>
    <t xml:space="preserve">radarbanten.co.id</t>
  </si>
  <si>
    <t xml:space="preserve">2026-04-15</t>
  </si>
  <si>
    <t xml:space="preserve">Rumah Makan 195 Seafood</t>
  </si>
  <si>
    <t xml:space="preserve">Anyer, Serang, Banten</t>
  </si>
  <si>
    <t xml:space="preserve">Anyar</t>
  </si>
  <si>
    <t xml:space="preserve">Anyer = Kec. Anyar</t>
  </si>
  <si>
    <t xml:space="preserve">Rumah makan seafood di kawasan Anyer</t>
  </si>
  <si>
    <t xml:space="preserve">Pawon Ma'inin</t>
  </si>
  <si>
    <t xml:space="preserve">Jl. Jenderal Sudirman No. 27, Penancangan, Cipocok Jaya, Kota Serang</t>
  </si>
  <si>
    <t xml:space="preserve">Penancangan</t>
  </si>
  <si>
    <t xml:space="preserve">Cipocok Jaya</t>
  </si>
  <si>
    <t xml:space="preserve">Kota Serang</t>
  </si>
  <si>
    <t xml:space="preserve">Grand opening rumah makan baru</t>
  </si>
  <si>
    <t xml:space="preserve">https://www.radarbanten.co.id/2026/04/15/rumah-makan-pawon-mainin-tawarkan-menu-prasmanan-mulai-6-ribuan/</t>
  </si>
  <si>
    <t xml:space="preserve">www.radarbanten.co.id</t>
  </si>
  <si>
    <t xml:space="preserve">Status Gunung Anak Krakatau Turun Jadi Waspada, Pariwisata Banten Dapat Angin Segar - radarbanten.co.id</t>
  </si>
  <si>
    <t xml:space="preserve">Gunung Anak Krakatau</t>
  </si>
  <si>
    <t xml:space="preserve">Selat Sunda, Banten/Lampung</t>
  </si>
  <si>
    <t xml:space="preserve">Di Selat Sunda; secara administratif masuk Lampung Selatan</t>
  </si>
  <si>
    <t xml:space="preserve">Aktivitas gunung dipantau terkait wisata</t>
  </si>
  <si>
    <t xml:space="preserve">https://www.radarbanten.co.id/2026/09/16/pariwisata-banten-terdampak-erupsi-gunung-anak-krakatau-pemprov-siapkan-strategi-pemulihan/</t>
  </si>
  <si>
    <t xml:space="preserve">Wisata Makin Gampang! Ke Baduy Cuma Rp1, Gubernur Banten Luncurkan QRIS Tap - Serangtimur.co.id</t>
  </si>
  <si>
    <t xml:space="preserve">Serangtimur.co.id</t>
  </si>
  <si>
    <t xml:space="preserve">Kawasan Wisata Baduy</t>
  </si>
  <si>
    <t xml:space="preserve">Terminal Ciboleger, Desa Kanekes, Kabupaten Lebak</t>
  </si>
  <si>
    <t xml:space="preserve">Kanekes</t>
  </si>
  <si>
    <t xml:space="preserve">Leuwidamar</t>
  </si>
  <si>
    <t xml:space="preserve">Kabupaten Lebak</t>
  </si>
  <si>
    <t xml:space="preserve">Terminal Ciboleger di Desa Bojongmenteng</t>
  </si>
  <si>
    <t xml:space="preserve">Promo tiket DAMRI Rp1 ke destinasi Baduy</t>
  </si>
  <si>
    <t xml:space="preserve">26 April - 31 Mei 2026</t>
  </si>
  <si>
    <t xml:space="preserve">https://www.serangtimur.co.id/2026/04/wisata-makin-gampang-ke-baduy-cuma-rp1.html</t>
  </si>
  <si>
    <t xml:space="preserve">www.serangtimur.co.id</t>
  </si>
  <si>
    <t xml:space="preserve">Wagub Dimyati: Potensi Pariwisata Banten Tak Kalah dari Bali - Ekbisbanten</t>
  </si>
  <si>
    <t xml:space="preserve">Ekbisbanten</t>
  </si>
  <si>
    <t xml:space="preserve">2026-08-10</t>
  </si>
  <si>
    <t xml:space="preserve">Pantai Sawarna</t>
  </si>
  <si>
    <t xml:space="preserve">Kabupaten Lebak, Banten</t>
  </si>
  <si>
    <t xml:space="preserve">Sawarna</t>
  </si>
  <si>
    <t xml:space="preserve">Bayah</t>
  </si>
  <si>
    <t xml:space="preserve">Destinasi rute DAMRI wisata</t>
  </si>
  <si>
    <t xml:space="preserve">Satu Asa Coffee</t>
  </si>
  <si>
    <t xml:space="preserve">Kota Serang, Banten</t>
  </si>
  <si>
    <t xml:space="preserve">Kedai kopi lokal Serang</t>
  </si>
  <si>
    <t xml:space="preserve">https://ekbisbanten.com/berita/wagub-dimyati-potensi-pariwisata-banten-tak-kalah-dari-bali/</t>
  </si>
  <si>
    <t xml:space="preserve">ekbisbanten.com</t>
  </si>
  <si>
    <t xml:space="preserve">Dispar Banten Siapkan Transformasi Pariwisata Lewat Pengelolaan Situ dan QR Code - Faktabanten.co.id</t>
  </si>
  <si>
    <t xml:space="preserve">Faktabanten.co.id</t>
  </si>
  <si>
    <t xml:space="preserve">Situ Gede</t>
  </si>
  <si>
    <t xml:space="preserve">Kota Tangerang, Banten</t>
  </si>
  <si>
    <t xml:space="preserve">Wisata danau</t>
  </si>
  <si>
    <t xml:space="preserve">https://faktabanten.co.id/daerah/dispar-banten-siapkan-transformasi-pariwisata-lewat-pengelolaan-situ-dan-qr-code/</t>
  </si>
  <si>
    <t xml:space="preserve">faktabanten.co.id</t>
  </si>
  <si>
    <t xml:space="preserve">Exciting Banten Festival 2026 jadi Ajang Promosi Wisata dan UMKM - radarbanten.co.id</t>
  </si>
  <si>
    <t xml:space="preserve">Situ Cikoncang</t>
  </si>
  <si>
    <t xml:space="preserve">Kecamatan Wanasalam, Kabupaten Lebak</t>
  </si>
  <si>
    <t xml:space="preserve">Wanasalam</t>
  </si>
  <si>
    <t xml:space="preserve">Exciting Banten Festival 2026</t>
  </si>
  <si>
    <t xml:space="preserve">Pantai Cibeureum, Anyer, Serang</t>
  </si>
  <si>
    <t xml:space="preserve">Anyer dipakai longgar; pantai bisa di Kec. Cinangka</t>
  </si>
  <si>
    <t xml:space="preserve">Festival pariwisata Banten</t>
  </si>
  <si>
    <t xml:space="preserve">27-28 Juni 2026</t>
  </si>
  <si>
    <t xml:space="preserve">https://www.radarbanten.co.id/2026/06/28/exciting-banten-festival-2026-jadi-ajang-promosi-wisata-dan-umkm/</t>
  </si>
  <si>
    <t xml:space="preserve">Pasien Darurat yang Viral karena Ambulans Terhalang BYD Meninggal Dunia - Gerbang Patriot</t>
  </si>
  <si>
    <t xml:space="preserve">Gerbang Patriot</t>
  </si>
  <si>
    <t xml:space="preserve">Festival Mustika Rasa</t>
  </si>
  <si>
    <t xml:space="preserve">Museum Multatuli, Rangkasbitung, Lebak</t>
  </si>
  <si>
    <t xml:space="preserve">Rangkasbitung</t>
  </si>
  <si>
    <t xml:space="preserve">Festival kuliner nusantara</t>
  </si>
  <si>
    <t xml:space="preserve">16-20 Juni 2026</t>
  </si>
  <si>
    <t xml:space="preserve">https://regional.kompas.com/read/2026/06/16/223905078/terinspirasi-buku-bung-karno-festival-mustika-rasa-hadirkan-kuliner-banten?page=all</t>
  </si>
  <si>
    <t xml:space="preserve">Balai Pelestarian Kebudayaan Ajak Masyarakat Jaga Situs Bersejarah di Banten - RRI.co.id</t>
  </si>
  <si>
    <t xml:space="preserve">2026-05-18</t>
  </si>
  <si>
    <t xml:space="preserve">Museum Multatuli</t>
  </si>
  <si>
    <t xml:space="preserve">Rangkasbitung, Kabupaten Lebak</t>
  </si>
  <si>
    <t xml:space="preserve">Lokasi Festival Mustika Rasa</t>
  </si>
  <si>
    <t xml:space="preserve">Pameran Nasional Pusaka Nusantara 2026</t>
  </si>
  <si>
    <t xml:space="preserve">Museum Negeri Provinsi Banten, Kota Serang</t>
  </si>
  <si>
    <t xml:space="preserve">Pameran pusaka nasional</t>
  </si>
  <si>
    <t xml:space="preserve">27 Juli - 20 Agustus 2026</t>
  </si>
  <si>
    <t xml:space="preserve">https://beritabanten.com/golok-ciomas-tak-lagi-sekadar-pusaka-kini-jadi-wajah-banten-di-panggung-nasional/</t>
  </si>
  <si>
    <t xml:space="preserve">beritabanten.com</t>
  </si>
  <si>
    <t xml:space="preserve">Bukan Editan! Curug Cross di Serang Banten Pamer Air Biru Sebening Kaca, Auto Viral - TribunStyle.com</t>
  </si>
  <si>
    <t xml:space="preserve">TribunStyle.com</t>
  </si>
  <si>
    <t xml:space="preserve">Curug Cross</t>
  </si>
  <si>
    <t xml:space="preserve">Desa Cibojong, Kecamatan Padarincang, Kabupaten Serang</t>
  </si>
  <si>
    <t xml:space="preserve">Cibojong</t>
  </si>
  <si>
    <t xml:space="preserve">Padarincang</t>
  </si>
  <si>
    <t xml:space="preserve">Air terjun yang auto viral di media sosial</t>
  </si>
  <si>
    <t xml:space="preserve">https://style.tribunnews.com/life/376683/bukan-editan-curug-cross-di-serang-banten-pamer-air-biru-sebening-kaca-auto-viral</t>
  </si>
  <si>
    <t xml:space="preserve">style.tribunnews.com</t>
  </si>
  <si>
    <t xml:space="preserve">Viral Dugaan Ritual Satanik dalam Pertunjukan Karnaval, Pemkab Pekalongan Tuntut Klarifikasi Panitia SKNC 2026 - Banten Ekspose - Banten Ekspose</t>
  </si>
  <si>
    <t xml:space="preserve">Banten Ekspose</t>
  </si>
  <si>
    <t xml:space="preserve">Bukit Waruwangi</t>
  </si>
  <si>
    <t xml:space="preserve">Kabupaten Serang, Banten</t>
  </si>
  <si>
    <t xml:space="preserve">Wisata perbukitan</t>
  </si>
  <si>
    <t xml:space="preserve">Rustic Market Explore The Museum</t>
  </si>
  <si>
    <t xml:space="preserve">Jalan Raya Bojong Koneng, Babakan Madang, Kabupaten Bogor</t>
  </si>
  <si>
    <t xml:space="preserve">Viral sejak akhir 2025, nuansa pedesaan Eropa</t>
  </si>
  <si>
    <t xml:space="preserve">Sejak akhir 2025</t>
  </si>
  <si>
    <t xml:space="preserve">https://www.bantenraya.com/ekonomi-bisnis/16056013/rustic-market-explore-the-museum</t>
  </si>
  <si>
    <t xml:space="preserve">www.bantenraya.com</t>
  </si>
  <si>
    <t xml:space="preserve">Gara-gara Bedak dan Parfum Hilang, Warga di Lebak Dipaksa Sumpah Sambil Injak Al-Qur’an - Pandeglang News - Pandeglang News</t>
  </si>
  <si>
    <t xml:space="preserve">Pandeglang News</t>
  </si>
  <si>
    <t xml:space="preserve">022</t>
  </si>
  <si>
    <t xml:space="preserve">Pasar Ciputat</t>
  </si>
  <si>
    <t xml:space="preserve">Ciputat, Tangerang Selatan</t>
  </si>
  <si>
    <t xml:space="preserve">Ciputat</t>
  </si>
  <si>
    <t xml:space="preserve">Kebakaran ruko pasar viral di media sosial (isu negatif)</t>
  </si>
  <si>
    <t xml:space="preserve">https://news.okezone.com/read/2026/07/22/338/3231748/kebakaran-landa-pasar-ciputat-tangsel</t>
  </si>
  <si>
    <t xml:space="preserve">news.okezone.com</t>
  </si>
  <si>
    <t xml:space="preserve">Soal Viral Penyiraman Air, Polsek Pasar Kemis Klarifikasi Terduga Penyiram - Detik Perkara</t>
  </si>
  <si>
    <t xml:space="preserve">Detik Perkara</t>
  </si>
  <si>
    <t xml:space="preserve">Jembatan Merah Putih Presisi</t>
  </si>
  <si>
    <t xml:space="preserve">Kampung Ilat, Desa Pangadegan, Kecamatan Pasar Kemis, Kabupaten Tangerang</t>
  </si>
  <si>
    <t xml:space="preserve">Pangadegan</t>
  </si>
  <si>
    <t xml:space="preserve">Pasar Kemis</t>
  </si>
  <si>
    <t xml:space="preserve">Jembatan yang robohnya sempat viral kini dibangun ulang Polda Banten</t>
  </si>
  <si>
    <t xml:space="preserve">https://tangerangekspres.disway.id/tangerang-hub/read/38514/dari-jembatan-bambu-yang-bikin-was-was-kini-menjadi-asa-kisah-sukses-polri-bangun-jembatan-merah-putih</t>
  </si>
  <si>
    <t xml:space="preserve">tangerangekspres.disway.id</t>
  </si>
  <si>
    <t xml:space="preserve">Festival Tabuh Bedug Digelar di Teluknaga, Gubernur Banten Dorong Jadi Event Nasional - Suara.com</t>
  </si>
  <si>
    <t xml:space="preserve">Shafara X Digiwara Festival 2026</t>
  </si>
  <si>
    <t xml:space="preserve">Bintaro Jaya Xchange, Tangerang Selatan</t>
  </si>
  <si>
    <t xml:space="preserve">Pondok Jaya</t>
  </si>
  <si>
    <t xml:space="preserve">Pondok Aren</t>
  </si>
  <si>
    <t xml:space="preserve">Festival ekonomi syariah dan digital dengan booth UMKM</t>
  </si>
  <si>
    <t xml:space="preserve">22-24 Mei 2026</t>
  </si>
  <si>
    <t xml:space="preserve">https://rri.co.id/banten/regional/2429766/bank-indonesia-akan-gelar-safara-x-digiwara-festival-2026</t>
  </si>
  <si>
    <t xml:space="preserve">Rafi Sudirman, Continues to Explore - Kompas.id</t>
  </si>
  <si>
    <t xml:space="preserve">Bintaro Jaya XChange Mall, Kota Tangerang Selatan</t>
  </si>
  <si>
    <t xml:space="preserve">Festival gabungan ekonomi syariah dan digital pertama kali</t>
  </si>
  <si>
    <t xml:space="preserve">22 Mei 2026</t>
  </si>
  <si>
    <t xml:space="preserve">https://www.radarbanten.co.id/2026/05/23/bi-banten-gelar-shafara-festival-dan-digiwara-festival-2026/</t>
  </si>
  <si>
    <t xml:space="preserve">Suara Nusantara Banten Hidupkan Kembali Cerita Rakyat Daerah - RRI.co.id</t>
  </si>
  <si>
    <t xml:space="preserve">Bengkel Koewe</t>
  </si>
  <si>
    <t xml:space="preserve">Kencana Loka, BSD, Tangerang Selatan</t>
  </si>
  <si>
    <t xml:space="preserve">Usaha rumahan ice cream cake slice yang viral menjelang Lebaran 2026</t>
  </si>
  <si>
    <t xml:space="preserve">Menjelang Lebaran 2026</t>
  </si>
  <si>
    <t xml:space="preserve">https://tangselpos.id/detail/48718/dari-rumah-jadi-viral-bengkel-koewe-suguhkan-ice-cream-cake-unik-di-bsd</t>
  </si>
  <si>
    <t xml:space="preserve">tangselpos.id</t>
  </si>
  <si>
    <t xml:space="preserve">10 Rumah Makan Ayam Goreng di Purwokerto, Dari Legendaris Hingga Viral - tripzilla.id</t>
  </si>
  <si>
    <t xml:space="preserve">Jl. Yos Sudarso No.34, Rejasari, Purwokerto Barat, Banyumas</t>
  </si>
  <si>
    <t xml:space="preserve">Rejasari</t>
  </si>
  <si>
    <t xml:space="preserve">Purwokerto Barat</t>
  </si>
  <si>
    <t xml:space="preserve">Rumah makan ayam goreng kampung legendaris</t>
  </si>
  <si>
    <t xml:space="preserve">https://www.tripzilla.id/ayam-goreng-purwokerto/27665</t>
  </si>
  <si>
    <t xml:space="preserve">⁠7 Kuliner Legendaris Semarang yang Usianya Lebih Tua dari Indonesia - detikFood</t>
  </si>
  <si>
    <t xml:space="preserve">2026-09-06</t>
  </si>
  <si>
    <t xml:space="preserve">Ayam Goreng Tantene</t>
  </si>
  <si>
    <t xml:space="preserve">Jl. Raya Beji Karangsalam, Kedungbanteng, Banyumas</t>
  </si>
  <si>
    <t xml:space="preserve">Karangsalam</t>
  </si>
  <si>
    <t xml:space="preserve">Kedungbanteng</t>
  </si>
  <si>
    <t xml:space="preserve">Ayam goreng legendaris dengan view sawah</t>
  </si>
  <si>
    <t xml:space="preserve">Ayam Goreng Kaliandra</t>
  </si>
  <si>
    <t xml:space="preserve">Purwokerto (ibu kota Banyumas) mencakup 4 kecamatan</t>
  </si>
  <si>
    <t xml:space="preserve">Rumah makan ayam goreng favorit warga</t>
  </si>
  <si>
    <t xml:space="preserve">Toko Oen</t>
  </si>
  <si>
    <t xml:space="preserve">Jalan Pemuda Nomor 52, Semarang</t>
  </si>
  <si>
    <t xml:space="preserve">Semarang Tengah</t>
  </si>
  <si>
    <t xml:space="preserve">Kota Semarang</t>
  </si>
  <si>
    <t xml:space="preserve">Kuliner legendaris sejak 1936, es krim klasik</t>
  </si>
  <si>
    <t xml:space="preserve">https://food.detik.com/tempat-makan/d-8650324/7-kuliner-legendaris-semarang-yang-usianya-lebih-tua-dari-indonesia</t>
  </si>
  <si>
    <t xml:space="preserve">7 Tempat Makan Murah di Kendal yang Enak, Ada yang Eksis Sejak 1985! - Hipwee</t>
  </si>
  <si>
    <t xml:space="preserve">Lumpia Mbak Lien</t>
  </si>
  <si>
    <t xml:space="preserve">Semarang</t>
  </si>
  <si>
    <t xml:space="preserve">Lumpia legendaris sejak 1930-an</t>
  </si>
  <si>
    <t xml:space="preserve">Sate Bumbon H. Rochmad</t>
  </si>
  <si>
    <t xml:space="preserve">Depan exit tol Kendal, Sureman, Margomulyo, Kec. Pegandon, Kabupaten Kendal</t>
  </si>
  <si>
    <t xml:space="preserve">Margomulyo</t>
  </si>
  <si>
    <t xml:space="preserve">Pegandon</t>
  </si>
  <si>
    <t xml:space="preserve">Kabupaten Kendal</t>
  </si>
  <si>
    <t xml:space="preserve">Pelopor sate bumbon sejak 1985</t>
  </si>
  <si>
    <t xml:space="preserve">https://www.hipwee.com/travel/tempat-makan-murah-di-kendal/</t>
  </si>
  <si>
    <t xml:space="preserve">10 Tempat Makan Legendaris di Solo, Dari Tengkleng Hingga Selat Solo - tripzilla.id</t>
  </si>
  <si>
    <t xml:space="preserve">Aldila Resto</t>
  </si>
  <si>
    <t xml:space="preserve">Tempat makan murah nyaman untuk keluarga</t>
  </si>
  <si>
    <t xml:space="preserve">Selat Solo Mbak Lies</t>
  </si>
  <si>
    <t xml:space="preserve">Jl. Yudhistira No.9, Serengan, Kota Surakarta</t>
  </si>
  <si>
    <t xml:space="preserve">Serengan</t>
  </si>
  <si>
    <t xml:space="preserve">Restoran selat Solo legendaris sejak 1987</t>
  </si>
  <si>
    <t xml:space="preserve">https://www.tripzilla.id/tempat-makan-legendaris-solo/27677</t>
  </si>
  <si>
    <t xml:space="preserve">Wisata Kuliner Magelang, Tempat Makan Hits Paling Wajib diKunjungi, Berikut Informasi Selengkapnya - jogja.disway.id - Disway Jogja</t>
  </si>
  <si>
    <t xml:space="preserve">Soto Gading</t>
  </si>
  <si>
    <t xml:space="preserve">Jl. Brigjen Sudiarto No.75, Joyosuran, Pasar Kliwon, Kota Surakarta</t>
  </si>
  <si>
    <t xml:space="preserve">Joyosuran</t>
  </si>
  <si>
    <t xml:space="preserve">Pasar Kliwon</t>
  </si>
  <si>
    <t xml:space="preserve">Soto legendaris sejak 1974 langganan Jokowi</t>
  </si>
  <si>
    <t xml:space="preserve">Es Dawet Telasih Bu Dermi</t>
  </si>
  <si>
    <t xml:space="preserve">Solo</t>
  </si>
  <si>
    <t xml:space="preserve">Dawet legendaris sejak 1930</t>
  </si>
  <si>
    <t xml:space="preserve">Nasi Babat Kampung Malang</t>
  </si>
  <si>
    <t xml:space="preserve">Jalan Kedungsari No.27, Wonorejo, Tegalsari, Surabaya</t>
  </si>
  <si>
    <t xml:space="preserve">Wonorejo</t>
  </si>
  <si>
    <t xml:space="preserve">Tegalsari</t>
  </si>
  <si>
    <t xml:space="preserve">Kuliner malam legendaris yang selalu ramai</t>
  </si>
  <si>
    <t xml:space="preserve">https://travel.tribunnews.com/kuliner/143579/5-kuliner-legendaris-surabaya-buat-makan-malam-enak-dan-murah</t>
  </si>
  <si>
    <t xml:space="preserve">7 Tempat Makan Favorit di Cilandak, Ada yang Eksis Sejak 1978! - detikFood</t>
  </si>
  <si>
    <t xml:space="preserve">Penyetan Bang Ali Simpang Darmo</t>
  </si>
  <si>
    <t xml:space="preserve">Simpang Darmo, Surabaya</t>
  </si>
  <si>
    <t xml:space="preserve">Penyetan dengan sambal pedas</t>
  </si>
  <si>
    <t xml:space="preserve">Mie Ayam Pangsit H. Batong</t>
  </si>
  <si>
    <t xml:space="preserve">Jalan H. Batong I No.89, Cilandak Barat, Jakarta Selatan</t>
  </si>
  <si>
    <t xml:space="preserve">Cilandak Barat</t>
  </si>
  <si>
    <t xml:space="preserve">Mie ayam sejak 1978</t>
  </si>
  <si>
    <t xml:space="preserve">https://food.detik.com/tempat-makan/d-8530075/7-tempat-makan-favorit-di-cilandak-ada-yang-eksis-sejak-1978</t>
  </si>
  <si>
    <t xml:space="preserve">5 Mie Ayam Viral di Solo, Jawa Tengah yang Wajib Dicoba, Mulai Rp 8.000 - Tribun Travel</t>
  </si>
  <si>
    <t xml:space="preserve">Mie Ayam dan Bakso Worth It</t>
  </si>
  <si>
    <t xml:space="preserve">Jalan Awan, Jebres, Surakarta</t>
  </si>
  <si>
    <t xml:space="preserve">Jebres</t>
  </si>
  <si>
    <t xml:space="preserve">Masuk rekomendasi mie ayam viral di Solo, topping mozzarella dan chili oil</t>
  </si>
  <si>
    <t xml:space="preserve">https://travel.tribunnews.com/kuliner/143435/5-mie-ayam-viral-di-solo-jawa-tengah-yang-wajib-dicoba-mulai-rp-8000</t>
  </si>
  <si>
    <t xml:space="preserve">13 Restoran di Magelang Yang Memanjakan Lidah Dan Punya Pemandangan Cantik - tripzilla.id</t>
  </si>
  <si>
    <t xml:space="preserve">2026-06-06</t>
  </si>
  <si>
    <t xml:space="preserve">Mie Ayam Kita Solo</t>
  </si>
  <si>
    <t xml:space="preserve">Viral karena kuahnya yang manis medok dan kental</t>
  </si>
  <si>
    <t xml:space="preserve">Truntum Gasblock Borobudur</t>
  </si>
  <si>
    <t xml:space="preserve">Bumen Djelapan, Karangrejo, Kec. Borobudur, Kabupaten Magelang</t>
  </si>
  <si>
    <t xml:space="preserve">Karangrejo</t>
  </si>
  <si>
    <t xml:space="preserve">Borobudur</t>
  </si>
  <si>
    <t xml:space="preserve">Kabupaten Magelang</t>
  </si>
  <si>
    <t xml:space="preserve">Restoran di tengah hamparan jagung dan pepohonan</t>
  </si>
  <si>
    <t xml:space="preserve">https://www.tripzilla.id/restoran-di-magelang/27185</t>
  </si>
  <si>
    <t xml:space="preserve">14 Rekomendasi Makanan di Solo yang Murah dan Enak, Kuliner Khas Wajib Dicoba! - detikcom</t>
  </si>
  <si>
    <t xml:space="preserve">Puunee Borobudur</t>
  </si>
  <si>
    <t xml:space="preserve">Sikepan, Mendut, Kec. Mungkid, Kabupaten Magelang</t>
  </si>
  <si>
    <t xml:space="preserve">Mendut</t>
  </si>
  <si>
    <t xml:space="preserve">Mungkid</t>
  </si>
  <si>
    <t xml:space="preserve">Restoran tepi sungai</t>
  </si>
  <si>
    <t xml:space="preserve">FAy Garden (Saung Makan Bu Empat)</t>
  </si>
  <si>
    <t xml:space="preserve">Ngrajek, Kec. Borobudur, Kabupaten Magelang</t>
  </si>
  <si>
    <t xml:space="preserve">Ngrajek</t>
  </si>
  <si>
    <t xml:space="preserve">Ngrajek mungkin masuk Kec. Mungkid; mengikuti teks</t>
  </si>
  <si>
    <t xml:space="preserve">Restoran bernuansa alam dengan perahu</t>
  </si>
  <si>
    <t xml:space="preserve">Nasi Liwet Keprabon</t>
  </si>
  <si>
    <t xml:space="preserve">Keprabon, Solo</t>
  </si>
  <si>
    <t xml:space="preserve">Kuliner malam ikonik sejak 1950</t>
  </si>
  <si>
    <t xml:space="preserve">https://www.detik.com/jateng/kuliner/d-8471054/14-rekomendasi-makanan-di-solo-yang-murah-dan-enak-kuliner-khas-wajib-dicoba</t>
  </si>
  <si>
    <t xml:space="preserve">5 Warung Makan Hits di Jakarta, Ada Spesialis Sambal hingga Nasi Bali Halal - detikFood</t>
  </si>
  <si>
    <t xml:space="preserve">Timlo Sastro</t>
  </si>
  <si>
    <t xml:space="preserve">Timlo khas Solo untuk sarapan</t>
  </si>
  <si>
    <t xml:space="preserve">Warung Bali Pak Gede</t>
  </si>
  <si>
    <t xml:space="preserve">Dekat stasiun MRT Haji Nawi, Jakarta Selatan</t>
  </si>
  <si>
    <t xml:space="preserve">Dekat Stasiun MRT Haji Nawi (Jl. Fatmawati)</t>
  </si>
  <si>
    <t xml:space="preserve">Nasi campur Bali halal yang ramai diburu</t>
  </si>
  <si>
    <t xml:space="preserve">https://food.detik.com/warung-makan/d-8497945/5-warung-makan-hits-di-jakarta-ada-spesialis-sambal-hingga-nasi-bali-halal</t>
  </si>
  <si>
    <t xml:space="preserve">8 Kuliner dan Tempat Makan di Pasar Johar Semarang Yang Bikin Kenyang dan Segar - tripzilla.id</t>
  </si>
  <si>
    <t xml:space="preserve">Waroeng SS</t>
  </si>
  <si>
    <t xml:space="preserve">Tanjung Duren Utara, Jakarta Barat</t>
  </si>
  <si>
    <t xml:space="preserve">Tanjung Duren Utara</t>
  </si>
  <si>
    <t xml:space="preserve">Warung dengan 31 pilihan sambal</t>
  </si>
  <si>
    <t xml:space="preserve">Kofi Djohar</t>
  </si>
  <si>
    <t xml:space="preserve">Pasar Johar Baru (Kauman), Semarang Tengah, Kota Semarang</t>
  </si>
  <si>
    <t xml:space="preserve">Kedai kopi populer di Pasar Johar</t>
  </si>
  <si>
    <t xml:space="preserve">https://www.tripzilla.id/kuliner-pasar-johar-semarang/27048</t>
  </si>
  <si>
    <t xml:space="preserve">6 Tempat Makan 'Ndeso' di Tangerang buat Long Weekend Bareng Keluarga - detikFood</t>
  </si>
  <si>
    <t xml:space="preserve">Sate Kambing Bu Amini</t>
  </si>
  <si>
    <t xml:space="preserve">Pasar Johar Tengah lantai 2, Kauman, Semarang</t>
  </si>
  <si>
    <t xml:space="preserve">Sate kambing legendaris</t>
  </si>
  <si>
    <t xml:space="preserve">Es Gempol Kencono</t>
  </si>
  <si>
    <t xml:space="preserve">Pasar Johar, Semarang</t>
  </si>
  <si>
    <t xml:space="preserve">Minuman tradisional es gempol</t>
  </si>
  <si>
    <t xml:space="preserve">Warung Kondre</t>
  </si>
  <si>
    <t xml:space="preserve">Warung nuansa rumah Jawa milik Andre Taulany</t>
  </si>
  <si>
    <t xml:space="preserve">https://food.detik.com/tempat-makan/d-8487993/6-tempat-makan-ndeso-di-tangerang-buat-long-weekend-bareng-keluarga</t>
  </si>
  <si>
    <t xml:space="preserve">10 Kafe di Magelang Dari Instagramable Hingga Punya View Alam - tripzilla.id</t>
  </si>
  <si>
    <t xml:space="preserve">Warung Tuman</t>
  </si>
  <si>
    <t xml:space="preserve">BSD, Tangerang</t>
  </si>
  <si>
    <t xml:space="preserve">BSD melintasi Kab. Tangerang dan Kota Tangerang Selatan</t>
  </si>
  <si>
    <t xml:space="preserve">Viral karena konsep tradisional tersembunyi dengan menu Minang</t>
  </si>
  <si>
    <t xml:space="preserve">EloProgo</t>
  </si>
  <si>
    <t xml:space="preserve">Dusun 1, Wanurejo, Kec. Borobudur, Kabupaten Magelang</t>
  </si>
  <si>
    <t xml:space="preserve">Wanurejo</t>
  </si>
  <si>
    <t xml:space="preserve">Kafe populer dengan galeri seni di tepi sungai</t>
  </si>
  <si>
    <t xml:space="preserve">https://www.tripzilla.id/kafe-di-magelang/27079</t>
  </si>
  <si>
    <t xml:space="preserve">14 Tempat Makan Babi di Solo dan Sukoharjo: Rasanya Khas, Juicy, dan Nendang! - detikcom</t>
  </si>
  <si>
    <t xml:space="preserve">Ngrajek II, Ngrajek, Kec. Borobudur, Kabupaten Magelang</t>
  </si>
  <si>
    <t xml:space="preserve">Kafe alam dengan wahana perahu</t>
  </si>
  <si>
    <t xml:space="preserve">Melek Huruf</t>
  </si>
  <si>
    <t xml:space="preserve">Magelang</t>
  </si>
  <si>
    <t xml:space="preserve">Magelang ambigu: Kota atau Kabupaten Magelang</t>
  </si>
  <si>
    <t xml:space="preserve">Library cafe</t>
  </si>
  <si>
    <t xml:space="preserve">Mie dan Babi Tepi Sawah</t>
  </si>
  <si>
    <t xml:space="preserve">Sukoharjo, Jawa Tengah</t>
  </si>
  <si>
    <t xml:space="preserve">Kabupaten Sukoharjo</t>
  </si>
  <si>
    <t xml:space="preserve">Viral video akses jalan warung ditutup tumpukan tanah dan penolakan warga (isu negatif)</t>
  </si>
  <si>
    <t xml:space="preserve">16 April 2026</t>
  </si>
  <si>
    <t xml:space="preserve">https://www.detik.com/jateng/berita/d-8449575/sederet-fakta-soal-warung-babi-yang-ditolak-warga-di-sukoharjo</t>
  </si>
  <si>
    <t xml:space="preserve">7 Tempat Wisata Pegunungan Sejuk di Jawa Tengah Selain Dieng - detikTravel</t>
  </si>
  <si>
    <t xml:space="preserve">023</t>
  </si>
  <si>
    <t xml:space="preserve">Wisata Alam Posong</t>
  </si>
  <si>
    <t xml:space="preserve">Kaki Gunung Sindoro, Kabupaten Temanggung</t>
  </si>
  <si>
    <t xml:space="preserve">Tlahab</t>
  </si>
  <si>
    <t xml:space="preserve">Kledung</t>
  </si>
  <si>
    <t xml:space="preserve">Kabupaten Temanggung</t>
  </si>
  <si>
    <t xml:space="preserve">Golden sunrise dengan latar deretan gunung</t>
  </si>
  <si>
    <t xml:space="preserve">https://travel.detik.com/domestic-destination/d-8570078/7-tempat-wisata-pegunungan-sejuk-di-jawa-tengah-selain-dieng</t>
  </si>
  <si>
    <t xml:space="preserve">Jateng Targetkan 1.000 Desa Wisata Baru, Daerah Ini Diminta Bersiap - Bisnis.com - Semarang</t>
  </si>
  <si>
    <t xml:space="preserve">Bisnis.com - Semarang</t>
  </si>
  <si>
    <t xml:space="preserve">Lokawisata Baturraden</t>
  </si>
  <si>
    <t xml:space="preserve">Lereng selatan Gunung Slamet, Banyumas</t>
  </si>
  <si>
    <t xml:space="preserve">Karangmangu</t>
  </si>
  <si>
    <t xml:space="preserve">Baturraden</t>
  </si>
  <si>
    <t xml:space="preserve">Destinasi legendaris berudara sejuk</t>
  </si>
  <si>
    <t xml:space="preserve">Pitris Ocean View</t>
  </si>
  <si>
    <t xml:space="preserve">Desa Karangduwur, Kecamatan Ayah, Kabupaten Kebumen</t>
  </si>
  <si>
    <t xml:space="preserve">Karangduwur</t>
  </si>
  <si>
    <t xml:space="preserve">Ayah</t>
  </si>
  <si>
    <t xml:space="preserve">Objek wisata yang tengah viral dengan panorama laut lepas dari ketinggian</t>
  </si>
  <si>
    <t xml:space="preserve">https://travel.kompas.com/read/2026/04/19/171531127/wisata-viral-di-kebumen-pemandangan-laut-lepas-dari-ketinggian-bikin-betah</t>
  </si>
  <si>
    <t xml:space="preserve">Wisata Negeri Kahyangan Magelang 2026, Destinasi Viral di Lereng Merbabu Paling Menakjubkan - jogja.disway.id - Disway Jogja</t>
  </si>
  <si>
    <t xml:space="preserve">2026-05-11</t>
  </si>
  <si>
    <t xml:space="preserve">Negeri Kahyangan</t>
  </si>
  <si>
    <t xml:space="preserve">Lereng Gunung Merbabu, Kabupaten Magelang</t>
  </si>
  <si>
    <t xml:space="preserve">Viral di media sosial berkat jalan menanjak "Tol Khayangan"</t>
  </si>
  <si>
    <t xml:space="preserve">https://jogja.disway.id/wisata/read/699063/wisata-negeri-kahyangan-magelang-2026-destinasi-viral-di-lereng-merbabu-paling-menakjubkan</t>
  </si>
  <si>
    <t xml:space="preserve">Harga Tiket Masuk Solo Safari, Tempat Ketemu Orang Utan Didi yang Viral - Tribun Travel</t>
  </si>
  <si>
    <t xml:space="preserve">Solo Safari</t>
  </si>
  <si>
    <t xml:space="preserve">Di kawasan eks Taman Satwa Taru Jurug</t>
  </si>
  <si>
    <t xml:space="preserve">Tempat wisata naik daun, orang utan Didi yang kabur viral di media sosial</t>
  </si>
  <si>
    <t xml:space="preserve">https://travel.tribunnews.com/destinasi/144389/harga-tiket-masuk-solo-safari-tempat-ketemu-orang-utan-didi-yang-viral</t>
  </si>
  <si>
    <t xml:space="preserve">Viral Video Pendakian Warga Saat Gunung Merapi Status Siaga, Bagaimana Duduk Perkaranya? - Kompas.id</t>
  </si>
  <si>
    <t xml:space="preserve">Jalur pendakian Gunung Merapi via Selo</t>
  </si>
  <si>
    <t xml:space="preserve">Kecamatan Selo, Kabupaten Boyolali</t>
  </si>
  <si>
    <t xml:space="preserve">Selo</t>
  </si>
  <si>
    <t xml:space="preserve">Kabupaten Boyolali</t>
  </si>
  <si>
    <t xml:space="preserve">Viral video pendakian warga saat status Siaga (isu negatif)</t>
  </si>
  <si>
    <t xml:space="preserve">30 Juni 2026</t>
  </si>
  <si>
    <t xml:space="preserve">https://www.kompas.id/artikel/viral-video-pendakian-warga-saat-gunung-merapi-masih-siaga-bagiamana-duduk-perkaranya</t>
  </si>
  <si>
    <t xml:space="preserve">www.kompas.id</t>
  </si>
  <si>
    <t xml:space="preserve">Perahu Tradisional Hingga Wisata Dadakan di Sungai Serayu yang Surut - rmol jateng</t>
  </si>
  <si>
    <t xml:space="preserve">rmol jateng</t>
  </si>
  <si>
    <t xml:space="preserve">2026-07-26</t>
  </si>
  <si>
    <t xml:space="preserve">Wisata perahu Sungai Serayu Desa Srowot</t>
  </si>
  <si>
    <t xml:space="preserve">Desa Srowot, Kecamatan Kalibagor, Kabupaten Banyumas</t>
  </si>
  <si>
    <t xml:space="preserve">Srowot</t>
  </si>
  <si>
    <t xml:space="preserve">Kalibagor</t>
  </si>
  <si>
    <t xml:space="preserve">Video menyusuri sungai surut viral di TikTok dan Instagram</t>
  </si>
  <si>
    <t xml:space="preserve">Musim kemarau 2026</t>
  </si>
  <si>
    <t xml:space="preserve">https://www.rmoljawatengah.id/dari-perahu-tradisional-hingga-wisata-dadakan-sungai-serayu</t>
  </si>
  <si>
    <t xml:space="preserve">www.rmoljawatengah.id</t>
  </si>
  <si>
    <t xml:space="preserve">Kopdes Merah Putih “di Atas Awan” Lereng Gunung Prau, Warganet Soroti Potensi Wisata Desa - Sumut Pos</t>
  </si>
  <si>
    <t xml:space="preserve">Pony Park Klaten</t>
  </si>
  <si>
    <t xml:space="preserve">Klaten, Jawa Tengah</t>
  </si>
  <si>
    <t xml:space="preserve">Kabupaten Klaten</t>
  </si>
  <si>
    <t xml:space="preserve">Tempat wisata baru dan viral, mini zoo ramah anak</t>
  </si>
  <si>
    <t xml:space="preserve">Opening 28 Juni 2026</t>
  </si>
  <si>
    <t xml:space="preserve">https://travel.tribunnews.com/destinasi/143669/harga-tiket-masuk-pony-park-wisata-terbaru-di-klaten-untuk-libur-sekolah</t>
  </si>
  <si>
    <t xml:space="preserve">Sungai Serayu Banyumas Surut, Wisata Perahu Dadakan Panen Cuan - detikcom</t>
  </si>
  <si>
    <t xml:space="preserve">Wadas Cinta Carik (wisata perahu Sungai Serayu)</t>
  </si>
  <si>
    <t xml:space="preserve">Desa Srowot, Kecamatan Kalibagor, Banyumas</t>
  </si>
  <si>
    <t xml:space="preserve">Kawasan ramai setelah viral di media sosial, wisata perahu sunset dadakan</t>
  </si>
  <si>
    <t xml:space="preserve">https://www.detik.com/jateng/wisata/d-8585907/sungai-serayu-banyumas-surut-wisata-perahu-dadakan-panen-cuan</t>
  </si>
  <si>
    <t xml:space="preserve">Viral Juru Parkir Kepruk Tarif Rp 10 Ribu di Tahir Solo Museum - detikcom</t>
  </si>
  <si>
    <t xml:space="preserve">2026-08-14</t>
  </si>
  <si>
    <t xml:space="preserve">Tahir Museum Solo</t>
  </si>
  <si>
    <t xml:space="preserve">Viral keluhan tarif parkir ngepruk Rp10 ribu di sekitar museum (isu negatif)</t>
  </si>
  <si>
    <t xml:space="preserve">14 Agustus 2026</t>
  </si>
  <si>
    <t xml:space="preserve">https://www.detik.com/jateng/berita/d-8618566/viral-juru-parkir-kepruk-tarif-rp-10-ribu-di-tahir-solo-museum</t>
  </si>
  <si>
    <t xml:space="preserve">11 Objek Wisata di Solo untuk Liburan Seru, Yuk Kunjungi! - Pegadaian</t>
  </si>
  <si>
    <t xml:space="preserve">Pegadaian</t>
  </si>
  <si>
    <t xml:space="preserve">Museum Keris Nusantara</t>
  </si>
  <si>
    <t xml:space="preserve">Sriwedari</t>
  </si>
  <si>
    <t xml:space="preserve">Laweyan</t>
  </si>
  <si>
    <t xml:space="preserve">Koleksi ratusan keris dari berbagai periode</t>
  </si>
  <si>
    <t xml:space="preserve">https://pegadaian.co.id/artikel/inspirasi/wisata-di-solo</t>
  </si>
  <si>
    <t xml:space="preserve">pegadaian.co.id</t>
  </si>
  <si>
    <t xml:space="preserve">5 Tempat Beli Oleh-oleh Lengkap di Semarang, Moaci hingga Lunpia - Tribun Travel</t>
  </si>
  <si>
    <t xml:space="preserve">Keraton Surakarta Hadiningrat</t>
  </si>
  <si>
    <t xml:space="preserve">Baluwarti</t>
  </si>
  <si>
    <t xml:space="preserve">Istana bersejarah kelanjutan Mataram Islam</t>
  </si>
  <si>
    <t xml:space="preserve">Kampoeng Semarang</t>
  </si>
  <si>
    <t xml:space="preserve">Pusat oleh-oleh lengkap</t>
  </si>
  <si>
    <t xml:space="preserve">https://travel.tribunnews.com/shopping/142829/5-tempat-beli-oleh-oleh-lengkap-di-semarang-moaci-hingga-lunpia</t>
  </si>
  <si>
    <t xml:space="preserve">5 Tempat Beli Biji Kopi di Solo, Lengkap dari Lokal hingga Impor - Tribun Travel</t>
  </si>
  <si>
    <t xml:space="preserve">Toko Kopi Podjok</t>
  </si>
  <si>
    <t xml:space="preserve">Jalan Utara Pasar Besar No.20, Sudiroprajan, Jebres, Kota Solo</t>
  </si>
  <si>
    <t xml:space="preserve">Sudiroprajan</t>
  </si>
  <si>
    <t xml:space="preserve">Toko kopi legendaris sejak 1947 yang sering antre</t>
  </si>
  <si>
    <t xml:space="preserve">https://travel.tribunnews.com/shopping/142828/5-tempat-beli-biji-kopi-di-solo-lengkap-dari-lokal-hingga-impor</t>
  </si>
  <si>
    <t xml:space="preserve">Juru Parkir Pasar Johar Semarang Dipecat Usai Viral Tarif Ngepruk - detikcom</t>
  </si>
  <si>
    <t xml:space="preserve">Cafe Gaharu Coffee Shop Solo</t>
  </si>
  <si>
    <t xml:space="preserve">Jalan Malabar Raya No.32, Mojosongo, Jebres, Kota Solo</t>
  </si>
  <si>
    <t xml:space="preserve">Mojosongo</t>
  </si>
  <si>
    <t xml:space="preserve">Tempat beli biji kopi dan ngopi</t>
  </si>
  <si>
    <t xml:space="preserve">Pasar Johar</t>
  </si>
  <si>
    <t xml:space="preserve">Viral juru parkir tarif ngepruk (isu negatif)</t>
  </si>
  <si>
    <t xml:space="preserve">8 April 2026</t>
  </si>
  <si>
    <t xml:space="preserve">https://www.detik.com/jateng/berita/d-8435374/juru-parkir-pasar-johar-semarang-dipecat-usai-viral-tarif-ngepruk</t>
  </si>
  <si>
    <t xml:space="preserve">5 Es Dawet Telasih di Pasar Gede Solo yang Viral dan Legendaris - detikcom</t>
  </si>
  <si>
    <t xml:space="preserve">2026-04-23</t>
  </si>
  <si>
    <t xml:space="preserve">Dawet Telasih Bu Dermi</t>
  </si>
  <si>
    <t xml:space="preserve">Pintu masuk barat Pasar Gede Hardjonagoro, Solo</t>
  </si>
  <si>
    <t xml:space="preserve">Es dawet ikonik sejak 1930-an langganan Jokowi, masuk daftar viral</t>
  </si>
  <si>
    <t xml:space="preserve">https://www.detik.com/jateng/kuliner/d-8457654/5-es-dawet-telasih-di-pasar-gede-solo-yang-viral-dan-legendaris</t>
  </si>
  <si>
    <t xml:space="preserve">Agenda Jawa Tengah Minggu 20 September 2026, Ada UNFEST hingga Festival Melukis Payung di Semarang - TribunStyle.com</t>
  </si>
  <si>
    <t xml:space="preserve">Pasar Gede Hardjonagoro</t>
  </si>
  <si>
    <t xml:space="preserve">Destinasi kuliner tradisional es dawet telasih</t>
  </si>
  <si>
    <t xml:space="preserve">Unnes Night Festival (UNFEST) 2026</t>
  </si>
  <si>
    <t xml:space="preserve">PRPP Semarang</t>
  </si>
  <si>
    <t xml:space="preserve">Tawangmas</t>
  </si>
  <si>
    <t xml:space="preserve">Semarang Barat</t>
  </si>
  <si>
    <t xml:space="preserve">Festival musik satu dekade</t>
  </si>
  <si>
    <t xml:space="preserve">20 September 2026</t>
  </si>
  <si>
    <t xml:space="preserve">https://style.tribunnews.com/news/383999/agenda-jawa-tengah-minggu-20-september-2026-ada-unfest-hingga-festival-melukis-payung-di-semarang</t>
  </si>
  <si>
    <t xml:space="preserve">8 Kalender Event Wisata Kota Semarang Bulan Juli 2026, Jateng Fair hingga Pameran Buku Big Bad Wolf - Ayo Semarang - ayosemarang.com</t>
  </si>
  <si>
    <t xml:space="preserve">ayosemarang.com</t>
  </si>
  <si>
    <t xml:space="preserve">Festival Kota Lama XV</t>
  </si>
  <si>
    <t xml:space="preserve">Kota Lama Semarang</t>
  </si>
  <si>
    <t xml:space="preserve">Tanjung Mas</t>
  </si>
  <si>
    <t xml:space="preserve">Semarang Utara</t>
  </si>
  <si>
    <t xml:space="preserve">Festival seni budaya, kuliner, dan Festival Melukis Payung</t>
  </si>
  <si>
    <t xml:space="preserve">4-20 September 2026</t>
  </si>
  <si>
    <t xml:space="preserve">Borobudur Indonesia Expo 2026</t>
  </si>
  <si>
    <t xml:space="preserve">Alun-Alun Kota Magelang</t>
  </si>
  <si>
    <t xml:space="preserve">Cacaban</t>
  </si>
  <si>
    <t xml:space="preserve">Magelang Tengah</t>
  </si>
  <si>
    <t xml:space="preserve">Kota Magelang</t>
  </si>
  <si>
    <t xml:space="preserve">Expo penggerak ekonomi masyarakat</t>
  </si>
  <si>
    <t xml:space="preserve">17-20 September 2026</t>
  </si>
  <si>
    <t xml:space="preserve">Jateng Fair 2026</t>
  </si>
  <si>
    <t xml:space="preserve">PRPP Jawa Tengah, Semarang</t>
  </si>
  <si>
    <t xml:space="preserve">Pesta rakyat dan pameran pembangunan terbesar di Jawa Tengah</t>
  </si>
  <si>
    <t xml:space="preserve">s.d. 5 Juli 2026</t>
  </si>
  <si>
    <t xml:space="preserve">https://www.ayosemarang.com/semarang-raya/7717312698/8-kalender-event-wisata-kota-semarang-bulan-juli-2026-jateng-fair-hingga-pameran-buku-big-bad-wolf</t>
  </si>
  <si>
    <t xml:space="preserve">www.ayosemarang.com</t>
  </si>
  <si>
    <t xml:space="preserve">Daftar Acara Jateng Besok Rabu 9 September 2026, Festival Kota Lama Semarang hingga Dessert Kekinian - TribunStyle.com</t>
  </si>
  <si>
    <t xml:space="preserve">Big Bad Wolf (BBW) Semarang 2026</t>
  </si>
  <si>
    <t xml:space="preserve">Queen City Mall Semarang</t>
  </si>
  <si>
    <t xml:space="preserve">Bazar buku internasional</t>
  </si>
  <si>
    <t xml:space="preserve">9-19 Juli 2026</t>
  </si>
  <si>
    <t xml:space="preserve">Holiday on Ice with Pororo</t>
  </si>
  <si>
    <t xml:space="preserve">Pollux Mall Paragon, Semarang</t>
  </si>
  <si>
    <t xml:space="preserve">Sekayu</t>
  </si>
  <si>
    <t xml:space="preserve">Wahana seluncur es tema Pororo</t>
  </si>
  <si>
    <t xml:space="preserve">s.d. 19 Juli 2026</t>
  </si>
  <si>
    <t xml:space="preserve">Festival Kota Lama (FKL) 2026</t>
  </si>
  <si>
    <t xml:space="preserve">Kawasan Kota Lama Semarang</t>
  </si>
  <si>
    <t xml:space="preserve">Festival seni budaya diperpanjang hingga 20 September</t>
  </si>
  <si>
    <t xml:space="preserve">https://style.tribunnews.com/news/382687/daftar-acara-jateng-besok-rabu-9-september-2026-festival-kota-lama-semarang-hingga-dessert-kekinian</t>
  </si>
  <si>
    <t xml:space="preserve">Tempat Makan Siang Dekat Gembira Loka Jogja Paling Favorit, Cocok untuk Menu Kuliner - jogja.disway.id - Disway Jogja</t>
  </si>
  <si>
    <t xml:space="preserve">Pasar Malam Sentiling</t>
  </si>
  <si>
    <t xml:space="preserve">Metro Point, Kota Lama Semarang</t>
  </si>
  <si>
    <t xml:space="preserve">Pasar malam kuliner bagian Festival Kota Lama</t>
  </si>
  <si>
    <t xml:space="preserve">4-13 September 2026</t>
  </si>
  <si>
    <t xml:space="preserve">BCA Expo 2026</t>
  </si>
  <si>
    <t xml:space="preserve">23 Semarang Shopping Center</t>
  </si>
  <si>
    <t xml:space="preserve">8-13 September 2026</t>
  </si>
  <si>
    <t xml:space="preserve">Rumah Makan Ayam Panggang 3 Berku</t>
  </si>
  <si>
    <t xml:space="preserve">Sekitar Gembira Loka, Yogyakarta</t>
  </si>
  <si>
    <t xml:space="preserve">Rejowinangun</t>
  </si>
  <si>
    <t xml:space="preserve">Kotagede</t>
  </si>
  <si>
    <t xml:space="preserve">Tempat makan dekat Gembira Loka</t>
  </si>
  <si>
    <t xml:space="preserve">https://jogja.disway.id/gaya-hidup/read/701457/tempat-makan-siang-dekat-gembira-loka-jogja-paling-favorit-cocok-untuk-menu-kuliner</t>
  </si>
  <si>
    <t xml:space="preserve">10 Pasar di Jogja Yang Jadi Surga Wisata Kuliner Yang Beragam Dan Ramah Dompet - tripzilla.id</t>
  </si>
  <si>
    <t xml:space="preserve">2026-09-10</t>
  </si>
  <si>
    <t xml:space="preserve">Kebun Binatang Gembira Loka</t>
  </si>
  <si>
    <t xml:space="preserve">Destinasi wisata keluarga ikonik</t>
  </si>
  <si>
    <t xml:space="preserve">Pasar Ngasem</t>
  </si>
  <si>
    <t xml:space="preserve">Jl. Polowijan No.11, Patehan, Kraton, Kota Yogyakarta</t>
  </si>
  <si>
    <t xml:space="preserve">Surga kuliner tradisional selalu ramai</t>
  </si>
  <si>
    <t xml:space="preserve">https://www.tripzilla.id/pasar-kuliner-jogja/27629</t>
  </si>
  <si>
    <t xml:space="preserve">10 Restoran Korea di Jogja yang Menarik Dicoba - nibble.id</t>
  </si>
  <si>
    <t xml:space="preserve">Pasar Kranggan</t>
  </si>
  <si>
    <t xml:space="preserve">Dekat Tugu Yogyakarta</t>
  </si>
  <si>
    <t xml:space="preserve">Cokrodiningratan</t>
  </si>
  <si>
    <t xml:space="preserve">Jetis</t>
  </si>
  <si>
    <t xml:space="preserve">Kuliner tradisional dan kekinian</t>
  </si>
  <si>
    <t xml:space="preserve">SABA Korean Dining</t>
  </si>
  <si>
    <t xml:space="preserve">Jl. Lempongsari, Sumberan, Sariharjo, Ngaglik, Sleman</t>
  </si>
  <si>
    <t xml:space="preserve">Sariharjo</t>
  </si>
  <si>
    <t xml:space="preserve">Ngaglik</t>
  </si>
  <si>
    <t xml:space="preserve">Kabupaten Sleman</t>
  </si>
  <si>
    <t xml:space="preserve">Restoran Korea baru yang menyita perhatian</t>
  </si>
  <si>
    <t xml:space="preserve">Dibuka pertengahan 2025</t>
  </si>
  <si>
    <t xml:space="preserve">https://www.nibble.id/restoran-korea-di-jogja/</t>
  </si>
  <si>
    <t xml:space="preserve">5 rekomendasi kuliner Jogja enak dan murah bukti kalau kota ini nggak mahal kalau soal makan - Mojok.co</t>
  </si>
  <si>
    <t xml:space="preserve">Mojok.co</t>
  </si>
  <si>
    <t xml:space="preserve">Hankki Korean Resto</t>
  </si>
  <si>
    <t xml:space="preserve">Ngaglik, Sleman</t>
  </si>
  <si>
    <t xml:space="preserve">Restoran Korea halal</t>
  </si>
  <si>
    <t xml:space="preserve">Mie Sapi Banteng</t>
  </si>
  <si>
    <t xml:space="preserve">Kuliner viral mie oriental halal chilli oil</t>
  </si>
  <si>
    <t xml:space="preserve">https://mojok.co/terminal/5-kuliner-jogja-enak-dan-murah-bukti-kota-ini-nggak-mahal/</t>
  </si>
  <si>
    <t xml:space="preserve">mojok.co</t>
  </si>
  <si>
    <t xml:space="preserve">12 Rekomendasi Kuliner Hits di Jogja yang Wajib Dicoba - Media Indonesia</t>
  </si>
  <si>
    <t xml:space="preserve">2026-08-15</t>
  </si>
  <si>
    <t xml:space="preserve">Gudeg Yu Hadi</t>
  </si>
  <si>
    <t xml:space="preserve">Gang dekat Keraton, Kota Yogyakarta</t>
  </si>
  <si>
    <t xml:space="preserve">Viral karena gudeg murah</t>
  </si>
  <si>
    <t xml:space="preserve">Gudeg Mbok Lindu</t>
  </si>
  <si>
    <t xml:space="preserve">Sosromenduran</t>
  </si>
  <si>
    <t xml:space="preserve">Gedongtengen</t>
  </si>
  <si>
    <t xml:space="preserve">Jl. Sosrowijayan</t>
  </si>
  <si>
    <t xml:space="preserve">Gudeg ikonik Jogja</t>
  </si>
  <si>
    <t xml:space="preserve">https://mediaindonesia.com/kuliner/922254/12-rekomendasi-kuliner-hits-di-jogja-yang-wajib-dicoba</t>
  </si>
  <si>
    <t xml:space="preserve">Rekomendasi Kuliner Dekat Ibarbo Park Yogyakarta ini Tempat Makan Paling Nikmat - jogja.disway.id - Disway Jogja</t>
  </si>
  <si>
    <t xml:space="preserve">Waroeng Kopi Klotok</t>
  </si>
  <si>
    <t xml:space="preserve">Pakem</t>
  </si>
  <si>
    <t xml:space="preserve">Kopi Klotok utama di Jl. Kaliurang Km 16, Pakem</t>
  </si>
  <si>
    <t xml:space="preserve">Kopi dan makanan rumahan suasana pedesaan</t>
  </si>
  <si>
    <t xml:space="preserve">Bakmi Jowo Mbah Gito</t>
  </si>
  <si>
    <t xml:space="preserve">Bakmi tradisional Jogja</t>
  </si>
  <si>
    <t xml:space="preserve">Bale Raos - The Sultan's Dishes</t>
  </si>
  <si>
    <t xml:space="preserve">Di kompleks Keraton</t>
  </si>
  <si>
    <t xml:space="preserve">Kuliner tradisi Keraton</t>
  </si>
  <si>
    <t xml:space="preserve">The House of Raminten</t>
  </si>
  <si>
    <t xml:space="preserve">Kotabaru</t>
  </si>
  <si>
    <t xml:space="preserve">Hidangan khas Jawa suasana berbeda</t>
  </si>
  <si>
    <t xml:space="preserve">Jalan Magelang, Sleman</t>
  </si>
  <si>
    <t xml:space="preserve">Destinasi wisata modern yang cepat merebut perhatian publik</t>
  </si>
  <si>
    <t xml:space="preserve">https://jogja.disway.id/gaya-hidup/read/701562/rekomendasi-kuliner-dekat-ibarbo-park-yogyakarta-ini-tempat-makan-paling-nikmat</t>
  </si>
  <si>
    <t xml:space="preserve">Misoa Qiu Qiu Jadi Kuliner Kekinian Favorit di Yogyakarta - RRI.co.id</t>
  </si>
  <si>
    <t xml:space="preserve">Kedai Misoa Qiu Qiu</t>
  </si>
  <si>
    <t xml:space="preserve">Jalan Langensari No.14, Klitren, Gondokusuman dan Jalan Sidomukti, Condongcatur, Depok, Yogyakarta</t>
  </si>
  <si>
    <t xml:space="preserve">Dua cabang: Klitren, Gondokusuman (Kota Yogyakarta) dan Condongcatur, Depok (Sleman)</t>
  </si>
  <si>
    <t xml:space="preserve">Kuliner kekinian yang ramai diserbu anak muda</t>
  </si>
  <si>
    <t xml:space="preserve">https://rri.co.id/yogyakarta/kuliner/2733665/misoa-qiu-qiu-jadi-kuliner-kekinian-favorit-di-yogyakarta</t>
  </si>
  <si>
    <t xml:space="preserve">10 Restoran Chinese Food di Jogja Paling Hauce! - nibble.id</t>
  </si>
  <si>
    <t xml:space="preserve">Rumah Makan Lie Djiong</t>
  </si>
  <si>
    <t xml:space="preserve">Jl. Brigjen Katamso No.21, Prawirodirjan, Gondomanan, Kota Yogyakarta</t>
  </si>
  <si>
    <t xml:space="preserve">Prawirodirjan</t>
  </si>
  <si>
    <t xml:space="preserve">Chinese food legendaris sejak 1976</t>
  </si>
  <si>
    <t xml:space="preserve">https://www.nibble.id/chinese-food-jogja/</t>
  </si>
  <si>
    <t xml:space="preserve">12 Tempat Makan Ayam Goreng di Jogja Dari Legendaris Hingga Viral - tripzilla.id</t>
  </si>
  <si>
    <t xml:space="preserve">Restoran Mahkota (Tiongsan)</t>
  </si>
  <si>
    <t xml:space="preserve">Dekat Malioboro, Yogyakarta</t>
  </si>
  <si>
    <t xml:space="preserve">Chinese food legendaris sejak 1937</t>
  </si>
  <si>
    <t xml:space="preserve">Ayam Goreng Mbok Berek</t>
  </si>
  <si>
    <t xml:space="preserve">Banyak cabang di Jogja</t>
  </si>
  <si>
    <t xml:space="preserve">Banyak cabang</t>
  </si>
  <si>
    <t xml:space="preserve">Ayam goreng legendaris</t>
  </si>
  <si>
    <t xml:space="preserve">https://www.tripzilla.id/ayam-goreng-jogja/27005</t>
  </si>
  <si>
    <t xml:space="preserve">Kopi Klotok: Kuliner Wajib bagi Wisatawan, tapi Semakin Banyak Warga Lokal Jogja yang Memilih Menjauh dan Mencari Tempat Lain - Mojok.co</t>
  </si>
  <si>
    <t xml:space="preserve">Ayam Goreng Ny. Suharti</t>
  </si>
  <si>
    <t xml:space="preserve">Jl. Laksda Adisucipto No.208, Janti, Caturtunggal, Depok, Sleman</t>
  </si>
  <si>
    <t xml:space="preserve">Caturtunggal</t>
  </si>
  <si>
    <t xml:space="preserve">Ayam goreng legendaris sejak 1972</t>
  </si>
  <si>
    <t xml:space="preserve">Kopi Klotok</t>
  </si>
  <si>
    <t xml:space="preserve">Kuliner wajib wisatawan, sempat viral, antrean panjang</t>
  </si>
  <si>
    <t xml:space="preserve">https://mojok.co/terminal/kopi-klotok-antre-banget-dan-mahal-warga-jogja-pilih-menghindar/</t>
  </si>
  <si>
    <t xml:space="preserve">Rekomendasi Restoran Baru di Jogja Paling Hits Estetik dan Kuliner Kekinian yang Wajib Dicoba - jogja.disway.id - Disway Jogja</t>
  </si>
  <si>
    <t xml:space="preserve">Tubbu Wellness</t>
  </si>
  <si>
    <t xml:space="preserve">Jalan Samironobaru, Caturtunggal, Depok, Sleman</t>
  </si>
  <si>
    <t xml:space="preserve">Kafe baru dengan fasilitas yoga dan pilates</t>
  </si>
  <si>
    <t xml:space="preserve">https://jogja.disway.id/gaya-hidup/read/701704/rekomendasi-restoran-baru-di-jogja-paling-hits-estetik-dan-kuliner-kekinian-yang-wajib-dicoba/15</t>
  </si>
  <si>
    <t xml:space="preserve">10 Restoran Ramah Anak di Jogja untuk Keluarga, Ada Playground hingga Suasana Alam yang Asri - tripzilla.id</t>
  </si>
  <si>
    <t xml:space="preserve">Owood Cafe</t>
  </si>
  <si>
    <t xml:space="preserve">Sendangtirto, Berbah, Sleman</t>
  </si>
  <si>
    <t xml:space="preserve">Sendangtirto</t>
  </si>
  <si>
    <t xml:space="preserve">Berbah</t>
  </si>
  <si>
    <t xml:space="preserve">Kafe baru desain minimalis cocok WFC</t>
  </si>
  <si>
    <t xml:space="preserve">Joglo Resodinomo</t>
  </si>
  <si>
    <t xml:space="preserve">Restoran ramah anak dengan mini zoo dan playground</t>
  </si>
  <si>
    <t xml:space="preserve">https://www.tripzilla.id/restoran-ramah-anak-di-jogja/27248</t>
  </si>
  <si>
    <t xml:space="preserve">Menjelajah Surga Destinasi Wisata Kuliner Yogyakarta Paling Legendaris - jogja.disway.id - Disway Jogja</t>
  </si>
  <si>
    <t xml:space="preserve">Krasan Cafe n Resto</t>
  </si>
  <si>
    <t xml:space="preserve">Tepi Sungai Opak, Yogyakarta</t>
  </si>
  <si>
    <t xml:space="preserve">Resto ramah anak dengan pemandangan sungai</t>
  </si>
  <si>
    <t xml:space="preserve">Oseng-Oseng Mercon Bu Narti</t>
  </si>
  <si>
    <t xml:space="preserve">Ngampilan, Yogyakarta</t>
  </si>
  <si>
    <t xml:space="preserve">Ngampilan</t>
  </si>
  <si>
    <t xml:space="preserve">Kuliner pedas legendaris</t>
  </si>
  <si>
    <t xml:space="preserve">https://jogja.disway.id/gaya-hidup/read/701714/menjelajah-surga-destinasi-wisata-kuliner-yogyakarta-paling-legendaris/15</t>
  </si>
  <si>
    <t xml:space="preserve">Malioboro Destinasi wajib bagi anak muda saat liburan ke Yogyakarta - Kompasiana.com</t>
  </si>
  <si>
    <t xml:space="preserve">Mangut Lele Mbah Marto</t>
  </si>
  <si>
    <t xml:space="preserve">Sewon, Bantul</t>
  </si>
  <si>
    <t xml:space="preserve">Panggungharjo</t>
  </si>
  <si>
    <t xml:space="preserve">Sewon</t>
  </si>
  <si>
    <t xml:space="preserve">Kabupaten Bantul</t>
  </si>
  <si>
    <t xml:space="preserve">Mangut lele asap legendaris</t>
  </si>
  <si>
    <t xml:space="preserve">Bakmi jawa di rumah joglo klasik</t>
  </si>
  <si>
    <t xml:space="preserve">024</t>
  </si>
  <si>
    <t xml:space="preserve">Malioboro</t>
  </si>
  <si>
    <t xml:space="preserve">Ikon pariwisata destinasi wajib anak muda</t>
  </si>
  <si>
    <t xml:space="preserve">https://www.kompasiana.com/khalishaputri0768/6a78c82eed641571ce117c54/malioboro-destinasi-wajib-bagi-anak-muda-saat-liburan-ke-yogyakarta</t>
  </si>
  <si>
    <t xml:space="preserve">Wisata Gratis dan Viral, Keindahan Bawah Laut di Museum Terumbu Karang Indonesia Yogyakarta - TIMES Indonesia</t>
  </si>
  <si>
    <t xml:space="preserve">Demangan, Kota Yogyakarta</t>
  </si>
  <si>
    <t xml:space="preserve">Wisata edukasi gratis keindahan bawah laut yang viral</t>
  </si>
  <si>
    <t xml:space="preserve">https://timesindonesia.co.id/wisata/598321/wisata-gratis-dan-viral-keindahan-bawah-laut-di-museum-terumbu-karang-indonesia-yogyakarta</t>
  </si>
  <si>
    <t xml:space="preserve">Pemkab Gunungkidul sebut kunjungan wisatawan lampaui target pada 2026 - ANTARA News Yogyakarta</t>
  </si>
  <si>
    <t xml:space="preserve">ANTARA News Yogyakarta</t>
  </si>
  <si>
    <t xml:space="preserve">Pantai Sepanjang</t>
  </si>
  <si>
    <t xml:space="preserve">Kemadang</t>
  </si>
  <si>
    <t xml:space="preserve">Tanjungsari</t>
  </si>
  <si>
    <t xml:space="preserve">Penataan kawasan, kunjungan naik di atas 100 persen</t>
  </si>
  <si>
    <t xml:space="preserve">https://jogja.antaranews.com/berita/840021/pemkab-gunungkidul-sebut-kunjungan-wisatawan-lampaui-target-pada-2026</t>
  </si>
  <si>
    <t xml:space="preserve">jogja.antaranews.com</t>
  </si>
  <si>
    <t xml:space="preserve">Selain Malioboro, Ini 12 Tempat Wisata di Yogyakarta yang Wajib Dikunjungi - Warta Ekonomi</t>
  </si>
  <si>
    <t xml:space="preserve">Warta Ekonomi</t>
  </si>
  <si>
    <t xml:space="preserve">Pantai Drini Park</t>
  </si>
  <si>
    <t xml:space="preserve">Banjarejo</t>
  </si>
  <si>
    <t xml:space="preserve">Destinasi baru ramai dikunjungi, bagian destinasi baru yang viral</t>
  </si>
  <si>
    <t xml:space="preserve">Jungwok</t>
  </si>
  <si>
    <t xml:space="preserve">Jepitu</t>
  </si>
  <si>
    <t xml:space="preserve">Girisubo</t>
  </si>
  <si>
    <t xml:space="preserve">Destinasi baru ramai dikunjungi</t>
  </si>
  <si>
    <t xml:space="preserve">On the Rock</t>
  </si>
  <si>
    <t xml:space="preserve">HeHa Ocean View</t>
  </si>
  <si>
    <t xml:space="preserve">Girikarto</t>
  </si>
  <si>
    <t xml:space="preserve">Panggang</t>
  </si>
  <si>
    <t xml:space="preserve">Panorama Samudra Hindia dari tebing, spot foto baru</t>
  </si>
  <si>
    <t xml:space="preserve">https://wartaekonomi.co.id/read614465/selain-malioboro-ini-12-tempat-wisata-di-yogyakarta-yang-wajib-dikunjungi</t>
  </si>
  <si>
    <t xml:space="preserve">wartaekonomi.co.id</t>
  </si>
  <si>
    <t xml:space="preserve">Menjelajahi K'Ville Kaliurang, Destinasi Viral di Jogja dengan Nuansa Eropa yang Memukau - jogja.disway.id - Disway Jogja</t>
  </si>
  <si>
    <t xml:space="preserve">Obelix Sea View</t>
  </si>
  <si>
    <t xml:space="preserve">Konsep Santorini Instagramable menghadap laut</t>
  </si>
  <si>
    <t xml:space="preserve">Pantai Wediombo</t>
  </si>
  <si>
    <t xml:space="preserve">Pantai dengan kolam alami di bebatuan</t>
  </si>
  <si>
    <t xml:space="preserve">K'Ville Kaliurang</t>
  </si>
  <si>
    <t xml:space="preserve">Kaliurang, lereng Gunung Merapi, Sleman</t>
  </si>
  <si>
    <t xml:space="preserve">Hargobinangun</t>
  </si>
  <si>
    <t xml:space="preserve">Destinasi viral bernuansa Eropa</t>
  </si>
  <si>
    <t xml:space="preserve">https://jogja.disway.id/wisata/read/699652/menjelajahi-kville-kaliurang-destinasi-viral-di-jogja-dengan-nuansa-eropa-yang-memukau</t>
  </si>
  <si>
    <t xml:space="preserve">Long Weekend Mei 2026, Wisata Jogja Naik 25 Persen - Harianjogja.com</t>
  </si>
  <si>
    <t xml:space="preserve">Harianjogja.com</t>
  </si>
  <si>
    <t xml:space="preserve">Destinasi favorit saat long weekend</t>
  </si>
  <si>
    <t xml:space="preserve">https://jogjapolitan.harianjogja.com/r-1254775/long-weekend-mei-2026-wisata-jogja-naik-25-persen</t>
  </si>
  <si>
    <t xml:space="preserve">jogjapolitan.harianjogja.com</t>
  </si>
  <si>
    <t xml:space="preserve">Rasakan Keunikan Kopi Joss Viral di Yogyakarta - 20detik</t>
  </si>
  <si>
    <t xml:space="preserve">Wisata Batu Alien Merapi</t>
  </si>
  <si>
    <t xml:space="preserve">Dusun Jambu, Desa Kepuharjo, Kecamatan Cangkringan, Sleman</t>
  </si>
  <si>
    <t xml:space="preserve">Kepuharjo</t>
  </si>
  <si>
    <t xml:space="preserve">Cangkringan</t>
  </si>
  <si>
    <t xml:space="preserve">Batu erupsi 2010 berbentuk wajah alien jadi destinasi viral</t>
  </si>
  <si>
    <t xml:space="preserve">https://timesindonesia.co.id/wisata/595473/batu-alien-merapi-jejak-erupsi-dahsyat-yang-berubah-jadi-destinasi-wisata-viral-di-yogyakarta</t>
  </si>
  <si>
    <t xml:space="preserve">Panduan Liburan 3 Hari 2 Malam ke Jogja, Ramah Kantong Budget Mulai Rp 1 Jutaan - detikTravel</t>
  </si>
  <si>
    <t xml:space="preserve">ARTJOG</t>
  </si>
  <si>
    <t xml:space="preserve">Umumnya diselenggarakan di Jogja National Museum, Kota Yogyakarta</t>
  </si>
  <si>
    <t xml:space="preserve">Ajang pameran karya seni</t>
  </si>
  <si>
    <t xml:space="preserve">https://kemenpar.go.id/berita/7-fakta-unik-artjog-yang-perlu-kamu-tahu</t>
  </si>
  <si>
    <t xml:space="preserve">kemenpar.go.id</t>
  </si>
  <si>
    <t xml:space="preserve">6 Museum di Jogja untuk Stamp Hunter, Siapkan Bukumu! - IDN Times Jogja</t>
  </si>
  <si>
    <t xml:space="preserve">IDN Times Jogja</t>
  </si>
  <si>
    <t xml:space="preserve">Kompleks Taman Budaya, Kota Yogyakarta</t>
  </si>
  <si>
    <t xml:space="preserve">Pasar Ngasem berada di Patehan, Kraton; teks menyebut kompleks Taman Budaya</t>
  </si>
  <si>
    <t xml:space="preserve">Pasar legendaris, kuliner dan barang antik</t>
  </si>
  <si>
    <t xml:space="preserve">https://jogja.times.co.id/news/wisata/YHvcMjz1C/pasar-ngasem-yogyakarta-surga-kuliner-dan-sejarah-yang-tetap-hidup</t>
  </si>
  <si>
    <t xml:space="preserve">3 Fakta Kebakaran Toko Hamzah Batik di Malioboro Jogja, Api Muncul dari Lantai 3 - GenPI.co - GenPI.co</t>
  </si>
  <si>
    <t xml:space="preserve">GenPI.co</t>
  </si>
  <si>
    <t xml:space="preserve">Toko Hamzah Batik</t>
  </si>
  <si>
    <t xml:space="preserve">Malioboro, Yogyakarta</t>
  </si>
  <si>
    <t xml:space="preserve">Viral kebakaran toko di Malioboro (isu negatif)</t>
  </si>
  <si>
    <t xml:space="preserve">28 September 2026</t>
  </si>
  <si>
    <t xml:space="preserve">https://www.genpi.co/berita/289541/3-fakta-kebakaran-toko-hamzah-batik-di-malioboro-jogja-api-muncul-dari-lantai-3</t>
  </si>
  <si>
    <t xml:space="preserve">www.genpi.co</t>
  </si>
  <si>
    <t xml:space="preserve">Berburu Pastry Viral, Ini Daftar Toko Croissant Terbaik di Yogyakarta untuk Pecinta Bakery Artisan - jogja.disway.id - Disway Jogja</t>
  </si>
  <si>
    <t xml:space="preserve">Bake to Salt</t>
  </si>
  <si>
    <t xml:space="preserve">Welcome to Pleasure, Jl. Surokarsan No.19, Wirogunan, Mergangsan, Jogja</t>
  </si>
  <si>
    <t xml:space="preserve">Wirogunan</t>
  </si>
  <si>
    <t xml:space="preserve">Mergangsan</t>
  </si>
  <si>
    <t xml:space="preserve">Salt bread viral paling happening, reopening</t>
  </si>
  <si>
    <t xml:space="preserve">22 April 2026</t>
  </si>
  <si>
    <t xml:space="preserve">https://www.nibble.id/salt-bread-jogja/</t>
  </si>
  <si>
    <t xml:space="preserve">5 Tempat Beli Kebaya di Jogja, Ada yang Klasik hingga Modern dan Kekinian - detikcom</t>
  </si>
  <si>
    <t xml:space="preserve">Hikaru Bakehouse</t>
  </si>
  <si>
    <t xml:space="preserve">Jl. Palagan No.202, Sariharjo, Ngaglik, Sleman</t>
  </si>
  <si>
    <t xml:space="preserve">Salt bread premium</t>
  </si>
  <si>
    <t xml:space="preserve">Butterhalf</t>
  </si>
  <si>
    <t xml:space="preserve">Cabang cafe hits Semarang, salt bread</t>
  </si>
  <si>
    <t xml:space="preserve">Pusat belanja batik dan kebaya</t>
  </si>
  <si>
    <t xml:space="preserve">https://www.detik.com/jogja/bisnis/d-8445646/5-tempat-beli-kebaya-di-jogja-ada-yang-klasik-hingga-modern-dan-kekinian</t>
  </si>
  <si>
    <t xml:space="preserve">Itinerary Liburan 3H2M di Jogja Ala Gen Z ke Tempat Hits dan Viral - tripzilla.id</t>
  </si>
  <si>
    <t xml:space="preserve">2026-04-02</t>
  </si>
  <si>
    <t xml:space="preserve">Bhumi Bhuvana</t>
  </si>
  <si>
    <t xml:space="preserve">Prawirotaman, Yogyakarta</t>
  </si>
  <si>
    <t xml:space="preserve">Brontokusuman</t>
  </si>
  <si>
    <t xml:space="preserve">Kafe unik yang lagi viral dengan kelas memasak</t>
  </si>
  <si>
    <t xml:space="preserve">https://www.tripzilla.id/itinerary-liburan-jogja/26703</t>
  </si>
  <si>
    <t xml:space="preserve">Cari Tempat Belanja Oleh-Oleh di Yogyakarta Paling Populer 2026? Ini Pilihannya - Harapan Rakyat</t>
  </si>
  <si>
    <t xml:space="preserve">Ayam Goreng Pratunam</t>
  </si>
  <si>
    <t xml:space="preserve">Gowongan, Yogyakarta</t>
  </si>
  <si>
    <t xml:space="preserve">Gowongan</t>
  </si>
  <si>
    <t xml:space="preserve">Restoran ayam khas Thailand lagi hits dan viral</t>
  </si>
  <si>
    <t xml:space="preserve">Kano Maritim Baros</t>
  </si>
  <si>
    <t xml:space="preserve">Tirtohargo, Bantul</t>
  </si>
  <si>
    <t xml:space="preserve">Tirtohargo</t>
  </si>
  <si>
    <t xml:space="preserve">Kretek</t>
  </si>
  <si>
    <t xml:space="preserve">Kano yang jadi olahraga favorit anak muda</t>
  </si>
  <si>
    <t xml:space="preserve">Kawasan Kotagede juga mencakup sebagian Kab. Bantul</t>
  </si>
  <si>
    <t xml:space="preserve">Pusat kerajinan perak</t>
  </si>
  <si>
    <t xml:space="preserve">https://www.harapanrakyat.com/2026/05/cari-tempat-belanja-oleh-oleh-di-yogyakarta-paling-populer-2026-ini-pilihannya/</t>
  </si>
  <si>
    <t xml:space="preserve">Kuliner Jenang Tradisional Pasar Ngasem Yogyakarta Tawarkan 9 Varian Rasa - RRI.co.id</t>
  </si>
  <si>
    <t xml:space="preserve">Hamzah Batik</t>
  </si>
  <si>
    <t xml:space="preserve">Depan Pasar Beringharjo, Yogyakarta</t>
  </si>
  <si>
    <t xml:space="preserve">Toko batik favorit wisatawan</t>
  </si>
  <si>
    <t xml:space="preserve">Desa Wisata Kasongan</t>
  </si>
  <si>
    <t xml:space="preserve">Bantul</t>
  </si>
  <si>
    <t xml:space="preserve">Bangunjiwo</t>
  </si>
  <si>
    <t xml:space="preserve">Kasihan</t>
  </si>
  <si>
    <t xml:space="preserve">Gerabah dan keramik estetik</t>
  </si>
  <si>
    <t xml:space="preserve">Jenang Yu Jumilah</t>
  </si>
  <si>
    <t xml:space="preserve">Pasar Ngasem, Yogyakarta</t>
  </si>
  <si>
    <t xml:space="preserve">Ramai dikunjungi setelah viral direkomendasikan di TikTok</t>
  </si>
  <si>
    <t xml:space="preserve">https://rri.co.id/yogyakarta/kuliner/2553110/kuliner-jenang-tradisional-pasar-ngasem-yogyakarta-tawarkan-9-varian-rasa</t>
  </si>
  <si>
    <t xml:space="preserve">Kuliner Jogja, Nasi Kuning Muna Cung Pasar Pathuk Sayang Dilewatkan - IDN Times Jogja</t>
  </si>
  <si>
    <t xml:space="preserve">Nasi Kuning Muna Cung</t>
  </si>
  <si>
    <t xml:space="preserve">Pasar Pathuk, Jalan Beskalan No.27, Ngupasan, Gondomanan, Kota Yogyakarta</t>
  </si>
  <si>
    <t xml:space="preserve">Sering masuk konten food vlogger dan mendadak viral</t>
  </si>
  <si>
    <t xml:space="preserve">https://jogja.idntimes.com/food/dining-guide/nasi-kuning-muna-cung-pasar-pathuk-jogja-kuliner-viral-wajib-dicoba-c1c2-00-w513j-56fxlr</t>
  </si>
  <si>
    <t xml:space="preserve">jogja.idntimes.com</t>
  </si>
  <si>
    <t xml:space="preserve">10 Jajanan Pasar Ngasem Jogja Paling Viral yang Wajib Dicoba Saat Liburan - detikcom</t>
  </si>
  <si>
    <t xml:space="preserve">Jalan Polowijan, Patehan, Kraton, Yogyakarta</t>
  </si>
  <si>
    <t xml:space="preserve">Jajanan tradisional yang kembali viral</t>
  </si>
  <si>
    <t xml:space="preserve">https://www.detik.com/jogja/kuliner/d-8439405/10-jajanan-pasar-ngasem-jogja-paling-viral-yang-wajib-dicoba-saat-liburan</t>
  </si>
  <si>
    <t xml:space="preserve">Program MBG Libur, Harga Daging di Pasar Jogja Turun Drastis, Pembeli Bisa Menikmati Ayam Murah Lagi - Suarajogja.id</t>
  </si>
  <si>
    <t xml:space="preserve">Suarajogja.id</t>
  </si>
  <si>
    <t xml:space="preserve">Surga wisata kuliner yang lagi viral dan hits</t>
  </si>
  <si>
    <t xml:space="preserve">https://www.tripzilla.id/kuliner-pasar-ngasem-jogja/26742</t>
  </si>
  <si>
    <t xml:space="preserve">Duduk Perkara Danrem Pamungkas Cekcok dengan Marshal Saat Ikut Maraton - detikcom</t>
  </si>
  <si>
    <t xml:space="preserve">Jenang warna-warni dengan antrean mengular</t>
  </si>
  <si>
    <t xml:space="preserve">Warung Yu Ngademi</t>
  </si>
  <si>
    <t xml:space="preserve">Nasi rames sejak 1983</t>
  </si>
  <si>
    <t xml:space="preserve">Carabikang Bu Kristi</t>
  </si>
  <si>
    <t xml:space="preserve">Kue carabikang yang selalu ramai diburu</t>
  </si>
  <si>
    <t xml:space="preserve">Taman Budaya Yogyakarta</t>
  </si>
  <si>
    <t xml:space="preserve">Lokasi Yogyakarta Urban Teater Festival</t>
  </si>
  <si>
    <t xml:space="preserve">6 Mei 2026</t>
  </si>
  <si>
    <t xml:space="preserve">https://jogja.suara.com/read/2026/05/06/160407/efisiensi-anggaran-bikin-pekerja-seni-di-jogja-kelimpungan-berburu-hibah-demi-bertahan-hidup</t>
  </si>
  <si>
    <t xml:space="preserve">jogja.suara.com</t>
  </si>
  <si>
    <t xml:space="preserve">Korem Buka Suara soal Viral Danrem 072/Pamungkas di Jogja Maraton - cnnindonesia.com</t>
  </si>
  <si>
    <t xml:space="preserve">025</t>
  </si>
  <si>
    <t xml:space="preserve">Event seni yang diperkuat dalam strategi kota festival</t>
  </si>
  <si>
    <t xml:space="preserve">https://jogja.disway.id/daerah/read/698645/strategi-jogja-jadi-kota-festival-sepanjang-tahun-ratusan-event-siap-dongkrak-wisata</t>
  </si>
  <si>
    <t xml:space="preserve">Kronologi Pelari Tiba-tiba Dipukul Saat Ikut Event One Run Jogja 10K, Alami Nyeri di Kepala-Pundak - Kompas.com</t>
  </si>
  <si>
    <t xml:space="preserve">Jogja Great Sale</t>
  </si>
  <si>
    <t xml:space="preserve">Event belanja besar</t>
  </si>
  <si>
    <t xml:space="preserve">Oktober 2026</t>
  </si>
  <si>
    <t xml:space="preserve">Jogja International Kite Festival (JIKF) 2026</t>
  </si>
  <si>
    <t xml:space="preserve">Pantai Parangkusumo, Parangtritis, Bantul</t>
  </si>
  <si>
    <t xml:space="preserve">Parangtritis</t>
  </si>
  <si>
    <t xml:space="preserve">Festival layang-layang internasional ke-11 dengan 17 negara</t>
  </si>
  <si>
    <t xml:space="preserve">https://www.sijogja.com/news/18417361689/jogja-international-kite-festival-2026-resmi-digelar-satukan-17-negara-di-langit-parangkusumo</t>
  </si>
  <si>
    <t xml:space="preserve">www.sijogja.com</t>
  </si>
  <si>
    <t xml:space="preserve">TNI AD: Nomor Dada atau BIB Ajudan Danrem Yogya Diduga Terlepas - Kompas.id</t>
  </si>
  <si>
    <t xml:space="preserve">Bakso Malang Tanjung Duren 18</t>
  </si>
  <si>
    <t xml:space="preserve">Tanjung Duren, Jakarta Barat</t>
  </si>
  <si>
    <t xml:space="preserve">Bakso Malang isian komplet</t>
  </si>
  <si>
    <t xml:space="preserve">https://food.detik.com/tempat-makan/d-8658394/ada-yang-sejak-1980-an-ini-7-bakso-malang-enak-di-jakarta</t>
  </si>
  <si>
    <t xml:space="preserve">Makan Siang di Madiun, Ini 3 Kuliner Populer yang Patut Dicoba - Tribun Travel</t>
  </si>
  <si>
    <t xml:space="preserve">Istana Bakwan Malang Arema Jaya</t>
  </si>
  <si>
    <t xml:space="preserve">Kebayoran Lama, Jakarta Selatan</t>
  </si>
  <si>
    <t xml:space="preserve">Kebayoran Lama</t>
  </si>
  <si>
    <t xml:space="preserve">Bakso Malang sejak 1980-an</t>
  </si>
  <si>
    <t xml:space="preserve">Bakso Malang Bang Dewo</t>
  </si>
  <si>
    <t xml:space="preserve">Jatinegara, Jakarta Timur</t>
  </si>
  <si>
    <t xml:space="preserve">Bakso Malang</t>
  </si>
  <si>
    <t xml:space="preserve">Depot Nasi Pecel 99</t>
  </si>
  <si>
    <t xml:space="preserve">Kota Madiun</t>
  </si>
  <si>
    <t xml:space="preserve">Nasi pecel khas Madiun</t>
  </si>
  <si>
    <t xml:space="preserve">https://travel.tribunnews.com/kuliner/145608/makan-siang-di-madiun-ini-3-kuliner-populer-yang-patut-dicoba</t>
  </si>
  <si>
    <t xml:space="preserve">Maia Estianty Spill 4 Kuliner Jawa Timur Autentik Favoritnya di Jakarta - detikFood</t>
  </si>
  <si>
    <t xml:space="preserve">Warung Pecel Bu Djarjo</t>
  </si>
  <si>
    <t xml:space="preserve">Madiun</t>
  </si>
  <si>
    <t xml:space="preserve">Madiun ambigu: Kota atau Kabupaten Madiun</t>
  </si>
  <si>
    <t xml:space="preserve">Depot Nasi Pecel 3 Putri</t>
  </si>
  <si>
    <t xml:space="preserve">Sate Kelapa Suramadu</t>
  </si>
  <si>
    <t xml:space="preserve">Langganan Maia Estianty</t>
  </si>
  <si>
    <t xml:space="preserve">https://food.detik.com/info-kuliner/d-8646506/maia-estianty-spill-4-kuliner-jawa-timur-autentik-favoritnya-di-jakarta</t>
  </si>
  <si>
    <t xml:space="preserve">Jam 2 Pagi Lapar di Kota Malang? Ini Tempat Makan yang Masih Buka - radarmalang.jawapos.com</t>
  </si>
  <si>
    <t xml:space="preserve">Tahu Campur Subari</t>
  </si>
  <si>
    <t xml:space="preserve">Tahu campur khas Surabaya langganan Maia Estianty</t>
  </si>
  <si>
    <t xml:space="preserve">Es Krim Baltic</t>
  </si>
  <si>
    <t xml:space="preserve">Kedai es krim legendaris 87 tahun tutup permanen, kabar penutupannya viral (isu negatif)</t>
  </si>
  <si>
    <t xml:space="preserve">https://www.beautynesia.id/wellness/selain-baltic-ini-9-tempat-makan-legendaris-tanpa-penerus-yang-berakhir-tutup-permanen/b-322386</t>
  </si>
  <si>
    <t xml:space="preserve">www.beautynesia.id</t>
  </si>
  <si>
    <t xml:space="preserve">🍽️ [Paling Update] 25 Spot Makan Enak di Kelapa Gading Wajib Kunjung! - tripzilla.id</t>
  </si>
  <si>
    <t xml:space="preserve">Gandarichi</t>
  </si>
  <si>
    <t xml:space="preserve">Jl. Kelapa Puan Raya Blok FU1 No.6, Kelapa Gading Timur, Jakarta Utara</t>
  </si>
  <si>
    <t xml:space="preserve">Kelapa Gading Timur</t>
  </si>
  <si>
    <t xml:space="preserve">Warung tenda Jepang dengan antrean panjang</t>
  </si>
  <si>
    <t xml:space="preserve">https://www.tripzilla.id/tempat-makan-enak-di-kelapa-gading/27050</t>
  </si>
  <si>
    <t xml:space="preserve">9 Tempat Makan Murah di Malang yang Enak dan Ramah Kantong - Hipwee</t>
  </si>
  <si>
    <t xml:space="preserve">2026-05-31</t>
  </si>
  <si>
    <t xml:space="preserve">Warung Sabar Subur</t>
  </si>
  <si>
    <t xml:space="preserve">Malang ambigu: Kota atau Kabupaten Malang</t>
  </si>
  <si>
    <t xml:space="preserve">Hidden gem rawon murah</t>
  </si>
  <si>
    <t xml:space="preserve">https://www.hipwee.com/travel/tempat-makan-murah-di-malang/</t>
  </si>
  <si>
    <t xml:space="preserve">Kuliner Pulau Madura, 10 Restoran di Bangkalan yang Ciamik Pol! - IDN Times Jatim</t>
  </si>
  <si>
    <t xml:space="preserve">Ayam Tulang Lunak Mbok Surip</t>
  </si>
  <si>
    <t xml:space="preserve">Tempat makan murah</t>
  </si>
  <si>
    <t xml:space="preserve">Bebek Sinjay</t>
  </si>
  <si>
    <t xml:space="preserve">Jalan Raya Ketengan No.45, Junok, Tanjung Burneh, Bangkalan</t>
  </si>
  <si>
    <t xml:space="preserve">Tanjung Burneh</t>
  </si>
  <si>
    <t xml:space="preserve">Burneh</t>
  </si>
  <si>
    <t xml:space="preserve">Kabupaten Bangkalan</t>
  </si>
  <si>
    <t xml:space="preserve">Restoran bebek yang selalu ramai</t>
  </si>
  <si>
    <t xml:space="preserve">https://jatim.idntimes.com/food/dining-guide/kuliner-pulau-madura-10-restoran-di-bangkalan-yang-ciamik-pol-c1c2-00-16bz3-bs0hhp</t>
  </si>
  <si>
    <t xml:space="preserve">Ambil Sendiri Sesuka Hati, Ini Rekomendasi Tempat Makan Prasmanan Favorit di Kota Batu - Radar Batu</t>
  </si>
  <si>
    <t xml:space="preserve">Radar Batu</t>
  </si>
  <si>
    <t xml:space="preserve">Rumah Makan Tera' Bulan</t>
  </si>
  <si>
    <t xml:space="preserve">Jalan Raya Ketengan No.69, Bangkalan</t>
  </si>
  <si>
    <t xml:space="preserve">Jl. Raya Ketengan di Kec. Burneh</t>
  </si>
  <si>
    <t xml:space="preserve">Menu khas Madura</t>
  </si>
  <si>
    <t xml:space="preserve">Bebek Songkem Pak Salim</t>
  </si>
  <si>
    <t xml:space="preserve">Jalan Raya Ketengan No.85, Burneh, Bangkalan</t>
  </si>
  <si>
    <t xml:space="preserve">Bebek songkem</t>
  </si>
  <si>
    <t xml:space="preserve">Rumah Makan Budi Luhur</t>
  </si>
  <si>
    <t xml:space="preserve">Jalan Panglima Sudirman No.114, Bangkalan</t>
  </si>
  <si>
    <t xml:space="preserve">Bangkalan</t>
  </si>
  <si>
    <t xml:space="preserve">Nasi campur dan rawon</t>
  </si>
  <si>
    <t xml:space="preserve">Resto Keboen Rodjo Kediri</t>
  </si>
  <si>
    <t xml:space="preserve">Kediri</t>
  </si>
  <si>
    <t xml:space="preserve">Kediri ambigu: Kota atau Kabupaten Kediri</t>
  </si>
  <si>
    <t xml:space="preserve">Resto keluarga bernuansa joglo</t>
  </si>
  <si>
    <t xml:space="preserve">https://www.hipwee.com/travel/resto-keluarga-di-kediri/</t>
  </si>
  <si>
    <t xml:space="preserve">3 Kuliner Legendaris di Malang, Patut Dicicipi Usai Liburan ke Mikutopia - Tribun Travel</t>
  </si>
  <si>
    <t xml:space="preserve">Pondok Kampoeng Nelayan</t>
  </si>
  <si>
    <t xml:space="preserve">Resto seafood keluarga</t>
  </si>
  <si>
    <t xml:space="preserve">Wahana dan spot foto Instagramable</t>
  </si>
  <si>
    <t xml:space="preserve">https://travel.tribunnews.com/news/143893/3-kuliner-legendaris-di-malang-patut-dicicipi-usai-liburan-ke-mikutopia</t>
  </si>
  <si>
    <t xml:space="preserve">10 Tempat Makan Nasi Goreng Kaki Lima Paling Enak di Sidoarjo - IDN Times Jatim</t>
  </si>
  <si>
    <t xml:space="preserve">Pusat Kota Malang</t>
  </si>
  <si>
    <t xml:space="preserve">Rawon legendaris selalu ramai</t>
  </si>
  <si>
    <t xml:space="preserve">Cwie mie dan Fosco legendaris</t>
  </si>
  <si>
    <t xml:space="preserve">Nasi Goreng Lumintu Cak Kin</t>
  </si>
  <si>
    <t xml:space="preserve">Nasi goreng kaki lima porsi banyak</t>
  </si>
  <si>
    <t xml:space="preserve">https://jatim.idntimes.com/food/dining-guide/tempat-makan-nasi-goreng-kaki-lima-enak-di-sidoarjo-c1c2-00-5ynwf-k1z699</t>
  </si>
  <si>
    <t xml:space="preserve">5 Tempat Makan Malam Dekat Kota Lama Surabaya, Nasi Cumi Wajib Dicoba - Tribun Travel</t>
  </si>
  <si>
    <t xml:space="preserve">Nasi Mandhi Bosgil Ampel</t>
  </si>
  <si>
    <t xml:space="preserve">Kawasan Ampel, Surabaya</t>
  </si>
  <si>
    <t xml:space="preserve">Nasi mandhi dekat Kota Lama Surabaya</t>
  </si>
  <si>
    <t xml:space="preserve">https://travel.tribunnews.com/kuliner/142710/5-tempat-makan-malam-dekat-kota-lama-surabaya-nasi-cumi-wajib-dicoba</t>
  </si>
  <si>
    <t xml:space="preserve">Disbudpar Usut Finalis Duta Wisata Jatim Diduga Minta Pacar Aborsi - cnnindonesia.com</t>
  </si>
  <si>
    <t xml:space="preserve">Nasi Bebek Tugu Pahlawan Asli</t>
  </si>
  <si>
    <t xml:space="preserve">Dekat Tugu Pahlawan (Kec. Bubutan)</t>
  </si>
  <si>
    <t xml:space="preserve">Nasi bebek dekat Kota Lama</t>
  </si>
  <si>
    <t xml:space="preserve">Batu Secret Zoo (Jatim Park 2)</t>
  </si>
  <si>
    <t xml:space="preserve">Temas</t>
  </si>
  <si>
    <t xml:space="preserve">Batu</t>
  </si>
  <si>
    <t xml:space="preserve">Viral foto singa kurus di media sosial (isu negatif)</t>
  </si>
  <si>
    <t xml:space="preserve">https://www.detik.com/jatim/wisata/d-8619207/penjelasan-jatim-park-2-soal-viral-singa-kurus-di-batu-secret-zoo</t>
  </si>
  <si>
    <t xml:space="preserve">Strategi Media Sosial Pariwisata Jawa Timur untuk Menaikkan Length of Stay - RRI.co.id</t>
  </si>
  <si>
    <t xml:space="preserve">Bukit Premium</t>
  </si>
  <si>
    <t xml:space="preserve">Dusun Kandang Sari, Desa Mororejo, Kecamatan Tosari, Kabupaten Pasuruan</t>
  </si>
  <si>
    <t xml:space="preserve">Mororejo</t>
  </si>
  <si>
    <t xml:space="preserve">Tosari</t>
  </si>
  <si>
    <t xml:space="preserve">Kabupaten Pasuruan</t>
  </si>
  <si>
    <t xml:space="preserve">Viral di TikTok karena sabana mirip Sumba</t>
  </si>
  <si>
    <t xml:space="preserve">2025-2026</t>
  </si>
  <si>
    <t xml:space="preserve">https://chanelmuslim.com/wisata/kenali-bukit-premium-jawa-timur</t>
  </si>
  <si>
    <t xml:space="preserve">Dongkrak Wisata Daerah, Telaga Sarangan Jadi Spot Foto Viral Mirip di Italia - surabayapagi.com</t>
  </si>
  <si>
    <t xml:space="preserve">surabayapagi.com</t>
  </si>
  <si>
    <t xml:space="preserve">2026-09-01</t>
  </si>
  <si>
    <t xml:space="preserve">Telaga Sarangan (spot bugenvil)</t>
  </si>
  <si>
    <t xml:space="preserve">Magetan, Jawa Timur</t>
  </si>
  <si>
    <t xml:space="preserve">Spot foto bunga bugenvil viral mirip Danau Como Italia</t>
  </si>
  <si>
    <t xml:space="preserve">https://surabayapagi.com/news-270817-dongkrak-wisata-daerah-telaga-sarangan-jadi-spot-foto-viral-mirip-di-italia</t>
  </si>
  <si>
    <t xml:space="preserve">✨ Lagi Hype Banget! Nih Tempat Wisata di Pacet 2026 Nan Estetik! 📸 - tripzilla.id</t>
  </si>
  <si>
    <t xml:space="preserve">Kawasan Pacet</t>
  </si>
  <si>
    <t xml:space="preserve">Kecamatan Pacet, Kabupaten Mojokerto</t>
  </si>
  <si>
    <t xml:space="preserve">Pacet</t>
  </si>
  <si>
    <t xml:space="preserve">Kabupaten Mojokerto</t>
  </si>
  <si>
    <t xml:space="preserve">Destinasi wisata lagi hype 2026</t>
  </si>
  <si>
    <t xml:space="preserve">https://www.tripzilla.id/tempat-wisata-di-pacet-2026/27074</t>
  </si>
  <si>
    <t xml:space="preserve">Viral Gegara In This Economy, Ini 7 Fakta Gunung Kawi yang Bikin Penasaran - Lingkaran.net</t>
  </si>
  <si>
    <t xml:space="preserve">Lingkaran.net</t>
  </si>
  <si>
    <t xml:space="preserve">2026-07-07</t>
  </si>
  <si>
    <t xml:space="preserve">Pesarean Gunung Kawi</t>
  </si>
  <si>
    <t xml:space="preserve">Desa Wonosari, Kecamatan Wonosari, Kabupaten Malang</t>
  </si>
  <si>
    <t xml:space="preserve">Wonosari</t>
  </si>
  <si>
    <t xml:space="preserve">Kabupaten Malang</t>
  </si>
  <si>
    <t xml:space="preserve">Viral lewat meme "in this economy", destinasi wisata religi</t>
  </si>
  <si>
    <t xml:space="preserve">https://lingkaran.net/berita/11733/viral-gegara-in-this-economy-ini-7-fakta-gunung-kawi-yang-bikin-penasaran</t>
  </si>
  <si>
    <t xml:space="preserve">lingkaran.net</t>
  </si>
  <si>
    <t xml:space="preserve">Dilema Jembatan Cangar: Menghalau Maut di Jalur Wisata Viral Jatim - indonesiaonline.co.id</t>
  </si>
  <si>
    <t xml:space="preserve">indonesiaonline.co.id</t>
  </si>
  <si>
    <t xml:space="preserve">Jembatan Cangar</t>
  </si>
  <si>
    <t xml:space="preserve">Tahura Raden Soerjo, perbatasan Mojokerto-Kota Batu</t>
  </si>
  <si>
    <t xml:space="preserve">Di perbatasan Kab. Mojokerto dan Kota Batu (Tahura R. Soerjo)</t>
  </si>
  <si>
    <t xml:space="preserve">Ramai didatangi karena konten viral usai tragedi (isu negatif, dark tourism)</t>
  </si>
  <si>
    <t xml:space="preserve">https://indonesiaonline.co.id/dilema-jembatan-cangar-menghalau-maut-di-jalur-wisata-viral-jatim/</t>
  </si>
  <si>
    <t xml:space="preserve">Disbudpar Jatim Resmi Copot Duta Wisata Diduga Paksa Aborsi Pacar - cnnindonesia.com</t>
  </si>
  <si>
    <t xml:space="preserve">026</t>
  </si>
  <si>
    <t xml:space="preserve">Museum Mega Science Center dan Budaya</t>
  </si>
  <si>
    <t xml:space="preserve">Jatim Park 1, Kota Batu</t>
  </si>
  <si>
    <t xml:space="preserve">Sisir</t>
  </si>
  <si>
    <t xml:space="preserve">Museum baru sains, robotika, AI, dan 1.023 artefak budaya tahap trial opening</t>
  </si>
  <si>
    <t xml:space="preserve">https://timesindonesia.co.id/wisata/608818/dari-majapahit-hingga-robot-ai-jatim-park-satukan-dua-dunia-di-batu</t>
  </si>
  <si>
    <t xml:space="preserve">Hari Buruh 2026: Prabowo ungkit lagi status pahlawan Marsinah - BBC</t>
  </si>
  <si>
    <t xml:space="preserve">BBC</t>
  </si>
  <si>
    <t xml:space="preserve">2026-05-01</t>
  </si>
  <si>
    <t xml:space="preserve">Museum Marsinah</t>
  </si>
  <si>
    <t xml:space="preserve">Desa Nglundo, Nganjuk, Jawa Timur</t>
  </si>
  <si>
    <t xml:space="preserve">Nglundo</t>
  </si>
  <si>
    <t xml:space="preserve">Sukomoro</t>
  </si>
  <si>
    <t xml:space="preserve">Kabupaten Nganjuk</t>
  </si>
  <si>
    <t xml:space="preserve">Museum perjuangan buruh yang akan diresmikan Presiden</t>
  </si>
  <si>
    <t xml:space="preserve">https://www.bbc.com/indonesia/articles/cjrp3ejgj28o</t>
  </si>
  <si>
    <t xml:space="preserve">www.bbc.com</t>
  </si>
  <si>
    <t xml:space="preserve">Museum Baru Hadir di Jatim Park 1! Mega Science Center &amp; Budaya Trial Opening Hari Ini - radarmalang.jawapos.com</t>
  </si>
  <si>
    <t xml:space="preserve">Museum Mega Science Center &amp; Budaya</t>
  </si>
  <si>
    <t xml:space="preserve">Trial opening museum baru dengan zona sains, robotik, dan budaya</t>
  </si>
  <si>
    <t xml:space="preserve">https://radarmalang.jawapos.com/wisata-kuliner/2609160001/museum-baru-hadir-di-jatim-park-1-mega-science-center-budaya-trial-opening-hari-ini</t>
  </si>
  <si>
    <t xml:space="preserve">Ekonomi: Masalah di balik pernyataan Presiden Prabowo 'rakyat di desa enggak pakai dolar' - BBC</t>
  </si>
  <si>
    <t xml:space="preserve">Nganjuk, Jawa Timur</t>
  </si>
  <si>
    <t xml:space="preserve">Diresmikan Presiden Prabowo</t>
  </si>
  <si>
    <t xml:space="preserve">https://www.bbc.com/indonesia/articles/cze268ng743o</t>
  </si>
  <si>
    <t xml:space="preserve">Wisata Kuliner Malang Raya yang Wajib Dicoba 2026 Cukup dengan Naik Trans Jatim - radarmalang.jawapos.com</t>
  </si>
  <si>
    <t xml:space="preserve">Toko Emas UBS Pasar Atom</t>
  </si>
  <si>
    <t xml:space="preserve">Pasar Atom, Surabaya</t>
  </si>
  <si>
    <t xml:space="preserve">Bongkaran</t>
  </si>
  <si>
    <t xml:space="preserve">Pabean Cantian</t>
  </si>
  <si>
    <t xml:space="preserve">Kasus pencurian oleh cleaning service (isu negatif)</t>
  </si>
  <si>
    <t xml:space="preserve">Mei-Juli 2026</t>
  </si>
  <si>
    <t xml:space="preserve">https://artik.id/news-13901-cleaning-service-toko-emas-ubs-pasar-atom-surabaya-ditangkap-usai-kabur-ke-halmahera</t>
  </si>
  <si>
    <t xml:space="preserve">artik.id</t>
  </si>
  <si>
    <t xml:space="preserve">Viral Bobol Ruko di Wonokusumo Surabaya, Polsek Semampir Tangkap Residivis - Berita Keadilan</t>
  </si>
  <si>
    <t xml:space="preserve">Berita Keadilan</t>
  </si>
  <si>
    <t xml:space="preserve">The Beauty Shop (TBSS)</t>
  </si>
  <si>
    <t xml:space="preserve">Jl. Sigura-Gura, Jl. Sulfat, dan Jl. Supriyadi, Malang</t>
  </si>
  <si>
    <t xml:space="preserve">Beberapa cabang di Kota Malang</t>
  </si>
  <si>
    <t xml:space="preserve">Toko kosmetik dengan skincare viral dan glam studio</t>
  </si>
  <si>
    <t xml:space="preserve">https://indiekraf.com/dari-skincare-hingga-makeup-ini-toko-kosmetik-terlengkap-favorit-warga-malang/</t>
  </si>
  <si>
    <t xml:space="preserve">indiekraf.com</t>
  </si>
  <si>
    <t xml:space="preserve">Serasa Time Travel! 3 Pasar Unik dan Jadul di Jatim Ini Bikin Nostalgia - detikcom</t>
  </si>
  <si>
    <t xml:space="preserve">Mitufaya</t>
  </si>
  <si>
    <t xml:space="preserve">Toko kosmetik favorit anak muda dengan produk viral</t>
  </si>
  <si>
    <t xml:space="preserve">Pasar Jadul Tawun</t>
  </si>
  <si>
    <t xml:space="preserve">Taman Wisata Tawun, Desa Tawun, Kecamatan Kasreman, Ngawi</t>
  </si>
  <si>
    <t xml:space="preserve">Tawun</t>
  </si>
  <si>
    <t xml:space="preserve">Kasreman</t>
  </si>
  <si>
    <t xml:space="preserve">Kabupaten Ngawi</t>
  </si>
  <si>
    <t xml:space="preserve">Pasar jadul yang viral, transaksi koin kayu setiap Minggu Legi</t>
  </si>
  <si>
    <t xml:space="preserve">https://www.detik.com/jatim/berita/d-8482467/serasa-time-travel-3-pasar-unik-dan-jadul-di-jatim-ini-bikin-nostalgia</t>
  </si>
  <si>
    <t xml:space="preserve">Viral! Emak-Emak Diduga Edarkan Uang Palsu Ditangkap di Pasar Wage Grabagan Tuban - iNews.ID</t>
  </si>
  <si>
    <t xml:space="preserve">iNews.ID</t>
  </si>
  <si>
    <t xml:space="preserve">Pasar Bandeng Gresik</t>
  </si>
  <si>
    <t xml:space="preserve">Gresik</t>
  </si>
  <si>
    <t xml:space="preserve">Pasar Ramadan tradisi budaya</t>
  </si>
  <si>
    <t xml:space="preserve">Ramadan</t>
  </si>
  <si>
    <t xml:space="preserve">Pasar Wage Grabagan</t>
  </si>
  <si>
    <t xml:space="preserve">Kecamatan Grabagan, Kabupaten Tuban</t>
  </si>
  <si>
    <t xml:space="preserve">Grabagan</t>
  </si>
  <si>
    <t xml:space="preserve">Kabupaten Tuban</t>
  </si>
  <si>
    <t xml:space="preserve">Viral video penangkapan pengedar uang palsu (isu negatif)</t>
  </si>
  <si>
    <t xml:space="preserve">2 Mei 2026</t>
  </si>
  <si>
    <t xml:space="preserve">https://bojonegoro.inews.id/read/688334/viral-emak-emak-diduga-edarkan-uang-palsu-ditangkap-di-pasar-wage-grabagan-tuban</t>
  </si>
  <si>
    <t xml:space="preserve">bojonegoro.inews.id</t>
  </si>
  <si>
    <t xml:space="preserve">Koperasi Sepi dan Omzet Minim, Pemerintah Didesak Petakan Kesiapan Pasar Desa - Kompas.id</t>
  </si>
  <si>
    <t xml:space="preserve">Pasar Turen</t>
  </si>
  <si>
    <t xml:space="preserve">Turen</t>
  </si>
  <si>
    <t xml:space="preserve">Kebakaran pasar viral di media sosial (isu negatif)</t>
  </si>
  <si>
    <t xml:space="preserve">13 Juli 2026</t>
  </si>
  <si>
    <t xml:space="preserve">https://malangtimes.com/baca/3331346988/20260713/215700/pasar-turen-terbakar-api-diduga-dari-tempat-sampah</t>
  </si>
  <si>
    <t xml:space="preserve">malangtimes.com</t>
  </si>
  <si>
    <t xml:space="preserve">Kronologi Wanita Mabuk Berat Ugal-ugalan di Surabaya hingga Tewaskan Kru Event - AFU.id</t>
  </si>
  <si>
    <t xml:space="preserve">AFU.id</t>
  </si>
  <si>
    <t xml:space="preserve">Festival Inovasi Produk Daya Tarik Wisata (Pameran Kopi dan Ekraf 2026)</t>
  </si>
  <si>
    <t xml:space="preserve">Lapangan Atletik Unesa, Surabaya</t>
  </si>
  <si>
    <t xml:space="preserve">Festival UMKM kopi dan ekonomi kreatif</t>
  </si>
  <si>
    <t xml:space="preserve">https://jatim.antaranews.com/berita/1078652/disbudpar-dan-dprd-jatim-perkuat-ekonomi-kreatif-lewat-festival</t>
  </si>
  <si>
    <t xml:space="preserve">Festival Kopi dan Ekraf 2026 Jadi Etalase Produk Unggulan Jawa Timur, Dorong UMKM Tembus Pasar Lebih Luas - Harian Merah Putih</t>
  </si>
  <si>
    <t xml:space="preserve">Harian Merah Putih</t>
  </si>
  <si>
    <t xml:space="preserve">Pameran Kopi dan Ekonomi Kreatif 2026</t>
  </si>
  <si>
    <t xml:space="preserve">Gedung Internatio, Kota Lama Surabaya</t>
  </si>
  <si>
    <t xml:space="preserve">Krembangan Selatan</t>
  </si>
  <si>
    <t xml:space="preserve">Krembangan</t>
  </si>
  <si>
    <t xml:space="preserve">Festival inovasi produk daya tarik wisata 20 tenant</t>
  </si>
  <si>
    <t xml:space="preserve">23-24 Juli 2026</t>
  </si>
  <si>
    <t xml:space="preserve">https://harianmerahputih.id/baca-21329-festival-kopi-dan-ekraf-2026-jadi-etalase-produk-unggulan-jawa-timur-dorong-umkm-tembus-pasar-lebih-luas</t>
  </si>
  <si>
    <t xml:space="preserve">harianmerahputih.id</t>
  </si>
  <si>
    <t xml:space="preserve">Jangkrik Kuliner Gelar Festival “Warisan Rasa Asia" Pertama Kali di Icon Mall Gresik - Radar Gresik</t>
  </si>
  <si>
    <t xml:space="preserve">Radar Gresik</t>
  </si>
  <si>
    <t xml:space="preserve">Festival Kuliner Warisan Rasa Asia (Jangkrik Kuliner)</t>
  </si>
  <si>
    <t xml:space="preserve">Festival kuliner skala nasional pertama di Gresik</t>
  </si>
  <si>
    <t xml:space="preserve">https://radargresik.jawapos.com/gaya-hidup/2607230002/jangkrik-kuliner-gelar-festival-warisan-rasa-asia-pertama-kali-di-icon-mall-gresik</t>
  </si>
  <si>
    <t xml:space="preserve">radargresik.jawapos.com</t>
  </si>
  <si>
    <t xml:space="preserve">Jatim Park Kota Batu Punya Sederet Event Seru untuk Libur Sekolah - detikcom</t>
  </si>
  <si>
    <t xml:space="preserve">Dino Park Jatim Park 3</t>
  </si>
  <si>
    <t xml:space="preserve">Junrejo</t>
  </si>
  <si>
    <t xml:space="preserve">Wahana edukatif dinosaurus dengan replika fosil</t>
  </si>
  <si>
    <t xml:space="preserve">Libur sekolah 2026</t>
  </si>
  <si>
    <t xml:space="preserve">https://www.detik.com/jatim/wisata/d-8548823/jatim-park-kota-batu-punya-sederet-event-seru-untuk-libur-sekolah</t>
  </si>
  <si>
    <t xml:space="preserve">Festival Kopi dan Ekraf Jatim Perluas Pasar UMKM, Bidik Konsumen Menengah Atas - Harian Merah Putih</t>
  </si>
  <si>
    <t xml:space="preserve">Ciputra World Surabaya</t>
  </si>
  <si>
    <t xml:space="preserve">Gunung Sari</t>
  </si>
  <si>
    <t xml:space="preserve">Dukuh Pakis</t>
  </si>
  <si>
    <t xml:space="preserve">Festival edisi keempat dengan 30 tenant</t>
  </si>
  <si>
    <t xml:space="preserve">10-12 Juli 2026</t>
  </si>
  <si>
    <t xml:space="preserve">https://harianmerahputih.id/baca-21224-festival-kopi-dan-ekraf-jatim-perluas-pasar-umkm-bidik-konsumen-menengah-atas</t>
  </si>
  <si>
    <t xml:space="preserve">Menikmati Kelezatan Dim Sum Autentik Klasik Tionghoa, Restoran China Terbaik di Bali - jogja.disway.id - Disway Jogja</t>
  </si>
  <si>
    <t xml:space="preserve">Taman Safari Bali</t>
  </si>
  <si>
    <t xml:space="preserve">Gianyar, Bali</t>
  </si>
  <si>
    <t xml:space="preserve">Gianyar</t>
  </si>
  <si>
    <t xml:space="preserve">Destinasi wisata margasatwa</t>
  </si>
  <si>
    <t xml:space="preserve">https://jogja.disway.id/amp/701819/kuliner-murah-dekat-taman-safari-bali-2026-jadi-tempat-makan-lezat-ramah-kantong</t>
  </si>
  <si>
    <t xml:space="preserve">6 Rekomendasi Kuliner Viral dan Kekinian di Bali yang Wajib Dicoba - detikcom</t>
  </si>
  <si>
    <t xml:space="preserve">Bale Udang</t>
  </si>
  <si>
    <t xml:space="preserve">Seafood konsep saung di atas kolam, kuliner viral</t>
  </si>
  <si>
    <t xml:space="preserve">https://www.detik.com/bali/kuliner/d-8546025/6-rekomendasi-kuliner-viral-dan-kekinian-di-bali-yang-wajib-dicoba</t>
  </si>
  <si>
    <t xml:space="preserve">6 Spot Kuliner Murah di Denpasar, Harga Mulai Rp 6.000 dan Bikin Ketagihan - detikcom</t>
  </si>
  <si>
    <t xml:space="preserve">GigiSusu</t>
  </si>
  <si>
    <t xml:space="preserve">Coffee shop populer spot foto favorit di media sosial</t>
  </si>
  <si>
    <t xml:space="preserve">Cloud Cakes Cafe</t>
  </si>
  <si>
    <t xml:space="preserve">Jajanan yang menarik perhatian food vlogger</t>
  </si>
  <si>
    <t xml:space="preserve">Donat Kentang Renon</t>
  </si>
  <si>
    <t xml:space="preserve">Jl. Merdeka VIII No.8X, Panjer, Denpasar Selatan</t>
  </si>
  <si>
    <t xml:space="preserve">Panjer</t>
  </si>
  <si>
    <t xml:space="preserve">Denpasar Selatan</t>
  </si>
  <si>
    <t xml:space="preserve">Kota Denpasar</t>
  </si>
  <si>
    <t xml:space="preserve">Donat murah mulai Rp6.000</t>
  </si>
  <si>
    <t xml:space="preserve">https://www.detik.com/bali/kuliner/d-8537262/6-spot-kuliner-murah-di-denpasar-harga-mulai-rp-6-000-dan-bikin-ketagihan</t>
  </si>
  <si>
    <t xml:space="preserve">10 Restoran Baru di Bali Juli 2026 - nibble.id</t>
  </si>
  <si>
    <t xml:space="preserve">Warung Mesari Bali</t>
  </si>
  <si>
    <t xml:space="preserve">Jl. Tukad Gangga No.33, Dauh Puri Klod, Denpasar Selatan</t>
  </si>
  <si>
    <t xml:space="preserve">Dauh Puri Klod</t>
  </si>
  <si>
    <t xml:space="preserve">Denpasar Barat</t>
  </si>
  <si>
    <t xml:space="preserve">Dauh Puri Klod umumnya di Kec. Denpasar Barat; teks menyebut Denpasar Selatan</t>
  </si>
  <si>
    <t xml:space="preserve">Kuliner murah nasi campur dan rujak</t>
  </si>
  <si>
    <t xml:space="preserve">Pasukan 36</t>
  </si>
  <si>
    <t xml:space="preserve">Jl. Gatot Subroto Timur No.268, Tonja, Denpasar Utara</t>
  </si>
  <si>
    <t xml:space="preserve">Tonja</t>
  </si>
  <si>
    <t xml:space="preserve">Denpasar Utara</t>
  </si>
  <si>
    <t xml:space="preserve">Chicken steak murah</t>
  </si>
  <si>
    <t xml:space="preserve">Bakmi Kien</t>
  </si>
  <si>
    <t xml:space="preserve">Jl. Tukad Sanghyang No.7c, Panjer, Denpasar Selatan</t>
  </si>
  <si>
    <t xml:space="preserve">Bakmi ayam jamur murah</t>
  </si>
  <si>
    <t xml:space="preserve">Loloan Coastal</t>
  </si>
  <si>
    <t xml:space="preserve">Raffles Bali, Jalan Karang Mas Sejahtera 1A, Jimbaran</t>
  </si>
  <si>
    <t xml:space="preserve">Jimbaran</t>
  </si>
  <si>
    <t xml:space="preserve">Kuta Selatan</t>
  </si>
  <si>
    <t xml:space="preserve">Restoran baru bercita rasa Peru</t>
  </si>
  <si>
    <t xml:space="preserve">https://www.nibble.id/restoran-baru-bali-juli-2026/</t>
  </si>
  <si>
    <t xml:space="preserve">Saking Enaknya, Kuliner Non Halal Ini Diincar Banyak Orang Di Bali - tripzilla.id</t>
  </si>
  <si>
    <t xml:space="preserve">Heydahl</t>
  </si>
  <si>
    <t xml:space="preserve">Kaba-Kaba, Tabanan, Bali</t>
  </si>
  <si>
    <t xml:space="preserve">Kaba-Kaba</t>
  </si>
  <si>
    <t xml:space="preserve">Kabupaten Tabanan</t>
  </si>
  <si>
    <t xml:space="preserve">Restoran baru berkonsep kacang-kacangan</t>
  </si>
  <si>
    <t xml:space="preserve">Uncle Pipin Chinese Food</t>
  </si>
  <si>
    <t xml:space="preserve">Jl. Dewi Sri II No.18, Legian, Kuta, Badung</t>
  </si>
  <si>
    <t xml:space="preserve">Legian</t>
  </si>
  <si>
    <t xml:space="preserve">Kuliner non halal khas Singkawang</t>
  </si>
  <si>
    <t xml:space="preserve">https://www.tripzilla.id/kuliner-bali-non-halal/26965</t>
  </si>
  <si>
    <t xml:space="preserve">10 Restoran Baru di Bali Mei 2026 - nibble.id</t>
  </si>
  <si>
    <t xml:space="preserve">Majesty Burger</t>
  </si>
  <si>
    <t xml:space="preserve">Jl. Ganda Mayu No.4, Mengwi, Badung</t>
  </si>
  <si>
    <t xml:space="preserve">Burger fusion</t>
  </si>
  <si>
    <t xml:space="preserve">Standar Lokal</t>
  </si>
  <si>
    <t xml:space="preserve">Urutan babi khas Bali</t>
  </si>
  <si>
    <t xml:space="preserve">Wok This Way</t>
  </si>
  <si>
    <t xml:space="preserve">Jl. Raya Canggu No.100, Pererenan, Mengwi, Badung</t>
  </si>
  <si>
    <t xml:space="preserve">Restoran Chinese food baru</t>
  </si>
  <si>
    <t xml:space="preserve">https://www.nibble.id/restoran-baru-bali-mei-2026/</t>
  </si>
  <si>
    <t xml:space="preserve">Murah + Enak, Tempat Makan Hidden Gem Di Ubud Ini Wajib Dikunjungi! - tripzilla.id</t>
  </si>
  <si>
    <t xml:space="preserve">Bakmiku</t>
  </si>
  <si>
    <t xml:space="preserve">Kuta, Bali</t>
  </si>
  <si>
    <t xml:space="preserve">Warung bakmi terbaru</t>
  </si>
  <si>
    <t xml:space="preserve">Warung Mek Juwel</t>
  </si>
  <si>
    <t xml:space="preserve">Jl. Melati, Sayan, Ubud, Gianyar</t>
  </si>
  <si>
    <t xml:space="preserve">Sayan</t>
  </si>
  <si>
    <t xml:space="preserve">Nasi campur murah dengan pemandangan sawah</t>
  </si>
  <si>
    <t xml:space="preserve">https://www.tripzilla.id/tempat-makan-enak-dan-murah-di-ubud/26841</t>
  </si>
  <si>
    <t xml:space="preserve">Bingung Cari Makan Siang? Cobain 5 Nasi Bali Halal di Jakarta - detikFood</t>
  </si>
  <si>
    <t xml:space="preserve">Tuniang Bali</t>
  </si>
  <si>
    <t xml:space="preserve">Jl. Kemang Barat No.8, Jakarta Selatan</t>
  </si>
  <si>
    <t xml:space="preserve">Bangka</t>
  </si>
  <si>
    <t xml:space="preserve">Nasi Bali halal resep keluarga</t>
  </si>
  <si>
    <t xml:space="preserve">https://food.detik.com/tempat-makan/d-8432608/bingung-cari-makan-siang-cobain-5-nasi-bali-halal-di-jakarta</t>
  </si>
  <si>
    <t xml:space="preserve">10 Restoran Baru di Bali April 2026 - nibble.id</t>
  </si>
  <si>
    <t xml:space="preserve">027</t>
  </si>
  <si>
    <t xml:space="preserve">Kirana Garden Resto</t>
  </si>
  <si>
    <t xml:space="preserve">Jl. Raya Kutuh, Samsam, Kerambitan, Tabanan</t>
  </si>
  <si>
    <t xml:space="preserve">Samsam</t>
  </si>
  <si>
    <t xml:space="preserve">Kerambitan</t>
  </si>
  <si>
    <t xml:space="preserve">Restoran baru di tengah sawah</t>
  </si>
  <si>
    <t xml:space="preserve">https://www.nibble.id/restoran-baru-di-bali-april-2026/</t>
  </si>
  <si>
    <t xml:space="preserve">10 Restoran Baru di Bali Juni 2026 - nibble.id</t>
  </si>
  <si>
    <t xml:space="preserve">Bambu Kuliner Bali (Bakul Bali)</t>
  </si>
  <si>
    <t xml:space="preserve">Jl. Raya Saba Blangsinga, Blahbatuh, Gianyar</t>
  </si>
  <si>
    <t xml:space="preserve">Blahbatuh</t>
  </si>
  <si>
    <t xml:space="preserve">Restoran baru babi guling</t>
  </si>
  <si>
    <t xml:space="preserve">Kaizen Renon</t>
  </si>
  <si>
    <t xml:space="preserve">Renon, Denpasar</t>
  </si>
  <si>
    <t xml:space="preserve">Renon</t>
  </si>
  <si>
    <t xml:space="preserve">AYCE halal gerai kedua di Bali</t>
  </si>
  <si>
    <t xml:space="preserve">KAJA by Numa</t>
  </si>
  <si>
    <t xml:space="preserve">Jl. Raya Pengosekan Ubud, Mas, Ubud, Gianyar</t>
  </si>
  <si>
    <t xml:space="preserve">Mas</t>
  </si>
  <si>
    <t xml:space="preserve">Restoran baru berarsitektur goa</t>
  </si>
  <si>
    <t xml:space="preserve">https://www.nibble.id/restoran-baru-bali-juni-2026/</t>
  </si>
  <si>
    <t xml:space="preserve">Nggak Cuma Jimbaran, Ini 5 Rekomendasi Tempat Makan Seafood di Bali - detikcom</t>
  </si>
  <si>
    <t xml:space="preserve">Luca Bali</t>
  </si>
  <si>
    <t xml:space="preserve">Sanur, Bali</t>
  </si>
  <si>
    <t xml:space="preserve">Sanur</t>
  </si>
  <si>
    <t xml:space="preserve">Steakhouse baru dari tim Boy'N'Cow</t>
  </si>
  <si>
    <t xml:space="preserve">Warung Torotoro</t>
  </si>
  <si>
    <t xml:space="preserve">Jl. Pantai Kelan, Tuban, Kuta, Badung</t>
  </si>
  <si>
    <t xml:space="preserve">Tuban</t>
  </si>
  <si>
    <t xml:space="preserve">Seafood sunset dekat bandara</t>
  </si>
  <si>
    <t xml:space="preserve">https://www.detik.com/bali/kuliner/d-8547874/nggak-cuma-jimbaran-ini-5-rekomendasi-tempat-makan-seafood-di-bali</t>
  </si>
  <si>
    <t xml:space="preserve">5 Tempat Makan Enak di Ampera Raya Jaksel, Ada Nasi Bali hingga Live Seafood - detikFood</t>
  </si>
  <si>
    <t xml:space="preserve">Aruma</t>
  </si>
  <si>
    <t xml:space="preserve">Ampera Raya, Jakarta Selatan</t>
  </si>
  <si>
    <t xml:space="preserve">Restoran Nusantara modern</t>
  </si>
  <si>
    <t xml:space="preserve">https://food.detik.com/resto-dan-kafe/d-8538065/5-tempat-makan-enak-di-ampera-raya-jaksel-ada-nasi-bali-hingga-live-seafood</t>
  </si>
  <si>
    <t xml:space="preserve">Dapur Ibuk Nyoman: Laris Manis! Nasi Jinggo Bali Enak di Perumahan Tangsel - detikFood</t>
  </si>
  <si>
    <t xml:space="preserve">Hachi Garden Ampera</t>
  </si>
  <si>
    <t xml:space="preserve">Ayam bakar dan jajanan pasar</t>
  </si>
  <si>
    <t xml:space="preserve">Little Bali</t>
  </si>
  <si>
    <t xml:space="preserve">Nasi jinggo Bali</t>
  </si>
  <si>
    <t xml:space="preserve">Dapur Ibuk Nyoman</t>
  </si>
  <si>
    <t xml:space="preserve">Jalan Walet III No.12, Jurang Mangu Barat, Tangerang Selatan</t>
  </si>
  <si>
    <t xml:space="preserve">Jurang Mangu Barat</t>
  </si>
  <si>
    <t xml:space="preserve">Viral rumah makan nasi jinggo Bali di area perumahan</t>
  </si>
  <si>
    <t xml:space="preserve">https://food.detik.com/rumah-makan/d-8481496/dapur-ibuk-nyoman-laris-manis-nasi-jinggo-bali-enak-di-perumahan-tangsel</t>
  </si>
  <si>
    <t xml:space="preserve">Selalu Ada Alasan untuk Kembali ke Bali - Kompas.id</t>
  </si>
  <si>
    <t xml:space="preserve">Destinasi bahari favorit selebriti dunia</t>
  </si>
  <si>
    <t xml:space="preserve">https://www.cnnindonesia.com/gaya-hidup/20260918125527-269-1405396/bukan-cuma-bali-5-destinasi-di-indonesia-ini-favorit-selebriti-dunia</t>
  </si>
  <si>
    <t xml:space="preserve">Dispar: Wisatawan Macanegara yang hendak ke Bali tak perlu khawatirkan virus Zika - ANTARA News Bali</t>
  </si>
  <si>
    <t xml:space="preserve">ANTARA News Bali</t>
  </si>
  <si>
    <t xml:space="preserve">2026-08-23</t>
  </si>
  <si>
    <t xml:space="preserve">Labuan Bajo (Taman Nasional Komodo)</t>
  </si>
  <si>
    <t xml:space="preserve">Kabupaten Manggarai Barat, NTT</t>
  </si>
  <si>
    <t xml:space="preserve">Destinasi favorit selebriti dunia</t>
  </si>
  <si>
    <t xml:space="preserve">Prasasti Blanjong</t>
  </si>
  <si>
    <t xml:space="preserve">Sanur, Denpasar</t>
  </si>
  <si>
    <t xml:space="preserve">Sanur Kauh</t>
  </si>
  <si>
    <t xml:space="preserve">Prasasti tertua di Bali dalam tur Jalan-Jalan Sejarah</t>
  </si>
  <si>
    <t xml:space="preserve">https://www.detik.com/bali/wisata/d-8680145/menelusuri-sejarah-sanur-lewat-jalan-kaki-dari-prasasti-blanjong-pantai-hyatt</t>
  </si>
  <si>
    <t xml:space="preserve">Cegah Kebakaran Akomodasi Wisata, Pemkab Badung Kaji Ulang SOP Atap Ilalang - detikcom</t>
  </si>
  <si>
    <t xml:space="preserve">Restoran Chez Gado-Gado</t>
  </si>
  <si>
    <t xml:space="preserve">Jalan Camplung Tanduk, Seminyak, Kuta, Badung</t>
  </si>
  <si>
    <t xml:space="preserve">Kebakaran hebat restoran beratap ilalang (isu negatif)</t>
  </si>
  <si>
    <t xml:space="preserve">Akhir Agustus 2026</t>
  </si>
  <si>
    <t xml:space="preserve">https://www.detik.com/bali/berita/d-8676348/cegah-kebakaran-akomodasi-wisata-pemkab-badung-kaji-ulang-sop-atap-ilalang</t>
  </si>
  <si>
    <t xml:space="preserve">Keberlanjutan industri pariwisata butuh kolaborasi lintas sektor - ANTARA News Bali</t>
  </si>
  <si>
    <t xml:space="preserve">Pasar Minggu Palimanan</t>
  </si>
  <si>
    <t xml:space="preserve">Kabupaten Cirebon</t>
  </si>
  <si>
    <t xml:space="preserve">Palimanan</t>
  </si>
  <si>
    <t xml:space="preserve">Viral sampah menumpuk meluber ke jalan (isu negatif)</t>
  </si>
  <si>
    <t xml:space="preserve">3 Juni 2026</t>
  </si>
  <si>
    <t xml:space="preserve">https://bandung.kompas.com/read/2026/06/03/183254678/viral-sampah-menumpuk-dan-meluber-di-pasar-minggu-palimanan-cirebon-dlh?page=all</t>
  </si>
  <si>
    <t xml:space="preserve">bandung.kompas.com</t>
  </si>
  <si>
    <t xml:space="preserve">Media Sosial Mengubah Cara Kita Memilih Tempat Makan - Jatimnet.com</t>
  </si>
  <si>
    <t xml:space="preserve">Jatimnet.com</t>
  </si>
  <si>
    <t xml:space="preserve">Pasar Baleendah</t>
  </si>
  <si>
    <t xml:space="preserve">Kabupaten Bandung</t>
  </si>
  <si>
    <t xml:space="preserve">Baleendah</t>
  </si>
  <si>
    <t xml:space="preserve">Viral dugaan pungli terhadap pedagang (isu negatif)</t>
  </si>
  <si>
    <t xml:space="preserve">https://bandung.kompas.com/read/2026/06/11/221844078/viral-dugaan-pungli-di-pasar-baleendah-disperdagin-bandung-tidak-ada-dasar?page=all</t>
  </si>
  <si>
    <t xml:space="preserve">Batukaras Surf Festival</t>
  </si>
  <si>
    <t xml:space="preserve">Batukaras, Kabupaten Pangandaran</t>
  </si>
  <si>
    <t xml:space="preserve">Batukaras</t>
  </si>
  <si>
    <t xml:space="preserve">Cijulang</t>
  </si>
  <si>
    <t xml:space="preserve">Festival selancar</t>
  </si>
  <si>
    <t xml:space="preserve">6-9 Agustus 2026</t>
  </si>
  <si>
    <t xml:space="preserve">https://www.satumedia.id/news/30122/catat-ini-deretan-event-seru-di-jawa-barat-sepanjang-agustus-2026/</t>
  </si>
  <si>
    <t xml:space="preserve">www.satumedia.id</t>
  </si>
  <si>
    <t xml:space="preserve">Indonesia HijabFest</t>
  </si>
  <si>
    <t xml:space="preserve">Event dengan transaksi Rp50 miliar</t>
  </si>
  <si>
    <t xml:space="preserve">Maret 2026</t>
  </si>
  <si>
    <t xml:space="preserve">https://disparbud.jabarprov.go.id/postingan/penyelenggaraan-event-jawa-barat-maret-2026-catat-perputaran-ekonomi-rp164-miliar-69f94e91b43271ce201e0f67</t>
  </si>
  <si>
    <t xml:space="preserve">disparbud.jabarprov.go.id</t>
  </si>
  <si>
    <t xml:space="preserve">Jagat Aroma</t>
  </si>
  <si>
    <t xml:space="preserve">TradeMark Market</t>
  </si>
  <si>
    <t xml:space="preserve">Event dengan transaksi Rp27,6 miliar</t>
  </si>
  <si>
    <t xml:space="preserve">Roadshow Kuliner Viral Indonesia 2026</t>
  </si>
  <si>
    <t xml:space="preserve">Roadshow kuliner viral dengan transaksi Rp12 miliar</t>
  </si>
  <si>
    <t xml:space="preserve">Pasar Desa Mengwi</t>
  </si>
  <si>
    <t xml:space="preserve">Kecamatan Mengwi, Badung, Bali</t>
  </si>
  <si>
    <t xml:space="preserve">Viral video penangkapan pengguna uang palsu (isu negatif)</t>
  </si>
  <si>
    <t xml:space="preserve">26 Juli 2026</t>
  </si>
  <si>
    <t xml:space="preserve">https://www.detik.com/bali/hukum-dan-kriminal/d-8594612/viral-pria-tepergok-belanja-pakai-uang-palsu-di-pasar-mengwi</t>
  </si>
  <si>
    <t xml:space="preserve">Minimarket Air Sanih</t>
  </si>
  <si>
    <t xml:space="preserve">Air Sanih, Buleleng, Bali</t>
  </si>
  <si>
    <t xml:space="preserve">Bukti</t>
  </si>
  <si>
    <t xml:space="preserve">Kubutambahan</t>
  </si>
  <si>
    <t xml:space="preserve">Kabupaten Buleleng</t>
  </si>
  <si>
    <t xml:space="preserve">Minimarket viral karena pemandangan laut di belakang toko</t>
  </si>
  <si>
    <t xml:space="preserve">https://20.detik.com/detikupdate/20260619-260619050/video-intip-minimarket-viral-di-bali-yang-punya-view-laut-cantik</t>
  </si>
  <si>
    <t xml:space="preserve">Personel Polsek Kepahiang Amankan Bazar UMKM dan Pasar Malam, Warga Beraktivitas dengan Aman dan Nyaman - Viral Publik</t>
  </si>
  <si>
    <t xml:space="preserve">2026-07-20</t>
  </si>
  <si>
    <t xml:space="preserve">028</t>
  </si>
  <si>
    <t xml:space="preserve">Pasar Rakyat "Berbelanja dan Berbagi"</t>
  </si>
  <si>
    <t xml:space="preserve">Taman Budaya Kapten A.A. Made Karang Candra Buana, Karangasem</t>
  </si>
  <si>
    <t xml:space="preserve">Karangasem</t>
  </si>
  <si>
    <t xml:space="preserve">Kabupaten Karangasem</t>
  </si>
  <si>
    <t xml:space="preserve">Pasar rakyat UMKM TP PKK Bali</t>
  </si>
  <si>
    <t xml:space="preserve">https://www.balinetizen.com/tp-pkk-denpasar-berbelanja-dan-berbagi-di-pasar-rakyat-tp-pkk-provinsi-bali/</t>
  </si>
  <si>
    <t xml:space="preserve">www.balinetizen.com</t>
  </si>
  <si>
    <t xml:space="preserve">MEDAN DAILY. . Sebuah video yang memperlihatkan keributan antara seorang driver ojek online (ojol) dengan karyawan sebuah toko viral di media sosial. Insiden tersebut disebut terjadi saat proses pengambilan pesanan pelanggan. Berdasarkan keterang - facebook.com</t>
  </si>
  <si>
    <t xml:space="preserve">Kawasan kuliner Masjid Agung dan Lapangan Muhajirin Praya</t>
  </si>
  <si>
    <t xml:space="preserve">Praya, Lombok Tengah, NTB</t>
  </si>
  <si>
    <t xml:space="preserve">Praya</t>
  </si>
  <si>
    <t xml:space="preserve">Kabupaten Lombok Tengah</t>
  </si>
  <si>
    <t xml:space="preserve">Pusat kuliner kaki lima favorit warga</t>
  </si>
  <si>
    <t xml:space="preserve">https://ntb.idntimes.com/food/dining-guide/kuliner-kaki-lima-yang-wajib-dicoba-di-kota-praya-lombok-tengah-c1c2-01-lfqfg-57lm78</t>
  </si>
  <si>
    <t xml:space="preserve">ntb.idntimes.com</t>
  </si>
  <si>
    <t xml:space="preserve">Cilok Pak De</t>
  </si>
  <si>
    <t xml:space="preserve">Sekitar Masjid Agung Praya, Lombok Tengah</t>
  </si>
  <si>
    <t xml:space="preserve">Cilok sejuta umat, pembeli antre hingga kehabisan</t>
  </si>
  <si>
    <t xml:space="preserve">Nasi Suzuki</t>
  </si>
  <si>
    <t xml:space="preserve">Samping Toko Matahari Praya, Lombok Tengah</t>
  </si>
  <si>
    <t xml:space="preserve">Angkringan legend nasi super pedas</t>
  </si>
  <si>
    <t xml:space="preserve">Saffron (nasi briyani)</t>
  </si>
  <si>
    <t xml:space="preserve">Simpang empat Jalan Sriwijaya, Cilinaya, Kota Mataram</t>
  </si>
  <si>
    <t xml:space="preserve">Cilinaya</t>
  </si>
  <si>
    <t xml:space="preserve">Cakranegara</t>
  </si>
  <si>
    <t xml:space="preserve">Kota Mataram</t>
  </si>
  <si>
    <t xml:space="preserve">Nasi briyani viral di medsos, antre 1,5 jam, 300 porsi ludes tiap hari</t>
  </si>
  <si>
    <t xml:space="preserve">https://www.detik.com/bali/kuliner/d-8482919/rela-antre-1-5-jam-demi-nasi-briyani-viral-di-mataram-300-porsi-ludes-tiap-hari</t>
  </si>
  <si>
    <t xml:space="preserve">Villa Aman D'Sini</t>
  </si>
  <si>
    <t xml:space="preserve">"Little Ubud" Sentul bernuansa Bali di hutan pinus</t>
  </si>
  <si>
    <t xml:space="preserve">https://www.gramedia.com/best-seller/13-tempat-makan-di-sentul-dengan-view-bagus-yang-harus-dikunjungi/</t>
  </si>
  <si>
    <t xml:space="preserve">Pancar Garden</t>
  </si>
  <si>
    <t xml:space="preserve">Kaki Gunung Pancar, Sentul</t>
  </si>
  <si>
    <t xml:space="preserve">Kafe-restoran outdoor populer</t>
  </si>
  <si>
    <t xml:space="preserve">Kampoeng Koneng</t>
  </si>
  <si>
    <t xml:space="preserve">Restoran keluarga konsep pedesaan Sunda</t>
  </si>
  <si>
    <t xml:space="preserve">Coffee Contentner</t>
  </si>
  <si>
    <t xml:space="preserve">Taman Budaya Sentul</t>
  </si>
  <si>
    <t xml:space="preserve">Kafe unik dari kontainer</t>
  </si>
  <si>
    <t xml:space="preserve">Taman Wisata Labuhan Haji</t>
  </si>
  <si>
    <t xml:space="preserve">Lombok Timur, NTB</t>
  </si>
  <si>
    <t xml:space="preserve">Labuhan Haji</t>
  </si>
  <si>
    <t xml:space="preserve">Kabupaten Lombok Timur</t>
  </si>
  <si>
    <t xml:space="preserve">Viral tiket masuk Rp20 ribu tidak sesuai aturan (isu negatif)</t>
  </si>
  <si>
    <t xml:space="preserve">https://www.detik.com/bali/nusra/d-8677936/viral-tiket-masuk-taman-labuhan-haji-rp-20-ribu-dispar-tak-sesuai-aturan</t>
  </si>
  <si>
    <t xml:space="preserve">5 Toko Oleh-oleh Haji di Jogja, Tawarkan Produk Lengkap dan Murah - Tribun Travel</t>
  </si>
  <si>
    <t xml:space="preserve">Pengelola turunkan tiket jadi Rp15 ribu setelah viral (isu negatif)</t>
  </si>
  <si>
    <t xml:space="preserve">https://www.detik.com/bali/nusra/d-8678039/pengelola-taman-labuhan-haji-kini-turunkan-tiket-jadi-rp-15-ribu-gegara-viral</t>
  </si>
  <si>
    <t xml:space="preserve">5 Toko Oleh-oleh Haji di Bekasi: Lengkap dari Kurma, Zamzam hingga Mukena - Tribun Travel</t>
  </si>
  <si>
    <t xml:space="preserve">Kawasan Mandalika</t>
  </si>
  <si>
    <t xml:space="preserve">Kuta Mandalika, Lombok Tengah, NTB</t>
  </si>
  <si>
    <t xml:space="preserve">Pujut</t>
  </si>
  <si>
    <t xml:space="preserve">Viral video cekcok sopir taksi dan travel lokal berebut penumpang (isu negatif)</t>
  </si>
  <si>
    <t xml:space="preserve">https://rri.co.id/mataram/regional/2737239/cekcok-sopir-di-mandalika-dinilai-ganggu-citra-pariwisata-ntb</t>
  </si>
  <si>
    <t xml:space="preserve">5 Toko Oleh-oleh Haji di Pasar Kliwon Solo, Lengkap Ada Kurma hingga Zamzam - Tribun Travel</t>
  </si>
  <si>
    <t xml:space="preserve">Pantai Viral Bagek Kembar</t>
  </si>
  <si>
    <t xml:space="preserve">Kelurahan Tanjung Karang Permai, Kecamatan Sekarbela, Kota Mataram</t>
  </si>
  <si>
    <t xml:space="preserve">Tanjung Karang Permai</t>
  </si>
  <si>
    <t xml:space="preserve">Sekarbela</t>
  </si>
  <si>
    <t xml:space="preserve">Kawasan wisata yang populer disebut Pantai Viral</t>
  </si>
  <si>
    <t xml:space="preserve">12 Mei 2026</t>
  </si>
  <si>
    <t xml:space="preserve">https://ekbisntb.com/12/05/2026/pln-epi-dorong-pantai-viral-bagik-kembar-jadi-kawasan-wisata-terpadu-berbasis-pengelolaan-sampah/</t>
  </si>
  <si>
    <t xml:space="preserve">ekbisntb.com</t>
  </si>
  <si>
    <t xml:space="preserve">3 Toko Oleh-oleh Haji di Jakarta Pusat yang Lengkap dan Lokasinya Strategis - Tribun Travel</t>
  </si>
  <si>
    <t xml:space="preserve">029</t>
  </si>
  <si>
    <t xml:space="preserve">Bekas tambang pasir besi Dedalpak (padang pasir ala Timur Tengah)</t>
  </si>
  <si>
    <t xml:space="preserve">Dusun Dedalpak, Desa Pohgading, Kecamatan Pringgabaya, Lombok Timur</t>
  </si>
  <si>
    <t xml:space="preserve">Pohgading</t>
  </si>
  <si>
    <t xml:space="preserve">Pringgabaya</t>
  </si>
  <si>
    <t xml:space="preserve">Viral di TikTok karena mirip padang pasir Timur Tengah, ramai sejak enam hari</t>
  </si>
  <si>
    <t xml:space="preserve">https://travel.detik.com/travel-news/d-8540413/viral-padang-pasir-ala-timur-tengah-di-lombok-ternyata-dulu-bekas-tambang</t>
  </si>
  <si>
    <t xml:space="preserve">Museum Sade</t>
  </si>
  <si>
    <t xml:space="preserve">Desa Adat Sade, Kecamatan Pujut, Lombok Tengah</t>
  </si>
  <si>
    <t xml:space="preserve">Rembitan</t>
  </si>
  <si>
    <t xml:space="preserve">Sade adalah dusun di Desa Rembitan</t>
  </si>
  <si>
    <t xml:space="preserve">Museum yang disusun konsepnya pasca kebakaran Desa Adat Sade</t>
  </si>
  <si>
    <t xml:space="preserve">https://regional.kompas.com/read/2026/08/31/194424578/konsep-museum-sade-disusun-ceritakan-kehidupan-warga-dari-sebelum-hingga?page=all</t>
  </si>
  <si>
    <t xml:space="preserve">Lapak Nasi Bejek depan Museum Negeri NTB</t>
  </si>
  <si>
    <t xml:space="preserve">Jalan Panji Tilar Negara, Kekalik Jaya, Ampenan, Kota Mataram</t>
  </si>
  <si>
    <t xml:space="preserve">Kekalik Jaya</t>
  </si>
  <si>
    <t xml:space="preserve">Ampenan</t>
  </si>
  <si>
    <t xml:space="preserve">Kekalik Jaya mungkin masuk Kec. Sekarbela; mengikuti teks</t>
  </si>
  <si>
    <t xml:space="preserve">Viral di TikTok dan Instagram, warga antre sebelum lapak buka</t>
  </si>
  <si>
    <t xml:space="preserve">https://www.detik.com/bali/kuliner/d-8503195/viral-nasi-bejek-di-mataram-warga-rela-antre-sebelum-lapak-buka</t>
  </si>
  <si>
    <t xml:space="preserve">Lagi-lagi Viral Messi Belanja, Tanpa Pengawalan Seperti Warga Biasa - detiksport</t>
  </si>
  <si>
    <t xml:space="preserve">detiksport</t>
  </si>
  <si>
    <t xml:space="preserve">Pasar Rakyat Kuta Mandalika</t>
  </si>
  <si>
    <t xml:space="preserve">KEK Mandalika, Lombok Tengah</t>
  </si>
  <si>
    <t xml:space="preserve">Direvitalisasi karena kerap dikeluhkan pedagang dan warga</t>
  </si>
  <si>
    <t xml:space="preserve">28 Juli 2026</t>
  </si>
  <si>
    <t xml:space="preserve">https://www.detik.com/bali/nusra/d-8594564/pemprov-ntb-gelontorkan-rp-400-juta-untuk-revitalisasi-pasar-kuta-mandalika</t>
  </si>
  <si>
    <t xml:space="preserve">Pasar Seni Senggigi</t>
  </si>
  <si>
    <t xml:space="preserve">Senggigi, Lombok Barat</t>
  </si>
  <si>
    <t xml:space="preserve">Revitalisasi Rp81 miliar konsep terinspirasi Pelabuhan Sydney</t>
  </si>
  <si>
    <t xml:space="preserve">2026-2027</t>
  </si>
  <si>
    <t xml:space="preserve">https://insidelombok.id/mataram/gubernur-ntb-siapkan-revitalisasi-pasar-seni-senggigi-usung-konsep-mirip-pelabuhan-sydney/</t>
  </si>
  <si>
    <t xml:space="preserve">insidelombok.id</t>
  </si>
  <si>
    <t xml:space="preserve">Pasar Tente</t>
  </si>
  <si>
    <t xml:space="preserve">Kecamatan Woha, Kabupaten Bima</t>
  </si>
  <si>
    <t xml:space="preserve">Woha</t>
  </si>
  <si>
    <t xml:space="preserve">Kabupaten Bima</t>
  </si>
  <si>
    <t xml:space="preserve">Tumpukan sampah meresahkan pedagang dan warga (isu negatif)</t>
  </si>
  <si>
    <t xml:space="preserve">https://suarantb.com/2026/05/12/sampah-menumpuk-di-pasar-tente/</t>
  </si>
  <si>
    <t xml:space="preserve">suarantb.com</t>
  </si>
  <si>
    <t xml:space="preserve">Update Jadwal dan Lokasi SIM Keliling Cilegon Terbaru 2026 - Daihatsu</t>
  </si>
  <si>
    <t xml:space="preserve">Daihatsu</t>
  </si>
  <si>
    <t xml:space="preserve">Karya Kreatif NTB</t>
  </si>
  <si>
    <t xml:space="preserve">Epicentrum Mall, Mataram</t>
  </si>
  <si>
    <t xml:space="preserve">Pameran karya kreatif dan kopi NTB</t>
  </si>
  <si>
    <t xml:space="preserve">https://mataram.antaranews.com/berita/553920/pemprov-ntb-tantang-pelaku-industri-racik-kopi-campuran-lombok-sumbawa</t>
  </si>
  <si>
    <t xml:space="preserve">mataram.antaranews.com</t>
  </si>
  <si>
    <t xml:space="preserve">030</t>
  </si>
  <si>
    <t xml:space="preserve">Goa Rangko</t>
  </si>
  <si>
    <t xml:space="preserve">Boleng</t>
  </si>
  <si>
    <t xml:space="preserve">Ditutup sementara pascagempa M7,7 Flores (isu negatif)</t>
  </si>
  <si>
    <t xml:space="preserve">https://www.viva.co.id/berita/nasional/1922254-sebagian-objek-wisata-di-ntt-ditutup-sementara-pascagempa-ada-wae-rebo-hingga-taman-nasional-kelimutu</t>
  </si>
  <si>
    <t xml:space="preserve">Pesona Villa Pink Love Wisata Alam Seulawah RG di Aceh Besar - RRI.co.id</t>
  </si>
  <si>
    <t xml:space="preserve">Kampung Adat Wae Rebo</t>
  </si>
  <si>
    <t xml:space="preserve">Kabupaten Manggarai, NTT</t>
  </si>
  <si>
    <t xml:space="preserve">Satar Lenda</t>
  </si>
  <si>
    <t xml:space="preserve">Satar Mese Barat</t>
  </si>
  <si>
    <t xml:space="preserve">Kabupaten Manggarai</t>
  </si>
  <si>
    <t xml:space="preserve">Ditutup sementara pascagempa (isu negatif)</t>
  </si>
  <si>
    <t xml:space="preserve">Taman Nasional Kelimutu</t>
  </si>
  <si>
    <t xml:space="preserve">Kabupaten Ende, NTT</t>
  </si>
  <si>
    <t xml:space="preserve">Kelimutu</t>
  </si>
  <si>
    <t xml:space="preserve">Kabupaten Ende</t>
  </si>
  <si>
    <t xml:space="preserve">Taman Nasional Komodo</t>
  </si>
  <si>
    <t xml:space="preserve">Manggarai Barat, NTT</t>
  </si>
  <si>
    <t xml:space="preserve">Tetap beroperasi normal pascagempa</t>
  </si>
  <si>
    <t xml:space="preserve">Danau Kelimutu</t>
  </si>
  <si>
    <t xml:space="preserve">Dibuka kembali dengan pembatasan jalur setelah gempa</t>
  </si>
  <si>
    <t xml:space="preserve">25 Agustus 2026</t>
  </si>
  <si>
    <t xml:space="preserve">https://afu.id/nusantara/wisata-danau-kelimutu-kembali-dibuka-setelah-gempa-flores</t>
  </si>
  <si>
    <t xml:space="preserve">afu.id</t>
  </si>
  <si>
    <t xml:space="preserve">Pekan Wisma Raya II dan Festival Aladin 2026</t>
  </si>
  <si>
    <t xml:space="preserve">Lapangan Mini Kalabahi, Kabupaten Alor</t>
  </si>
  <si>
    <t xml:space="preserve">Teluk Mutiara</t>
  </si>
  <si>
    <t xml:space="preserve">Kabupaten Alor</t>
  </si>
  <si>
    <t xml:space="preserve">Festival promosi pariwisata, seni budaya, dan UMKM</t>
  </si>
  <si>
    <t xml:space="preserve">9-14 September 2026</t>
  </si>
  <si>
    <t xml:space="preserve">https://rri.co.id/atambua/daerah-3t/2725733/pemprov-ntt-dorong-pariwisata-alor-jadi-penggerak-ekonomi-masyarakat</t>
  </si>
  <si>
    <t xml:space="preserve">Pulau Padar</t>
  </si>
  <si>
    <t xml:space="preserve">Taman Nasional Komodo, Labuan Bajo, NTT</t>
  </si>
  <si>
    <t xml:space="preserve">Liburan artis jadi sorotan karena pelayaran sedang dibatasi (isu negatif)</t>
  </si>
  <si>
    <t xml:space="preserve">9 Agustus 2026</t>
  </si>
  <si>
    <t xml:space="preserve">https://www.viva.co.id/gaya-hidup/showbiz/1920342-viral-jessica-mila-kepergok-unggah-momen-liburan-ke-pulau-padar-saat-pelayaran-ditutup-kok-bisa</t>
  </si>
  <si>
    <t xml:space="preserve">Labuan Bajo, NTT</t>
  </si>
  <si>
    <t xml:space="preserve">Viral video turis buang sampah sembarangan di Pos 4, ditonton 1,7 juta kali (isu negatif)</t>
  </si>
  <si>
    <t xml:space="preserve">https://travel.detik.com/cerita-perjalanan/d-8577144/viral-turis-omelin-turis-buang-sampah-di-pulau-padar-cek-etika-liburan-di-sana</t>
  </si>
  <si>
    <t xml:space="preserve">Viral di Medsos, Pelaku Pencurian Beras di Banda Aceh Dibekuk Polisi - RRI.co.id</t>
  </si>
  <si>
    <t xml:space="preserve">Air Terjun Mataru</t>
  </si>
  <si>
    <t xml:space="preserve">NTT</t>
  </si>
  <si>
    <t xml:space="preserve">Air terjun indah dalam tayangan My Trip My Adventure</t>
  </si>
  <si>
    <t xml:space="preserve">https://20.detik.com/spot-wisata/20260708-260708092/keindahan-air-terjun-mataru-yang-menakjubkan-di-nusa-tenggara-timur</t>
  </si>
  <si>
    <t xml:space="preserve">Viral! CCTV Petugas Diduga Ambil Rokok Saat Razia, Satpol PP Aceh Utara Membantah | SAPA MALAM - Kompas.tv</t>
  </si>
  <si>
    <t xml:space="preserve">Kompas.tv</t>
  </si>
  <si>
    <t xml:space="preserve">Kebon Vintage Cars Bali</t>
  </si>
  <si>
    <t xml:space="preserve">Biaung, Denpasar Timur</t>
  </si>
  <si>
    <t xml:space="preserve">Denpasar Timur</t>
  </si>
  <si>
    <t xml:space="preserve">Biaung merujuk area/jalan di Denpasar Timur; kelurahan tidak dipastikan</t>
  </si>
  <si>
    <t xml:space="preserve">Museum mobil klasik gelar konser amal korban gempa NTT</t>
  </si>
  <si>
    <t xml:space="preserve">7 Oktober 2026</t>
  </si>
  <si>
    <t xml:space="preserve">https://www.balinetizen.com/bantu-korban-gempa-ntt-kebon-bali-gelar-konser-amal/</t>
  </si>
  <si>
    <t xml:space="preserve">Motif Polisi Rampok Toko Emas di Aceh Selatan: Tekanan Ekonomi - Kompas.com</t>
  </si>
  <si>
    <t xml:space="preserve">Toko Maci Mart Reo</t>
  </si>
  <si>
    <t xml:space="preserve">Kecamatan Reok, Kabupaten Manggarai, NTT</t>
  </si>
  <si>
    <t xml:space="preserve">Reok</t>
  </si>
  <si>
    <t xml:space="preserve">Aksi pemilik toko tetap buka bantu korban gempa menarik perhatian netizen</t>
  </si>
  <si>
    <t xml:space="preserve">17 Agustus 2026</t>
  </si>
  <si>
    <t xml:space="preserve">https://life.indozone.id/trendz/2486727812/toko-maci-mart-ntt-paksakan-beroperasi-demi-sediakan-kebutuhan-warga-terdampak-gempa</t>
  </si>
  <si>
    <t xml:space="preserve">life.indozone.id</t>
  </si>
  <si>
    <t xml:space="preserve">031</t>
  </si>
  <si>
    <t xml:space="preserve">Sira Village Grand Outlet Bali</t>
  </si>
  <si>
    <t xml:space="preserve">Destinasi outlet shopping pertama di Bali, ruang komunitas</t>
  </si>
  <si>
    <t xml:space="preserve">https://radarbali.jawapos.com/pariwisata/2609170028/bukan-sekadar-pusat-belanja-sira-village-sukses-aksi-kemanusiaan-lewat-pilates-di-kek-kura-kura</t>
  </si>
  <si>
    <t xml:space="preserve">radarbali.jawapos.com</t>
  </si>
  <si>
    <t xml:space="preserve">Viral Satpol PP Jadi Maling Rokok saat Razia di Pasar Kabupaten Aceh Utara - Suara.com</t>
  </si>
  <si>
    <t xml:space="preserve">Bazar UMKM dan Pasar Murah Hari Bhayangkara ke-80</t>
  </si>
  <si>
    <t xml:space="preserve">Lapangan Bhayangkara Mapolda NTT, Kupang</t>
  </si>
  <si>
    <t xml:space="preserve">Kota Kupang</t>
  </si>
  <si>
    <t xml:space="preserve">Bazar produk UMKM dan warga binaan</t>
  </si>
  <si>
    <t xml:space="preserve">3-5 Juli 2026</t>
  </si>
  <si>
    <t xml:space="preserve">https://kupang.antaranews.com/berita/193357/ditjenpas-ntt-mendorong-produk-unggulan-warga-binaan-masuk-pasar-umkm</t>
  </si>
  <si>
    <t xml:space="preserve">kupang.antaranews.com</t>
  </si>
  <si>
    <t xml:space="preserve">Festival Paskah 2026</t>
  </si>
  <si>
    <t xml:space="preserve">Bundaran Tirosa, Kota Kupang</t>
  </si>
  <si>
    <t xml:space="preserve">Festival Paskah dibuka Wapres, didorong jadi event wisata rohani</t>
  </si>
  <si>
    <t xml:space="preserve">6 April 2026</t>
  </si>
  <si>
    <t xml:space="preserve">https://www.kompas.tv/regional/661239/momen-wapres-gibran-resmi-buka-festival-paskah-2026-di-kupang-jmp</t>
  </si>
  <si>
    <t xml:space="preserve">www.kompas.tv</t>
  </si>
  <si>
    <t xml:space="preserve">Restoran Pondok Kakap</t>
  </si>
  <si>
    <t xml:space="preserve">Jalan Ismail Marzuki, Pontianak Selatan</t>
  </si>
  <si>
    <t xml:space="preserve">Pontianak Selatan</t>
  </si>
  <si>
    <t xml:space="preserve">Kota Pontianak</t>
  </si>
  <si>
    <t xml:space="preserve">Kalimantan Barat</t>
  </si>
  <si>
    <t xml:space="preserve">Restoran seafood untuk makan siang</t>
  </si>
  <si>
    <t xml:space="preserve">https://travel.tribunnews.com/kuliner/145746/5-tempat-makan-siang-enak-di-pontianak-nikmati-lezatnya-soto-semar</t>
  </si>
  <si>
    <t xml:space="preserve">Abang Kepiting</t>
  </si>
  <si>
    <t xml:space="preserve">Jalan Hijas, Benua Melayu Darat, Pontianak Selatan</t>
  </si>
  <si>
    <t xml:space="preserve">Benua Melayu Darat</t>
  </si>
  <si>
    <t xml:space="preserve">Hidangan kepiting dan seafood</t>
  </si>
  <si>
    <t xml:space="preserve">Restaurant Gajah Mada</t>
  </si>
  <si>
    <t xml:space="preserve">Jalan Gajah Mada, Pontianak</t>
  </si>
  <si>
    <t xml:space="preserve">Masakan Asia dan seafood</t>
  </si>
  <si>
    <t xml:space="preserve">Warung Nini</t>
  </si>
  <si>
    <t xml:space="preserve">Jalan D.A. Hadi, Akcaya, Pontianak Selatan</t>
  </si>
  <si>
    <t xml:space="preserve">Akcaya</t>
  </si>
  <si>
    <t xml:space="preserve">Kuliner tradisional</t>
  </si>
  <si>
    <t xml:space="preserve">Kwetiau Apollo</t>
  </si>
  <si>
    <t xml:space="preserve">Pontianak</t>
  </si>
  <si>
    <t xml:space="preserve">Kwetiau legendaris hampir selalu dipadati pelanggan</t>
  </si>
  <si>
    <t xml:space="preserve">https://pontianak.tribunnews.com/pontianak/1172559/15-kuliner-terbaik-di-pontianak-yang-lagi-hits-2026-ada-tempat-makan-legendaris-hingga-cafe-favorit</t>
  </si>
  <si>
    <t xml:space="preserve">pontianak.tribunnews.com</t>
  </si>
  <si>
    <t xml:space="preserve">Dinas Pariwisata Sumut Sesalkan Kasus Pungli di Danau Toba, Pelaku Langsung Dibina - Kompas.com</t>
  </si>
  <si>
    <t xml:space="preserve">Safira Cafe</t>
  </si>
  <si>
    <t xml:space="preserve">Tempat sarapan favorit suasana homey</t>
  </si>
  <si>
    <t xml:space="preserve">RM Sea Food 99</t>
  </si>
  <si>
    <t xml:space="preserve">Jl. Tanah Merah, Pangkalan Buton, Sukadana, Kayong Utara</t>
  </si>
  <si>
    <t xml:space="preserve">Pangkalan Buton</t>
  </si>
  <si>
    <t xml:space="preserve">Sukadana</t>
  </si>
  <si>
    <t xml:space="preserve">Kabupaten Kayong Utara</t>
  </si>
  <si>
    <t xml:space="preserve">Seafood populer ikan bakar dan kepiting</t>
  </si>
  <si>
    <t xml:space="preserve">https://pontianak.tribunnews.com/kalbar/1170588/5-rekomendasi-restoran-seafood-di-sukadana-kayong-utara-harga-terjangkau-dan-cocok-untuk-keluarga</t>
  </si>
  <si>
    <t xml:space="preserve">Rumah Makan Kang Toni</t>
  </si>
  <si>
    <t xml:space="preserve">Sukadana, Kayong Utara</t>
  </si>
  <si>
    <t xml:space="preserve">Rumah makan legendaris rajungan dan kopi Singkawang</t>
  </si>
  <si>
    <t xml:space="preserve">RM Tanjung Beringin</t>
  </si>
  <si>
    <t xml:space="preserve">Jl. Juang, Tanjung Niaga, Nanga Pinoh, Melawi</t>
  </si>
  <si>
    <t xml:space="preserve">Tanjung Niaga</t>
  </si>
  <si>
    <t xml:space="preserve">Nanga Pinoh</t>
  </si>
  <si>
    <t xml:space="preserve">Kabupaten Melawi</t>
  </si>
  <si>
    <t xml:space="preserve">Rumah makan Padang</t>
  </si>
  <si>
    <t xml:space="preserve">https://pontianak.tribunnews.com/kalbar/1168692/5-rumah-makan-padang-enak-di-melawi-rekomendasi-wajib-saat-di-nanga-pinoh</t>
  </si>
  <si>
    <t xml:space="preserve">Viral Pemotor di Danau Toba Dipungli Rp 50 Ribu, Modus Bagikan Stiker HUT RI - detikcom</t>
  </si>
  <si>
    <t xml:space="preserve">2026-08-20</t>
  </si>
  <si>
    <t xml:space="preserve">RM Buyuang Khas Minang Original</t>
  </si>
  <si>
    <t xml:space="preserve">Sidomulyo, Nanga Pinoh, Melawi</t>
  </si>
  <si>
    <t xml:space="preserve">Masakan Minang autentik</t>
  </si>
  <si>
    <t xml:space="preserve">Goa Kumpe</t>
  </si>
  <si>
    <t xml:space="preserve">Dusun Sejajah, Kabupaten Landak, Kalimantan Barat</t>
  </si>
  <si>
    <t xml:space="preserve">Kabupaten Landak</t>
  </si>
  <si>
    <t xml:space="preserve">Dusun Sejajah; desa/kecamatan tidak disebut</t>
  </si>
  <si>
    <t xml:space="preserve">Mulai dikenal luas sejak viral awal 2024, stalaktit dan akar gantung</t>
  </si>
  <si>
    <t xml:space="preserve">Sejak awal 2024</t>
  </si>
  <si>
    <t xml:space="preserve">https://kalbar.pikiran-rakyat.com/travel/pr-34210151748/goa-kumpe-bengkayang-destinasi-petualangan-viral-dengan-keindahan-alam-yang-masih-alami</t>
  </si>
  <si>
    <t xml:space="preserve">kalbar.pikiran-rakyat.com</t>
  </si>
  <si>
    <t xml:space="preserve">Pantai Kahona</t>
  </si>
  <si>
    <t xml:space="preserve">Desa Sarang Burung Danau, Kecamatan Jawai, Kabupaten Sambas</t>
  </si>
  <si>
    <t xml:space="preserve">Sarang Burung Danau</t>
  </si>
  <si>
    <t xml:space="preserve">Jawai</t>
  </si>
  <si>
    <t xml:space="preserve">Kabupaten Sambas</t>
  </si>
  <si>
    <t xml:space="preserve">Pernah viral karena hiu paus terdampar, kini terancam abrasi</t>
  </si>
  <si>
    <t xml:space="preserve">https://pontianak.tribunnews.com/kalbar/1168527/keindahan-pantai-kahona-sambas-dulu-viral-kini-terancam-terkikis-ombak</t>
  </si>
  <si>
    <t xml:space="preserve">Marak Pungli di Wisata Sidebuk-debuk, Gubsu Bobby Ultimatum Pemkab Karo - detikcom</t>
  </si>
  <si>
    <t xml:space="preserve">032</t>
  </si>
  <si>
    <t xml:space="preserve">Pasar Flamboyan</t>
  </si>
  <si>
    <t xml:space="preserve">Video sampah menggunung di TPS pasar viral (isu negatif)</t>
  </si>
  <si>
    <t xml:space="preserve">21 Juli 2026</t>
  </si>
  <si>
    <t xml:space="preserve">https://regional.kompas.com/read/2026/07/22/075110578/ramai-soal-sampah-menggunung-di-pasar-flamboyan-pontianak-dlh-sebagai-efek?page=all</t>
  </si>
  <si>
    <t xml:space="preserve">Polisi Buru Pelaku Pencurian 150 Gram Emas Batangan di Toko Emas Medan - detikcom</t>
  </si>
  <si>
    <t xml:space="preserve">Pasar Sungai Duri</t>
  </si>
  <si>
    <t xml:space="preserve">Kabupaten Bengkayang, Kalimantan Barat</t>
  </si>
  <si>
    <t xml:space="preserve">Kabupaten Bengkayang</t>
  </si>
  <si>
    <t xml:space="preserve">Sungai Duri kemungkinan di Kec. Sungai Raya</t>
  </si>
  <si>
    <t xml:space="preserve">Video kebakaran pasar viral disalahklaim sebagai karhutla (isu negatif)</t>
  </si>
  <si>
    <t xml:space="preserve">20 Agustus 2026</t>
  </si>
  <si>
    <t xml:space="preserve">https://www.kompas.com/cekfakta/read/2026/08/24/100100882/-klarifikasi-ini-bukan-video-kebakaran-hutan-tapi-pasar-sungai-duri</t>
  </si>
  <si>
    <t xml:space="preserve">Kisah Wanita Joki Tong Setan dari Pasar Malam Sumut, Kini Beraksi di Inggris - Wolipop</t>
  </si>
  <si>
    <t xml:space="preserve">Taman Nasional Tanjung Puting</t>
  </si>
  <si>
    <t xml:space="preserve">Kabupaten Kotawaringin Barat, Kalimantan Tengah</t>
  </si>
  <si>
    <t xml:space="preserve">Kabupaten Kotawaringin Barat</t>
  </si>
  <si>
    <t xml:space="preserve">Kalimantan Tengah</t>
  </si>
  <si>
    <t xml:space="preserve">Kawasan TN juga mencakup Kab. Seruyan</t>
  </si>
  <si>
    <t xml:space="preserve">Destinasi kelas dunia, disiapkan kapal susur sungai</t>
  </si>
  <si>
    <t xml:space="preserve">https://news.okezone.com/read/2026/07/14/340/3230002/pemprov-kalteng-siapkan-kapal-susur-sungai-tanjung-puting-jadi-prioritas-pengembangan-wisata</t>
  </si>
  <si>
    <t xml:space="preserve">Viral Tiket PRSU Disebut Mahal hingga Event Sepi, Pengelola Buka Suara - Kompas.com</t>
  </si>
  <si>
    <t xml:space="preserve">Museum Sonobudoyo</t>
  </si>
  <si>
    <t xml:space="preserve">Hadir lebih modern dengan video mapping dan ruang imersif</t>
  </si>
  <si>
    <t xml:space="preserve">https://style.tribunnews.com/life/376895/main-sambil-belajar-budaya-museum-sonobudoyo-jogja-punya-wahana-interaktif-yang-seru-banget</t>
  </si>
  <si>
    <t xml:space="preserve">Soto Banjar Bang Amat</t>
  </si>
  <si>
    <t xml:space="preserve">Banua Anyar, dekat Sungai Martapura, Banjarmasin</t>
  </si>
  <si>
    <t xml:space="preserve">Banua Anyar</t>
  </si>
  <si>
    <t xml:space="preserve">Banjarmasin Timur</t>
  </si>
  <si>
    <t xml:space="preserve">Kota Banjarmasin</t>
  </si>
  <si>
    <t xml:space="preserve">Kalimantan Selatan</t>
  </si>
  <si>
    <t xml:space="preserve">Soto Banjar kuliner tradisional populer</t>
  </si>
  <si>
    <t xml:space="preserve">https://travel.tribunnews.com/kuliner/145841/5-rekomendasi-tempat-makan-siang-enak-di-banjarmasin-yang-populer</t>
  </si>
  <si>
    <t xml:space="preserve">RM Lontong Orari</t>
  </si>
  <si>
    <t xml:space="preserve">Banjarmasin</t>
  </si>
  <si>
    <t xml:space="preserve">Lontong segitiga khas Banjar</t>
  </si>
  <si>
    <t xml:space="preserve">Depot Sari Patin</t>
  </si>
  <si>
    <t xml:space="preserve">Olahan ikan patin khas Kalsel</t>
  </si>
  <si>
    <t xml:space="preserve">Mie Bancir Khas Banjar Ala Agus Sasirangan</t>
  </si>
  <si>
    <t xml:space="preserve">Mie bancir khas Banjar</t>
  </si>
  <si>
    <t xml:space="preserve">Waroeng Bandjar</t>
  </si>
  <si>
    <t xml:space="preserve">Jalan Pramuka, Banjarmasin Timur</t>
  </si>
  <si>
    <t xml:space="preserve">Nuansa kuliner lokal Banjar</t>
  </si>
  <si>
    <t xml:space="preserve">033</t>
  </si>
  <si>
    <t xml:space="preserve">Danau Biru Tambak Padi</t>
  </si>
  <si>
    <t xml:space="preserve">Desa Tambak Padi, Kecamatan Beruntung Baru, Kabupaten Banjar, Kalsel</t>
  </si>
  <si>
    <t xml:space="preserve">Tambak Padi</t>
  </si>
  <si>
    <t xml:space="preserve">Beruntung Baru</t>
  </si>
  <si>
    <t xml:space="preserve">Kabupaten Banjar</t>
  </si>
  <si>
    <t xml:space="preserve">Banjir pengunjung sejak viral di medsos, bekas galian C, ada korban tenggelam (isu negatif)</t>
  </si>
  <si>
    <t xml:space="preserve">https://mongabay.co.id/2026/07/20/ironi-lubang-tambang-maut-di-kalsel-jadi-objek-wisata/</t>
  </si>
  <si>
    <t xml:space="preserve">mongabay.co.id</t>
  </si>
  <si>
    <t xml:space="preserve">Spot tangga Dermaga Bukit Batu (Waduk Riam Kanan)</t>
  </si>
  <si>
    <t xml:space="preserve">Bukit Batu, Kabupaten Banjar, Kalsel</t>
  </si>
  <si>
    <t xml:space="preserve">Aranio</t>
  </si>
  <si>
    <t xml:space="preserve">Kecamatan diinferensi dari lokasi Waduk Riam Kanan</t>
  </si>
  <si>
    <t xml:space="preserve">Viral karena mirip cover album SOS SZA, antrean foto puluhan orang</t>
  </si>
  <si>
    <t xml:space="preserve">https://banjarmasin.tribunnews.com/kalsel/1377391/viral-spot-foto-di-wisata-bukit-batu-kalsel-pengunjung-antre-hingga-malam-ternyata-ini-sebabnya</t>
  </si>
  <si>
    <t xml:space="preserve">banjarmasin.tribunnews.com</t>
  </si>
  <si>
    <t xml:space="preserve">Dua WNA Kuras Uang Kasir Toko di Padang Pariaman, Polisi Selidiki Dugaan Hipnotis - Kompas.com</t>
  </si>
  <si>
    <t xml:space="preserve">2026-07-14</t>
  </si>
  <si>
    <t xml:space="preserve">Museum Lambung Mangkurat</t>
  </si>
  <si>
    <t xml:space="preserve">Banjarbaru, Kalimantan Selatan</t>
  </si>
  <si>
    <t xml:space="preserve">Komet</t>
  </si>
  <si>
    <t xml:space="preserve">Banjarbaru Utara</t>
  </si>
  <si>
    <t xml:space="preserve">Kota Banjarbaru</t>
  </si>
  <si>
    <t xml:space="preserve">Diupayakan naik dari grade B ke grade A</t>
  </si>
  <si>
    <t xml:space="preserve">https://kalimantanpost.com/2026/08/evaluasi-kenaikan-status-museum-lambung-mangkurat/</t>
  </si>
  <si>
    <t xml:space="preserve">kalimantanpost.com</t>
  </si>
  <si>
    <t xml:space="preserve">Bobol 5 Toko HP, 3 Anak di Padang Pakai Uang Curian untuk Beli Motor - Suara.com</t>
  </si>
  <si>
    <t xml:space="preserve">Museum Wasaka (Waja Sampai Kaputing)</t>
  </si>
  <si>
    <t xml:space="preserve">Tepi Sungai Martapura, Banua Anyar, Banjarmasin</t>
  </si>
  <si>
    <t xml:space="preserve">Sumber lain menyebut Museum Wasaka di Sungai Jingah, Banjarmasin Utara</t>
  </si>
  <si>
    <t xml:space="preserve">Museum perjuangan di rumah adat Bubungan Tinggi</t>
  </si>
  <si>
    <t xml:space="preserve">https://harian.disway.id/read/947909/harian-disway-x-grand-qin-hotel-6-jejak-perjuangan-di-museum-wasaka</t>
  </si>
  <si>
    <t xml:space="preserve">harian.disway.id</t>
  </si>
  <si>
    <t xml:space="preserve">3 Bocah Terekam CCTV Bobol 5 Toko HP di Mal Padang - detikcom</t>
  </si>
  <si>
    <t xml:space="preserve">Pasar Terapung Lok Baintan</t>
  </si>
  <si>
    <t xml:space="preserve">Lok Baintan</t>
  </si>
  <si>
    <t xml:space="preserve">Sungai Tabuk</t>
  </si>
  <si>
    <t xml:space="preserve">Pasar terapung terkenal tradisi jual beli di sungai</t>
  </si>
  <si>
    <t xml:space="preserve">https://www.detik.com/kalimantan/budaya/d-8591910/pasar-terapung-di-kalsel-peradaban-ratusan-tahun-silam-yang-masih-eksis</t>
  </si>
  <si>
    <t xml:space="preserve">Viral Anak Kos Mulung Sayur Sisa Pasar yang Layak Demi Hemat Pengeluaran - Wolipop</t>
  </si>
  <si>
    <t xml:space="preserve">Pasar Terapung Muara Kuin</t>
  </si>
  <si>
    <t xml:space="preserve">Kuin Utara</t>
  </si>
  <si>
    <t xml:space="preserve">Banjarmasin Utara</t>
  </si>
  <si>
    <t xml:space="preserve">Pasar terapung terkenal</t>
  </si>
  <si>
    <t xml:space="preserve">Bakso Mie Ayam Pangsit Wardoyo</t>
  </si>
  <si>
    <t xml:space="preserve">Jl. Letkol Pol. H.M. Asnawi Arbain, Gunung Bahagia, Balikpapan Selatan</t>
  </si>
  <si>
    <t xml:space="preserve">Gunung Bahagia</t>
  </si>
  <si>
    <t xml:space="preserve">Balikpapan Selatan</t>
  </si>
  <si>
    <t xml:space="preserve">Kota Balikpapan</t>
  </si>
  <si>
    <t xml:space="preserve">Bakso populer porsi melimpah, hampir 5.000 ulasan</t>
  </si>
  <si>
    <t xml:space="preserve">https://kaltim.idntimes.com/food/dining-guide/surga-pencinta-bakso-ini-5-tempat-bakso-populer-di-balikpapan-01-m17hw-dlp7bm</t>
  </si>
  <si>
    <t xml:space="preserve">kaltim.idntimes.com</t>
  </si>
  <si>
    <t xml:space="preserve">Bakso Lek Min</t>
  </si>
  <si>
    <t xml:space="preserve">Jl. Jenderal Sudirman No.279, Balikpapan</t>
  </si>
  <si>
    <t xml:space="preserve">Bakso jumbo dan tetelan</t>
  </si>
  <si>
    <t xml:space="preserve">Warung Nasi Bekepor Ibu Hj. Juwairiyah</t>
  </si>
  <si>
    <t xml:space="preserve">Samarinda</t>
  </si>
  <si>
    <t xml:space="preserve">Tempat makan ikonik kuliner khas Kaltim</t>
  </si>
  <si>
    <t xml:space="preserve">https://jogja.disway.id/gaya-hidup/read/699480/petualangan-kuliner-samarinda-rekomendasi-tempat-seafood-dan-masakan-khas-kalimantan-timur</t>
  </si>
  <si>
    <t xml:space="preserve">Sensasi Explore Wisata Sejarah, Bupati Ajak Rider Nusantara Ramaikan Event BerASA#2 - radarutara.disway.id - Disway</t>
  </si>
  <si>
    <t xml:space="preserve">Sari Madu Bakery</t>
  </si>
  <si>
    <t xml:space="preserve">Bakery dengan produk baru tiap minggu mengikuti tren viral, cabang ke-6 berkonsep restoran</t>
  </si>
  <si>
    <t xml:space="preserve">https://indonesiaonline.co.id/sari-madu-bakery-bidik-jadi-destinasi-kuliner-khas-kalimantan-di-samarinda/</t>
  </si>
  <si>
    <t xml:space="preserve">Depot Miki</t>
  </si>
  <si>
    <t xml:space="preserve">Jalan Jenderal Sudirman, Klandasan Ulu, Balikpapan</t>
  </si>
  <si>
    <t xml:space="preserve">Klandasan Ulu</t>
  </si>
  <si>
    <t xml:space="preserve">Balikpapan Kota</t>
  </si>
  <si>
    <t xml:space="preserve">Favorit sarapan warga dan wisatawan</t>
  </si>
  <si>
    <t xml:space="preserve">https://kaltim.idntimes.com/food/dining-guide/mau-makan-enak-di-balikpapan-ini-7-spot-favorit-di-jalan-sudirman-01-r4p71-dxnwps</t>
  </si>
  <si>
    <t xml:space="preserve">Pulau Maratua</t>
  </si>
  <si>
    <t xml:space="preserve">Kabupaten Berau, Kalimantan Timur</t>
  </si>
  <si>
    <t xml:space="preserve">Maratua</t>
  </si>
  <si>
    <t xml:space="preserve">Hidden gem bahari, diving kelas dunia</t>
  </si>
  <si>
    <t xml:space="preserve">https://rri.co.id/bukittinggi/wisata/2482765/pulau-maratua-permata-tersembunyi-di-ujung-kalimantan-timur</t>
  </si>
  <si>
    <t xml:space="preserve">Riau Travel Mart 6 Resmi Dibuka, Ratusan Buyer dan Seller Pariwisata Hadir di Pekanbaru - cakaplah.com</t>
  </si>
  <si>
    <t xml:space="preserve">2026-05-08</t>
  </si>
  <si>
    <t xml:space="preserve">Goa Halo Tabung</t>
  </si>
  <si>
    <t xml:space="preserve">Pulau Maratua, Berau</t>
  </si>
  <si>
    <t xml:space="preserve">Goa bawah tanah berair jernih</t>
  </si>
  <si>
    <t xml:space="preserve">034</t>
  </si>
  <si>
    <t xml:space="preserve">Pasar Pagi Samarinda</t>
  </si>
  <si>
    <t xml:space="preserve">Samarinda, Kalimantan Timur</t>
  </si>
  <si>
    <t xml:space="preserve">Pasar Pagi</t>
  </si>
  <si>
    <t xml:space="preserve">Samarinda Kota</t>
  </si>
  <si>
    <t xml:space="preserve">Viral video sekuriti umpat wartawati "media busuk" (isu negatif)</t>
  </si>
  <si>
    <t xml:space="preserve">11 Agustus 2026</t>
  </si>
  <si>
    <t xml:space="preserve">https://regional.kompas.com/read/2026/08/12/151923278/sekuriti-pasar-pagi-umpat-media-busuk-ke-wartawati-wali-kota-samarinda?page=all</t>
  </si>
  <si>
    <t xml:space="preserve">Modus Admin Toko TikTok, Sindikat Penipu Online Gasak Rp300 Juta dari Korban - RiauOnline</t>
  </si>
  <si>
    <t xml:space="preserve">RiauOnline</t>
  </si>
  <si>
    <t xml:space="preserve">Pedas Puas Festival (PPF) 2026</t>
  </si>
  <si>
    <t xml:space="preserve">Lapangan Parkir GOR Segiri, Samarinda</t>
  </si>
  <si>
    <t xml:space="preserve">Festival kuliner pedas 7 hari 7 malam, 23.000 pengunjung, menu viral</t>
  </si>
  <si>
    <t xml:space="preserve">1-7 Juni 2026</t>
  </si>
  <si>
    <t xml:space="preserve">https://kaltimkece.id/pariwara/pariwara/lima-hari-berlangsung-ppf-2026-sedot-23-ribu-pengunjung</t>
  </si>
  <si>
    <t xml:space="preserve">kaltimkece.id</t>
  </si>
  <si>
    <t xml:space="preserve">Festival Kuliner Viral dari Jakarta (Go Market)</t>
  </si>
  <si>
    <t xml:space="preserve">Komplek My Home Sintang, Kabupaten Sintang</t>
  </si>
  <si>
    <t xml:space="preserve">Kabupaten Sintang</t>
  </si>
  <si>
    <t xml:space="preserve">Festival kuliner viral yang membludak pengunjung</t>
  </si>
  <si>
    <t xml:space="preserve">29 April - 10 Mei 2026</t>
  </si>
  <si>
    <t xml:space="preserve">https://rri.co.id/sintang/regional/2387548/go-market-hadirkan-sensasi-kuliner-viral-dari-jakarta-di-sintang</t>
  </si>
  <si>
    <t xml:space="preserve">Rekomendasi Sarapan Enak di Batam Center, 4 Kuliner Mie Tarempa dan Kopi yang Wajib Dicoba - Jawa Pos</t>
  </si>
  <si>
    <t xml:space="preserve">Erau Adat Kutai 2026</t>
  </si>
  <si>
    <t xml:space="preserve">Tenggarong, Kutai Kartanegara</t>
  </si>
  <si>
    <t xml:space="preserve">Tenggarong</t>
  </si>
  <si>
    <t xml:space="preserve">Kabupaten Kutai Kartanegara</t>
  </si>
  <si>
    <t xml:space="preserve">Festival adat masuk 100 event adat terbaik nasional</t>
  </si>
  <si>
    <t xml:space="preserve">Penutupan 27 September 2026</t>
  </si>
  <si>
    <t xml:space="preserve">https://indonesiaonline.co.id/ajak-generasi-muda-lestarikan-budaya-via-teknologi-erau-adat-kutai-masuk-100-event-terbaik-nasional/?amp=1</t>
  </si>
  <si>
    <t xml:space="preserve">Festival Kemudahan dan Perlindungan Usaha Mikro</t>
  </si>
  <si>
    <t xml:space="preserve">Balikpapan, Kalimantan Timur</t>
  </si>
  <si>
    <t xml:space="preserve">Festival 1.000 pelaku usaha mikro</t>
  </si>
  <si>
    <t xml:space="preserve">17 Juni 2026</t>
  </si>
  <si>
    <t xml:space="preserve">https://www.riliskalimantan.com/2026/06/libatkan-1000-pelaku-umkm-bri.html</t>
  </si>
  <si>
    <t xml:space="preserve">www.riliskalimantan.com</t>
  </si>
  <si>
    <t xml:space="preserve">Pemprov Kepri Perkuat Sport Tourism dan Pariwisata Internasional di Even Tour de Bintan 2026 - presmedia.id</t>
  </si>
  <si>
    <t xml:space="preserve">Karya Kreatif Benuanta (KKB) 2026</t>
  </si>
  <si>
    <t xml:space="preserve">Kebun Raya Bundayati, Kabupaten Bulungan</t>
  </si>
  <si>
    <t xml:space="preserve">Tanjung Selor</t>
  </si>
  <si>
    <t xml:space="preserve">Kabupaten Bulungan</t>
  </si>
  <si>
    <t xml:space="preserve">Kalimantan Utara</t>
  </si>
  <si>
    <t xml:space="preserve">Pameran UMKM Kaltara tahun ketujuh</t>
  </si>
  <si>
    <t xml:space="preserve">27-30 Agustus 2026</t>
  </si>
  <si>
    <t xml:space="preserve">https://kaltara.indozone.id/news/2486729610/agus-taufik-umkm-kaltara-jangan-berhenti-di-pasar-lokal</t>
  </si>
  <si>
    <t xml:space="preserve">kaltara.indozone.id</t>
  </si>
  <si>
    <t xml:space="preserve">Pasar Ikan Higienis Tengkayu II</t>
  </si>
  <si>
    <t xml:space="preserve">Pelabuhan Perikanan Tengkayu II, Kota Tarakan</t>
  </si>
  <si>
    <t xml:space="preserve">Kota Tarakan</t>
  </si>
  <si>
    <t xml:space="preserve">Pasar ikan higienis penggerak ekonomi perikanan</t>
  </si>
  <si>
    <t xml:space="preserve">https://kaltara.indozone.id/news/2486704962/karantina-kaltara-dorong-standar-mutu-dan-ekspor-pasar-ikan-higienis-tarakan-jadi-titik-kuat-ekonomi-baru</t>
  </si>
  <si>
    <t xml:space="preserve">035</t>
  </si>
  <si>
    <t xml:space="preserve">Lokon View</t>
  </si>
  <si>
    <t xml:space="preserve">Perbukitan Woloan, Tomohon</t>
  </si>
  <si>
    <t xml:space="preserve">Tomohon Barat</t>
  </si>
  <si>
    <t xml:space="preserve">Kota Tomohon</t>
  </si>
  <si>
    <t xml:space="preserve">Sulawesi Utara</t>
  </si>
  <si>
    <t xml:space="preserve">Woloan terdiri atas beberapa kelurahan (Woloan I-III)</t>
  </si>
  <si>
    <t xml:space="preserve">Restoran, kolam renang, villa dengan panorama Gunung Lokon</t>
  </si>
  <si>
    <t xml:space="preserve">https://www.liputan6.com/lifestyle/read/8240594/tempat-makan-di-tomohon</t>
  </si>
  <si>
    <t xml:space="preserve">www.liputan6.com</t>
  </si>
  <si>
    <t xml:space="preserve">We'lu</t>
  </si>
  <si>
    <t xml:space="preserve">Tomohon</t>
  </si>
  <si>
    <t xml:space="preserve">Tempat makan di Tomohon</t>
  </si>
  <si>
    <t xml:space="preserve">Cingkipala Manado Resto</t>
  </si>
  <si>
    <t xml:space="preserve">Jl. Raya Kelapa Nias Blok PA 3 No.7, Pegangsaan Dua, Kelapa Gading, Jakarta Utara</t>
  </si>
  <si>
    <t xml:space="preserve">Pegangsaan Dua</t>
  </si>
  <si>
    <t xml:space="preserve">Masakan Manado halal dengan live music</t>
  </si>
  <si>
    <t xml:space="preserve">https://www.popmama.com/life/health/restoran-manado-di-jakarta-utara-00-kd2wt-zp3pkh</t>
  </si>
  <si>
    <t xml:space="preserve">www.popmama.com</t>
  </si>
  <si>
    <t xml:space="preserve">Pemprov Kepri Anggarkan Rp 101 M Bangun Museum-Monumen Bahasa di Pulau Penyengat - detikcom</t>
  </si>
  <si>
    <t xml:space="preserve">RICARAJA Restaurant</t>
  </si>
  <si>
    <t xml:space="preserve">Restoran Manado</t>
  </si>
  <si>
    <t xml:space="preserve">Tuna House Manado Kelapa Gading</t>
  </si>
  <si>
    <t xml:space="preserve">Kelapa Gading, Jakarta Utara</t>
  </si>
  <si>
    <t xml:space="preserve">NGANARASA</t>
  </si>
  <si>
    <t xml:space="preserve">Samping Hotel 101 Urban, Jakarta Utara</t>
  </si>
  <si>
    <t xml:space="preserve">Masakan Manado halal ikan bakar</t>
  </si>
  <si>
    <t xml:space="preserve">Ikan Goreng dan Rahang Tuna Om Botak</t>
  </si>
  <si>
    <t xml:space="preserve">Jl. Menado No.37-A, Merdeka, Sumur Bandung, Kota Bandung</t>
  </si>
  <si>
    <t xml:space="preserve">Rahang tuna populer lewat ulasan media sosial</t>
  </si>
  <si>
    <t xml:space="preserve">https://www.liputan6.com/lifestyle/read/7467977/5-rekomendasi-tempat-makan-rahang-tuna-enak-di-bandung-kuliner-seafood-2026</t>
  </si>
  <si>
    <t xml:space="preserve">Rahang Tuna Manado 37</t>
  </si>
  <si>
    <t xml:space="preserve">Jl. Menado No.37, Bandung</t>
  </si>
  <si>
    <t xml:space="preserve">Rahang tuna yang sering muncul di ulasan</t>
  </si>
  <si>
    <t xml:space="preserve">Pesisir Teluk Manado</t>
  </si>
  <si>
    <t xml:space="preserve">Kota Manado</t>
  </si>
  <si>
    <t xml:space="preserve">Pantai 13 km dengan sunset dan kuliner</t>
  </si>
  <si>
    <t xml:space="preserve">https://sulsel.idntimes.com/travel/destination/3-wisata-pantai-favorit-di-sulawesi-utara-dari-manado-hingga-likupang-00-dgmbm-p98mdq</t>
  </si>
  <si>
    <t xml:space="preserve">sulsel.idntimes.com</t>
  </si>
  <si>
    <t xml:space="preserve">Pantai Tanjung Tumpaan</t>
  </si>
  <si>
    <t xml:space="preserve">Kombi, Minahasa</t>
  </si>
  <si>
    <t xml:space="preserve">Kombi</t>
  </si>
  <si>
    <t xml:space="preserve">Kabupaten Minahasa</t>
  </si>
  <si>
    <t xml:space="preserve">Pantai pasir putih air jernih</t>
  </si>
  <si>
    <t xml:space="preserve">Gedung bekas Minahasa Raad</t>
  </si>
  <si>
    <t xml:space="preserve">Viral gubernur memergoki pria tidur di etalase museum yang terbengkalai (isu negatif)</t>
  </si>
  <si>
    <t xml:space="preserve">https://news.detik.com/berita/d-8611658/momen-kocak-pria-tertidur-di-etalase-museum-bikin-gubernur-sulut-kaget</t>
  </si>
  <si>
    <t xml:space="preserve">Museum Negeri Provinsi Sulawesi Utara</t>
  </si>
  <si>
    <t xml:space="preserve">Manado</t>
  </si>
  <si>
    <t xml:space="preserve">Lawangirung</t>
  </si>
  <si>
    <t xml:space="preserve">Wenang</t>
  </si>
  <si>
    <t xml:space="preserve">Diresmikan revitalisasi oleh Menteri Kebudayaan</t>
  </si>
  <si>
    <t xml:space="preserve">23 Mei 2026</t>
  </si>
  <si>
    <t xml:space="preserve">https://news.detik.com/berita/d-8501125/menbud-dorong-museum-negeri-sulut-jadi-infrastruktur-kebudayaan-ekonomi</t>
  </si>
  <si>
    <t xml:space="preserve">Museum Daerah Sulut</t>
  </si>
  <si>
    <t xml:space="preserve">Ramai dikunjungi saat libur, antrean didominasi Gen Z</t>
  </si>
  <si>
    <t xml:space="preserve">https://manado.tribunnews.com/sulawesi-utara/1882386/museum-daerah-sulut-jadi-tempat-liburan-gen-z-dan-milenial-rela-antre-demi-lihat-artefak-sejarah</t>
  </si>
  <si>
    <t xml:space="preserve">manado.tribunnews.com</t>
  </si>
  <si>
    <t xml:space="preserve">Museum dan Monumen Bahasa Nasional: Pembangunan resmi dimulai di Kepri, jadi jejak sejarah Bahasa Indonesia - berita prioritas</t>
  </si>
  <si>
    <t xml:space="preserve">berita prioritas</t>
  </si>
  <si>
    <t xml:space="preserve">Jalan WR Supratman, Lawangirung, Wenang, Kota Manado</t>
  </si>
  <si>
    <t xml:space="preserve">Koleksi sejarah masuknya Kristen, coelacanth, barcode artefak</t>
  </si>
  <si>
    <t xml:space="preserve">https://manado.tribunnews.com/sulawesi-utara/1882369/sejarah-kekristenan-minahasa-di-museum-sulut-ada-mimbar-schwarz-dan-batu-tulis-misionaris-belanda</t>
  </si>
  <si>
    <t xml:space="preserve">Manado Town Square (Mantos)</t>
  </si>
  <si>
    <t xml:space="preserve">Jalan Piere Tendean, Sario, Kota Manado</t>
  </si>
  <si>
    <t xml:space="preserve">Sario</t>
  </si>
  <si>
    <t xml:space="preserve">Beredar video kericuhan pria bawa sajam di mal (isu negatif)</t>
  </si>
  <si>
    <t xml:space="preserve">https://manado.tribunnews.com/manado/1880495/breaking-news-kericuhan-terjadi-di-tempat-perbelanjaan-di-manado-seorang-pria-bawa-sajam</t>
  </si>
  <si>
    <t xml:space="preserve">7 Tempat Liburan di Batam yang Lagi Hits dan Worth Visiting - Hipwee</t>
  </si>
  <si>
    <t xml:space="preserve">Pengunjung panik akibat pria bersajam (isu negatif)</t>
  </si>
  <si>
    <t xml:space="preserve">https://manado.tribunnews.com/manado/1880522/penjaga-tenant-di-mantos-panik-lihat-pria-diduga-bawa-sajam-langsung-tinggalkan-toko</t>
  </si>
  <si>
    <t xml:space="preserve">Pasar Sentral Sinjai</t>
  </si>
  <si>
    <t xml:space="preserve">Kelurahan Bongki, Sinjai Utara, Kabupaten Sinjai</t>
  </si>
  <si>
    <t xml:space="preserve">Bongki</t>
  </si>
  <si>
    <t xml:space="preserve">Sinjai Utara</t>
  </si>
  <si>
    <t xml:space="preserve">Kabupaten Sinjai</t>
  </si>
  <si>
    <t xml:space="preserve">Viral video perkelahian tiga emak-emak (isu negatif)</t>
  </si>
  <si>
    <t xml:space="preserve">29 Juli 2026</t>
  </si>
  <si>
    <t xml:space="preserve">https://makassar.kompas.com/read/2026/08/06/070459978/viral-video-perkelahian-tiga-emak-emak-di-pasar-sentral-sinjai-berujung</t>
  </si>
  <si>
    <t xml:space="preserve">makassar.kompas.com</t>
  </si>
  <si>
    <t xml:space="preserve">Viral Pengakuan Wanita Diduga Asal Tanjungpinang Disekap di Myanmar - Jawa Pos</t>
  </si>
  <si>
    <t xml:space="preserve">Festival Jajanan Nusantara</t>
  </si>
  <si>
    <t xml:space="preserve">Atrium Lippo Plaza Manado</t>
  </si>
  <si>
    <t xml:space="preserve">Festival kuliner dengan puluhan stan UMKM</t>
  </si>
  <si>
    <t xml:space="preserve">28 Agustus - 13 September 2026</t>
  </si>
  <si>
    <t xml:space="preserve">https://style.tribunnews.com/news/382844/2-event-menarik-di-sulawesi-10-september-2026-termasuk-pameran-toyota-serbu-di-tsm-makassar</t>
  </si>
  <si>
    <t xml:space="preserve">Pameran Toyota Serbu</t>
  </si>
  <si>
    <t xml:space="preserve">Trans Studio Mall Makassar</t>
  </si>
  <si>
    <t xml:space="preserve">Maccini Sombala</t>
  </si>
  <si>
    <t xml:space="preserve">Tamalate</t>
  </si>
  <si>
    <t xml:space="preserve">Pameran mobil Toyota</t>
  </si>
  <si>
    <t xml:space="preserve">10-20 September 2026</t>
  </si>
  <si>
    <t xml:space="preserve">Rumah Makan Saung Telaga</t>
  </si>
  <si>
    <t xml:space="preserve">Desa Pantungo, Kecamatan Telaga Biru, Kabupaten Gorontalo</t>
  </si>
  <si>
    <t xml:space="preserve">Pantungo</t>
  </si>
  <si>
    <t xml:space="preserve">Telaga Biru</t>
  </si>
  <si>
    <t xml:space="preserve">Kabupaten Gorontalo</t>
  </si>
  <si>
    <t xml:space="preserve">Gorontalo</t>
  </si>
  <si>
    <t xml:space="preserve">Kebakaran hebat rumah makan (isu negatif)</t>
  </si>
  <si>
    <t xml:space="preserve">25 April 2026</t>
  </si>
  <si>
    <t xml:space="preserve">https://rri.co.id/gorontalo/berita-lain/2363604/polisi-selidiki-penyebab-kebakaran-rumah-makan-saung-telaga</t>
  </si>
  <si>
    <t xml:space="preserve">Festival Kopi Merdeka 2026 Meriah, Ribuan Warga Padati Kota Lama Tanjungpinang - batamtoday.com</t>
  </si>
  <si>
    <t xml:space="preserve">Warteg Kharisma Bahari Gorontalo</t>
  </si>
  <si>
    <t xml:space="preserve">Jalan Nani Wartabone No.6, Heledulaa Selatan, Kota Timur, Kota Gorontalo</t>
  </si>
  <si>
    <t xml:space="preserve">Heledulaa Selatan</t>
  </si>
  <si>
    <t xml:space="preserve">Kota Timur</t>
  </si>
  <si>
    <t xml:space="preserve">Kota Gorontalo</t>
  </si>
  <si>
    <t xml:space="preserve">Warteg modern pertama di Gorontalo resmi dibuka</t>
  </si>
  <si>
    <t xml:space="preserve">https://go-pena.id/readmore/warteg-kharisma-bahari-resmi-hadir-di-gorontalo-sajikan-kuliner-nusantara-dengan-sentuhan-lidah-lokal</t>
  </si>
  <si>
    <t xml:space="preserve">go-pena.id</t>
  </si>
  <si>
    <t xml:space="preserve">Pentadio Resort</t>
  </si>
  <si>
    <t xml:space="preserve">Kawasan air panas direvitalisasi sambut Penas</t>
  </si>
  <si>
    <t xml:space="preserve">https://partainasdem.id/2026/06/19/tiga-destinasi-wisata-gorontalo-sambut-penas-petani-nelayan-2026/</t>
  </si>
  <si>
    <t xml:space="preserve">partainasdem.id</t>
  </si>
  <si>
    <t xml:space="preserve">500 Alumni PGAN Tanjungpinang Reuni, Gubernur Ajak Alumni Perkuat Kontribusi untuk Kepri - Batamnews</t>
  </si>
  <si>
    <t xml:space="preserve">Menara Pakaya</t>
  </si>
  <si>
    <t xml:space="preserve">Limboto</t>
  </si>
  <si>
    <t xml:space="preserve">Menara dipercantik lampu sambut Penas</t>
  </si>
  <si>
    <t xml:space="preserve">Danau Perintis</t>
  </si>
  <si>
    <t xml:space="preserve">Kabupaten Bone Bolango</t>
  </si>
  <si>
    <t xml:space="preserve">Suwawa</t>
  </si>
  <si>
    <t xml:space="preserve">Destinasi ditata sambut Penas</t>
  </si>
  <si>
    <t xml:space="preserve">Pantai Tamendao</t>
  </si>
  <si>
    <t xml:space="preserve">Destinasi wisata yang ditata</t>
  </si>
  <si>
    <t xml:space="preserve">036</t>
  </si>
  <si>
    <t xml:space="preserve">Pulau Cinta</t>
  </si>
  <si>
    <t xml:space="preserve">Teluk Tomini, Gorontalo</t>
  </si>
  <si>
    <t xml:space="preserve">Kemungkinan Kab. Boalemo; tidak dipastikan</t>
  </si>
  <si>
    <t xml:space="preserve">Ikon wisata dengan jembatan kayu berbentuk hati</t>
  </si>
  <si>
    <t xml:space="preserve">https://infoekonomi.id/2026/06/liburan-ke-gorontalo-ini-7-tempat-wisata-favorit-yang-wajib-masuk-bucket-list/</t>
  </si>
  <si>
    <t xml:space="preserve">infoekonomi.id</t>
  </si>
  <si>
    <t xml:space="preserve">Bukan Food Vlogger, Kenapa Rombongan PNS Justru Sering Jadi Patokan Cari Tempat Makan? - https://jambiindependent.disway.id/ - Jambi Independent</t>
  </si>
  <si>
    <t xml:space="preserve">Taman Laut Olele</t>
  </si>
  <si>
    <t xml:space="preserve">Olele</t>
  </si>
  <si>
    <t xml:space="preserve">Kabila Bone</t>
  </si>
  <si>
    <t xml:space="preserve">Surga bawah laut untuk diving</t>
  </si>
  <si>
    <t xml:space="preserve">Benteng Otanaha</t>
  </si>
  <si>
    <t xml:space="preserve">Dembe I</t>
  </si>
  <si>
    <t xml:space="preserve">Kota Barat</t>
  </si>
  <si>
    <t xml:space="preserve">Benteng abad ke-16 dengan panorama Danau Limboto</t>
  </si>
  <si>
    <t xml:space="preserve">Desa Botubarani (hiu paus)</t>
  </si>
  <si>
    <t xml:space="preserve">Desa Botubarani, Bone Bolango, Gorontalo</t>
  </si>
  <si>
    <t xml:space="preserve">Botubarani</t>
  </si>
  <si>
    <t xml:space="preserve">Snorkeling bersama hiu paus</t>
  </si>
  <si>
    <t xml:space="preserve">Pulau Saronde</t>
  </si>
  <si>
    <t xml:space="preserve">Gorontalo Utara</t>
  </si>
  <si>
    <t xml:space="preserve">Ponelo Kepulauan</t>
  </si>
  <si>
    <t xml:space="preserve">Kabupaten Gorontalo Utara</t>
  </si>
  <si>
    <t xml:space="preserve">Pasir putih</t>
  </si>
  <si>
    <t xml:space="preserve">Limboto, Kabupaten Gorontalo</t>
  </si>
  <si>
    <t xml:space="preserve">Pentadio berada di Kec. Telaga Biru, dekat Limboto/Danau Limboto</t>
  </si>
  <si>
    <t xml:space="preserve">Ikon baru replika kucing raksasa interaktif jadi perhatian masyarakat</t>
  </si>
  <si>
    <t xml:space="preserve">https://gorontalokab.go.id/berita/1239/kucing-raksasa-interaktif-jadi-daya-tarik-baru-pentadio-resort-siap-sambut-wisatawan</t>
  </si>
  <si>
    <t xml:space="preserve">gorontalokab.go.id</t>
  </si>
  <si>
    <t xml:space="preserve">UPTD Museum Purbakala Gorontalo</t>
  </si>
  <si>
    <t xml:space="preserve">Program Belajar Bersama di Museum tari klasik</t>
  </si>
  <si>
    <t xml:space="preserve">14 April 2026</t>
  </si>
  <si>
    <t xml:space="preserve">https://www.headline.co.id/82481/siswa-gorontalo-antusias-pelajari-tari-klasik-di-museum/</t>
  </si>
  <si>
    <t xml:space="preserve">www.headline.co.id</t>
  </si>
  <si>
    <t xml:space="preserve">7 Rekomendasi Wisata Religi di Jambi yang Sarat Nilai Sejarah dan Spiritualitas - lahatpos.disway.id - lahat pos</t>
  </si>
  <si>
    <t xml:space="preserve">Hulonthalo Art &amp; Craft Festival (HARFEST) 2026</t>
  </si>
  <si>
    <t xml:space="preserve">Grand Palace Convention Center (GPCC), Kota Gorontalo</t>
  </si>
  <si>
    <t xml:space="preserve">Festival kuliner dan kriya dengan 75 UMKM kuliner dan 165 UMKM binaan BI</t>
  </si>
  <si>
    <t xml:space="preserve">11-13 September 2026</t>
  </si>
  <si>
    <t xml:space="preserve">https://newsreal.id/202609/diwa-foundation-hadir-di-gorontalo-penuhi-undangan-bank-indonesia-untuk-ramaikan-event-harfest-2026-67841</t>
  </si>
  <si>
    <t xml:space="preserve">newsreal.id</t>
  </si>
  <si>
    <t xml:space="preserve">Modus Belanja di Minimarket, Tiga Pria Gondol HP di Jalan Panglima Polim Jambi - Terasbatam</t>
  </si>
  <si>
    <t xml:space="preserve">Terasbatam</t>
  </si>
  <si>
    <t xml:space="preserve">Street Coffee Blok Plan Marisa</t>
  </si>
  <si>
    <t xml:space="preserve">Marisa, Gorontalo</t>
  </si>
  <si>
    <t xml:space="preserve">Marisa</t>
  </si>
  <si>
    <t xml:space="preserve">Kabupaten Pohuwato</t>
  </si>
  <si>
    <t xml:space="preserve">Ruang publik kuliner lokasi Perbasi Fest 2026</t>
  </si>
  <si>
    <t xml:space="preserve">https://kronologi.id/dprd-gorut-apresiasi-perbasi-fest-2026-event-basket-pertama-di-indonesia/</t>
  </si>
  <si>
    <t xml:space="preserve">kronologi.id</t>
  </si>
  <si>
    <t xml:space="preserve">Jambi Kota Seberang Siap Gelar Festival Budaya “Baselang Ka Umo” 2026 - jambitv.disway.id - Jambitv.co</t>
  </si>
  <si>
    <t xml:space="preserve">Sate Klopo Ondomohen Bu Asih</t>
  </si>
  <si>
    <t xml:space="preserve">Jalan Walikota Mustajab, Surabaya</t>
  </si>
  <si>
    <t xml:space="preserve">Ketabang</t>
  </si>
  <si>
    <t xml:space="preserve">Genteng</t>
  </si>
  <si>
    <t xml:space="preserve">Sate klopo legendaris sejak 1945 selalu ramai</t>
  </si>
  <si>
    <t xml:space="preserve">https://jurnalaceh.pikiran-rakyat.com/jalan-jalan/pr-17910338417/5-tempat-makan-siang-legendaris-dekat-balai-kota-surabaya-wajib-dicoba</t>
  </si>
  <si>
    <t xml:space="preserve">jurnalaceh.pikiran-rakyat.com</t>
  </si>
  <si>
    <t xml:space="preserve">Ayu Shop</t>
  </si>
  <si>
    <t xml:space="preserve">Desa Hungayonaa, Tilamuta, Kabupaten Boalemo</t>
  </si>
  <si>
    <t xml:space="preserve">Hungayonaa</t>
  </si>
  <si>
    <t xml:space="preserve">Tilamuta</t>
  </si>
  <si>
    <t xml:space="preserve">Kabupaten Boalemo</t>
  </si>
  <si>
    <t xml:space="preserve">Rumah makan persinggahan jalur Trans Sulawesi</t>
  </si>
  <si>
    <t xml:space="preserve">https://gorontalo.tribunnews.com/boalemo/85595/3-rumah-makan-rekomendasi-untuk-pelancong-saat-melintasi-kabupaten-boalemo-gorontalo</t>
  </si>
  <si>
    <t xml:space="preserve">gorontalo.tribunnews.com</t>
  </si>
  <si>
    <t xml:space="preserve">Viral Pengantin di Jambi 'Adu Jotos' di Atas Panggung, Ini Kisah di Baliknya - detikcom</t>
  </si>
  <si>
    <t xml:space="preserve">Nusa Laut</t>
  </si>
  <si>
    <t xml:space="preserve">Tiban Indah, Sekupang, Batam</t>
  </si>
  <si>
    <t xml:space="preserve">Seafood dengan pemandangan sunset</t>
  </si>
  <si>
    <t xml:space="preserve">https://jurnalaceh.pikiran-rakyat.com/jalan-jalan/pr-17910136728/5-rekomendasi-tempat-makan-hits-di-batam-untuk-kulineran-saat-weekend</t>
  </si>
  <si>
    <t xml:space="preserve">Karhutla Tahura Sultan Thaha Jambi Meluas, Satwa Berlindung di Hamparan yang Tersisa - Kompas.com</t>
  </si>
  <si>
    <t xml:space="preserve">Picolla Stella</t>
  </si>
  <si>
    <t xml:space="preserve">Ruko Dermaga Sukajadi, Batam Kota</t>
  </si>
  <si>
    <t xml:space="preserve">Kafe Instagramable tema dunia peri</t>
  </si>
  <si>
    <t xml:space="preserve">Marutai Ramen</t>
  </si>
  <si>
    <t xml:space="preserve">Mega Mall Batam Center</t>
  </si>
  <si>
    <t xml:space="preserve">Ramen halal</t>
  </si>
  <si>
    <t xml:space="preserve">Roemah Pohon</t>
  </si>
  <si>
    <t xml:space="preserve">Batu Besar, Nongsa, Batam</t>
  </si>
  <si>
    <t xml:space="preserve">Kafe konsep alam</t>
  </si>
  <si>
    <t xml:space="preserve">Warung Pasta Eden Park</t>
  </si>
  <si>
    <t xml:space="preserve">Perumahan Eden Park, Batam</t>
  </si>
  <si>
    <t xml:space="preserve">Pasta populer lokal</t>
  </si>
  <si>
    <t xml:space="preserve">Danau Paisu Pok</t>
  </si>
  <si>
    <t xml:space="preserve">Banggai Kepulauan, Sulawesi Tengah</t>
  </si>
  <si>
    <t xml:space="preserve">Kabupaten Banggai Kepulauan</t>
  </si>
  <si>
    <t xml:space="preserve">Sulawesi Tengah</t>
  </si>
  <si>
    <t xml:space="preserve">Kemungkinan Kec. Bulagi Utara</t>
  </si>
  <si>
    <t xml:space="preserve">Danau yang sempat viral di media sosial karena air jernih</t>
  </si>
  <si>
    <t xml:space="preserve">https://20.detik.com/spot-wisata/20260604-260604060/menyaksikan-keindahan-danau-paisu-pok-yang-viral-di-sulawesi-tengah</t>
  </si>
  <si>
    <t xml:space="preserve">Pantai Katayan</t>
  </si>
  <si>
    <t xml:space="preserve">Desa Laulalang, Kecamatan Tolitoli Utara, Kabupaten Tolitoli</t>
  </si>
  <si>
    <t xml:space="preserve">Laulalang</t>
  </si>
  <si>
    <t xml:space="preserve">Tolitoli Utara</t>
  </si>
  <si>
    <t xml:space="preserve">Kabupaten Tolitoli</t>
  </si>
  <si>
    <t xml:space="preserve">Objek wisata yang sedang viral dengan batu karang dan sunset</t>
  </si>
  <si>
    <t xml:space="preserve">https://rri.co.id/toli-toli/wisata/2364868/pantai-katayan-daya-tarik-baru-wisata-di-tolitoli-utara</t>
  </si>
  <si>
    <t xml:space="preserve">Pulau Sombori</t>
  </si>
  <si>
    <t xml:space="preserve">Kabupaten Morowali, Sulawesi Tengah</t>
  </si>
  <si>
    <t xml:space="preserve">Menui Kepulauan</t>
  </si>
  <si>
    <t xml:space="preserve">Kabupaten Morowali</t>
  </si>
  <si>
    <t xml:space="preserve">"Raja Ampat-nya Sulawesi Tengah" dengan tebing karst</t>
  </si>
  <si>
    <t xml:space="preserve">https://rri.co.id/bukittinggi/wisata/2479672/pulau-sombori-permata-tersembunyi-di-jantung-sulawesi-tengah</t>
  </si>
  <si>
    <t xml:space="preserve">Goa Berlian</t>
  </si>
  <si>
    <t xml:space="preserve">Pulau Sombori, Morowali</t>
  </si>
  <si>
    <t xml:space="preserve">Goa dengan kristal berkilau</t>
  </si>
  <si>
    <t xml:space="preserve">Padang Kuda Danau Lindu</t>
  </si>
  <si>
    <t xml:space="preserve">Danau Lindu, Kabupaten Sigi, Sulawesi Tengah</t>
  </si>
  <si>
    <t xml:space="preserve">Lindu</t>
  </si>
  <si>
    <t xml:space="preserve">Kabupaten Sigi</t>
  </si>
  <si>
    <t xml:space="preserve">Viral di TikTok dan Instagram, padang rumput dengan kuda bebas</t>
  </si>
  <si>
    <t xml:space="preserve">https://rri.co.id/palu/wisata/2386327/pesona-padang-kuda-danau-lindu-kian-viral</t>
  </si>
  <si>
    <t xml:space="preserve">Toko Daging Nusantara</t>
  </si>
  <si>
    <t xml:space="preserve">DKI Jakarta, Jawa Barat, Banten, Jawa Tengah, Sulawesi Selatan</t>
  </si>
  <si>
    <t xml:space="preserve">Beberapa provinsi: DKI Jakarta, Jawa Barat, Banten, Jawa Tengah, Sulawesi Selatan</t>
  </si>
  <si>
    <t xml:space="preserve">Membuka gerai ke-40</t>
  </si>
  <si>
    <t xml:space="preserve">https://wartaekonomi.co.id/read621961/toko-daging-nusantara-tambah-gerai-jaringan-capai-40-cabang</t>
  </si>
  <si>
    <t xml:space="preserve">Viral Aksi Wanita Tukar Cincin Perak dengan Emas di Toko Perhiasan Baturaja, Aksinya Terekam CCTV - palpos.disway.id - Palpos</t>
  </si>
  <si>
    <t xml:space="preserve">037</t>
  </si>
  <si>
    <t xml:space="preserve">Pameran Seni "Jejak Tanah: Bentang Berlanjut"</t>
  </si>
  <si>
    <t xml:space="preserve">Palu, Sulawesi Tengah</t>
  </si>
  <si>
    <t xml:space="preserve">Kota Palu</t>
  </si>
  <si>
    <t xml:space="preserve">Pameran seni oleh Kuratana Studio dan Ruretik Lab</t>
  </si>
  <si>
    <t xml:space="preserve">28 September - 4 Oktober 2026</t>
  </si>
  <si>
    <t xml:space="preserve">https://style.tribunnews.com/news/384633/event-menarik-di-sulawesi-besok-28-september-2026-termasuk-pameran-jejak-tanah-bentang-berlanjut</t>
  </si>
  <si>
    <t xml:space="preserve">Festival Literasi Provinsi Sulawesi Barat 2026</t>
  </si>
  <si>
    <t xml:space="preserve">Mamuju, Sulawesi Barat</t>
  </si>
  <si>
    <t xml:space="preserve">Kabupaten Mamuju</t>
  </si>
  <si>
    <t xml:space="preserve">Sulawesi Barat</t>
  </si>
  <si>
    <t xml:space="preserve">Rangkaian kegiatan literasi untuk masyarakat</t>
  </si>
  <si>
    <t xml:space="preserve">15 September 2026</t>
  </si>
  <si>
    <t xml:space="preserve">https://style.tribunnews.com/news/383369/event-menarik-di-sulawesi-besok-selasa-15-september-2026-termasuk-festival-literasi-provinsi-sulbar</t>
  </si>
  <si>
    <t xml:space="preserve">Gorontalo Karnaval Karawo 2026</t>
  </si>
  <si>
    <t xml:space="preserve">Gorontalo ambigu (provinsi/kota)</t>
  </si>
  <si>
    <t xml:space="preserve">Event budaya tahunan</t>
  </si>
  <si>
    <t xml:space="preserve">https://style.tribunnews.com/news/383045/3-event-menarik-di-sulawesi-besok-sabtu-12-september-2026-salah-satunya-rektor-untad-cup-iii-2026?page=all</t>
  </si>
  <si>
    <t xml:space="preserve">Pantai Tai Manu</t>
  </si>
  <si>
    <t xml:space="preserve">Desa Belang-Belang, Kecamatan Kalukku, Kabupaten Mamuju</t>
  </si>
  <si>
    <t xml:space="preserve">Belang-Belang</t>
  </si>
  <si>
    <t xml:space="preserve">Kalukku</t>
  </si>
  <si>
    <t xml:space="preserve">Viral video perkelahian dengan badik di kawasan wisata (isu negatif)</t>
  </si>
  <si>
    <t xml:space="preserve">https://sulbaronline.com/ngeri-dua-kelompok-di-mamuju-terlibat-perkelahian-pakai-badik-di-tempat-wisata/</t>
  </si>
  <si>
    <t xml:space="preserve">sulbaronline.com</t>
  </si>
  <si>
    <t xml:space="preserve">Heboh Sejoli Mesum di Belakang Pasar Buah Jakabaring Palembang - detikcom</t>
  </si>
  <si>
    <t xml:space="preserve">Toko Roti Jeannette</t>
  </si>
  <si>
    <t xml:space="preserve">Kecamatan Patrang, Jember</t>
  </si>
  <si>
    <t xml:space="preserve">Patrang</t>
  </si>
  <si>
    <t xml:space="preserve">Kabupaten Jember</t>
  </si>
  <si>
    <t xml:space="preserve">Toko roti jadul legendaris sejak 1935</t>
  </si>
  <si>
    <t xml:space="preserve">https://www.jatimnetwork.com/dodolan/4317671590/jeannette-artinya-nama-toko-roti-legendaris-di-jember-jawa-timur-disorot-ternyata-asalnya-dari-sini</t>
  </si>
  <si>
    <t xml:space="preserve">www.jatimnetwork.com</t>
  </si>
  <si>
    <t xml:space="preserve">Toko Madjoe</t>
  </si>
  <si>
    <t xml:space="preserve">Pasar Besar Malang</t>
  </si>
  <si>
    <t xml:space="preserve">Sukoharjo</t>
  </si>
  <si>
    <t xml:space="preserve">Toko kue jadul bertekstur buttery, unggahan disukai ribuan pengguna</t>
  </si>
  <si>
    <t xml:space="preserve">https://www.jatimnetwork.com/dodolan/4317664960/sejak-1930-intip-deretan-kue-dari-toko-legendaris-di-pasar-besar-malang-ini-varian-terfavorit-yang-mana?page=2</t>
  </si>
  <si>
    <t xml:space="preserve">Festival Sandeq Silumba 2026</t>
  </si>
  <si>
    <t xml:space="preserve">Pantai Banua Sendana hingga Pantai Pamboang, Majene</t>
  </si>
  <si>
    <t xml:space="preserve">Kabupaten Majene</t>
  </si>
  <si>
    <t xml:space="preserve">Rute festival melintasi beberapa kecamatan</t>
  </si>
  <si>
    <t xml:space="preserve">Lomba perahu layar tradisional Mandar</t>
  </si>
  <si>
    <t xml:space="preserve">https://style.tribunnews.com/news/384498/event-menarik-di-sulawesi-besok-sabtu-26-september-2026-termasuk-sandeq-silumba-di-majene</t>
  </si>
  <si>
    <t xml:space="preserve">Sambut Penerbangan Internasional Singapura-Belitung, Babel Usulkan Penyusunan Paket Wisata Terpadu - Tribunnews.com</t>
  </si>
  <si>
    <t xml:space="preserve">Festival Gau Maraja 2026</t>
  </si>
  <si>
    <t xml:space="preserve">Kabupaten Bone, Sulawesi Selatan</t>
  </si>
  <si>
    <t xml:space="preserve">Kabupaten Bone</t>
  </si>
  <si>
    <t xml:space="preserve">Festival budaya pameran, seni, dan karnaval</t>
  </si>
  <si>
    <t xml:space="preserve">25-30 September 2026</t>
  </si>
  <si>
    <t xml:space="preserve">Culture Festival Mandar</t>
  </si>
  <si>
    <t xml:space="preserve">Lapangan Sport Center Polewali Mandar</t>
  </si>
  <si>
    <t xml:space="preserve">Kabupaten Polewali Mandar</t>
  </si>
  <si>
    <t xml:space="preserve">Festival budaya dengan lomba gaun sutra Mandar</t>
  </si>
  <si>
    <t xml:space="preserve">14 Mei 2026</t>
  </si>
  <si>
    <t xml:space="preserve">https://katasulsel.com/talenta-mudah-sidrap-tembus-top-3-sutra-culture-festival-mandar-sulawesi-barat-2026/</t>
  </si>
  <si>
    <t xml:space="preserve">katasulsel.com</t>
  </si>
  <si>
    <t xml:space="preserve">Wisata Durian di Desa Teruk Bangka Tengah - RRI.co.id</t>
  </si>
  <si>
    <t xml:space="preserve">Coto Nusantara</t>
  </si>
  <si>
    <t xml:space="preserve">Makassar</t>
  </si>
  <si>
    <t xml:space="preserve">Warung coto legendaris selalu ramai</t>
  </si>
  <si>
    <t xml:space="preserve">https://harpersbazaar.co.id/articles/read/6/2026/25576/wajib-tahu-ini-6-rekomendasi-tempat-makan-di-makassar-nbsp</t>
  </si>
  <si>
    <t xml:space="preserve">harpersbazaar.co.id</t>
  </si>
  <si>
    <t xml:space="preserve">Bangka Belitung Perkuat Pengendalian Inflasi, Gencarkan Operasi Pasar - Tribunnews.com</t>
  </si>
  <si>
    <t xml:space="preserve">Konro Karebosi</t>
  </si>
  <si>
    <t xml:space="preserve">Konro bakar terkenal favorit wisatawan</t>
  </si>
  <si>
    <t xml:space="preserve">Patung Yesus Buntu Burake</t>
  </si>
  <si>
    <t xml:space="preserve">Makale, Tana Toraja</t>
  </si>
  <si>
    <t xml:space="preserve">Makale</t>
  </si>
  <si>
    <t xml:space="preserve">Kabupaten Tana Toraja</t>
  </si>
  <si>
    <t xml:space="preserve">Patung Yesus tertinggi kedua di dunia, Instagramable</t>
  </si>
  <si>
    <t xml:space="preserve">https://sulsel.idntimes.com/travel/destination/9-spot-wisata-instagramable-di-sulsel-ada-yang-mirip-brasil-00-lm183-gnhr29</t>
  </si>
  <si>
    <t xml:space="preserve">Pulau Kodingareng Keke</t>
  </si>
  <si>
    <t xml:space="preserve">Kepulauan Sangkarrang</t>
  </si>
  <si>
    <t xml:space="preserve">Pulau tak berpenghuni untuk snorkeling</t>
  </si>
  <si>
    <t xml:space="preserve">Tebing Apparalang</t>
  </si>
  <si>
    <t xml:space="preserve">Bulukumba, Sulawesi Selatan</t>
  </si>
  <si>
    <t xml:space="preserve">Bonto Bahari</t>
  </si>
  <si>
    <t xml:space="preserve">Kabupaten Bulukumba</t>
  </si>
  <si>
    <t xml:space="preserve">Spot #NoFilter dengan laut pirus</t>
  </si>
  <si>
    <t xml:space="preserve">Buttu Macca</t>
  </si>
  <si>
    <t xml:space="preserve">Kabupaten Enrekang</t>
  </si>
  <si>
    <t xml:space="preserve">Spot foto di antara Gunung Bambapuang dan Gunung Nona</t>
  </si>
  <si>
    <t xml:space="preserve">Rammang-Rammang</t>
  </si>
  <si>
    <t xml:space="preserve">Maros, Sulawesi Selatan</t>
  </si>
  <si>
    <t xml:space="preserve">Salenrang</t>
  </si>
  <si>
    <t xml:space="preserve">Bontoa</t>
  </si>
  <si>
    <t xml:space="preserve">Kabupaten Maros</t>
  </si>
  <si>
    <t xml:space="preserve">Desa wisata karst</t>
  </si>
  <si>
    <t xml:space="preserve">Desa Lembanna, Kecamatan Bonto Bahari, Bulukumba</t>
  </si>
  <si>
    <t xml:space="preserve">Lembanna</t>
  </si>
  <si>
    <t xml:space="preserve">Artikel lain menyebut Desa Ara</t>
  </si>
  <si>
    <t xml:space="preserve">Video remaja tersapu ombak di spot foto viral (isu negatif)</t>
  </si>
  <si>
    <t xml:space="preserve">7 Juni 2026</t>
  </si>
  <si>
    <t xml:space="preserve">https://www.detik.com/sulsel/berita/d-8522727/gadis-abg-tenggelam-saat-foto-di-tebing-apparalang-bulukumba-ditemukan-tewas</t>
  </si>
  <si>
    <t xml:space="preserve">Polisi Tangkap Sopir Angkot T19 Ugal-ugalan, Lawan Arah hingga Pecahkan Kaca Mobil - VOI.ID</t>
  </si>
  <si>
    <t xml:space="preserve">VOI.ID</t>
  </si>
  <si>
    <t xml:space="preserve">Desa Ara, Kecamatan Bonto Bahari, Bulukumba</t>
  </si>
  <si>
    <t xml:space="preserve">Ara</t>
  </si>
  <si>
    <t xml:space="preserve">Detik-detik korban terseret ombak viral di media sosial (isu negatif)</t>
  </si>
  <si>
    <t xml:space="preserve">https://sulsel.suara.com/read/2026/06/08/160627/dibalik-viral-video-wisatawan-terseret-ombak-terungkap-masalah-pelik-wisata-apparalang-bulukumba</t>
  </si>
  <si>
    <t xml:space="preserve">sulsel.suara.com</t>
  </si>
  <si>
    <t xml:space="preserve">Peringati Hari Bhayangkara Ke-80, Kapolres Beltim Pimpin Bersih-bersih Pasar - Tribunnews.com</t>
  </si>
  <si>
    <t xml:space="preserve">038</t>
  </si>
  <si>
    <t xml:space="preserve">Viral video remaja tewas terjatuh saat berfoto di tebing (isu negatif)</t>
  </si>
  <si>
    <t xml:space="preserve">https://news.detik.com/berita/d-8524870/abg-tewas-usai-terjatuh-saat-foto-di-tebing-apparalang-bulukumba</t>
  </si>
  <si>
    <t xml:space="preserve">Inovasi Drop Tank PTP Dongkrak Arus Logistik CPO Bangka Belitung - jatimnow.com</t>
  </si>
  <si>
    <t xml:space="preserve">jatimnow.com</t>
  </si>
  <si>
    <t xml:space="preserve">2026-04-19</t>
  </si>
  <si>
    <t xml:space="preserve">Kawasan Wisata Apparalang</t>
  </si>
  <si>
    <t xml:space="preserve">Desa Lembanna, Bonto Bahari, Bulukumba</t>
  </si>
  <si>
    <t xml:space="preserve">Area tebing ditutup polisi usai insiden viral (isu negatif)</t>
  </si>
  <si>
    <t xml:space="preserve">8 Juni 2026</t>
  </si>
  <si>
    <t xml:space="preserve">https://www.detik.com/sulsel/berita/d-8524625/wisatawan-tewas-tenggelam-kawasan-wisata-tebing-apparalang-ditutup-polisi</t>
  </si>
  <si>
    <t xml:space="preserve">Pemuda 18 Tahun di Pangkalpinang Curi Motor di 4 TKP, Modus Disebut Tergolong Unik - Tribunnews.com</t>
  </si>
  <si>
    <t xml:space="preserve">Outlet Golqi Chicken</t>
  </si>
  <si>
    <t xml:space="preserve">Jalan Batua Raya, Makassar</t>
  </si>
  <si>
    <t xml:space="preserve">Rekaman CCTV pembobolan toko viral di media sosial (isu negatif)</t>
  </si>
  <si>
    <t xml:space="preserve">5 Juni 2026</t>
  </si>
  <si>
    <t xml:space="preserve">https://makassar.antaranews.com/berita/631715/polisi-buru-dua-pembobol-toko-ayam-krispi-di-makassar</t>
  </si>
  <si>
    <t xml:space="preserve">makassar.antaranews.com</t>
  </si>
  <si>
    <t xml:space="preserve">Pasar Agro Sumillan</t>
  </si>
  <si>
    <t xml:space="preserve">Dusun Bossok, Desa Sumillan, Kecamatan Alla, Enrekang</t>
  </si>
  <si>
    <t xml:space="preserve">Sumillan</t>
  </si>
  <si>
    <t xml:space="preserve">Alla</t>
  </si>
  <si>
    <t xml:space="preserve">Kebakaran 9 kios (isu negatif)</t>
  </si>
  <si>
    <t xml:space="preserve">https://www.detik.com/sulsel/berita/d-8486988/9-kios-di-pasar-agro-enrekang-ludes-terbakar-kerugian-capai-rp-450-juta</t>
  </si>
  <si>
    <t xml:space="preserve">Sekda Tindak Video Amoral Pejabat Pemprov Bengkulu - Info Negeri</t>
  </si>
  <si>
    <t xml:space="preserve">Info Negeri</t>
  </si>
  <si>
    <t xml:space="preserve">Festival Danau Tempe 2026</t>
  </si>
  <si>
    <t xml:space="preserve">Lapangan Merdeka Sengkang, Kabupaten Wajo</t>
  </si>
  <si>
    <t xml:space="preserve">Tempe</t>
  </si>
  <si>
    <t xml:space="preserve">Kabupaten Wajo</t>
  </si>
  <si>
    <t xml:space="preserve">Festival budaya dan pariwisata Danau Tempe</t>
  </si>
  <si>
    <t xml:space="preserve">https://wamanews.id/festival-danau-tempe-2026-resmi-dibuka-pemprov-sulsel-dorong-masuk-kalender-event-nasional/</t>
  </si>
  <si>
    <t xml:space="preserve">wamanews.id</t>
  </si>
  <si>
    <t xml:space="preserve">Usai Viral Baru Diresmikan Dua Bulan Amblas, Pemprov Bengkulu Tinjau Jembatan Rp16 Miliar - Info Negeri</t>
  </si>
  <si>
    <t xml:space="preserve">Festival Durian Enrekang</t>
  </si>
  <si>
    <t xml:space="preserve">Kebun Raya Massenrempulu, Desa Batu Mila, Kecamatan Maiwa, Enrekang</t>
  </si>
  <si>
    <t xml:space="preserve">Batu Mila</t>
  </si>
  <si>
    <t xml:space="preserve">Maiwa</t>
  </si>
  <si>
    <t xml:space="preserve">Festival berakhir ricuh karena pengunjung tak kebagian durian (isu negatif)</t>
  </si>
  <si>
    <t xml:space="preserve">https://www.detik.com/sulsel/berita/d-8556137/ricuh-festival-durian-enrekang-gegara-pengunjung-tak-kebagian-buah</t>
  </si>
  <si>
    <t xml:space="preserve">Kebun Raya Massenrempulu</t>
  </si>
  <si>
    <t xml:space="preserve">Desa Batu Mila, Kecamatan Maiwa, Enrekang</t>
  </si>
  <si>
    <t xml:space="preserve">Lokasi Festival Durian</t>
  </si>
  <si>
    <t xml:space="preserve">Mal Phinisi Point (Pipo)</t>
  </si>
  <si>
    <t xml:space="preserve">Parkir semrawut saat event viral di media sosial (isu negatif)</t>
  </si>
  <si>
    <t xml:space="preserve">https://www.detik.com/sulsel/makassar/d-8593256/parkiran-depan-pipo-makassar-picu-macet-saat-event-gegara-warga-mau-praktis</t>
  </si>
  <si>
    <t xml:space="preserve">Makassar International Writers Festival (MIWF) 2026</t>
  </si>
  <si>
    <t xml:space="preserve">Festival literasi internasional</t>
  </si>
  <si>
    <t xml:space="preserve">https://sulsel.idntimes.com/news/sulawesi-selatan/miwf-2026-starterpack-biar-nyaman-keliling-festival-seharian-00-ghkwk-4cmbm9</t>
  </si>
  <si>
    <t xml:space="preserve">Naykilla &amp; DNA x PAKIZ siap guncang panggung Bengkulu Agustus mendatang! - ANTARA News Bengkulu</t>
  </si>
  <si>
    <t xml:space="preserve">039</t>
  </si>
  <si>
    <t xml:space="preserve">Tuli-Tuli Viral</t>
  </si>
  <si>
    <t xml:space="preserve">Kendari, Sulawesi Tenggara</t>
  </si>
  <si>
    <t xml:space="preserve">Kota Kendari</t>
  </si>
  <si>
    <t xml:space="preserve">Sulawesi Tenggara</t>
  </si>
  <si>
    <t xml:space="preserve">Usaha kuliner tradisional Tuli-Tuli yang viral lewat media sosial</t>
  </si>
  <si>
    <t xml:space="preserve">https://rri.co.id/kendari/regional/2498177/tuli-tuli-viral-jadi-favorit-pecinta-kuliner</t>
  </si>
  <si>
    <t xml:space="preserve">7 Tempat Makan Keluarga di Bandar Lampung, Cocok untuk Quality Time Bareng Orang Tersayang - Hipwee</t>
  </si>
  <si>
    <t xml:space="preserve">Pasar Baruga</t>
  </si>
  <si>
    <t xml:space="preserve">Baruga</t>
  </si>
  <si>
    <t xml:space="preserve">Viral video temuan uang palsu di pasar (isu negatif)</t>
  </si>
  <si>
    <t xml:space="preserve">https://suarasultra.com/2026/04/pedagang-pasar-baruga-kendari-resah-empat-lembar-uang-rp100-ribu-diduga-palsu-beredar/</t>
  </si>
  <si>
    <t xml:space="preserve">suarasultra.com</t>
  </si>
  <si>
    <t xml:space="preserve">Wakatobi Dive Resort</t>
  </si>
  <si>
    <t xml:space="preserve">Pulau Onemobaa, Tomia, Kabupaten Wakatobi</t>
  </si>
  <si>
    <t xml:space="preserve">Tomia</t>
  </si>
  <si>
    <t xml:space="preserve">Kabupaten Wakatobi</t>
  </si>
  <si>
    <t xml:space="preserve">Viral video pencegatan kapal wisatawan Prancis oleh resort (isu negatif)</t>
  </si>
  <si>
    <t xml:space="preserve">6 Juni 2026</t>
  </si>
  <si>
    <t xml:space="preserve">https://www.lajur.co/taman-nasional-wakatobi-buka-suara-soal-viral-kapal-pembawa-turis-prancis-dicegat-di-lokasi-selam-tomia/</t>
  </si>
  <si>
    <t xml:space="preserve">www.lajur.co</t>
  </si>
  <si>
    <t xml:space="preserve">Taman Nasional Wakatobi</t>
  </si>
  <si>
    <t xml:space="preserve">Perairan Tomia, Kabupaten Wakatobi</t>
  </si>
  <si>
    <t xml:space="preserve">Zona pemanfaatan lokasi insiden viral penyelaman</t>
  </si>
  <si>
    <t xml:space="preserve">Mata Air Ninivala</t>
  </si>
  <si>
    <t xml:space="preserve">Indonesia Timur</t>
  </si>
  <si>
    <t xml:space="preserve">Wilayah samar: Indonesia Timur</t>
  </si>
  <si>
    <t xml:space="preserve">Mata air indah dalam tayangan Tanah Air Beta</t>
  </si>
  <si>
    <t xml:space="preserve">https://20.detik.com/spot-wisata/20260903-260903129/menikmati-pesona-mata-air-ninivala-di-maluku</t>
  </si>
  <si>
    <t xml:space="preserve">Pantai Ora</t>
  </si>
  <si>
    <t xml:space="preserve">Teluk Sawai, Seram Utara, Maluku Tengah</t>
  </si>
  <si>
    <t xml:space="preserve">Seram Utara</t>
  </si>
  <si>
    <t xml:space="preserve">Kabupaten Maluku Tengah</t>
  </si>
  <si>
    <t xml:space="preserve">Pasir putih dan laut jernih disandingkan dengan Maladewa</t>
  </si>
  <si>
    <t xml:space="preserve">https://rri.co.id/bukittinggi/wisata/2482486/pesona-pantai-ora-kepingan-surga-tersembunyi-maluku-tengah</t>
  </si>
  <si>
    <t xml:space="preserve">Ora Beach Resort</t>
  </si>
  <si>
    <t xml:space="preserve">Pantai Ora, Seram Utara, Maluku Tengah</t>
  </si>
  <si>
    <t xml:space="preserve">Cottage di atas perairan</t>
  </si>
  <si>
    <t xml:space="preserve">Kepulauan Wakatobi</t>
  </si>
  <si>
    <t xml:space="preserve">Destinasi impian ketenangan dan bawah laut</t>
  </si>
  <si>
    <t xml:space="preserve">https://rri.co.id/sungailiat/wisata/2423073/rekomendasi-destinasi-wisata-alam-pilihan-generasi-muda</t>
  </si>
  <si>
    <t xml:space="preserve">Banda Neira</t>
  </si>
  <si>
    <t xml:space="preserve">Banda</t>
  </si>
  <si>
    <t xml:space="preserve">Kawasan bersejarah dengan wisata selam</t>
  </si>
  <si>
    <t xml:space="preserve">Pulau Hatta</t>
  </si>
  <si>
    <t xml:space="preserve">Banda, Maluku</t>
  </si>
  <si>
    <t xml:space="preserve">Lokasi ikonik untuk selam bebas</t>
  </si>
  <si>
    <t xml:space="preserve">Pulau Syahrir</t>
  </si>
  <si>
    <t xml:space="preserve">Indomaret Ambon</t>
  </si>
  <si>
    <t xml:space="preserve">Kota Ambon, Maluku</t>
  </si>
  <si>
    <t xml:space="preserve">Viral video karyawan bakar kaki bocah tidur di teras toko (isu negatif)</t>
  </si>
  <si>
    <t xml:space="preserve">26 Juni 2026</t>
  </si>
  <si>
    <t xml:space="preserve">https://regional.kompas.com/read/2026/06/27/172206878/karyawan-indomaret-ambon-iseng-bakar-kaki-bocah-tidur-pelaku-minta-maaf</t>
  </si>
  <si>
    <t xml:space="preserve">Aksinya Terekam Kamera dan Viral, 2 Begal Serahkan Diri ke Polisi - Liputan6.com</t>
  </si>
  <si>
    <t xml:space="preserve">Liputan6.com</t>
  </si>
  <si>
    <t xml:space="preserve">Proyek Pasar Apung Batumerah</t>
  </si>
  <si>
    <t xml:space="preserve">Desa Batu Merah, Kecamatan Sirimau, Kota Ambon</t>
  </si>
  <si>
    <t xml:space="preserve">Batu Merah</t>
  </si>
  <si>
    <t xml:space="preserve">Sirimau</t>
  </si>
  <si>
    <t xml:space="preserve">Sengketa lahan dan rencana pembongkaran masjid viral (isu negatif)</t>
  </si>
  <si>
    <t xml:space="preserve">https://www.saburomedia.com/2026/05/12/isnu-maluku-minta-tunda-pembongkaran-masjid-al-maruf-batumerah/</t>
  </si>
  <si>
    <t xml:space="preserve">www.saburomedia.com</t>
  </si>
  <si>
    <t xml:space="preserve">Video Viral Diduga Pelaku Penembakan Polisi Ditangkap, Ini Kata Kapolda Lampung - Kupas Tuntas</t>
  </si>
  <si>
    <t xml:space="preserve">Benteng Oranje</t>
  </si>
  <si>
    <t xml:space="preserve">Kota Ternate, Maluku Utara</t>
  </si>
  <si>
    <t xml:space="preserve">Ternate Tengah</t>
  </si>
  <si>
    <t xml:space="preserve">Kota Ternate</t>
  </si>
  <si>
    <t xml:space="preserve">Maluku Utara</t>
  </si>
  <si>
    <t xml:space="preserve">Viral pembubaran pemutaran film dokumenter oleh aparat (isu negatif)</t>
  </si>
  <si>
    <t xml:space="preserve">8 Mei 2026</t>
  </si>
  <si>
    <t xml:space="preserve">https://www.kompas.id/artikel/en-pembubaran-nonton-bareng-film-pesta-babi-dinilai-berlebihan</t>
  </si>
  <si>
    <t xml:space="preserve">Video Penggerebekan Viral, Diduga Pelaku Penembakan Polisi Berhasil Ditangkap - Kupas Tuntas</t>
  </si>
  <si>
    <t xml:space="preserve">Festival Gema Buru 2026</t>
  </si>
  <si>
    <t xml:space="preserve">Namlea, Pulau Buru, Maluku</t>
  </si>
  <si>
    <t xml:space="preserve">Namlea</t>
  </si>
  <si>
    <t xml:space="preserve">Kabupaten Buru</t>
  </si>
  <si>
    <t xml:space="preserve">Festival budaya kearifan lokal</t>
  </si>
  <si>
    <t xml:space="preserve">https://www.antaranews.com/video/5551675/festival-gema-buru-2026-perkuat-pelestarian-budaya-lokal</t>
  </si>
  <si>
    <t xml:space="preserve">Aksi Pencuri Bawa Payung Pink Saat Bobol Toko Di Tanggamus Lampung - SinPo.id</t>
  </si>
  <si>
    <t xml:space="preserve">Pulau Meti Cottage</t>
  </si>
  <si>
    <t xml:space="preserve">Pulau Meti, Kecamatan Tobelo, Halmahera Utara</t>
  </si>
  <si>
    <t xml:space="preserve">Tobelo</t>
  </si>
  <si>
    <t xml:space="preserve">Kabupaten Halmahera Utara</t>
  </si>
  <si>
    <t xml:space="preserve">Destinasi bahari dengan sekitar 100 kunjungan per hari</t>
  </si>
  <si>
    <t xml:space="preserve">https://travel.detik.com/fototravel/d-8594394/pulau-meti-cottage-surga-wisata-bahari-halmahera-utara-yang-kian-diminati</t>
  </si>
  <si>
    <t xml:space="preserve">Viral Flexing Menantu DPRD Lampung Tengah, Klaim Postingan Sudah Lama - IDN Times Lampung</t>
  </si>
  <si>
    <t xml:space="preserve">2026-07-25</t>
  </si>
  <si>
    <t xml:space="preserve">Meti Cottage</t>
  </si>
  <si>
    <t xml:space="preserve">Pulau Meti, Halmahera Utara</t>
  </si>
  <si>
    <t xml:space="preserve">Ecotourism resort destinasi unggulan Maluku Utara</t>
  </si>
  <si>
    <t xml:space="preserve">https://www.tandaseru.com/2026/07/29/mengunjungi-meti-mengasah-ai-langkah-bersama-bi-dan-media-menjaga-ekonomi-maluku-utara/</t>
  </si>
  <si>
    <t xml:space="preserve">www.tandaseru.com</t>
  </si>
  <si>
    <t xml:space="preserve">Foto Tumpukan Uang Diduga Milik Kepala SPPG di Pesisir Barat, KPPG Lampung Buka Suara - Kompas.com</t>
  </si>
  <si>
    <t xml:space="preserve">Armydock Morotai</t>
  </si>
  <si>
    <t xml:space="preserve">Pulau Morotai, Maluku Utara</t>
  </si>
  <si>
    <t xml:space="preserve">Morotai Selatan</t>
  </si>
  <si>
    <t xml:space="preserve">Kabupaten Pulau Morotai</t>
  </si>
  <si>
    <t xml:space="preserve">Wisata pesisir bersejarah dengan gazebo, satu-satunya wisata dalam kota</t>
  </si>
  <si>
    <t xml:space="preserve">https://www.cermat.co.id/penikmat-wisata-armydock-morotai/</t>
  </si>
  <si>
    <t xml:space="preserve">www.cermat.co.id</t>
  </si>
  <si>
    <t xml:space="preserve">Pisang Viral Pedagang Buah di Lampung, Ini Potensi Besar Cavendish di Indonesia - bataviapos.id</t>
  </si>
  <si>
    <t xml:space="preserve">bataviapos.id</t>
  </si>
  <si>
    <t xml:space="preserve">Toko Kue Gambang</t>
  </si>
  <si>
    <t xml:space="preserve">Pasar Johar Utara, Semarang</t>
  </si>
  <si>
    <t xml:space="preserve">"Dirujak" warganet hingga rating Google Maps anjlok (isu negatif)</t>
  </si>
  <si>
    <t xml:space="preserve">https://www.konteks.co.id/daerah/1632487841/toko-kue-gambang-semarang-diserbu-bintang-1-usai-viral-isu-anak-wali-kota-kena-cancel-culture</t>
  </si>
  <si>
    <t xml:space="preserve">www.konteks.co.id</t>
  </si>
  <si>
    <t xml:space="preserve">9 SPPG di Lampung Barat Belum Punya SLHS, Dua Viral Jadi Sorotan - Kupas Tuntas</t>
  </si>
  <si>
    <t xml:space="preserve">Gunung Dukono</t>
  </si>
  <si>
    <t xml:space="preserve">Halmahera Utara, Maluku Utara</t>
  </si>
  <si>
    <t xml:space="preserve">Video erupsi viral, pendaki terjebak dan tewas (isu negatif)</t>
  </si>
  <si>
    <t xml:space="preserve">8-9 Mei 2026</t>
  </si>
  <si>
    <t xml:space="preserve">https://www.matapersindonesia.com/daerah/792674337/viral-letusan-dahsyat-gunung-dukono-di-maluku-utara-belasan-pendaki-diduga-terjebak-saat-hujan-abu-pada-area-puncak</t>
  </si>
  <si>
    <t xml:space="preserve">www.matapersindonesia.com</t>
  </si>
  <si>
    <t xml:space="preserve">Buron Curanmor yang Viral Lepaskan Tembakan di Kotabumi Ditangkap Saat Razia Lantas - VIVA Lampung</t>
  </si>
  <si>
    <t xml:space="preserve">VIVA Lampung</t>
  </si>
  <si>
    <t xml:space="preserve">040</t>
  </si>
  <si>
    <t xml:space="preserve">Festival Teluk Jailolo (FTJ) 2026</t>
  </si>
  <si>
    <t xml:space="preserve">Kabupaten Halmahera Barat, Maluku Utara</t>
  </si>
  <si>
    <t xml:space="preserve">Kabupaten Halmahera Barat</t>
  </si>
  <si>
    <t xml:space="preserve">Festival budaya unggulan dengan ritual, wisata, dan Jailolo Food Bazaar</t>
  </si>
  <si>
    <t xml:space="preserve">17-20 Juni 2026</t>
  </si>
  <si>
    <t xml:space="preserve">https://www.tandaseru.com/2026/06/15/resmi-dirilis-ini-rangkaian-lengkap-event-festival-teluk-jailolo-2026/</t>
  </si>
  <si>
    <t xml:space="preserve">Program MBG Lampung Barat Kembali Tuai Keluhan, SPPG Pasar Liwa Tak Jera Meski Sudah Dapat SP1 - Kupas Tuntas</t>
  </si>
  <si>
    <t xml:space="preserve">2026-04-20</t>
  </si>
  <si>
    <t xml:space="preserve">Pantai Disa</t>
  </si>
  <si>
    <t xml:space="preserve">Susupu, Halmahera Barat</t>
  </si>
  <si>
    <t xml:space="preserve">Susupu</t>
  </si>
  <si>
    <t xml:space="preserve">Sahu</t>
  </si>
  <si>
    <t xml:space="preserve">Lokasi Gerakan Wisata Bersih FTJ</t>
  </si>
  <si>
    <t xml:space="preserve">Benteng De Verwachting</t>
  </si>
  <si>
    <t xml:space="preserve">Kota Sanana, Kepulauan Sula</t>
  </si>
  <si>
    <t xml:space="preserve">Sanana</t>
  </si>
  <si>
    <t xml:space="preserve">Kabupaten Kepulauan Sula</t>
  </si>
  <si>
    <t xml:space="preserve">Garis finish tradisi Gabalil Hai Sua</t>
  </si>
  <si>
    <t xml:space="preserve">https://www.tandaseru.com/2026/05/06/jalan-kaki-150-km-tim-putra-waka-desa-fatkauyon-juara-1-event-gabalil-hai-sua/</t>
  </si>
  <si>
    <t xml:space="preserve">Viral Keroyok Pengendara Motor di Metro Lampung, Tiga Terduga Anggota Gengster Ditangkap Polisi - Kupas Tuntas</t>
  </si>
  <si>
    <t xml:space="preserve">2026-07-04</t>
  </si>
  <si>
    <t xml:space="preserve">Festival Saruma 2026</t>
  </si>
  <si>
    <t xml:space="preserve">Kabupaten Halmahera Selatan</t>
  </si>
  <si>
    <t xml:space="preserve">Festival budaya tahunan ditiadakan karena keterbatasan biaya (isu negatif)</t>
  </si>
  <si>
    <t xml:space="preserve">https://ternate.tribunnews.com/maluku-utara/99956/3-berita-populer-malut-pemprov-tunda-rekrutmen-cpns-festival-saruma-2026-ditiadakan</t>
  </si>
  <si>
    <t xml:space="preserve">ternate.tribunnews.com</t>
  </si>
  <si>
    <t xml:space="preserve">Rindu Alam Papua</t>
  </si>
  <si>
    <t xml:space="preserve">Holtekamp, Jayapura</t>
  </si>
  <si>
    <t xml:space="preserve">Holtekamp</t>
  </si>
  <si>
    <t xml:space="preserve">Muara Tami</t>
  </si>
  <si>
    <t xml:space="preserve">Kota Jayapura</t>
  </si>
  <si>
    <t xml:space="preserve">Resto gazebo di atas kolam ikan, destinasi kuliner favorit</t>
  </si>
  <si>
    <t xml:space="preserve">https://rri.co.id/jayapura/kuliner/2382775/rindu-alam-papua-sensasi-kuliner-nusantara-di-tengah-alam-asri-holtekamp</t>
  </si>
  <si>
    <t xml:space="preserve">Pantai Sawayepa</t>
  </si>
  <si>
    <t xml:space="preserve">Kampung Yewena, Distrik Depapre, Kabupaten Jayapura</t>
  </si>
  <si>
    <t xml:space="preserve">Yewena</t>
  </si>
  <si>
    <t xml:space="preserve">Depapre</t>
  </si>
  <si>
    <t xml:space="preserve">Mulai dikenal luas sejak viral di media sosial, pantai dengan kolam alami Kali Acangko</t>
  </si>
  <si>
    <t xml:space="preserve">Sejak Februari 2026</t>
  </si>
  <si>
    <t xml:space="preserve">https://cenderawasihpos.jawapos.com/lintas-papua/sentani/20/05/2026/pantai-sawayepa-surga-wisata-baru-di-depapre-yang-mulai-viral/</t>
  </si>
  <si>
    <t xml:space="preserve">cenderawasihpos.jawapos.com</t>
  </si>
  <si>
    <t xml:space="preserve">Tapir Kembali Ditemukan di Mesuji, BKSDA Turun Tangan Antisipasi Kasus Penyembelihan Viral Terulang - Kompas.com</t>
  </si>
  <si>
    <t xml:space="preserve">Pantai Harlem</t>
  </si>
  <si>
    <t xml:space="preserve">Distrik Depapre, Kabupaten Jayapura</t>
  </si>
  <si>
    <t xml:space="preserve">Pantai air jernih</t>
  </si>
  <si>
    <t xml:space="preserve">Pantai Yongsu</t>
  </si>
  <si>
    <t xml:space="preserve">Terkenal dengan susunan batu karang</t>
  </si>
  <si>
    <t xml:space="preserve">Koperasi Kelurahan Merah Putih Melawai</t>
  </si>
  <si>
    <t xml:space="preserve">Blok M, Kebayoran Baru, Jakarta Selatan</t>
  </si>
  <si>
    <t xml:space="preserve">Postingan toko kopdes di Blok M viral dan jadi bahan sindiran netizen (isu negatif)</t>
  </si>
  <si>
    <t xml:space="preserve">https://www.owrite.id/hype/2026/07/03/viral-koperasi-desa-merah-putih-buka-gerai-di-blok-m-netizen-vibesnya-kayak-korea-utara/</t>
  </si>
  <si>
    <t xml:space="preserve">HUT ke-499 Jakarta: Masuk Tempat Wisata Gratis, Cek Syaratnya - Gaya Hidup - Bloomberg Technoz</t>
  </si>
  <si>
    <t xml:space="preserve">Pasar Murah dan Pameran UMKM Papua</t>
  </si>
  <si>
    <t xml:space="preserve">Halaman Kantor Gubernur Papua, Jayapura</t>
  </si>
  <si>
    <t xml:space="preserve">Jayapura Utara</t>
  </si>
  <si>
    <t xml:space="preserve">Pameran produk unggulan Papua, barang habis diserbu</t>
  </si>
  <si>
    <t xml:space="preserve">https://news.detik.com/berita/d-8542017/wamendagri-ribka-buka-pasar-murah-pameran-umkm-di-papua</t>
  </si>
  <si>
    <t xml:space="preserve">041</t>
  </si>
  <si>
    <t xml:space="preserve">Festival Budaya Lembah Baliem (FBLB) ke-34</t>
  </si>
  <si>
    <t xml:space="preserve">Distrik Welesi, Kabupaten Jayawijaya, Papua Pegunungan</t>
  </si>
  <si>
    <t xml:space="preserve">Welesi</t>
  </si>
  <si>
    <t xml:space="preserve">Kabupaten Jayawijaya</t>
  </si>
  <si>
    <t xml:space="preserve">Papua Pegunungan</t>
  </si>
  <si>
    <t xml:space="preserve">Penembakan warga sipil di pintu masuk festival (isu negatif)</t>
  </si>
  <si>
    <t xml:space="preserve">8 Agustus 2026</t>
  </si>
  <si>
    <t xml:space="preserve">https://sudutpandang.id/penembakan-di-festival-budaya-lembah-baliem-dua-warga-terluka-dan-pengunjung-dievakuasi/</t>
  </si>
  <si>
    <t xml:space="preserve">sudutpandang.id</t>
  </si>
  <si>
    <t xml:space="preserve">Ambisi Jakarta Ingin Jadi Kota Destinasi Event Dunia - detikTravel</t>
  </si>
  <si>
    <t xml:space="preserve">Pantai Apparalang</t>
  </si>
  <si>
    <t xml:space="preserve">Desa Ara, Kecamatan Bontobahari, Bulukumba</t>
  </si>
  <si>
    <t xml:space="preserve">Dijuluki "Raja Ampat-nya Bulukumba" dengan tebing karang</t>
  </si>
  <si>
    <t xml:space="preserve">https://rri.co.id/makassar/wisata/2483314/pantai-apparalang-destinasi-wisata-alam-andalan-bulukumba</t>
  </si>
  <si>
    <t xml:space="preserve">Pasar Sentral Sanggeng</t>
  </si>
  <si>
    <t xml:space="preserve">Manokwari, Papua Barat</t>
  </si>
  <si>
    <t xml:space="preserve">Sanggeng</t>
  </si>
  <si>
    <t xml:space="preserve">Manokwari Barat</t>
  </si>
  <si>
    <t xml:space="preserve">Kabupaten Manokwari</t>
  </si>
  <si>
    <t xml:space="preserve">Papua Barat</t>
  </si>
  <si>
    <t xml:space="preserve">Viral genangan air di lantai 2 gedung pasar PSN (isu negatif)</t>
  </si>
  <si>
    <t xml:space="preserve">7 April 2026</t>
  </si>
  <si>
    <t xml:space="preserve">https://taburapos.co/2026/04/09/banyak-persoalan-di-pasar-sentral-sanggeng-ini-penjelasan-plh-kepala-disperindag-manokwari/</t>
  </si>
  <si>
    <t xml:space="preserve">taburapos.co</t>
  </si>
  <si>
    <t xml:space="preserve">Festival Budaya Lembah Baliem 2026</t>
  </si>
  <si>
    <t xml:space="preserve">Distrik Welesi, Jayawijaya</t>
  </si>
  <si>
    <t xml:space="preserve">Top 10 Karisma Event Nusantara, video pengunjung panik akibat penembakan beredar (isu negatif)</t>
  </si>
  <si>
    <t xml:space="preserve">7-8 Agustus 2026</t>
  </si>
  <si>
    <t xml:space="preserve">https://sumeks.disway.id/headline/read/792682/festival-budaya-lembah-baliem-2026-ternoda-terjadi-penembakan-terhadap-pengunjung</t>
  </si>
  <si>
    <t xml:space="preserve">sumeks.disway.id</t>
  </si>
  <si>
    <t xml:space="preserve">54 Ton Sampah Viral di Cakung Dibersihkan, DLH DKI Evaluasi Jadwal Angkut - Media Indonesia</t>
  </si>
  <si>
    <t xml:space="preserve">Museum Budaya Asmat</t>
  </si>
  <si>
    <t xml:space="preserve">Agats, Kabupaten Asmat, Papua Selatan</t>
  </si>
  <si>
    <t xml:space="preserve">Agats</t>
  </si>
  <si>
    <t xml:space="preserve">Kabupaten Asmat</t>
  </si>
  <si>
    <t xml:space="preserve">Papua Selatan</t>
  </si>
  <si>
    <t xml:space="preserve">Dikunjungi Wapres</t>
  </si>
  <si>
    <t xml:space="preserve">https://papuaselatan.go.id/berita/kunjungi-asmat-gibran-diskusi-dengan-para-kepala-kampung</t>
  </si>
  <si>
    <t xml:space="preserve">papuaselatan.go.id</t>
  </si>
  <si>
    <t xml:space="preserve">Viral Asap Tebal Muncul dari Tanah di Pasar Baru, Jakarta Pusat, BPBD Ungkap Penyebabnya - rakyatpos.id</t>
  </si>
  <si>
    <t xml:space="preserve">rakyatpos.id</t>
  </si>
  <si>
    <t xml:space="preserve">Rumah Makan Anugerah Asmat</t>
  </si>
  <si>
    <t xml:space="preserve">Agats, Kabupaten Asmat</t>
  </si>
  <si>
    <t xml:space="preserve">Lokasi dialog Wapres dengan kepala kampung</t>
  </si>
  <si>
    <t xml:space="preserve">Geotourism Festival (GeoFest) 2026</t>
  </si>
  <si>
    <t xml:space="preserve">Waterfront City Pangururan, Samosir</t>
  </si>
  <si>
    <t xml:space="preserve">Festival dengan Panggung Air Mancur Menari dan penampilan budaya</t>
  </si>
  <si>
    <t xml:space="preserve">1-2 Juli 2026</t>
  </si>
  <si>
    <t xml:space="preserve">https://topmetro.news/241873/budaya-papua-selatan-tampil-di-samosir-ribuan-penonton-terpukau-jadi-simbol-kolaborasi-timur-ke-barat/</t>
  </si>
  <si>
    <t xml:space="preserve">Viral Petugas PPSU Gunakan AI, Inspektorat DKI Jakarta Panggil Lurah Kalisari Jaktim - Inilah.com</t>
  </si>
  <si>
    <t xml:space="preserve">Waterfront City Pangururan</t>
  </si>
  <si>
    <t xml:space="preserve">Pangururan, Samosir</t>
  </si>
  <si>
    <t xml:space="preserve">Kawasan tepi Danau Toba lokasi GeoFest</t>
  </si>
  <si>
    <t xml:space="preserve">Kampung Yobeh</t>
  </si>
  <si>
    <t xml:space="preserve">Distrik Sentani, Kabupaten Jayapura</t>
  </si>
  <si>
    <t xml:space="preserve">Yobeh</t>
  </si>
  <si>
    <t xml:space="preserve">Sentani</t>
  </si>
  <si>
    <t xml:space="preserve">Dikunjungi 70 wisatawan mancanegara untuk atraksi budaya</t>
  </si>
  <si>
    <t xml:space="preserve">https://papua.antaranews.com/berita/762433/disbudpar-berupaya-jadikan-kabupaten-jayapura-sebagai-tujuan-wisata</t>
  </si>
  <si>
    <t xml:space="preserve">papua.antaranews.com</t>
  </si>
  <si>
    <t xml:space="preserve">Buntut Kasus PPSU Jawab Keluhan Warga dengan AI, Lurah Kalisari Dipanggil Inspektorat DKI Jakarta - Poskotaonline</t>
  </si>
  <si>
    <t xml:space="preserve">Poskotaonline</t>
  </si>
  <si>
    <t xml:space="preserve">Festival Danau Sentani</t>
  </si>
  <si>
    <t xml:space="preserve">Ajang pelestarian tarian dan budaya lokal</t>
  </si>
  <si>
    <t xml:space="preserve">Pabrik Cokelat Mansel</t>
  </si>
  <si>
    <t xml:space="preserve">Distrik Ransiki, Manokwari Selatan</t>
  </si>
  <si>
    <t xml:space="preserve">Ransiki</t>
  </si>
  <si>
    <t xml:space="preserve">Kabupaten Manokwari Selatan</t>
  </si>
  <si>
    <t xml:space="preserve">Pengolahan cokelat asli yang sudah ekspor</t>
  </si>
  <si>
    <t xml:space="preserve">20 Juni 2026</t>
  </si>
  <si>
    <t xml:space="preserve">https://www.akurat.co/daerah/867024/produk-cokelatnya-mendunia-wapres-gibran-tanam-bibit-kakao-di-manokwari-selatan</t>
  </si>
  <si>
    <t xml:space="preserve">www.akurat.co</t>
  </si>
  <si>
    <t xml:space="preserve">Revitalisasi Pasar Tradisional, Pemprov Jakarta Percepat Modernisasi agar Naik Kelas - Edisi - edisi.co.id</t>
  </si>
  <si>
    <t xml:space="preserve">edisi.co.id</t>
  </si>
  <si>
    <t xml:space="preserve">Asmat Museum of Culture and Progress</t>
  </si>
  <si>
    <t xml:space="preserve">Dijadwalkan dikunjungi Wapres</t>
  </si>
  <si>
    <t xml:space="preserve">Dragon Kidz Play Ground</t>
  </si>
  <si>
    <t xml:space="preserve">Kawasan wisata Pantai Ladang Tuha, Pasie Raja, Aceh Selatan</t>
  </si>
  <si>
    <t xml:space="preserve">Pasie Raja</t>
  </si>
  <si>
    <t xml:space="preserve">Kabupaten Aceh Selatan</t>
  </si>
  <si>
    <t xml:space="preserve">Lokasi yang disebut dalam kasus perampokan toko emas viral</t>
  </si>
  <si>
    <t xml:space="preserve">18 Juli 2026</t>
  </si>
  <si>
    <t xml:space="preserve">https://www.rakyatpos.id/2026/07/menggunakan-laras-panjang-petugas-polisi-diduga-ditangkap-usai-merampok-toko-emas-di-tapaktuan.html</t>
  </si>
  <si>
    <t xml:space="preserve">www.rakyatpos.id</t>
  </si>
  <si>
    <t xml:space="preserve">Buntut Foto AI soal Parkir Liar, 3 Pejabat DKI Diperiksa! - Inilah.com</t>
  </si>
  <si>
    <t xml:space="preserve">042</t>
  </si>
  <si>
    <t xml:space="preserve">Festival Samosir Music International (SMI) 2026</t>
  </si>
  <si>
    <t xml:space="preserve">Kabupaten Samosir, Danau Toba</t>
  </si>
  <si>
    <t xml:space="preserve">Festival musik, budaya, dan pemberdayaan masyarakat masuk Karisma Event Nusantara</t>
  </si>
  <si>
    <t xml:space="preserve">2-4 Juli 2026</t>
  </si>
  <si>
    <t xml:space="preserve">https://opsi.id/festival-samosir-music-international-2026-hadirkan-lyodra-hingga-viky-sianipar/</t>
  </si>
  <si>
    <t xml:space="preserve">opsi.id</t>
  </si>
  <si>
    <t xml:space="preserve">Ketua DPRD DKI Kecam Challenge Hafalan Qur'an demi Miras: Sakiti Umat Islam - detikNews</t>
  </si>
  <si>
    <t xml:space="preserve">AZKO Timika</t>
  </si>
  <si>
    <t xml:space="preserve">Kabupaten Mimika, Papua Tengah</t>
  </si>
  <si>
    <t xml:space="preserve">Kabupaten Mimika</t>
  </si>
  <si>
    <t xml:space="preserve">Papua Tengah</t>
  </si>
  <si>
    <t xml:space="preserve">Grand opening toko ritel perlengkapan rumah pertama di Mimika</t>
  </si>
  <si>
    <t xml:space="preserve">28 Mei 2026</t>
  </si>
  <si>
    <t xml:space="preserve">https://papuatengah.tribunnews.com/mimika/5803/dorong-pertumbuhan-ekonomi-lokal-pt-aspirasi-hidup-indonesia-resmikan-azko-timika</t>
  </si>
  <si>
    <t xml:space="preserve">7 Tempat Makan Murah di Bandung yang Enak, Cocok In This Economy! - Hipwee</t>
  </si>
  <si>
    <t xml:space="preserve">Kawasan pertokoan Pasar Baru</t>
  </si>
  <si>
    <t xml:space="preserve">Sawah Besar, Jakarta Pusat</t>
  </si>
  <si>
    <t xml:space="preserve">Viral video asap hitam keluar dari tanah akibat gardu listrik korslet (isu negatif)</t>
  </si>
  <si>
    <t xml:space="preserve">6 September 2026</t>
  </si>
  <si>
    <t xml:space="preserve">https://www.cnnindonesia.com/nasional/20260907112116-12-1400918/viral-tanah-di-jakpus-semburkan-asap-hitam-polisi-sebut-korsleting</t>
  </si>
  <si>
    <t xml:space="preserve">Wisata Kuliner Dekat Stasiun Cirebon, Ini 5 Tempat Makan Legendaris yang Wajib Dicoba - radarcirebon.disway.id - Radar Cirebon</t>
  </si>
  <si>
    <t xml:space="preserve">Radar Cirebon</t>
  </si>
  <si>
    <t xml:space="preserve">Pasar Lama Sentani</t>
  </si>
  <si>
    <t xml:space="preserve">Sentani, Kabupaten Jayapura</t>
  </si>
  <si>
    <t xml:space="preserve">Pedagang protes hamburkan sampah ke jalan karena tak diangkut (isu negatif)</t>
  </si>
  <si>
    <t xml:space="preserve">16 Juli 2026</t>
  </si>
  <si>
    <t xml:space="preserve">https://papuatengah.tribunnews.com/jayapura/6469/pedagang-pasar-lama-sentani-hambur-sampah-di-badan-jalan-ini-penjelasan-dlh-kabupaten-jayapura</t>
  </si>
  <si>
    <t xml:space="preserve">5 Tempat Makan Legendaris di Puncak, Enaknya Bikin Balik Lagi! - detikFood</t>
  </si>
  <si>
    <t xml:space="preserve">Kafe Mulo</t>
  </si>
  <si>
    <t xml:space="preserve">Jalan Budi Utomo, Timika</t>
  </si>
  <si>
    <t xml:space="preserve">Mimika Baru</t>
  </si>
  <si>
    <t xml:space="preserve">Menggelar kompetisi Manual Brew Throw Down Battle 3</t>
  </si>
  <si>
    <t xml:space="preserve">https://seputarpapua.com/view/beradu-bakat-meracik-kopi-di-kafe-mulo-timika.html</t>
  </si>
  <si>
    <t xml:space="preserve">seputarpapua.com</t>
  </si>
  <si>
    <t xml:space="preserve">Wisata Viral di Subang, Kampung KDM Tawarkan Suasana Asri dan Instagramable - sumeks.disway.id - Sumeks</t>
  </si>
  <si>
    <t xml:space="preserve">Sumeks</t>
  </si>
  <si>
    <t xml:space="preserve">Stone Garden</t>
  </si>
  <si>
    <t xml:space="preserve">Desa Gunungmasigit, Kecamatan Cipatat, Bandung Barat</t>
  </si>
  <si>
    <t xml:space="preserve">Gunungmasigit</t>
  </si>
  <si>
    <t xml:space="preserve">Cipatat</t>
  </si>
  <si>
    <t xml:space="preserve">Kabupaten Bandung Barat</t>
  </si>
  <si>
    <t xml:space="preserve">Area parkir objek wisata jadi lokasi Koperasi Merah Putih yang viral</t>
  </si>
  <si>
    <t xml:space="preserve">https://wartaekonomi.co.id/read621016/viral-koperasi-merah-putih-disebut-berdiri-di-tengah-hutan-kades-gunungmasigit-beri-penjelasan</t>
  </si>
  <si>
    <t xml:space="preserve">Viral Tiket Curug Cikondang Naik Fantastis, Ini Faktanya - detikcom</t>
  </si>
  <si>
    <t xml:space="preserve">Gunung Ungaran</t>
  </si>
  <si>
    <t xml:space="preserve">Semarang, Jawa Tengah</t>
  </si>
  <si>
    <t xml:space="preserve">Gunung Ungaran juga berbatasan dengan Kab. Kendal</t>
  </si>
  <si>
    <t xml:space="preserve">Viral balita hipotermia saat dibawa mendaki ke Puncak Bondolan (isu negatif)</t>
  </si>
  <si>
    <t xml:space="preserve">https://www.genpi.co/berita/278404/viral-balita-15-tahun-hipotermia-saat-dibawa-orang-tua-mendaki-gunung-ungaran</t>
  </si>
  <si>
    <t xml:space="preserve">Pesona Jembatan Merah Jayaraksa, Ikon Wisata Baru di Ciamis - detikcom</t>
  </si>
  <si>
    <t xml:space="preserve">2026-07-21</t>
  </si>
  <si>
    <t xml:space="preserve">Timika Inside Festival of Art (TIFA) VI 2026</t>
  </si>
  <si>
    <t xml:space="preserve">Pelataran Gedung Eme Neme Yauware, Mimika</t>
  </si>
  <si>
    <t xml:space="preserve">Festival seni budaya dan UMKM dengan ribuan pengunjung</t>
  </si>
  <si>
    <t xml:space="preserve">https://papuatengah.tribunnews.com/mimika/6307/tifa-2026-ditutup-generasi-muda-diajak-lestarikan-budaya-dan-ukir-prestasi</t>
  </si>
  <si>
    <t xml:space="preserve">Sentil Penataan Keraton, KDM: Jangan Buru-Buru Pikir Wisata, Urus Lembur dan Kota Dulu - Suarajabar.id</t>
  </si>
  <si>
    <t xml:space="preserve">Suarajabar.id</t>
  </si>
  <si>
    <t xml:space="preserve">043</t>
  </si>
  <si>
    <t xml:space="preserve">Lembah Baliem</t>
  </si>
  <si>
    <t xml:space="preserve">Wamena, Jayawijaya, Papua Pegunungan</t>
  </si>
  <si>
    <t xml:space="preserve">Wamena</t>
  </si>
  <si>
    <t xml:space="preserve">Ikon wisata Papua Pegunungan, trekking dan kampung adat Dani</t>
  </si>
  <si>
    <t xml:space="preserve">https://infoekonomi.id/2026/08/pesona-papua-pegunungan-rekomendasi-wisata-alam-dan-budaya-di-wamena/</t>
  </si>
  <si>
    <t xml:space="preserve">Sampah Pasar Baleendah 500 Ton Beres, DLH Jawa Barat Ingatkan Pengelola Tak Bebani TPA Sarimukti - Harapan Rakyat</t>
  </si>
  <si>
    <t xml:space="preserve">Danau Habema</t>
  </si>
  <si>
    <t xml:space="preserve">Dataran tinggi Jayawijaya, Papua Pegunungan</t>
  </si>
  <si>
    <t xml:space="preserve">Danau Habema dekat perbatasan Jayawijaya-Nduga</t>
  </si>
  <si>
    <t xml:space="preserve">Danau di ketinggian lebih dari 3.000 mdpl</t>
  </si>
  <si>
    <t xml:space="preserve">Destinasi paling terkenal di Tanah Papua, gugusan pulau karst</t>
  </si>
  <si>
    <t xml:space="preserve">https://infoekonomi.id/2026/08/rekomendasi-wisata-papua-dari-raja-ampat-hingga-lembah-baliem-yang-eksotis/</t>
  </si>
  <si>
    <t xml:space="preserve">Viral Sampah Menumpuk dan Meluber di Pasar Minggu Palimanan Cirebon, DLH Terjunkan Tujuh Truk - Kompas.com</t>
  </si>
  <si>
    <t xml:space="preserve">Piaynemo</t>
  </si>
  <si>
    <t xml:space="preserve">Raja Ampat, Papua Barat Daya</t>
  </si>
  <si>
    <t xml:space="preserve">Waigeo Barat Kepulauan</t>
  </si>
  <si>
    <t xml:space="preserve">Lokasi favorit panorama gugusan pulau kecil</t>
  </si>
  <si>
    <t xml:space="preserve">Kampung Wisata Arborek</t>
  </si>
  <si>
    <t xml:space="preserve">Arborek</t>
  </si>
  <si>
    <t xml:space="preserve">Meos Mansar</t>
  </si>
  <si>
    <t xml:space="preserve">Kampung wisata dengan kerajinan masyarakat</t>
  </si>
  <si>
    <t xml:space="preserve">Taman Nasional Lorentz</t>
  </si>
  <si>
    <t xml:space="preserve">TN Lorentz melintasi Papua Pegunungan, Papua Tengah, dan Papua Selatan</t>
  </si>
  <si>
    <t xml:space="preserve">Kawasan konservasi untuk trekking pegunungan</t>
  </si>
  <si>
    <t xml:space="preserve">Air Terjun Memti</t>
  </si>
  <si>
    <t xml:space="preserve">Kampung Sisrang, Kabupaten Pegunungan Arfak, Papua Barat</t>
  </si>
  <si>
    <t xml:space="preserve">Sisrang</t>
  </si>
  <si>
    <t xml:space="preserve">Anggi</t>
  </si>
  <si>
    <t xml:space="preserve">Kabupaten Pegunungan Arfak</t>
  </si>
  <si>
    <t xml:space="preserve">Presenter TVRI hilang terseret arus di air terjun (isu negatif)</t>
  </si>
  <si>
    <t xml:space="preserve">18-19 Juli 2026</t>
  </si>
  <si>
    <t xml:space="preserve">https://regional.kompas.com/read/2026/07/20/105252478/presenter-tvri-papua-barat-yanto-idorway-hilang-di-air-terjun-rekan-kerja?page=all</t>
  </si>
  <si>
    <t xml:space="preserve">5 Kuliner Viral di Pasar Cihapit Bandung yang Wajib Dicoba! - Kompas.com</t>
  </si>
  <si>
    <t xml:space="preserve">Distrik Anggi, Kabupaten Pegunungan Arfak</t>
  </si>
  <si>
    <t xml:space="preserve">Kawasan wisata lokasi presenter TVRI terseret arus (isu negatif)</t>
  </si>
  <si>
    <t xml:space="preserve">https://mediaprorakyat.com/2026/07/19/kapolres-pegaf-pimpin-langsung-pencarian-presenter-tvri-papua-barat-yang-diduga-terseret-arus-di-air-terjun-memti/</t>
  </si>
  <si>
    <t xml:space="preserve">mediaprorakyat.com</t>
  </si>
  <si>
    <t xml:space="preserve">Catat! Ini Deretan Event Seru di Jawa Barat Sepanjang Agustus 2026 - Satumedia.id</t>
  </si>
  <si>
    <t xml:space="preserve">Satumedia.id</t>
  </si>
  <si>
    <t xml:space="preserve">Distrik Walesi, Jayawijaya, Papua Pegunungan</t>
  </si>
  <si>
    <t xml:space="preserve">Ditulis Walesi dalam teks</t>
  </si>
  <si>
    <t xml:space="preserve">Video penembakan saat festival viral di media sosial (isu negatif)</t>
  </si>
  <si>
    <t xml:space="preserve">https://www.detik.com/sulsel/hukum-dan-kriminal/d-8611457/6-fakta-horor-penembakan-di-festival-budaya-lembah-baliem-didalangi-opm</t>
  </si>
  <si>
    <t xml:space="preserve">044</t>
  </si>
  <si>
    <t xml:space="preserve">Piaynemo Raja Ampat</t>
  </si>
  <si>
    <t xml:space="preserve">Perairan Piaynemo, Kabupaten Raja Ampat, Papua Barat Daya</t>
  </si>
  <si>
    <t xml:space="preserve">WNA asal China diduga berburu dan makan penyu di kawasan wisata bahari unggulan (isu negatif)</t>
  </si>
  <si>
    <t xml:space="preserve">14 September 2026</t>
  </si>
  <si>
    <t xml:space="preserve">https://travel.kompas.com/read/2026/09/17/090800027/wna-diduga-makan-penyu-di-raja-ampat-kenapa-dilarang-konsumsi-penyu-</t>
  </si>
  <si>
    <t xml:space="preserve">Polres Serang Tangkap Kepala Toko Minimarket Diduga Cabuli Kasir - radarbanten.co.id</t>
  </si>
  <si>
    <t xml:space="preserve">2026-08-28</t>
  </si>
  <si>
    <t xml:space="preserve">Dungo Kauman</t>
  </si>
  <si>
    <t xml:space="preserve">Jalan Cakra Nomor 36, Kauman, Kecamatan Pasar Kliwon, Kota Surakarta</t>
  </si>
  <si>
    <t xml:space="preserve">Rekomendasi tempat ngopi kalcer di Solo dengan kopi dan cake</t>
  </si>
  <si>
    <t xml:space="preserve">https://solo.tribunnews.com/travel/349937/5-rekomendasi-tempat-ngopi-kalcer-di-solo-untuk-nongkrong-ada-yang-buka-24-jam</t>
  </si>
  <si>
    <t xml:space="preserve">solo.tribunnews.com</t>
  </si>
  <si>
    <t xml:space="preserve">Viral Wanita Pura-pura ODGJ Hendak Culik Bocah di Serang, Begini Faktanya - detikNews</t>
  </si>
  <si>
    <t xml:space="preserve">Loske Coffee Service</t>
  </si>
  <si>
    <t xml:space="preserve">Jalan Teuku Umar Nomor 48, Keprabon, Kecamatan Banjarsari, Kota Surakarta</t>
  </si>
  <si>
    <t xml:space="preserve">Rekomendasi tempat ngopi santai dengan menu kopi dan pastry</t>
  </si>
  <si>
    <t xml:space="preserve">Kepulauan Fam Raja Ampat</t>
  </si>
  <si>
    <t xml:space="preserve">Perairan Kepulauan Fam, Kabupaten Raja Ampat, Papua Barat Daya</t>
  </si>
  <si>
    <t xml:space="preserve">Video perburuan penyu sisik oleh WN China mencoreng wisata Raja Ampat (isu negatif)</t>
  </si>
  <si>
    <t xml:space="preserve">https://travel.detik.com/travel-news/d-8668458/raja-ampat-bukan-sekadar-destinasi-wisata-melainkan-kawasan-yang-harus-dijaga</t>
  </si>
  <si>
    <t xml:space="preserve">Viral Perempuan Paruh Baya Diduga Penculik Anak di Pontang, Polda Banten Ungkap Faktanya - radarbanten.co.id</t>
  </si>
  <si>
    <t xml:space="preserve">International Lantern Spectacular Festival Pertengahan Musim Gugur</t>
  </si>
  <si>
    <t xml:space="preserve">Victoria Park, Hong Kong</t>
  </si>
  <si>
    <t xml:space="preserve">Luar Indonesia: Hong Kong</t>
  </si>
  <si>
    <t xml:space="preserve">Festival lampion lebih dari 3.000 lampion dari 20 negara, naga LED dan Fire Dragon Dance</t>
  </si>
  <si>
    <t xml:space="preserve">Hingga 27 September 2026</t>
  </si>
  <si>
    <t xml:space="preserve">https://www.owrite.id/tourism/2026/09/25/hong-kong-bak-negeri-dongeng-naga-led-18-meter-dan-ribuan-lampion-sihir-festival-musim-gugur/</t>
  </si>
  <si>
    <t xml:space="preserve">Nasi Goreng Siaga Bersaudara</t>
  </si>
  <si>
    <t xml:space="preserve">Pasar Minggu, Jakarta Selatan</t>
  </si>
  <si>
    <t xml:space="preserve">Masuk daftar makanan favorit Ayu Dewi dalam tren Foods I Can't Stop Thinking About</t>
  </si>
  <si>
    <t xml:space="preserve">https://food.detik.com/info-kuliner/d-8677366/ayu-dewi-dan-suami-spill-top-13-makanan-favoritnya-di-jakarta</t>
  </si>
  <si>
    <t xml:space="preserve">Nasi Uduk Mas Dikun</t>
  </si>
  <si>
    <t xml:space="preserve">Nasi uduk legendaris sejak 1991 favorit Regi Datau</t>
  </si>
  <si>
    <t xml:space="preserve">Warung Tekko</t>
  </si>
  <si>
    <t xml:space="preserve">Kawasan Senayan, Jakarta</t>
  </si>
  <si>
    <t xml:space="preserve">Senayan ambigu: Kel. Senayan (Kebayoran Baru, Jaksel) atau kawasan GBK (Tanah Abang, Jakpus)</t>
  </si>
  <si>
    <t xml:space="preserve">Rekomendasi makan siang dekat GBK dengan iga penyet dan aneka sambal</t>
  </si>
  <si>
    <t xml:space="preserve">https://travel.tribunnews.com/kuliner/145735/3-tempat-makan-siang-enak-di-jakarta-selatan-traveler-wajib-coba</t>
  </si>
  <si>
    <t xml:space="preserve">Sate Khas Senayan</t>
  </si>
  <si>
    <t xml:space="preserve">Rekomendasi makan siang dekat GBK dengan sate dan masakan Nusantara</t>
  </si>
  <si>
    <t xml:space="preserve">Seribu Rasa</t>
  </si>
  <si>
    <t xml:space="preserve">Restoran masakan Nusantara bersuasana elegan dekat GBK</t>
  </si>
  <si>
    <t xml:space="preserve">Mallo Trattoria Italiana</t>
  </si>
  <si>
    <t xml:space="preserve">ASHTA District 8, Jl. Senopati No.83, Senayan, Kebayoran Baru, Jakarta Selatan</t>
  </si>
  <si>
    <t xml:space="preserve">Senayan</t>
  </si>
  <si>
    <t xml:space="preserve">Restoran Italia baru dengan konsep open kitchen dan pasta homemade</t>
  </si>
  <si>
    <t xml:space="preserve">https://www.nibble.id/restoran-baru-jakarta-mei-2026/</t>
  </si>
  <si>
    <t xml:space="preserve">Yialos Taverna</t>
  </si>
  <si>
    <t xml:space="preserve">Menteng, Jakarta</t>
  </si>
  <si>
    <t xml:space="preserve">Restoran Yunani Mediterania baru yang fancy</t>
  </si>
  <si>
    <t xml:space="preserve">Nasi Mercon Barito</t>
  </si>
  <si>
    <t xml:space="preserve">Kuliner malam kaki lima nasi pedas di kawasan Melawai Blok M</t>
  </si>
  <si>
    <t xml:space="preserve">https://kronologi.id/rekomendasi-8-kuliner-viral-di-jakarta-selatan-yang-hits-dan-layak-dicoba/</t>
  </si>
  <si>
    <t xml:space="preserve">Tsuka Ramen Kemang</t>
  </si>
  <si>
    <t xml:space="preserve">Destinasi ramen halal dengan harga terjangkau</t>
  </si>
  <si>
    <t xml:space="preserve">Warung MJS</t>
  </si>
  <si>
    <t xml:space="preserve">Jl. Setia Budi Tengah No.11, Kuningan, Setiabudi, Jakarta Selatan</t>
  </si>
  <si>
    <t xml:space="preserve">Setiabudi</t>
  </si>
  <si>
    <t xml:space="preserve">Resto keluarga masakan Jawa dengan harga terjangkau</t>
  </si>
  <si>
    <t xml:space="preserve">https://www.hipwee.com/travel/resto-keluarga-di-jakarta-selatan/</t>
  </si>
  <si>
    <t xml:space="preserve">Omah Pincuk</t>
  </si>
  <si>
    <t xml:space="preserve">Jl. Raya Pasar Minggu No.55, Pejaten Timur, Pasar Minggu, Jakarta Selatan</t>
  </si>
  <si>
    <t xml:space="preserve">Pejaten Timur</t>
  </si>
  <si>
    <t xml:space="preserve">Resto keluarga dengan saung dan taman yang adem</t>
  </si>
  <si>
    <t xml:space="preserve">Kedai Halaman</t>
  </si>
  <si>
    <t xml:space="preserve">Resto keluarga konsep modern bersentuhan tradisional yang homey</t>
  </si>
  <si>
    <t xml:space="preserve">Bakmi Gang Kelinci</t>
  </si>
  <si>
    <t xml:space="preserve">Pasar Baru, Jakarta Pusat</t>
  </si>
  <si>
    <t xml:space="preserve">Kuliner legendaris di kawasan Pasar Baru</t>
  </si>
  <si>
    <t xml:space="preserve">https://www.cnnindonesia.com/gaya-hidup/20260831173335-269-1398415/blok-m-terlalu-ramai-5-spot-nongkrong-di-jakarta-ini-tak-kalah-seru</t>
  </si>
  <si>
    <t xml:space="preserve">Cakue Ko Atek</t>
  </si>
  <si>
    <t xml:space="preserve">045</t>
  </si>
  <si>
    <t xml:space="preserve">Oma Huis</t>
  </si>
  <si>
    <t xml:space="preserve">Cikajang, Jakarta Selatan</t>
  </si>
  <si>
    <t xml:space="preserve">Petogogan</t>
  </si>
  <si>
    <t xml:space="preserve">Kedai baru jajanan kaki lima Korea dengan kimbab porsi besar</t>
  </si>
  <si>
    <t xml:space="preserve">https://food.detik.com/tempat-makan/d-8655093/5-restoran-korea-di-jakarta-ini-punya-kimbab-hingga-ramyeon-enak</t>
  </si>
  <si>
    <t xml:space="preserve">Jalan Warga Nomor 58, Pejaten Barat, Pasar Minggu, Jakarta Selatan</t>
  </si>
  <si>
    <t xml:space="preserve">Pejaten Barat</t>
  </si>
  <si>
    <t xml:space="preserve">Nasi uduk legendaris sejak 1991 viral usai disebut Nicholas Saputra dalam podcast</t>
  </si>
  <si>
    <t xml:space="preserve">https://food.detik.com/tempat-makan/d-8500096/ini-5-tempat-makan-favorit-hotman-paris-hingga-nicholas-saputra-di-jakarta</t>
  </si>
  <si>
    <t xml:space="preserve">Wisata Viral di Kebumen, Pemandangan Laut Lepas dari Ketinggian Bikin Betah - Kompas.com</t>
  </si>
  <si>
    <t xml:space="preserve">Ayam Goreng Presto Cipete</t>
  </si>
  <si>
    <t xml:space="preserve">Cipete, Jakarta Selatan</t>
  </si>
  <si>
    <t xml:space="preserve">Cipete ambigu: Cipete Utara (Kebayoran Baru) atau Cipete Selatan (Cilandak)</t>
  </si>
  <si>
    <t xml:space="preserve">Ayam goreng presto legendaris sejak 1986 direkomendasikan Bernadya dan Desta, kuliner favorit artis yang ikut viral</t>
  </si>
  <si>
    <t xml:space="preserve">Jl. KH Abdullah Syafei No.49, Tebet, Jakarta Selatan</t>
  </si>
  <si>
    <t xml:space="preserve">Tempat makan siang favorit karyawan dengan bebek goreng kremes dan cabe ijo</t>
  </si>
  <si>
    <t xml:space="preserve">https://food.detik.com/tempat-makan/d-8441542/5-tempat-makan-siang-enak-favorit-karyawan-jaksel-cobain-yuk</t>
  </si>
  <si>
    <t xml:space="preserve">Solene Restaurant</t>
  </si>
  <si>
    <t xml:space="preserve">The St. Regis Jakarta, Jl. HR Rasuna Said, Kuningan, Setiabudi, Jakarta Selatan</t>
  </si>
  <si>
    <t xml:space="preserve">Restoran Prancis Selatan baru yang mewah</t>
  </si>
  <si>
    <t xml:space="preserve">https://www.nibble.id/restoran-baru-jakarta-juni-2026/</t>
  </si>
  <si>
    <t xml:space="preserve">Le Comptoir Quartier</t>
  </si>
  <si>
    <t xml:space="preserve">Plaza Indonesia, Jakarta</t>
  </si>
  <si>
    <t xml:space="preserve">Restoran French Brasserie baru bernuansa lawas elegan</t>
  </si>
  <si>
    <t xml:space="preserve">Little Salt Bread</t>
  </si>
  <si>
    <t xml:space="preserve">Jl. Melawai 3 No.6 Blok M, Melawai, Jakarta Selatan</t>
  </si>
  <si>
    <t xml:space="preserve">Toko salt bread dengan antrean mengular, roti freshly baked</t>
  </si>
  <si>
    <t xml:space="preserve">https://www.nibble.id/salt-bread-jakarta/</t>
  </si>
  <si>
    <t xml:space="preserve">Harga Tiket Masuk Pony Park, Wisata Terbaru di Klaten untuk Libur Sekolah - Tribun Travel</t>
  </si>
  <si>
    <t xml:space="preserve">Salt Bite</t>
  </si>
  <si>
    <t xml:space="preserve">Apartemen Gading Mediterania, Kelapa Gading, Jakarta Utara</t>
  </si>
  <si>
    <t xml:space="preserve">Gerai khusus salt bread dan kopi susu untuk anak muda</t>
  </si>
  <si>
    <t xml:space="preserve">Rekomendasi tempat viral salt bread yang dipanggang segar setiap hari</t>
  </si>
  <si>
    <t xml:space="preserve">https://www.haibunda.com/moms-life/20260429095710-76-390644/10-salt-bread-di-jakarta-yang-enak-dan-viral</t>
  </si>
  <si>
    <t xml:space="preserve">www.haibunda.com</t>
  </si>
  <si>
    <t xml:space="preserve">Chulos Bake House</t>
  </si>
  <si>
    <t xml:space="preserve">Rekomendasi tempat viral salt bread dengan varian rasa unik</t>
  </si>
  <si>
    <t xml:space="preserve">Hey Kuro</t>
  </si>
  <si>
    <t xml:space="preserve">Kafe dan toko kue populer dengan salt bread bergaya Jepang dan Korea</t>
  </si>
  <si>
    <t xml:space="preserve">Salt bread dipanggang segar setiap hari dengan beragam varian</t>
  </si>
  <si>
    <t xml:space="preserve">https://www.haibunda.com/moms-life/20260717085449-76-394723/3-salt-bread-di-blok-m-jakarta-yang-viral-enak</t>
  </si>
  <si>
    <t xml:space="preserve">London Layers Artisan Bakery</t>
  </si>
  <si>
    <t xml:space="preserve">Toko roti premium dengan salt bread dan British donut</t>
  </si>
  <si>
    <t xml:space="preserve">Chouxlala</t>
  </si>
  <si>
    <t xml:space="preserve">Stasiun MRT Blok M BCA, Jakarta Selatan</t>
  </si>
  <si>
    <t xml:space="preserve">Toko salt bread yang mudah dijangkau di area stasiun MRT</t>
  </si>
  <si>
    <t xml:space="preserve">Jaksinema</t>
  </si>
  <si>
    <t xml:space="preserve">Lantai 3 Rusun Pasar Rumput, Jakmart Tower 3, Jakarta Selatan</t>
  </si>
  <si>
    <t xml:space="preserve">Pasar Manggis</t>
  </si>
  <si>
    <t xml:space="preserve">Bioskop murah di rusun dengan tiket Rp15.000 hingga Rp20.000</t>
  </si>
  <si>
    <t xml:space="preserve">https://www.cnbcindonesia.com/news/20260828111746-4-763056/bioskop-mini-nyempil-di-tengah-pasar-tiket-rp15000-ini-lokasinya</t>
  </si>
  <si>
    <t xml:space="preserve">Bakmi Ncek</t>
  </si>
  <si>
    <t xml:space="preserve">Kedai bakmi dengan nuansa tempo dulu, camilan jadul dan Sarsaparilla Cap Badak</t>
  </si>
  <si>
    <t xml:space="preserve">https://jogja.disway.id/gaya-hidup/read/701821/menikmati-rekomendasi-wisata-kuliner-legendaris-di-jakarta-pusat-para-pecinta-mi/15</t>
  </si>
  <si>
    <t xml:space="preserve">Seribu Rasa Menteng</t>
  </si>
  <si>
    <t xml:space="preserve">Jalan H. Agus Salim, Menteng, Jakarta Pusat</t>
  </si>
  <si>
    <t xml:space="preserve">Rekomendasi makan siang menu Nusantara bersuasana nyaman</t>
  </si>
  <si>
    <t xml:space="preserve">https://travel.tribunnews.com/kuliner/144944/3-tempat-makan-siang-enak-di-menteng-traveler-wajib-cobain</t>
  </si>
  <si>
    <t xml:space="preserve">Bungarampai Restaurant</t>
  </si>
  <si>
    <t xml:space="preserve">Jalan Teuku Cik Ditiro, Menteng, Jakarta Pusat</t>
  </si>
  <si>
    <t xml:space="preserve">Restoran cita rasa Nusantara bersuasana elegan</t>
  </si>
  <si>
    <t xml:space="preserve">Sagoo Kitchen Menteng</t>
  </si>
  <si>
    <t xml:space="preserve">Family restaurant dengan harga relatif terjangkau</t>
  </si>
  <si>
    <t xml:space="preserve">Natrabu Minang Restaurant</t>
  </si>
  <si>
    <t xml:space="preserve">Jalan Sabang (Jalan H. Agus Salim), Jakarta Pusat</t>
  </si>
  <si>
    <t xml:space="preserve">Rumah makan Padang legendaris sejak 1958, tertua di Jalan Sabang</t>
  </si>
  <si>
    <t xml:space="preserve">https://food.detik.com/tempat-makan/d-8669941/5-tempat-makan-tertua-di-jalan-sabang-ada-rm-padang-sejak-1958</t>
  </si>
  <si>
    <t xml:space="preserve">Sate Kambing Jaya Agung</t>
  </si>
  <si>
    <t xml:space="preserve">Pertemuan Jalan Sabang dan Jalan KH Wahid Hasyim, Jakarta Pusat</t>
  </si>
  <si>
    <t xml:space="preserve">Kedai sate kambing legendaris sejak 1963</t>
  </si>
  <si>
    <t xml:space="preserve">Ramen For The Soul</t>
  </si>
  <si>
    <t xml:space="preserve">Kedai ramen kreatif berinterior urban estetik, tempat nongkrong pekerja kreatif</t>
  </si>
  <si>
    <t xml:space="preserve">https://jogja.disway.id/amp/701831/wisata-kuliner-jaksel-berikut-tempat-makan-ramen-paling-enak-dan-populer-di-jakarta-selatan/16</t>
  </si>
  <si>
    <t xml:space="preserve">Seirock-Ya Ramen</t>
  </si>
  <si>
    <t xml:space="preserve">Jaringan kedai ramen legendaris dengan kuah kental kaya kolagen</t>
  </si>
  <si>
    <t xml:space="preserve">046</t>
  </si>
  <si>
    <t xml:space="preserve">Senju Omakase</t>
  </si>
  <si>
    <t xml:space="preserve">Plaza Indonesia, Jakarta Pusat</t>
  </si>
  <si>
    <t xml:space="preserve">Restoran omakase mewah dengan bahan laut musiman dan wagyu Miyazaki</t>
  </si>
  <si>
    <t xml:space="preserve">https://jogja.disway.id/amp/701826/menelusuri-daftar-restoran-omakase-sushi-terbaik-di-jakarta-dengan-cita-rasa-autentik-kelas-dunia/16</t>
  </si>
  <si>
    <t xml:space="preserve">Asuka Japanese Dining</t>
  </si>
  <si>
    <t xml:space="preserve">JW Marriott Mega Kuningan, Jakarta Selatan</t>
  </si>
  <si>
    <t xml:space="preserve">Kuningan Timur</t>
  </si>
  <si>
    <t xml:space="preserve">Restoran sushi dan sashimi otentik dengan bahan dari Jepang</t>
  </si>
  <si>
    <t xml:space="preserve">Tatemukai Signature</t>
  </si>
  <si>
    <t xml:space="preserve">Restoran fine dining Jepang mewah</t>
  </si>
  <si>
    <t xml:space="preserve">Bubur Ayam Cikini H.R. Sulaiman</t>
  </si>
  <si>
    <t xml:space="preserve">Jalan Cisadane, dekat Stasiun Cikini, Jakarta Pusat</t>
  </si>
  <si>
    <t xml:space="preserve">Bubur ayam legendaris sejak 1970-an</t>
  </si>
  <si>
    <t xml:space="preserve">https://food.detik.com/tempat-makan/d-8491470/seharian-kulineran-di-cikini-cobain-5-tempat-makan-legendaris-ini-yuk</t>
  </si>
  <si>
    <t xml:space="preserve">Restoran Trio</t>
  </si>
  <si>
    <t xml:space="preserve">Rumah makan legendaris yang selalu ramai di jam makan siang</t>
  </si>
  <si>
    <t xml:space="preserve">Restoran China Kanton legendaris sejak 1947, langganan Ali Sadikin</t>
  </si>
  <si>
    <t xml:space="preserve">https://food.detik.com/resto-dan-kafe/d-8574906/5-restoran-chinese-food-autentik-di-jakarta-ada-yang-berdiri-sejak-1925</t>
  </si>
  <si>
    <t xml:space="preserve">Restoran Eka Ria</t>
  </si>
  <si>
    <t xml:space="preserve">Restoran China Kanton peranakan legendaris sejak 1925 dengan ruang dansa</t>
  </si>
  <si>
    <t xml:space="preserve">Wong Fu Kie</t>
  </si>
  <si>
    <t xml:space="preserve">Jalan Perniagaan Timur, Jakarta</t>
  </si>
  <si>
    <t xml:space="preserve">Restoran Chinese food legendaris dalam gang yang selalu ramai</t>
  </si>
  <si>
    <t xml:space="preserve">RM Pondok Djaja</t>
  </si>
  <si>
    <t xml:space="preserve">Gambir, Jakarta Pusat</t>
  </si>
  <si>
    <t xml:space="preserve">Rumah makan Padang legendaris sejak 1969 dengan juru masak tak pernah berganti</t>
  </si>
  <si>
    <t xml:space="preserve">https://food.detik.com/resto-dan-kafe/d-8494926/5-restoran-padang-underrated-di-jakarta-ini-cocok-buat-wisata-kuliner</t>
  </si>
  <si>
    <t xml:space="preserve">Minang Tempo Doeloe</t>
  </si>
  <si>
    <t xml:space="preserve">PIK mencakup Kel. Kamal Muara dan Kapuk Muara</t>
  </si>
  <si>
    <t xml:space="preserve">Rumah makan Minang modern yang jarang terekspos</t>
  </si>
  <si>
    <t xml:space="preserve">RM Padang Telaga Sari</t>
  </si>
  <si>
    <t xml:space="preserve">Rumah makan Padang favorit dengan lauk lengkap dan bumbu medok</t>
  </si>
  <si>
    <t xml:space="preserve">Jl. H. Agus Salim, Kebon Sirih, Menteng, Jakarta Pusat</t>
  </si>
  <si>
    <t xml:space="preserve">Restoran Padang tertua sejak 1958 bergaya rumah gadang</t>
  </si>
  <si>
    <t xml:space="preserve">https://food.detik.com/tempat-makan/d-8578559/bertahan-selama-puluhan-tahun-ini-7-nasi-padang-tertua-di-jakarta</t>
  </si>
  <si>
    <t xml:space="preserve">RM Surya</t>
  </si>
  <si>
    <t xml:space="preserve">Jl. Bendungan Hilir No. 5, Tanah Abang, Jakarta Pusat</t>
  </si>
  <si>
    <t xml:space="preserve">Rumah makan Padang sejak 1960, pernah dicicipi Anthony Bourdain dan NCT Wish</t>
  </si>
  <si>
    <t xml:space="preserve">RM Sepakat</t>
  </si>
  <si>
    <t xml:space="preserve">Rumah makan Padang legendaris sejak 1967 terkenal dengan gulai gajebo</t>
  </si>
  <si>
    <t xml:space="preserve">Gultik Pakde Lamandau</t>
  </si>
  <si>
    <t xml:space="preserve">Lamandau III No. 23-25, Kramat Pela, Kebayoran Baru, Jakarta Selatan</t>
  </si>
  <si>
    <t xml:space="preserve">Kramat Pela</t>
  </si>
  <si>
    <t xml:space="preserve">Gultik kaki lima buka sejak pagi dengan harga mulai Rp12.000</t>
  </si>
  <si>
    <t xml:space="preserve">https://food.detik.com/warung-makan/d-8623599/ngidam-gultik-ini-5-tempat-di-jakarta-yang-menunya-mulai-rp12-ribuan</t>
  </si>
  <si>
    <t xml:space="preserve">Gultik Koko</t>
  </si>
  <si>
    <t xml:space="preserve">Gultik konsep modern dengan paket makan sepuasnya</t>
  </si>
  <si>
    <t xml:space="preserve">Rumah Makan Siang Malam</t>
  </si>
  <si>
    <t xml:space="preserve">Jalan Veteran, dekat Stasiun Gambir, Jakarta Pusat</t>
  </si>
  <si>
    <t xml:space="preserve">Masuk daftar wisata kuliner viral murah dekat Stasiun Gambir, masakan Padang</t>
  </si>
  <si>
    <t xml:space="preserve">https://chanelmuslim.com/wisata/5-wisata-kuliner-viral-murah-dekat-stasiun-gambir-yang-wajib-dicoba</t>
  </si>
  <si>
    <t xml:space="preserve">Warung Sate Tongseng Sri Rejeki</t>
  </si>
  <si>
    <t xml:space="preserve">Dekat Stasiun Gambir, Jakarta Pusat</t>
  </si>
  <si>
    <t xml:space="preserve">Masuk daftar wisata kuliner viral murah dekat Stasiun Gambir</t>
  </si>
  <si>
    <t xml:space="preserve">Walking Tour BerKemana KompasTravel</t>
  </si>
  <si>
    <t xml:space="preserve">Menteng hingga Jalan Sabang, Jakarta Pusat</t>
  </si>
  <si>
    <t xml:space="preserve">Walking tour menyusuri toko kopi legendaris dan bangunan bersejarah</t>
  </si>
  <si>
    <t xml:space="preserve">18 April 2026</t>
  </si>
  <si>
    <t xml:space="preserve">https://travel.kompas.com/read/2026/04/21/080800527/walking-tour-kompas.com-jelajah-13-toko-kopi-dan-wisata-legendaris-jakarta</t>
  </si>
  <si>
    <t xml:space="preserve">Batu Alien Merapi: Jejak Erupsi Dahsyat yang Berubah Jadi Destinasi Wisata Viral di Yogyakarta - TIMES Indonesia</t>
  </si>
  <si>
    <t xml:space="preserve">Toko Kelontong Adi Jaya</t>
  </si>
  <si>
    <t xml:space="preserve">Sumur Batu, Kemayoran, Jakarta Pusat</t>
  </si>
  <si>
    <t xml:space="preserve">Sumur Batu</t>
  </si>
  <si>
    <t xml:space="preserve">Kemayoran</t>
  </si>
  <si>
    <t xml:space="preserve">Video toko kelontong diacak-acak viral di media sosial (isu negatif)</t>
  </si>
  <si>
    <t xml:space="preserve">3 Mei 2026</t>
  </si>
  <si>
    <t xml:space="preserve">https://megapolitan.kompas.com/read/2026/05/04/18043811/viral-toko-kelontong-di-kemayoran-diacak-acak-warga-polisi-ada</t>
  </si>
  <si>
    <t xml:space="preserve">Blok M Square</t>
  </si>
  <si>
    <t xml:space="preserve">Lantai Dasar Blok M Square, Blok M, Jakarta Selatan</t>
  </si>
  <si>
    <t xml:space="preserve">Surga buku bekas dengan sekitar 40 toko buku di pusat skena Blok M</t>
  </si>
  <si>
    <t xml:space="preserve">https://www.cnnindonesia.com/nasional/20260527103135-20-1362767/toko-buku-blok-m-oase-literasi-di-pusat-skena-jakarta</t>
  </si>
  <si>
    <t xml:space="preserve">Kawasan pertokoan Pasar Baru, Sawah Besar, Jakarta Pusat</t>
  </si>
  <si>
    <t xml:space="preserve">Kepulan asap hitam akibat korsleting gardu listrik viral dan bikin panik pedagang (isu negatif)</t>
  </si>
  <si>
    <t xml:space="preserve">https://www.antaranews.com/berita/5729409/kapolsek-pastikan-asap-hitam-di-pasar-baru-akibat-korsleting-gardu</t>
  </si>
  <si>
    <t xml:space="preserve">Kawasan pertokoan Pasar Baru sisi utara, Sawah Besar, Jakarta Pusat</t>
  </si>
  <si>
    <t xml:space="preserve">Kepulan asap hitam korsleting gardu listrik bawah tanah memicu kepanikan (isu negatif)</t>
  </si>
  <si>
    <t xml:space="preserve">https://www.metrotvnews.com/read/N9nCypXL-kepulan-asap-di-pasar-baru-jakpus-dipastikan-akibat-korsleting</t>
  </si>
  <si>
    <t xml:space="preserve">Semburan asap hitam dari bawah tanah menggemparkan pengunjung (isu negatif)</t>
  </si>
  <si>
    <t xml:space="preserve">https://www.topik.id/viral-asap-hitam-menyembur-dari-bawah-tanah-di-pasar-baru-ini-penyebabnya</t>
  </si>
  <si>
    <t xml:space="preserve">www.topik.id</t>
  </si>
  <si>
    <t xml:space="preserve">Video semburan asap hitam dari gorong-gorong viral di media sosial (isu negatif)</t>
  </si>
  <si>
    <t xml:space="preserve">https://www.edisi.co.id/berita/9717604708/viral-kepanikan-warga-saat-asap-hitam-menyembur-dari-bawah-tanah-di-jakpus-minggir-jangan-ada-yang-lewat</t>
  </si>
  <si>
    <t xml:space="preserve">www.edisi.co.id</t>
  </si>
  <si>
    <t xml:space="preserve">Pasar Tanah Abang</t>
  </si>
  <si>
    <t xml:space="preserve">Blok A Pasar Tanah Abang, Jalan KH Mas Mansyur, Kebon Kacang, Tanah Abang, Jakarta Pusat</t>
  </si>
  <si>
    <t xml:space="preserve">Kebon Kacang</t>
  </si>
  <si>
    <t xml:space="preserve">Video viral pemalakan sopir bajaj (isu negatif)</t>
  </si>
  <si>
    <t xml:space="preserve">12 April 2026</t>
  </si>
  <si>
    <t xml:space="preserve">https://wartapontianak.pikiran-rakyat.com/nasional/pr-11710140474/viral-aksi-pemalakan-sopir-bajaj-di-pasar-tanah-abang-pelaku-dibekuk-polisi</t>
  </si>
  <si>
    <t xml:space="preserve">wartapontianak.pikiran-rakyat.com</t>
  </si>
  <si>
    <t xml:space="preserve">Padang Pagi Sore PIK</t>
  </si>
  <si>
    <t xml:space="preserve">Pantai Indah Kapuk, Jakarta Utara</t>
  </si>
  <si>
    <t xml:space="preserve">Masuk template kulineran turis Malaysia di Jakarta</t>
  </si>
  <si>
    <t xml:space="preserve">https://food.detik.com/tempat-makan/d-8458199/cookies-hingga-jajan-pasar-yang-diincar-turis-malaysia-saat-ke-jakarta</t>
  </si>
  <si>
    <t xml:space="preserve">By The Sea PIK</t>
  </si>
  <si>
    <t xml:space="preserve">Tujuan belanja dan jajan turis Malaysia</t>
  </si>
  <si>
    <t xml:space="preserve">Chikuro</t>
  </si>
  <si>
    <t xml:space="preserve">Jajanan ayam stick Chiro yang paling viral diburu turis Malaysia</t>
  </si>
  <si>
    <t xml:space="preserve">Blok A Pasar Tanah Abang, Jakarta Pusat</t>
  </si>
  <si>
    <t xml:space="preserve">Aksi pemalakan sopir bajaj terekam video dan viral (isu negatif)</t>
  </si>
  <si>
    <t xml:space="preserve">https://www.cnnindonesia.com/nasional/20260413105940-12-1347270/viral-preman-palak-sopir-bajaj-di-tanah-abang-polisi-tangkap-pelaku</t>
  </si>
  <si>
    <t xml:space="preserve">Festival Sasa Bakso Vaganza 2026</t>
  </si>
  <si>
    <t xml:space="preserve">Plaza Sudirman, Gelora Bung Karno, Jakarta Pusat</t>
  </si>
  <si>
    <t xml:space="preserve">Festival bakso dengan 50 pedagang legendaris, nusantara dan viral</t>
  </si>
  <si>
    <t xml:space="preserve">25-26 Juli 2026</t>
  </si>
  <si>
    <t xml:space="preserve">https://www.cantika.com/read/2115500/festival-sasa-bakso-vaganza-2026-hadirkan-50-bakso-legendaris-sampai-viral-di-gbk</t>
  </si>
  <si>
    <t xml:space="preserve">www.cantika.com</t>
  </si>
  <si>
    <t xml:space="preserve">10 Tempat Makan Kuliner di Pasar Ngasem Jogja, Dari Jenang Hingga Dawet - tripzilla.id</t>
  </si>
  <si>
    <t xml:space="preserve">Festival bakso legendaris pertama di Indonesia dengan 50 pedagang</t>
  </si>
  <si>
    <t xml:space="preserve">https://olenka.id/festival-sasa-bakso-vaganza-2026-kembali-digelar-hadirkan-50-pedagang-bakso-dari-seluruh-indonesia/all</t>
  </si>
  <si>
    <t xml:space="preserve">olenka.id</t>
  </si>
  <si>
    <t xml:space="preserve">Viral Video Ajudan Danrem Ditolak Masuk Area Jogja Marathon, Korem 072/Pamungkas Beri Klarifikasi - Grid.ID</t>
  </si>
  <si>
    <t xml:space="preserve">Grid.ID</t>
  </si>
  <si>
    <t xml:space="preserve">50 bakso legendaris dan viral berkumpul di GBK</t>
  </si>
  <si>
    <t xml:space="preserve">https://www.kompas.com/food/read/2026/07/25/165052975/50-bakso-legendaris-dan-viral-kumpul-di-gbk-pada-25-26-juli-2026</t>
  </si>
  <si>
    <t xml:space="preserve">Environesia gelar event lari berhadiah Umrah di Yogyakarta - ANTARA News Megapolitan</t>
  </si>
  <si>
    <t xml:space="preserve">ANTARA News Megapolitan</t>
  </si>
  <si>
    <t xml:space="preserve">Festival Burger Dunia</t>
  </si>
  <si>
    <t xml:space="preserve">Chillax, Sudirman, Jakarta Pusat</t>
  </si>
  <si>
    <t xml:space="preserve">Festival kuliner burger gagasan Aldi Taher dengan 18 tenant burger lokal</t>
  </si>
  <si>
    <t xml:space="preserve">5-7 Juni 2026</t>
  </si>
  <si>
    <t xml:space="preserve">https://voi.id/lifestyle/579146/sukses-gelar-festival-burger-dunia-aldi-taher-ajang-silaturahmi</t>
  </si>
  <si>
    <t xml:space="preserve">voi.id</t>
  </si>
  <si>
    <t xml:space="preserve">Efisiensi Anggaran Bikin Pekerja Seni di Jogja Kelimpungan, Berburu Hibah demi Bertahan Hidup - Suarajogja.id</t>
  </si>
  <si>
    <t xml:space="preserve">Gebyar Kuliner Jakarta Halal Viral Vol 3</t>
  </si>
  <si>
    <t xml:space="preserve">Living World Pekanbaru, Riau</t>
  </si>
  <si>
    <t xml:space="preserve">Festival kuliner nasional dengan 45 tenant halal pilihan</t>
  </si>
  <si>
    <t xml:space="preserve">https://www.cakaplah.com/berita/baca/135348/2026/04/24/45-tenant-hits-ramaikan-gebyar-kuliner-jakarta-halal-vol-3-di-living-world-pekanbaru</t>
  </si>
  <si>
    <t xml:space="preserve">Festival Kali Pasir 2026</t>
  </si>
  <si>
    <t xml:space="preserve">Kampus IKJ, Cikini, Jakarta Pusat</t>
  </si>
  <si>
    <t xml:space="preserve">Festival seni budaya berpotensi jadi ikon menuju kota global</t>
  </si>
  <si>
    <t xml:space="preserve">https://www.antaranews.com/berita/5664133/festival-kali-pasir-dinilai-dapat-menjadi-ikon-budaya-jakarta</t>
  </si>
  <si>
    <t xml:space="preserve">Brigjen TNI Yuniar Dwi Hantono Jadi Sorotan Usai Pengawalnya Diamankan Panitia Karena Tidak Kenakan Nomor Dada dalam Event Mandiri Jogja Marathon - Radar Purworejo</t>
  </si>
  <si>
    <t xml:space="preserve">Sulaiman Resto</t>
  </si>
  <si>
    <t xml:space="preserve">Chinese food halal dengan porsi besar dan harga terjangkau</t>
  </si>
  <si>
    <t xml:space="preserve">https://food.detik.com/resto-dan-kafe/d-8483820/5-chinese-food-halal-di-jakarta-barat-ada-yang-legendaris-sejak-1958</t>
  </si>
  <si>
    <t xml:space="preserve">Pelari Dipukul OTK saat Event Lari di Yogya, Diselesaikan Kekeluargaan - republika.co.id</t>
  </si>
  <si>
    <t xml:space="preserve">republika.co.id</t>
  </si>
  <si>
    <t xml:space="preserve">Three Uncles</t>
  </si>
  <si>
    <t xml:space="preserve">Terkenal dengan dimsum dan menu Cantonese serta mie mala</t>
  </si>
  <si>
    <t xml:space="preserve">047</t>
  </si>
  <si>
    <t xml:space="preserve">Nasi Uduk Ibu Sumi</t>
  </si>
  <si>
    <t xml:space="preserve">Jl. Mangga Dua Raya No.55, Pinangsia, Taman Sari, Jakarta Barat</t>
  </si>
  <si>
    <t xml:space="preserve">Kuliner malam rekomendasi media sosial, nasi uduk dengan puluhan lauk</t>
  </si>
  <si>
    <t xml:space="preserve">https://www.kompas.com/food/read/2026/04/11/123000975/7-kuliner-malam-enak-di-daerah-jakarta-barat-yang-legendaris-?page=all</t>
  </si>
  <si>
    <t xml:space="preserve">Pelari Dipukul Saat Ikut Event di Jogja, Pelaku Ngamuk dan Tantang Korban Berkelahi - Kompas.com</t>
  </si>
  <si>
    <t xml:space="preserve">Nasi Uduk Bang Udin</t>
  </si>
  <si>
    <t xml:space="preserve">Jl. Palmerah Barat No.25A, Palmerah, Jakarta Barat</t>
  </si>
  <si>
    <t xml:space="preserve">Palmerah</t>
  </si>
  <si>
    <t xml:space="preserve">Nasi uduk Betawi tersohor dengan antrean panjang saat makan malam</t>
  </si>
  <si>
    <t xml:space="preserve">Bakmi Ahau 38</t>
  </si>
  <si>
    <t xml:space="preserve">Mangga Besar, Jakarta Barat</t>
  </si>
  <si>
    <t xml:space="preserve">Mangga Besar</t>
  </si>
  <si>
    <t xml:space="preserve">Bakmi karet legendaris sejak 1960-an buka sampai dini hari</t>
  </si>
  <si>
    <t xml:space="preserve">Kopi Es Tak Kie</t>
  </si>
  <si>
    <t xml:space="preserve">Petak Sembilan, Glodok, Jakarta Barat</t>
  </si>
  <si>
    <t xml:space="preserve">Glodok</t>
  </si>
  <si>
    <t xml:space="preserve">Kedai kopi tertua di Jakarta hampir satu abad dengan atmosfer Pecinan</t>
  </si>
  <si>
    <t xml:space="preserve">https://harpersbazaar.co.id/articles/read/3/2025/21902/rekomendasi-tempat-makan-legendaris-di-jakarta</t>
  </si>
  <si>
    <t xml:space="preserve">Penjelasan Korem soal Ajudan Danrem yang Ditolak Masuk Area Mandiri Jogja Marathon - Kompas.com</t>
  </si>
  <si>
    <t xml:space="preserve">Kwetiaw Sapi 78 Mangga Besar</t>
  </si>
  <si>
    <t xml:space="preserve">Jalan Raya Mangga Besar No. 78D, Taman Sari, Jakarta Barat</t>
  </si>
  <si>
    <t xml:space="preserve">Kwetiau sapi Pontianak legendaris sejak 1973</t>
  </si>
  <si>
    <t xml:space="preserve">https://food.detik.com/tempat-makan/d-8525769/selalu-ngangenin-5-tempat-makan-kwetiau-sapi-legendaris-yang-smoky-sedap</t>
  </si>
  <si>
    <t xml:space="preserve">Strategi Jogja Jadi Kota Festival Sepanjang Tahun, Ratusan Event Siap Dongkrak Wisata - jogja.disway.id - Disway Jogja</t>
  </si>
  <si>
    <t xml:space="preserve">2026-04-16</t>
  </si>
  <si>
    <t xml:space="preserve">Kwetiau Sapi Aciap</t>
  </si>
  <si>
    <t xml:space="preserve">Spesialis kwetiau sapi Pontianak sejak awal 1980-an dengan aroma asap kuat</t>
  </si>
  <si>
    <t xml:space="preserve">Soto Tangkar Pak Jumanta</t>
  </si>
  <si>
    <t xml:space="preserve">Jalan Pancoran Gang Kalimati No. 8, Glodok, Jakarta Barat</t>
  </si>
  <si>
    <t xml:space="preserve">Soto tangkar legendaris populer sejak 1971</t>
  </si>
  <si>
    <t xml:space="preserve">https://food.detik.com/tempat-makan/d-8541738/hangat-berempah-5-soto-tangkar-legendaris-di-jakarta-yang-kelezatannya-masih-sama</t>
  </si>
  <si>
    <t xml:space="preserve">Soto Tangkar Kang Jaja</t>
  </si>
  <si>
    <t xml:space="preserve">Warung kaki lima soto tangkar legendaris</t>
  </si>
  <si>
    <t xml:space="preserve">Kepulan asap hitam korsleting gardu viral dan bikin panik pedagang (isu negatif)</t>
  </si>
  <si>
    <t xml:space="preserve">https://jabar.antaranews.com/berita/705879/viral-asap-hitam-di-pasar-baru-polisi-pastikan-akibat-korsleting-gardu</t>
  </si>
  <si>
    <t xml:space="preserve">Jajanan Agnes</t>
  </si>
  <si>
    <t xml:space="preserve">Jalan Taman Ratu Indah Blok Ee7 No. 21, Kebon Jeruk, Jakarta Barat</t>
  </si>
  <si>
    <t xml:space="preserve">Duri Kepa</t>
  </si>
  <si>
    <t xml:space="preserve">Gemblong usaha rumahan masuk vlog Ria SW dan jadi perbincangan</t>
  </si>
  <si>
    <t xml:space="preserve">https://food.detik.com/info-kuliner/d-8529352/5-gemblong-viral-yang-legit-lembut-jajanan-ndeso-naik-daun-lagi</t>
  </si>
  <si>
    <t xml:space="preserve">Daftar Tempat Makan Legendaris Tanpa Penerus yang Berakhir Tutup Permanen - Beautynesia</t>
  </si>
  <si>
    <t xml:space="preserve">Beautynesia</t>
  </si>
  <si>
    <t xml:space="preserve">Gemblong Mama Nny</t>
  </si>
  <si>
    <t xml:space="preserve">Lantai LG Gandaria City, Jakarta Selatan</t>
  </si>
  <si>
    <t xml:space="preserve">Kebayoran Lama Utara</t>
  </si>
  <si>
    <t xml:space="preserve">Gemblong viral varian original dan matcha</t>
  </si>
  <si>
    <t xml:space="preserve">Gemblong Persahabatan</t>
  </si>
  <si>
    <t xml:space="preserve">Termasuk gemblong viral</t>
  </si>
  <si>
    <t xml:space="preserve">Pasar Kopro</t>
  </si>
  <si>
    <t xml:space="preserve">Grogol Petamburan, Jakarta Barat</t>
  </si>
  <si>
    <t xml:space="preserve">Lokasi viral karena tumpukan sampah menggunung hingga meluber ke jalan (isu negatif)</t>
  </si>
  <si>
    <t xml:space="preserve">https://www.antaranews.com/berita/5506409/viral-buntut-tumpukan-sampah-lh-pasang-spanduk-di-pasar-kopro</t>
  </si>
  <si>
    <t xml:space="preserve">Pasar Tomang Barat, Jalan Tanjung Duren Timur 3, Tanjung Duren Selatan, Grogol Petamburan, Jakarta Barat</t>
  </si>
  <si>
    <t xml:space="preserve">Sempat viral karena tumpukan sampah pasca Lebaran belum terangkut (isu negatif)</t>
  </si>
  <si>
    <t xml:space="preserve">31 Maret 2026</t>
  </si>
  <si>
    <t xml:space="preserve">https://barat.jakarta.go.id/berita/sudis-lh-jakbar-pasang-spanduk-larangan-buang-sampah-di-sekitar-pasar-kopro</t>
  </si>
  <si>
    <t xml:space="preserve">barat.jakarta.go.id</t>
  </si>
  <si>
    <t xml:space="preserve">Festival Wisata Kuliner Malam Glodok</t>
  </si>
  <si>
    <t xml:space="preserve">Jalan Pancoran, Pecinan Glodok, Tamansari, Jakarta Barat</t>
  </si>
  <si>
    <t xml:space="preserve">Festival kuliner Betawi dan Pecinan dengan 60 UMKM memeriahkan HUT Jakarta ke-499</t>
  </si>
  <si>
    <t xml:space="preserve">https://www.cnnindonesia.com/gaya-hidup/20260617065109-269-1369829/sambut-hut-jakarta-bakal-ada-festival-wisata-kuliner-malam-glodok</t>
  </si>
  <si>
    <t xml:space="preserve">9 Rekomendasi Resto Keluarga di Kediri yang Suasananya Bikin Momen Kumpul Makin Hangat - Hipwee</t>
  </si>
  <si>
    <t xml:space="preserve">Festival Jakarta Great Sale 2026</t>
  </si>
  <si>
    <t xml:space="preserve">Central Park Mall II, Jakarta Barat dan 104 pusat perbelanjaan Jakarta</t>
  </si>
  <si>
    <t xml:space="preserve">Festival juga di 104 pusat perbelanjaan Jakarta</t>
  </si>
  <si>
    <t xml:space="preserve">Festival belanja rangkaian HUT Jakarta ke-499</t>
  </si>
  <si>
    <t xml:space="preserve">10 Juni - 22 Juli 2026</t>
  </si>
  <si>
    <t xml:space="preserve">https://infobanknews.com/festival-jakarta-great-sale-2026-resmi-dibuka</t>
  </si>
  <si>
    <t xml:space="preserve">infobanknews.com</t>
  </si>
  <si>
    <t xml:space="preserve">Bangor Fest Vol. 4</t>
  </si>
  <si>
    <t xml:space="preserve">Stadion Madya B GBK, Jakarta</t>
  </si>
  <si>
    <t xml:space="preserve">Festival burger terbesar Burger Bangor dengan panggung musik</t>
  </si>
  <si>
    <t xml:space="preserve">8-9 Agustus 2026</t>
  </si>
  <si>
    <t xml:space="preserve">https://hot.detik.com/music/d-8576122/denny-sumargo-gelar-festival-seru-ada-konser-musik-bertabur-bintang</t>
  </si>
  <si>
    <t xml:space="preserve">hot.detik.com</t>
  </si>
  <si>
    <t xml:space="preserve">Iga Bakar Rawamangun</t>
  </si>
  <si>
    <t xml:space="preserve">Jl. Tawes No.14, Jati, Pulo Gadung, Jakarta Timur</t>
  </si>
  <si>
    <t xml:space="preserve">Jati</t>
  </si>
  <si>
    <t xml:space="preserve">Iga bakar kaki lima potongan jumbo dengan nasi kebuli</t>
  </si>
  <si>
    <t xml:space="preserve">https://food.detik.com/tempat-makan/d-8563211/5-kuliner-enak-di-kawasan-rawamangun-ada-bakmi-tasik-hingga-soto-bening</t>
  </si>
  <si>
    <t xml:space="preserve">Mie Jogja Pak Karso</t>
  </si>
  <si>
    <t xml:space="preserve">Rawamangun, Jakarta Timur</t>
  </si>
  <si>
    <t xml:space="preserve">Bakmi Jawa dengan ayam kampung dan telur bebek</t>
  </si>
  <si>
    <t xml:space="preserve">Quiznos Sub</t>
  </si>
  <si>
    <t xml:space="preserve">Jl. Pemuda Kav.30 No.7, Rawamangun, Pulo Gadung, Jakarta Timur</t>
  </si>
  <si>
    <t xml:space="preserve">Restoran sandwich premium asal Amerika</t>
  </si>
  <si>
    <t xml:space="preserve">https://www.kompas.com/food/read/2026/04/12/190000375/7-kuliner-rawamangun-terenak-dari-legendaris-hingga-kekinian?page=all</t>
  </si>
  <si>
    <t xml:space="preserve">Penjelasan Jatim Park 2 Soal Viral Singa Kurus di Batu Secret Zoo - detikcom</t>
  </si>
  <si>
    <t xml:space="preserve">Sate Padang H. Ajo Manih</t>
  </si>
  <si>
    <t xml:space="preserve">Jl. Balai Pustaka Timur, Rawamangun, Pulo Gadung, Jakarta Timur</t>
  </si>
  <si>
    <t xml:space="preserve">Sate Padang legendaris sejak 1975</t>
  </si>
  <si>
    <t xml:space="preserve">Bakmi Jawa Mbak Sastro</t>
  </si>
  <si>
    <t xml:space="preserve">Bakmi khas Jawa di Rawamangun</t>
  </si>
  <si>
    <t xml:space="preserve">Rumah Rasa x Warkop Medan Bang Jo</t>
  </si>
  <si>
    <t xml:space="preserve">Pulogebang, Jakarta Timur</t>
  </si>
  <si>
    <t xml:space="preserve">Pulo Gebang</t>
  </si>
  <si>
    <t xml:space="preserve">Cakung</t>
  </si>
  <si>
    <t xml:space="preserve">Tempat makan seafood baru cabang Rumah Rasa Ancol berkonsep nongkrong khas Medan</t>
  </si>
  <si>
    <t xml:space="preserve">https://www.kompasiana.com/silvianitsuga/6a9155f5c925c466a668604c/spot-seafood-baru-yang-wajib-dicoba-di-pulogebang-jakarta-timur?page=all</t>
  </si>
  <si>
    <t xml:space="preserve">Sate Sederhana Keroncong</t>
  </si>
  <si>
    <t xml:space="preserve">Gang Lele, Matraman Raya, Jatinegara, Jakarta Timur</t>
  </si>
  <si>
    <t xml:space="preserve">Sate kambing legendaris sejak 1964</t>
  </si>
  <si>
    <t xml:space="preserve">https://food.detik.com/rumah-makan/d-8519185/blusukan-ke-jatinegara-jangan-lupa-coba-7-kuliner-legendaris-ini</t>
  </si>
  <si>
    <t xml:space="preserve">Kenali Bukit Premium Jawa Timur - Chanelmuslim.com</t>
  </si>
  <si>
    <t xml:space="preserve">Bakmi Lorong</t>
  </si>
  <si>
    <t xml:space="preserve">Lorong Pasar Jatinegara, Jakarta Timur</t>
  </si>
  <si>
    <t xml:space="preserve">Bakmi legendaris sejak 1970</t>
  </si>
  <si>
    <t xml:space="preserve">Kobar Daging Asap</t>
  </si>
  <si>
    <t xml:space="preserve">Jl. Raya Kalimalang Blok E7, Jakarta Timur</t>
  </si>
  <si>
    <t xml:space="preserve">Rumah makan daging asap smoky incaran foodies dengan harga mulai Rp30 ribuan</t>
  </si>
  <si>
    <t xml:space="preserve">https://food.detik.com/rumah-makan/d-8502270/kuliner-viral-di-jaktim-daging-asap-yang-smoky-mulai-rp30-ribuan</t>
  </si>
  <si>
    <t xml:space="preserve">Kalimalang, Jakarta Timur</t>
  </si>
  <si>
    <t xml:space="preserve">Viral daging smoky dengan pengasapan 5-10 jam</t>
  </si>
  <si>
    <t xml:space="preserve">29 Mei 2026</t>
  </si>
  <si>
    <t xml:space="preserve">https://food.detik.com/berita-boga/d-8509139/mantan-pegawai-it-sukses-jadi-petani-hingga-kuliner-daging-asap-viral-di-jaktim</t>
  </si>
  <si>
    <t xml:space="preserve">Green Tourism Festival 2026</t>
  </si>
  <si>
    <t xml:space="preserve">Festival pariwisata hijau Pemkot Jakarta Timur</t>
  </si>
  <si>
    <t xml:space="preserve">https://www.antaranews.com/berita/5761123/jaktim-dorong-pariwisata-tetap-hijau-lewat-green-tourism-festival</t>
  </si>
  <si>
    <t xml:space="preserve">Mardin Baklava Patisserie</t>
  </si>
  <si>
    <t xml:space="preserve">Jl. Cipinang Jaya Raya No.74, Cipinang, Jakarta Timur</t>
  </si>
  <si>
    <t xml:space="preserve">Cipinang ambigu (Kel. Cipinang, Pulo Gadung atau Cipinang Besar, Jatinegara)</t>
  </si>
  <si>
    <t xml:space="preserve">Kafe baklava dan kunafa khas Turki sejak 2018</t>
  </si>
  <si>
    <t xml:space="preserve">https://www.nibble.id/15-kuliner-jakarta-timur-yang-bikin-ig-hits-kembali/</t>
  </si>
  <si>
    <t xml:space="preserve">Resto Salemba 43</t>
  </si>
  <si>
    <t xml:space="preserve">Jl. Sunan Sedayu No.7, Jati, Pulo Gadung, Jakarta Timur</t>
  </si>
  <si>
    <t xml:space="preserve">Restoran Chinese halal legendaris dan autentik</t>
  </si>
  <si>
    <t xml:space="preserve">Fork Daily</t>
  </si>
  <si>
    <t xml:space="preserve">The Amboja, dekat TMII, Jakarta Timur</t>
  </si>
  <si>
    <t xml:space="preserve">The Amboja, dekat TMII</t>
  </si>
  <si>
    <t xml:space="preserve">Tempat makan di mal dekat kawasan TMII</t>
  </si>
  <si>
    <t xml:space="preserve">048</t>
  </si>
  <si>
    <t xml:space="preserve">Pasar Induk Kramat Jati</t>
  </si>
  <si>
    <t xml:space="preserve">Pasar Induk Kramat Jati, Jakarta Timur</t>
  </si>
  <si>
    <t xml:space="preserve">Tengah</t>
  </si>
  <si>
    <t xml:space="preserve">Kramat Jati</t>
  </si>
  <si>
    <t xml:space="preserve">Video viral dugaan intimidasi pedagang oleh oknum polisi (isu negatif)</t>
  </si>
  <si>
    <t xml:space="preserve">1 Juli 2026</t>
  </si>
  <si>
    <t xml:space="preserve">https://megapolitan.kompas.com/read/2026/07/02/17431311/polres-jaktim-akan-periksa-polisi-yang-diduga-intimidasi-pedagang-pasar</t>
  </si>
  <si>
    <t xml:space="preserve">Viral Runner Up Raka Jatim 2026 Minta Pacar Aborsi, Terancam Disanksi - detikNews</t>
  </si>
  <si>
    <t xml:space="preserve">Video viral pedagang pepaya diduga diintimidasi oknum perwira polisi (isu negatif)</t>
  </si>
  <si>
    <t xml:space="preserve">https://poskota.co/megapolitan/viral-video-oknum-perwira-polisi-diduga-intimidasi-pedagang-pasar-induk-kramat-jati/</t>
  </si>
  <si>
    <t xml:space="preserve">poskota.co</t>
  </si>
  <si>
    <t xml:space="preserve">Gunungan sampah viral hingga tembok pembatas jebol (isu negatif)</t>
  </si>
  <si>
    <t xml:space="preserve">https://rm.id/baca-berita/blakblakan/306401/pasca-longsornya-tpst-bantargebang-problem-sampah-di-dki-makin-mengkhawatirkan-bun-joi-phiau-alarm-keras-kegagalan-pengelolaan-sampah</t>
  </si>
  <si>
    <t xml:space="preserve">rm.id</t>
  </si>
  <si>
    <t xml:space="preserve">Cleaning Service Toko Emas UBS Pasar Atom Surabaya Ditangkap usai Kabur ke Halmahera - artik.id</t>
  </si>
  <si>
    <t xml:space="preserve">Halaman Kantor Wali Kota Jakarta Timur</t>
  </si>
  <si>
    <t xml:space="preserve">Penggilingan</t>
  </si>
  <si>
    <t xml:space="preserve">Kantor Wali Kota Jakarta Timur, Jl. Dr. Sumarno</t>
  </si>
  <si>
    <t xml:space="preserve">Festival promosi wisata hijau dengan hiburan musik, budaya Betawi dan Pasar Tumbuh</t>
  </si>
  <si>
    <t xml:space="preserve">https://megapolitan.kompas.com/read/2026/09/27/08505111/ada-konser-tipe-x-gratis-green-tourism-festival-2026-digelar-hari-ini-di</t>
  </si>
  <si>
    <t xml:space="preserve">Viral Festival Balon Bondowoso 2026 Kehilangan Ciri Khas, Banyak Atribut MBG Hingga Kopdes - Suara.com</t>
  </si>
  <si>
    <t xml:space="preserve">Festival bertema Satu Aksi Nyata Hijaukan Wisata Kota</t>
  </si>
  <si>
    <t xml:space="preserve">https://m.radarnonstop.co/read/62342/Munjirin-Buka-Green-Tourism-Festival-2026-Satu-Aksi-Nyata-Hijaukan-Wisata-Kota</t>
  </si>
  <si>
    <t xml:space="preserve">m.radarnonstop.co</t>
  </si>
  <si>
    <t xml:space="preserve">Disbudpar dan DPRD Jatim perkuat ekonomi kreatif lewat festival - jatim.antaranews.com</t>
  </si>
  <si>
    <t xml:space="preserve">Indonesia International Pet Expo 2026</t>
  </si>
  <si>
    <t xml:space="preserve">Jabodetabek</t>
  </si>
  <si>
    <t xml:space="preserve">Jabodetabek (lintas provinsi: DKI Jakarta, Jawa Barat, Banten)</t>
  </si>
  <si>
    <t xml:space="preserve">Pameran hewan peliharaan bertema Unleash The Energy</t>
  </si>
  <si>
    <t xml:space="preserve">4-6 September 2026</t>
  </si>
  <si>
    <t xml:space="preserve">https://mommiesdaily.com/2026/09/04/event-jabodetabek-4-6-september-2026</t>
  </si>
  <si>
    <t xml:space="preserve">mommiesdaily.com</t>
  </si>
  <si>
    <t xml:space="preserve">Kuliner Murah Dekat Taman Safari Bali 2026 jadi Tempat Makan Lezat Ramah Kantong - jogja.disway.id - Disway Jogja</t>
  </si>
  <si>
    <t xml:space="preserve">IMKIDS JIPREMIUM</t>
  </si>
  <si>
    <t xml:space="preserve">Pameran produk premium ibu dan anak</t>
  </si>
  <si>
    <t xml:space="preserve">Nagri Utara</t>
  </si>
  <si>
    <t xml:space="preserve">Jalan Kemang Selatan VIII No. 55, Kemang, Jakarta Selatan</t>
  </si>
  <si>
    <t xml:space="preserve">kawasan Kemang</t>
  </si>
  <si>
    <t xml:space="preserve">Kuliner warung Mamak Malaysia dengan nasi kandar</t>
  </si>
  <si>
    <t xml:space="preserve">https://food.detik.com/resto-dan-kafe/d-8651835/5-tempat-makan-nasi-kandar-autentik-di-jakarta-harganya-mulai-rp30-ribuan</t>
  </si>
  <si>
    <t xml:space="preserve">Kandar Bros</t>
  </si>
  <si>
    <t xml:space="preserve">Apartemen Kalibata City Tower Ebony, Kalibata, Jakarta Selatan</t>
  </si>
  <si>
    <t xml:space="preserve">Rawajati</t>
  </si>
  <si>
    <t xml:space="preserve">Pancoran</t>
  </si>
  <si>
    <t xml:space="preserve">koordinat kompleks Kalibata City</t>
  </si>
  <si>
    <t xml:space="preserve">Kedai nasi kandar khas Malaysia</t>
  </si>
  <si>
    <t xml:space="preserve">Nasi Kandar Bharat Chicken</t>
  </si>
  <si>
    <t xml:space="preserve">Tebet, Jakarta Selatan dan Tanjung Duren, Jakarta Barat</t>
  </si>
  <si>
    <t xml:space="preserve">dua lokasi: Tebet (Jakarta Selatan) dan Tanjung Duren (Jakarta Barat)</t>
  </si>
  <si>
    <t xml:space="preserve">Nasi kandar briyani dengan ayam goreng rempah</t>
  </si>
  <si>
    <t xml:space="preserve">Jalan H. Agus Salim Nomor 59, Menteng, Jakarta Pusat</t>
  </si>
  <si>
    <t xml:space="preserve">Restoran Padang sejak 1976 yang banyak dikunjungi</t>
  </si>
  <si>
    <t xml:space="preserve">https://www.kompas.com/food/read/2026/09/13/140000275/5-rekomendasi-rumah-makan-padang-di-jakarta-pilihan-untuk-makan-siang?page=all</t>
  </si>
  <si>
    <t xml:space="preserve">Jalan H. Agus Salim Raya Nomor 29A, Menteng, Jakarta Pusat</t>
  </si>
  <si>
    <t xml:space="preserve">Restoran Padang terkemuka dengan resep tradisional Minang</t>
  </si>
  <si>
    <t xml:space="preserve">RM Sinar Gakong</t>
  </si>
  <si>
    <t xml:space="preserve">Wijaya Grand Centre, Jl. Wijaya II No.40 Blok C, Jakarta Selatan</t>
  </si>
  <si>
    <t xml:space="preserve">Pulo</t>
  </si>
  <si>
    <t xml:space="preserve">Restoran Chinese food klasik asal Bandung</t>
  </si>
  <si>
    <t xml:space="preserve">https://food.detik.com/tempat-makan/d-8602188/5-tempat-makan-enak-di-jaksel-yang-cocok-buat-nongkrong-pulang-kerja</t>
  </si>
  <si>
    <t xml:space="preserve">Nasi Uduk Bahagia</t>
  </si>
  <si>
    <t xml:space="preserve">Tendean, Jakarta Selatan</t>
  </si>
  <si>
    <t xml:space="preserve">Jl. Kapten Tendean (lintas kecamatan)</t>
  </si>
  <si>
    <t xml:space="preserve">Warung nasi uduk kekinian populer dari Gading Serpong</t>
  </si>
  <si>
    <t xml:space="preserve">Jl. KH. Hasyim Ashari No.13B, Petojo Utara, Gambir, Jakarta Pusat</t>
  </si>
  <si>
    <t xml:space="preserve">Petojo Utara</t>
  </si>
  <si>
    <t xml:space="preserve">RM Padang tertua sejak 1969</t>
  </si>
  <si>
    <t xml:space="preserve">https://food.detik.com/tempat-makan/d-8619396/7-tempat-makan-legendaris-di-jakarta-sudah-eksis-sebelum-indonesia-merdeka</t>
  </si>
  <si>
    <t xml:space="preserve">Jl. Melawai 9, Melawai, Kebayoran Baru, Jakarta Selatan</t>
  </si>
  <si>
    <t xml:space="preserve">RM Padang sejak 1967 dengan gulai gajebo</t>
  </si>
  <si>
    <t xml:space="preserve">Gado-Gado Bon Bin</t>
  </si>
  <si>
    <t xml:space="preserve">Jl. Cikini IV No.5, Cikini, Menteng, Jakarta Pusat</t>
  </si>
  <si>
    <t xml:space="preserve">Gado-gado siram legendaris sejak 1960</t>
  </si>
  <si>
    <t xml:space="preserve">Soto Betawi H. Ma'ruf</t>
  </si>
  <si>
    <t xml:space="preserve">Jl. RP. Soeroso No.36A, Gondangdia, Menteng, Jakarta Pusat</t>
  </si>
  <si>
    <t xml:space="preserve">Soto Betawi legendaris sejak 1940</t>
  </si>
  <si>
    <t xml:space="preserve">Opor Ayam Kuning H. Sa'adih</t>
  </si>
  <si>
    <t xml:space="preserve">Tempat makan lawas legendaris</t>
  </si>
  <si>
    <t xml:space="preserve">Kedai Katsudon Melawai</t>
  </si>
  <si>
    <t xml:space="preserve">Melawai, Blok M, Jakarta Selatan</t>
  </si>
  <si>
    <t xml:space="preserve">Masuk daftar tempat makan viral dan unik di Blok M</t>
  </si>
  <si>
    <t xml:space="preserve">https://jogja.disway.id/gaya-hidup/read/699791/makan-paling-hits-di-jakarta-selatan-destinasi-kuliner-viral-di-blok-m</t>
  </si>
  <si>
    <t xml:space="preserve">049</t>
  </si>
  <si>
    <t xml:space="preserve">Kopitiam Shantui</t>
  </si>
  <si>
    <t xml:space="preserve">Jalan Embong Kemiri No.20, Embong Kaliasin, Genteng, Surabaya</t>
  </si>
  <si>
    <t xml:space="preserve">Embong Kaliasin</t>
  </si>
  <si>
    <t xml:space="preserve">Kopitiam modern di pusat kota dengan mi mamak dan jam buka panjang</t>
  </si>
  <si>
    <t xml:space="preserve">https://travel.tribunnews.com/kuliner/145967/3-tempat-makan-di-surabaya-ada-rawon-dan-nasi-empal-legendaris</t>
  </si>
  <si>
    <t xml:space="preserve">Terungkap 20 Video Mesum 'A Day in My Life' 2 Pria Gay Viral - detikcom</t>
  </si>
  <si>
    <t xml:space="preserve">Nasi Empal Pengampon</t>
  </si>
  <si>
    <t xml:space="preserve">Jalan Pengampon II No.3, Bongkaran, Pabean Cantian, Surabaya</t>
  </si>
  <si>
    <t xml:space="preserve">Tempat makan legendaris nasi empal di Surabaya</t>
  </si>
  <si>
    <t xml:space="preserve">Sego Sambel Mak Yeye</t>
  </si>
  <si>
    <t xml:space="preserve">Jl. Jagir Wonokromo Wetan No. 10, Surabaya</t>
  </si>
  <si>
    <t xml:space="preserve">Jagir</t>
  </si>
  <si>
    <t xml:space="preserve">Sego sambel khas Surabaya favorit kuliner malam mulai Rp10.000</t>
  </si>
  <si>
    <t xml:space="preserve">https://www.detik.com/jatim/kuliner/d-8679966/rekomendasi-8-kuliner-surabaya-enak-dan-murah-cocok-buat-anak-kos/amp</t>
  </si>
  <si>
    <t xml:space="preserve">Viral Video WNA Curi Baju di Toko Ubud Bali Terekam CCTV - Kompas.com</t>
  </si>
  <si>
    <t xml:space="preserve">Rawon Kalkulator</t>
  </si>
  <si>
    <t xml:space="preserve">Darmo</t>
  </si>
  <si>
    <t xml:space="preserve">lokasi dikenal di Sentra PKL Taman Bungkul</t>
  </si>
  <si>
    <t xml:space="preserve">Rawon kuah kluwek pekat kaya rempah</t>
  </si>
  <si>
    <t xml:space="preserve">Tahu Tek Pak Ali</t>
  </si>
  <si>
    <t xml:space="preserve">Jl. Dinoyo, Surabaya</t>
  </si>
  <si>
    <t xml:space="preserve">Jl. Dinoyo</t>
  </si>
  <si>
    <t xml:space="preserve">Tahu tek legendaris dengan bumbu petis kacang kental</t>
  </si>
  <si>
    <t xml:space="preserve">https://www.hipwee.com/travel/tempat-makan-murah-di-surabaya/</t>
  </si>
  <si>
    <t xml:space="preserve">Viral Pria Tepergok Belanja Pakai Uang Palsu di Pasar Mengwi - detikcom</t>
  </si>
  <si>
    <t xml:space="preserve">Lontong Balap Bu Djupri</t>
  </si>
  <si>
    <t xml:space="preserve">Kranggan, Surabaya</t>
  </si>
  <si>
    <t xml:space="preserve">Jl. Kranggan</t>
  </si>
  <si>
    <t xml:space="preserve">Lontong balap khas Surabaya dengan sate kerang</t>
  </si>
  <si>
    <t xml:space="preserve">Aiola Caravan</t>
  </si>
  <si>
    <t xml:space="preserve">Tempat makan konsep food truck caravan aesthetic harga di bawah Rp20.000</t>
  </si>
  <si>
    <t xml:space="preserve">Nasi Bebek Tugu Pahlawan</t>
  </si>
  <si>
    <t xml:space="preserve">Jl. Pasar Turi No.27-C, Bubutan, Surabaya</t>
  </si>
  <si>
    <t xml:space="preserve">Bubutan</t>
  </si>
  <si>
    <t xml:space="preserve">Bebek goreng empuk renyah dekat Stasiun Pasar Turi</t>
  </si>
  <si>
    <t xml:space="preserve">https://jatim.idntimes.com/food/dining-guide/kuliner-malam-di-dekat-stasiun-pasar-turi-surabaya-c1c2-01-n55lj-tqpq2y</t>
  </si>
  <si>
    <t xml:space="preserve">Video: Intip Minimarket Viral di Bali yang Punya View Laut Cantik - 20detik</t>
  </si>
  <si>
    <t xml:space="preserve">Nasi Goreng Pak Kumis</t>
  </si>
  <si>
    <t xml:space="preserve">Taman Apsari No.25, Embong Kaliasin, Genteng, Surabaya</t>
  </si>
  <si>
    <t xml:space="preserve">Nasi goreng krengsengan yang selalu ramai pembeli</t>
  </si>
  <si>
    <t xml:space="preserve">Fluffy Fluffy Pancake</t>
  </si>
  <si>
    <t xml:space="preserve">Food Society lantai 2 Pakuwon Mall Surabaya</t>
  </si>
  <si>
    <t xml:space="preserve">Babatan</t>
  </si>
  <si>
    <t xml:space="preserve">Wiyung</t>
  </si>
  <si>
    <t xml:space="preserve">Pakuwon Mall</t>
  </si>
  <si>
    <t xml:space="preserve">Gerai pertama di Indonesia brand dessert pancake soufflé asal Kanada</t>
  </si>
  <si>
    <t xml:space="preserve">https://www.nibble.id/restoran-baru-di-surabaya-april-2026/</t>
  </si>
  <si>
    <t xml:space="preserve">Viral! Aksi Bule Wanita Diduga Curi 4 Pakaian Senilai 2,5 Juta di Ubud Terekam CCTV - Balinetizen</t>
  </si>
  <si>
    <t xml:space="preserve">Balinetizen</t>
  </si>
  <si>
    <t xml:space="preserve">Noctra Hookah Premium Lounge</t>
  </si>
  <si>
    <t xml:space="preserve">Jl. Ngagel Timur 20, Surabaya</t>
  </si>
  <si>
    <t xml:space="preserve">Jl. Ngagel Timur</t>
  </si>
  <si>
    <t xml:space="preserve">Lounge hangout malam baru bernuansa modern mewah</t>
  </si>
  <si>
    <t xml:space="preserve">Fronds</t>
  </si>
  <si>
    <t xml:space="preserve">Restoran baru perpaduan klasik Barat dan elegan Jepang di bangunan dua lantai</t>
  </si>
  <si>
    <t xml:space="preserve">Nasi Cumi Ibu Atun</t>
  </si>
  <si>
    <t xml:space="preserve">Jl. Waspada No. 2-4, Bongkaran, Pabean Cantian, Surabaya</t>
  </si>
  <si>
    <t xml:space="preserve">Primadona kuliner malam nasi cumi tinta hitam ramai hingga dini hari</t>
  </si>
  <si>
    <t xml:space="preserve">https://www.kompas.com/food/read/2026/04/07/163000275/6-tempat-makan-malam-enak-di-kawasan-kota-lama-surabaya?page=all</t>
  </si>
  <si>
    <t xml:space="preserve">Pura-pura Belanja, Pria Bawa Kabur 6 Karung Beras dari Toko di Denpasar - detikcom</t>
  </si>
  <si>
    <t xml:space="preserve">Bebek Goreng Tugu Pahlawan</t>
  </si>
  <si>
    <t xml:space="preserve">Jl. Tembaan No. 17, Alun-alun Contong, Bubutan, Surabaya</t>
  </si>
  <si>
    <t xml:space="preserve">Alun-alun Contong</t>
  </si>
  <si>
    <t xml:space="preserve">Bebek goreng legendaris di depan Monumen Tugu Pahlawan</t>
  </si>
  <si>
    <t xml:space="preserve">Jl. Walikota Mustajab (Ondomohen)</t>
  </si>
  <si>
    <t xml:space="preserve">Sate klopo legendaris berbalur parutan kelapa</t>
  </si>
  <si>
    <t xml:space="preserve">Sentra PKL Taman Bungkul, Jl. Raya Darmo, Surabaya</t>
  </si>
  <si>
    <t xml:space="preserve">koordinat Taman Bungkul</t>
  </si>
  <si>
    <t xml:space="preserve">Rawon konsisten rasanya, pilihan makan malam warga</t>
  </si>
  <si>
    <t xml:space="preserve">https://jatim.idntimes.com/food/dining-guide/10-kuliner-malam-surabaya-yang-wajib-dicoba-favorit-warga-lokal-c1c2-01-sq9xb-7vm89n</t>
  </si>
  <si>
    <t xml:space="preserve">244 Hotel dan Vila Bali Masuk Pasar Jual-Beli, Koster Klaim 5.000 Vila Urus Izin - BaliNews.id</t>
  </si>
  <si>
    <t xml:space="preserve">BaliNews.id</t>
  </si>
  <si>
    <t xml:space="preserve">Binar Sebaya</t>
  </si>
  <si>
    <t xml:space="preserve">Jl. Comal No. 27, Keputran, Tegalsari, Surabaya</t>
  </si>
  <si>
    <t xml:space="preserve">Keputran</t>
  </si>
  <si>
    <t xml:space="preserve">Coffee shop vintage baru di bangunan lawas dengan halaman rindang</t>
  </si>
  <si>
    <t xml:space="preserve">https://www.nibble.id/restoran-baru-di-surabaya-juli-2026/</t>
  </si>
  <si>
    <t xml:space="preserve">Siswi SD Lompat dari Lantai 3 Pasar di Bali saat Buat Video Joget, Sebut Ingin Beri Surprise - Grid.ID</t>
  </si>
  <si>
    <t xml:space="preserve">Fore Donut</t>
  </si>
  <si>
    <t xml:space="preserve">Pakuwon City Mall 2, Surabaya</t>
  </si>
  <si>
    <t xml:space="preserve">Kejawan Putih Tambak</t>
  </si>
  <si>
    <t xml:space="preserve">Mulyorejo</t>
  </si>
  <si>
    <t xml:space="preserve">Pakuwon City Mall</t>
  </si>
  <si>
    <t xml:space="preserve">Donat viral asal Jakarta buka cabang pertama di luar Jabodetabek</t>
  </si>
  <si>
    <t xml:space="preserve">MANTIS Bar &amp; Lounge</t>
  </si>
  <si>
    <t xml:space="preserve">Tempat hangout malam baru dengan menu Nusantara dan internasional</t>
  </si>
  <si>
    <t xml:space="preserve">Ayam Goreng Asli Pemuda</t>
  </si>
  <si>
    <t xml:space="preserve">Jalan Tidar Nomor 29, Surabaya</t>
  </si>
  <si>
    <t xml:space="preserve">Jl. Tidar</t>
  </si>
  <si>
    <t xml:space="preserve">Ayam goreng sejak 1977 dicicipi Tissa Biani dan Dul Jaelani</t>
  </si>
  <si>
    <t xml:space="preserve">https://food.detik.com/rumah-makan/d-8614895/tissa-biani-dan-dul-kulineran-di-surabaya-cicip-4-makanan-khas-nikmat</t>
  </si>
  <si>
    <t xml:space="preserve">BI dampingi UMKM adopsi digital untuk perluas akses pasar - ANTARA News Bali</t>
  </si>
  <si>
    <t xml:space="preserve">Lontong Balap Asli Pak Gendut</t>
  </si>
  <si>
    <t xml:space="preserve">Jalan Embong Malang Nomor 38, Surabaya</t>
  </si>
  <si>
    <t xml:space="preserve">Jl. Embong Malang</t>
  </si>
  <si>
    <t xml:space="preserve">Pelopor lontong balap Surabaya sejak 1956</t>
  </si>
  <si>
    <t xml:space="preserve">Tahu Campur dan Tahu Tek Cak Kin</t>
  </si>
  <si>
    <t xml:space="preserve">Jalan Dr. Ir. H. Soekarno, Surabaya</t>
  </si>
  <si>
    <t xml:space="preserve">Jl. Dr. Ir. H. Soekarno (MERR), lintas kecamatan</t>
  </si>
  <si>
    <t xml:space="preserve">Kuliner khas Surabaya yang dicicipi Tissa Biani dan Dul Jaelani</t>
  </si>
  <si>
    <t xml:space="preserve">Es Teler Pacar Keling</t>
  </si>
  <si>
    <t xml:space="preserve">Jl. Penataran No.2, Pacar Keling, Tambaksari, Surabaya</t>
  </si>
  <si>
    <t xml:space="preserve">Pacar Keling</t>
  </si>
  <si>
    <t xml:space="preserve">Tambaksari</t>
  </si>
  <si>
    <t xml:space="preserve">Es teler porsi jumbo terkenal di kalangan warga Surabaya</t>
  </si>
  <si>
    <t xml:space="preserve">https://jatim.idntimes.com/food/dining-guide/tempat-minuman-es-di-surabaya-c1c2-01-3hq5x-hrm3jc</t>
  </si>
  <si>
    <t xml:space="preserve">Inisiatif Reformasi Pasar Modal Indonesia Dapat Pengakuan Dalam Asesmen MSCI - baliviralnews.com</t>
  </si>
  <si>
    <t xml:space="preserve">baliviralnews.com</t>
  </si>
  <si>
    <t xml:space="preserve">Es Teler Tanjung Anom</t>
  </si>
  <si>
    <t xml:space="preserve">Jl. Tanjung Anom No. 2, Surabaya</t>
  </si>
  <si>
    <t xml:space="preserve">Jl. Tanjung Anom</t>
  </si>
  <si>
    <t xml:space="preserve">Kuliner legend es teler dan bakso sapi</t>
  </si>
  <si>
    <t xml:space="preserve">Es Dawet Kudus Cak Minto</t>
  </si>
  <si>
    <t xml:space="preserve">Jalan Mayjen Sungkono, Surabaya</t>
  </si>
  <si>
    <t xml:space="preserve">Jl. Mayjen Sungkono</t>
  </si>
  <si>
    <t xml:space="preserve">Kedai es dawet yang tak pernah sepi pengunjung</t>
  </si>
  <si>
    <t xml:space="preserve">Gyunim</t>
  </si>
  <si>
    <t xml:space="preserve">Jl. Embong Gayam No. 11, Surabaya</t>
  </si>
  <si>
    <t xml:space="preserve">Jl. Embong Gayam</t>
  </si>
  <si>
    <t xml:space="preserve">Restoran Jepang baru konsep modern izakaya</t>
  </si>
  <si>
    <t xml:space="preserve">https://www.nibble.id/restoran-baru-di-surabaya-juni-2026/</t>
  </si>
  <si>
    <t xml:space="preserve">TP PKK Denpasar Berbelanja dan Berbagi di Pasar Rakyat TP PKK Provinsi Bali - Balinetizen</t>
  </si>
  <si>
    <t xml:space="preserve">Youfu HK Kopitiam</t>
  </si>
  <si>
    <t xml:space="preserve">Jl. Raya Darmo Permai 1 No.42, Surabaya</t>
  </si>
  <si>
    <t xml:space="preserve">Darmo Permai</t>
  </si>
  <si>
    <t xml:space="preserve">Kopitiam Hong Kong modern baru dengan dimsum dan claypot</t>
  </si>
  <si>
    <t xml:space="preserve">Patta Hamburg</t>
  </si>
  <si>
    <t xml:space="preserve">Restoran baru hamburg steak ala Jepang</t>
  </si>
  <si>
    <t xml:space="preserve">Haidilao</t>
  </si>
  <si>
    <t xml:space="preserve">Pakuwon Mall Lantai G The Terrace, Babatan, Wiyung, Surabaya</t>
  </si>
  <si>
    <t xml:space="preserve">Restoran hot pot asal Tiongkok terkenal enak</t>
  </si>
  <si>
    <t xml:space="preserve">https://www.nibble.id/restoran-hot-pot-surabaya/</t>
  </si>
  <si>
    <t xml:space="preserve">2 Bule yang Bikin Event Lari Diskriminasi WNI di Bali Sudah di Luar Negeri - detikNews</t>
  </si>
  <si>
    <t xml:space="preserve">Dragon Hot Pot</t>
  </si>
  <si>
    <t xml:space="preserve">Tunjungan Plaza dan Pakuwon Mall, Surabaya</t>
  </si>
  <si>
    <t xml:space="preserve">Kedungdoro</t>
  </si>
  <si>
    <t xml:space="preserve">dua lokasi: Tunjungan Plaza (koordinat) dan Pakuwon Mall</t>
  </si>
  <si>
    <t xml:space="preserve">Restoran hot pot favorit warga Surabaya dengan ratusan topping</t>
  </si>
  <si>
    <t xml:space="preserve">ARTSUBS 2026</t>
  </si>
  <si>
    <t xml:space="preserve">Pameran seni yang ramai pengunjung</t>
  </si>
  <si>
    <t xml:space="preserve">22 September 2026</t>
  </si>
  <si>
    <t xml:space="preserve">https://ketik.com/amp/wisata-surabaya-gak-cuma-mal-intip-3-galeri-seni-estetik-di-kota-pahlawan</t>
  </si>
  <si>
    <t xml:space="preserve">Bali Viral Lagi Gara-Gara Event Lari Digital Nomad Istimewakan Bule, Diskriminasi WNI - AFU.id</t>
  </si>
  <si>
    <t xml:space="preserve">UYCC Art Gallery</t>
  </si>
  <si>
    <t xml:space="preserve">Lantai 2 Unic Hotel, Jalan Embong Tanjung Nomor 46-48, Embong Kaliasin, Surabaya</t>
  </si>
  <si>
    <t xml:space="preserve">Galeri seni instagramable dengan pameran visual dan instalasi</t>
  </si>
  <si>
    <t xml:space="preserve">Teh Villa Gallery</t>
  </si>
  <si>
    <t xml:space="preserve">Jalan Rungkut Industri II Nomor 53, Surabaya</t>
  </si>
  <si>
    <t xml:space="preserve">Rungkut</t>
  </si>
  <si>
    <t xml:space="preserve">kawasan industri Rungkut (SIER)</t>
  </si>
  <si>
    <t xml:space="preserve">Galeri seni di pabrik teh aktif dengan kegiatan melukis bersama</t>
  </si>
  <si>
    <t xml:space="preserve">050</t>
  </si>
  <si>
    <t xml:space="preserve">Jalan Tunjungan</t>
  </si>
  <si>
    <t xml:space="preserve">Jalan Tunjungan, Surabaya</t>
  </si>
  <si>
    <t xml:space="preserve">Viral kucing berkostum dipakai open donasi di kawasan wisata, Pemkot larang (isu negatif)</t>
  </si>
  <si>
    <t xml:space="preserve">https://www.detik.com/jatim/berita/d-8679514/walkot-eri-ingatkan-larangan-hewan-open-donasi-di-tempat-wisata-cfd</t>
  </si>
  <si>
    <t xml:space="preserve">Event Bali Silent Disco Larang WNI Ikut, Polres Badung Selidiki Izin - Media Indonesia</t>
  </si>
  <si>
    <t xml:space="preserve">Taman Bungkul</t>
  </si>
  <si>
    <t xml:space="preserve">Titik kumpul paling sibuk tiap Minggu pagi, fasilitas olahraga dan jajanan</t>
  </si>
  <si>
    <t xml:space="preserve">https://jatimnow.com/baca-84223-daftar-wisata-surabaya-paling-hits-untuk-melepas-penat-hari-minggu</t>
  </si>
  <si>
    <t xml:space="preserve">Tak Berizin dan Viral: Event ‘Silent Disco Run’, Ini Kata DPR RI dan Gubernur Bali - Balinetizen</t>
  </si>
  <si>
    <t xml:space="preserve">Taman Harmoni Keputih</t>
  </si>
  <si>
    <t xml:space="preserve">Keputih, Surabaya</t>
  </si>
  <si>
    <t xml:space="preserve">Keputih</t>
  </si>
  <si>
    <t xml:space="preserve">Sukolilo</t>
  </si>
  <si>
    <t xml:space="preserve">Bekas TPA kini cantik dengan hamparan bunga warna-warni</t>
  </si>
  <si>
    <t xml:space="preserve">Hutan Bambu Keputih</t>
  </si>
  <si>
    <t xml:space="preserve">Lorong pohon bambu estetik serupa suasana Jepang</t>
  </si>
  <si>
    <t xml:space="preserve">Kebun Bibit Wonorejo</t>
  </si>
  <si>
    <t xml:space="preserve">Wonorejo, Surabaya</t>
  </si>
  <si>
    <t xml:space="preserve">Hutan kota dengan danau buatan favorit keluarga piknik</t>
  </si>
  <si>
    <t xml:space="preserve">Kenjeran Park</t>
  </si>
  <si>
    <t xml:space="preserve">Kenjeran, Surabaya</t>
  </si>
  <si>
    <t xml:space="preserve">Sukolilo Baru</t>
  </si>
  <si>
    <t xml:space="preserve">Bulak</t>
  </si>
  <si>
    <t xml:space="preserve">Kawasan pesisir untuk menikmati matahari terbenam</t>
  </si>
  <si>
    <t xml:space="preserve">Kelenteng Sanggar Agung</t>
  </si>
  <si>
    <t xml:space="preserve">di kompleks Kenjeran Park</t>
  </si>
  <si>
    <t xml:space="preserve">Area pesisir menikmati sunset dan angin laut</t>
  </si>
  <si>
    <t xml:space="preserve">Surabaya North Quay</t>
  </si>
  <si>
    <t xml:space="preserve">Tanjung Perak, Surabaya</t>
  </si>
  <si>
    <t xml:space="preserve">Perak Utara</t>
  </si>
  <si>
    <t xml:space="preserve">Bersantai sambil memandangi kapal niaga dan kapal pesiar</t>
  </si>
  <si>
    <t xml:space="preserve">Jalan Perak Utara, Kecamatan Pabean Cantian, Surabaya</t>
  </si>
  <si>
    <t xml:space="preserve">Spot terbaik menikmati sunset dengan pemandangan kapal pesiar</t>
  </si>
  <si>
    <t xml:space="preserve">https://malangtimes.com/baca/3331346475/20260704/104000/rekomendasi-wisata-air-di-surabaya-dari-danau-hingga-sungai-di-tengah-kota</t>
  </si>
  <si>
    <t xml:space="preserve">Polemik Klub Lari di Bali Larang WNI Ikut Event - kumparan.com - Kumparan.com</t>
  </si>
  <si>
    <t xml:space="preserve">THP Kenjeran</t>
  </si>
  <si>
    <t xml:space="preserve">Kenjeran</t>
  </si>
  <si>
    <t xml:space="preserve">Promo tiket Rp 733 dalam rangka HJKS ke-733</t>
  </si>
  <si>
    <t xml:space="preserve">https://travel.detik.com/travel-news/d-8477327/liburan-murah-meriah-di-surabaya-harga-tiket-wisata-cuma-rp-733</t>
  </si>
  <si>
    <t xml:space="preserve">Entourage Bali Minta Maaf soal Event Lari yang Dituding Diskriminatif - detikcom</t>
  </si>
  <si>
    <t xml:space="preserve">Museum 10 November</t>
  </si>
  <si>
    <t xml:space="preserve">kompleks Tugu Pahlawan</t>
  </si>
  <si>
    <t xml:space="preserve">Kebun Raya Mangrove Gunung Anyar</t>
  </si>
  <si>
    <t xml:space="preserve">Gunung Anyar, Surabaya</t>
  </si>
  <si>
    <t xml:space="preserve">Gunung Anyar Tambak</t>
  </si>
  <si>
    <t xml:space="preserve">Gunung Anyar</t>
  </si>
  <si>
    <t xml:space="preserve">Promo tiket Rp 733 untuk 25 pengunjung pertama tiap akhir pekan</t>
  </si>
  <si>
    <t xml:space="preserve">Magnet wisata malam saat libur sekolah, bangunan bersejarah, kuliner, musik jalanan, spot foto</t>
  </si>
  <si>
    <t xml:space="preserve">https://surabaya.kompas.com/read/2026/06/28/204920978/jalan-tunjungan-surabaya-jadi-magnet-wisata-malam-selama-liburan-sekolah?page=all</t>
  </si>
  <si>
    <t xml:space="preserve">surabaya.kompas.com</t>
  </si>
  <si>
    <t xml:space="preserve">2 WNA Penyelenggara Event Lari Diduga Diskriminasi WNI di Bali, Punya Izin Kerja Terbatas - Kompas.com</t>
  </si>
  <si>
    <t xml:space="preserve">Kebun Binatang Surabaya</t>
  </si>
  <si>
    <t xml:space="preserve">Ditinjau DPRD di tengah dugaan korupsi PDTS dan isu foto satwa kurus yang ramai di medsos (isu negatif)</t>
  </si>
  <si>
    <t xml:space="preserve">2 Agustus 2026</t>
  </si>
  <si>
    <t xml:space="preserve">https://memorandum.disway.id/surabaya/read/165644/dprd-pastikan-satwa-kbs-surabaya-sehat-dorong-inovasi-wisata-dan-night-zoo</t>
  </si>
  <si>
    <t xml:space="preserve">memorandum.disway.id</t>
  </si>
  <si>
    <t xml:space="preserve">Event Lari Diskriminasi WNI di Bali, Imigrasi: WNA Dilarang Jadi Penyelenggara - detikNews</t>
  </si>
  <si>
    <t xml:space="preserve">Artificial Beach The Trans Luxury Hotel Surabaya</t>
  </si>
  <si>
    <t xml:space="preserve">Jalan Ahmad Yani, Surabaya</t>
  </si>
  <si>
    <t xml:space="preserve">Siwalankerto</t>
  </si>
  <si>
    <t xml:space="preserve">Wonocolo</t>
  </si>
  <si>
    <t xml:space="preserve">Trans Icon, Jl. Ahmad Yani 260</t>
  </si>
  <si>
    <t xml:space="preserve">Pantai buatan di rooftop lantai 28 dengan pasir impor dan pemandangan kota</t>
  </si>
  <si>
    <t xml:space="preserve">https://www.detik.com/jatim/wisata/d-8598945/rooftop-beach-club-trans-luxury-hotel-surabaya-serasa-liburan-di-bali</t>
  </si>
  <si>
    <t xml:space="preserve">4 Hal soal Bule Bikin Event Lari Diskriminasi WNI di Bali - detikNews</t>
  </si>
  <si>
    <t xml:space="preserve">Alun-Alun Bawah Tanah Surabaya</t>
  </si>
  <si>
    <t xml:space="preserve">Genteng, Surabaya</t>
  </si>
  <si>
    <t xml:space="preserve">basement Balai Pemuda</t>
  </si>
  <si>
    <t xml:space="preserve">Basement alun-alun sempat viral jadi spot nongkrong, foto, seni dan UMKM gratis</t>
  </si>
  <si>
    <t xml:space="preserve">https://www.suarasurabaya.net/senggang/2026/liburan-hemat-di-surabaya-dengan-5-destinasi-gratis-di-surabaya-ini/</t>
  </si>
  <si>
    <t xml:space="preserve">www.suarasurabaya.net</t>
  </si>
  <si>
    <t xml:space="preserve">7 Kuliner Kaki Lima yang Wajib Dicoba di Kota Praya Lombok Tengah - IDN Times NTB</t>
  </si>
  <si>
    <t xml:space="preserve">IDN Times NTB</t>
  </si>
  <si>
    <t xml:space="preserve">Jalan Marina Asri, Keputih, Sukolilo, Surabaya</t>
  </si>
  <si>
    <t xml:space="preserve">Bekas TPA jadi taman bambu rindang dan instagramable, gratis</t>
  </si>
  <si>
    <t xml:space="preserve">28th Sky Beach Club</t>
  </si>
  <si>
    <t xml:space="preserve">Jalan Ahmad Yani 260, Surabaya</t>
  </si>
  <si>
    <t xml:space="preserve">Beach club rooftop lantai 28 dengan pasir putih, infinity pool dan sunset</t>
  </si>
  <si>
    <t xml:space="preserve">https://www.detik.com/jatim/wisata/d-8541630/staycation-rp-1-1-juta-bisa-nikmati-sky-beach-club-di-hotel-viral-surabaya</t>
  </si>
  <si>
    <t xml:space="preserve">Rela Antre 1,5 Jam demi Nasi Briyani Viral di Mataram, 300 Porsi Ludes Tiap Hari - detikcom</t>
  </si>
  <si>
    <t xml:space="preserve">KidZania Surabaya</t>
  </si>
  <si>
    <t xml:space="preserve">Jalan KH Abdul Wahab Siamin, Dukuh Pakis, Surabaya</t>
  </si>
  <si>
    <t xml:space="preserve">Kota mini untuk anak mencoba berbagai profesi</t>
  </si>
  <si>
    <t xml:space="preserve">https://travel.tribunnews.com/destinasi/144693/5-tempat-wisata-ramah-anak-di-surabaya-cocok-untuk-liburan-keluarga</t>
  </si>
  <si>
    <t xml:space="preserve">13 Tempat Makan di Sentul dengan View Bagus yang Harus Dikunjungi! - - Gramedia</t>
  </si>
  <si>
    <t xml:space="preserve">Trans Snow World Surabaya</t>
  </si>
  <si>
    <t xml:space="preserve">Jalan Ahmad Yani 260, Siwalankerto, Wonocolo, Surabaya</t>
  </si>
  <si>
    <t xml:space="preserve">Wahana salju di tengah kota</t>
  </si>
  <si>
    <t xml:space="preserve">Rabbits in Wonderland</t>
  </si>
  <si>
    <t xml:space="preserve">Interaksi langsung memberi makan kelinci</t>
  </si>
  <si>
    <t xml:space="preserve">Pantai Wediawu</t>
  </si>
  <si>
    <t xml:space="preserve">Tirtoyudo, Kabupaten Malang</t>
  </si>
  <si>
    <t xml:space="preserve">Tirtoyudo</t>
  </si>
  <si>
    <t xml:space="preserve">Rombongan wisatawan Surabaya dikeroyok di vila setelah video chant viral (isu negatif)</t>
  </si>
  <si>
    <t xml:space="preserve">5 Mei 2026</t>
  </si>
  <si>
    <t xml:space="preserve">https://www.cnnindonesia.com/nasional/20260505204553-12-1355474/detik-detik-pengeroyokan-wisatawan-surabaya-di-malang</t>
  </si>
  <si>
    <t xml:space="preserve">Viral Tiket Masuk Taman Labuhan Haji Rp 20 Ribu, Dispar: Tak Sesuai Aturan - detikcom</t>
  </si>
  <si>
    <t xml:space="preserve">Pameran Aku Arek Suroboyo</t>
  </si>
  <si>
    <t xml:space="preserve">Basement Alun-Alun Surabaya</t>
  </si>
  <si>
    <t xml:space="preserve">Pameran sejarah Bung Karno sebagai Arek Suroboyo</t>
  </si>
  <si>
    <t xml:space="preserve">6-19 Juni 2026</t>
  </si>
  <si>
    <t xml:space="preserve">https://harianmerahputih.id/baca-20954-pameran-aku-arek-suroboyo-hadir-di-alunalun-surabaya-ungkap-jejak-bung-karno-di-kota-pahlawan</t>
  </si>
  <si>
    <t xml:space="preserve">Pengelola Taman Labuhan Haji Kini Turunkan Tiket Jadi Rp 15 Ribu gegara Viral - detikcom</t>
  </si>
  <si>
    <t xml:space="preserve">Balai Pemuda, Surabaya</t>
  </si>
  <si>
    <t xml:space="preserve">Balai Pemuda</t>
  </si>
  <si>
    <t xml:space="preserve">Pameran seni kontemporer lebih dari 300 karya dari 120 seniman</t>
  </si>
  <si>
    <t xml:space="preserve">19 September - 8 November 2026</t>
  </si>
  <si>
    <t xml:space="preserve">https://d-onenews.com/artsubs-2026-kembali-hadir-surabaya-diproyeksikan-jadi-pusat-seni-kontemporer-indonesia/</t>
  </si>
  <si>
    <t xml:space="preserve">d-onenews.com</t>
  </si>
  <si>
    <t xml:space="preserve">Cekcok Sopir di Mandalika Dinilai Ganggu Citra Pariwisata NTB - RRI.co.id</t>
  </si>
  <si>
    <t xml:space="preserve">Pasar Tugu Pahlawan</t>
  </si>
  <si>
    <t xml:space="preserve">kawasan Tugu Pahlawan</t>
  </si>
  <si>
    <t xml:space="preserve">Video dugaan pungli oknum DLH di kawasan pasar viral (isu negatif)</t>
  </si>
  <si>
    <t xml:space="preserve">https://informasi-realita.net/2026/07/29/diduga-terjadi-pungli-di-pasar-tugu-pahlawan-video-viral-hingga-direspons-wali-kota-surabaya/</t>
  </si>
  <si>
    <t xml:space="preserve">informasi-realita.net</t>
  </si>
  <si>
    <t xml:space="preserve">Viral Mobil MBG di Lombok Dipakai Jemput Penumpang-Wisata, BGN Buka Suara - detikHealth</t>
  </si>
  <si>
    <t xml:space="preserve">detikHealth</t>
  </si>
  <si>
    <t xml:space="preserve">Pasar Tembok Dukuh</t>
  </si>
  <si>
    <t xml:space="preserve">Tembok Dukuh</t>
  </si>
  <si>
    <t xml:space="preserve">Video adu mulut Satpol PP dan keamanan PD Pasar Surya viral (isu negatif)</t>
  </si>
  <si>
    <t xml:space="preserve">https://beritajatim.com/video-adu-mulut-satpol-pp-dan-petugas-pasar-tembok-dukuh-surabaya-viral</t>
  </si>
  <si>
    <t xml:space="preserve">beritajatim.com</t>
  </si>
  <si>
    <t xml:space="preserve">Warga temukan perabotan kuno saat bongkar makam di Lombok Barat - jatim.antaranews.com</t>
  </si>
  <si>
    <t xml:space="preserve">Pasar Tunjungan</t>
  </si>
  <si>
    <t xml:space="preserve">Jl. Tunjungan</t>
  </si>
  <si>
    <t xml:space="preserve">Pasar bersejarah direvitalisasi jadi pusat kuliner kekinian</t>
  </si>
  <si>
    <t xml:space="preserve">https://jogja.disway.id/gaya-hidup/read/699779/destinasi-kuliner-viral-yang-wajib-masuk-bucket-list-di-pasar-tunjungan-surabaya</t>
  </si>
  <si>
    <t xml:space="preserve">Viral Nasi Bejek di Mataram, Warga Rela Antre Sebelum Lapak Buka - detikcom</t>
  </si>
  <si>
    <t xml:space="preserve">Pasar Karang Menjangan</t>
  </si>
  <si>
    <t xml:space="preserve">Airlangga</t>
  </si>
  <si>
    <t xml:space="preserve">Gubeng</t>
  </si>
  <si>
    <t xml:space="preserve">kawasan Karang Menjangan</t>
  </si>
  <si>
    <t xml:space="preserve">Video pedagang keluhkan razia Satpol PP sita dagangan viral (isu negatif)</t>
  </si>
  <si>
    <t xml:space="preserve">24 April 2026</t>
  </si>
  <si>
    <t xml:space="preserve">https://www.detik.com/jatim/berita/d-8461246/viral-satpol-pp-surabaya-sita-sayur-lontong-dan-kikil-pedagang</t>
  </si>
  <si>
    <t xml:space="preserve">Warga Menduga Benda Kuno di Lombok Barat Peninggalan Masa Perang - SUARANTB.com</t>
  </si>
  <si>
    <t xml:space="preserve">SUARANTB.com</t>
  </si>
  <si>
    <t xml:space="preserve">051</t>
  </si>
  <si>
    <t xml:space="preserve">Pengakuan pedagang soal dagangan disita Satpol PP viral, Satpol PP membantah (isu negatif)</t>
  </si>
  <si>
    <t xml:space="preserve">27 April 2026</t>
  </si>
  <si>
    <t xml:space="preserve">https://www.detik.com/jatim/berita/d-8462796/protes-satpol-pp-surabaya-disebut-maling-gegara-viral-sita-lontong-kikil</t>
  </si>
  <si>
    <t xml:space="preserve">Dua Pelaku Pencurian di Toko Emas ‘Jakarta’ Pamekasan Ditangkap Polisi di NTB - beritajatim.com</t>
  </si>
  <si>
    <t xml:space="preserve">Festival Rujak Uleg</t>
  </si>
  <si>
    <t xml:space="preserve">Surabaya Expo Center, Surabaya</t>
  </si>
  <si>
    <t xml:space="preserve">Surabaya Expo Center</t>
  </si>
  <si>
    <t xml:space="preserve">Agenda HJKS ke-733 masuk Kharisma Event Nusantara 2026</t>
  </si>
  <si>
    <t xml:space="preserve">9 Mei 2026</t>
  </si>
  <si>
    <t xml:space="preserve">https://surabaya.inews.id/read/690019/festival-rujak-uleg-dan-surabaya-vaganza-jadi-andalan-hjks-2026-surabaya-makin-mendunia</t>
  </si>
  <si>
    <t xml:space="preserve">surabaya.inews.id</t>
  </si>
  <si>
    <t xml:space="preserve">Aturan soal Ritel Modern usai Viral Alfamart Ditutup Massal - Bloomberg Technoz</t>
  </si>
  <si>
    <t xml:space="preserve">2026-05-24</t>
  </si>
  <si>
    <t xml:space="preserve">Surabaya Vaganza</t>
  </si>
  <si>
    <t xml:space="preserve">Jalan Pahlawan hingga Balai Kota, Surabaya</t>
  </si>
  <si>
    <t xml:space="preserve">rute Jl. Pahlawan hingga Balai Kota</t>
  </si>
  <si>
    <t xml:space="preserve">Festival of Lights HJKS ke-733 dengan instalasi bunga dan cahaya, masuk KEN 2026</t>
  </si>
  <si>
    <t xml:space="preserve">16 Mei 2026</t>
  </si>
  <si>
    <t xml:space="preserve">Zona Club Surabaya</t>
  </si>
  <si>
    <t xml:space="preserve">Jalan Kapasari, Genteng, Surabaya</t>
  </si>
  <si>
    <t xml:space="preserve">Kapasari</t>
  </si>
  <si>
    <t xml:space="preserve">Poster perempuan berseragam Polri heboh di media sosial, manajemen diperiksa polisi (isu negatif)</t>
  </si>
  <si>
    <t xml:space="preserve">https://beritajatim.com/murni-kreatifitas-pribadi-owner-zona-club-surabaya-minta-maaf-usai-poster-polisi-viral</t>
  </si>
  <si>
    <t xml:space="preserve">Ibu dan Anak Curi Emas demi Bayar Utang, Keliling Provinsi Ditangkap di NTB - surabaya.kompas.com</t>
  </si>
  <si>
    <t xml:space="preserve">Ambrogio Patisserie</t>
  </si>
  <si>
    <t xml:space="preserve">Jl. Banda No. 26, Bandung</t>
  </si>
  <si>
    <t xml:space="preserve">Citarum</t>
  </si>
  <si>
    <t xml:space="preserve">Kafe dan restoran halal family-friendly dengan pastry premium</t>
  </si>
  <si>
    <t xml:space="preserve">https://www.tripzilla.id/cafe-restoran-halal-certified-di-bandung/27658</t>
  </si>
  <si>
    <t xml:space="preserve">Pembobol Toko di Lombok Utara Ditangkap Saat Sembunyi di Semak - detikcom</t>
  </si>
  <si>
    <t xml:space="preserve">Sop Burtok</t>
  </si>
  <si>
    <t xml:space="preserve">Jalan Aceh No. 44, Babakan Ciamis, Sumur Bandung, Bandung</t>
  </si>
  <si>
    <t xml:space="preserve">Babakan Ciamis</t>
  </si>
  <si>
    <t xml:space="preserve">Kuliner sop daging sapi yang ramai diperbincangkan di Bandung</t>
  </si>
  <si>
    <t xml:space="preserve">https://jabar.antaranews.com/berita/708797/sop-burtok-bandung-cita-rasa-kuliner-unik-lokasi-dan-menu-favorit</t>
  </si>
  <si>
    <t xml:space="preserve">Dikira Rampok, Pria di Lombok Timur Hampir Diamuk Massa Saat Mau Beli Bakso - detikcom</t>
  </si>
  <si>
    <t xml:space="preserve">Braga Permai</t>
  </si>
  <si>
    <t xml:space="preserve">Jl. Braga No. 58, Sumur Bandung, Bandung</t>
  </si>
  <si>
    <t xml:space="preserve">Restoran klasik sejak 1923 dengan kudapan kolonial dan live music</t>
  </si>
  <si>
    <t xml:space="preserve">https://www.tripzilla.id/tempat-makan-di-braga-murah-hits-legendaris-viral/27636</t>
  </si>
  <si>
    <t xml:space="preserve">Gempa NTT: Pemerintah Indonesia tolak bantuan dari negara lain, apa alasannya? - BBC</t>
  </si>
  <si>
    <t xml:space="preserve">Toko Roti Het Snoephuis</t>
  </si>
  <si>
    <t xml:space="preserve">Jl. Braga No. 20-22, Sumur Bandung, Bandung</t>
  </si>
  <si>
    <t xml:space="preserve">Toko roti sejak 1929 dengan resep otentik Belanda dan es krim legendaris</t>
  </si>
  <si>
    <t xml:space="preserve">The Square Room</t>
  </si>
  <si>
    <t xml:space="preserve">Pajajaran, Cicendo, Bandung</t>
  </si>
  <si>
    <t xml:space="preserve">Pajajaran</t>
  </si>
  <si>
    <t xml:space="preserve">Cicendo</t>
  </si>
  <si>
    <t xml:space="preserve">Bakery dan kafe baru dengan interior serba kotak dan donat kotak sourdough, langsung ramai diantre</t>
  </si>
  <si>
    <t xml:space="preserve">Awal April 2026</t>
  </si>
  <si>
    <t xml:space="preserve">https://food.detik.com/tempat-makan/d-8465310/baru-buka-5-tempat-makan-di-bandung-ini-langsung-antre</t>
  </si>
  <si>
    <t xml:space="preserve">Gubernur NTB Siapkan Revitalisasi Pasar Seni Senggigi, Usung Konsep Mirip Pelabuhan Sydney - insidelombok</t>
  </si>
  <si>
    <t xml:space="preserve">insidelombok</t>
  </si>
  <si>
    <t xml:space="preserve">Cipedes, Bandung</t>
  </si>
  <si>
    <t xml:space="preserve">Restoran konsep industrial ala Inggris yang sedang ramai diperbincangkan</t>
  </si>
  <si>
    <t xml:space="preserve">https://bandungraya.inews.id/read/689524/kuliner-bandung-lagi-naik-daun-3-restoran-ini-ramai-diburu-wisatawan</t>
  </si>
  <si>
    <t xml:space="preserve">bandungraya.inews.id</t>
  </si>
  <si>
    <t xml:space="preserve">Sampah Menumpuk di Pasar Tente - SUARANTB.com</t>
  </si>
  <si>
    <t xml:space="preserve">Golden Pine</t>
  </si>
  <si>
    <t xml:space="preserve">Orchid Forest Cikole, Lembang, Bandung Barat</t>
  </si>
  <si>
    <t xml:space="preserve">Cikole</t>
  </si>
  <si>
    <t xml:space="preserve">Orchid Forest Cikole</t>
  </si>
  <si>
    <t xml:space="preserve">Tempat makan rumah kaca ala Eropa di tengah hutan pinus</t>
  </si>
  <si>
    <t xml:space="preserve">https://www.tripzilla.id/spot-kulineran-di-bandung-suasana-hutan-sejuk/27576</t>
  </si>
  <si>
    <t xml:space="preserve">Pasar Pringgabaya Terbakar, Pedagang Dapat Lapak Sementara - detikcom</t>
  </si>
  <si>
    <t xml:space="preserve">Maries Library</t>
  </si>
  <si>
    <t xml:space="preserve">Tempat cozy dan hening untuk me time dan WFC</t>
  </si>
  <si>
    <t xml:space="preserve">Alun-Alun Kota Bandung</t>
  </si>
  <si>
    <t xml:space="preserve">Jl. Asia Afrika, Balonggede, Regol, Bandung</t>
  </si>
  <si>
    <t xml:space="preserve">Balonggede</t>
  </si>
  <si>
    <t xml:space="preserve">Regol</t>
  </si>
  <si>
    <t xml:space="preserve">Ruang publik gratis dengan rumput sintetis luas</t>
  </si>
  <si>
    <t xml:space="preserve">https://www.detik.com/jabar/wisata/d-8681616/7-tempat-wisata-gratis-di-kota-bandung/amp</t>
  </si>
  <si>
    <t xml:space="preserve">Pasar Ikan Bintaro Berpotensi Jadi Titik Parkir Resmi Baru di Mataram - detikcom</t>
  </si>
  <si>
    <t xml:space="preserve">Jl. Braga, Sumur Bandung, Bandung</t>
  </si>
  <si>
    <t xml:space="preserve">Kawasan heritage kolonial gratis untuk jalan-jalan dan berfoto</t>
  </si>
  <si>
    <t xml:space="preserve">Jalan Asia Afrika</t>
  </si>
  <si>
    <t xml:space="preserve">Jl. Asia Afrika, Sumur Bandung, Bandung</t>
  </si>
  <si>
    <t xml:space="preserve">Menyusuri trotoar dengan bangunan bersejarah gratis</t>
  </si>
  <si>
    <t xml:space="preserve">Ranca Upas</t>
  </si>
  <si>
    <t xml:space="preserve">Jl. Raya Ciwidey-Patengan KM 11, Patengan, Rancabali, Bandung</t>
  </si>
  <si>
    <t xml:space="preserve">Patengan</t>
  </si>
  <si>
    <t xml:space="preserve">Rancabali</t>
  </si>
  <si>
    <t xml:space="preserve">teks menyebut "Bandung"; secara administratif Kabupaten Bandung</t>
  </si>
  <si>
    <t xml:space="preserve">Penangkaran rusa dan area berkemah di dataran tinggi</t>
  </si>
  <si>
    <t xml:space="preserve">https://riaurealita.com/news/detail/34592/8-tempat-wisata-bandung-untuk-liburan-akhir-pekan</t>
  </si>
  <si>
    <t xml:space="preserve">riaurealita.com</t>
  </si>
  <si>
    <t xml:space="preserve">Atasi Kelangkaan, Pertamina Gelontorkan 27 Ribu LPG Melon ke Lombok Timur - detikcom</t>
  </si>
  <si>
    <t xml:space="preserve">Tebing Keraton</t>
  </si>
  <si>
    <t xml:space="preserve">Taman Hutan Raya Ir. H. Djuanda, Ciburial, Cimenyan, Bandung</t>
  </si>
  <si>
    <t xml:space="preserve">Ciburial</t>
  </si>
  <si>
    <t xml:space="preserve">Cimenyan</t>
  </si>
  <si>
    <t xml:space="preserve">Panorama hutan dari ketinggian</t>
  </si>
  <si>
    <t xml:space="preserve">Kampung Pelangi (Lembur Katumbiri)</t>
  </si>
  <si>
    <t xml:space="preserve">Bantaran Sungai Cikapundung, Bandung</t>
  </si>
  <si>
    <t xml:space="preserve">bantaran Sungai Cikapundung</t>
  </si>
  <si>
    <t xml:space="preserve">Kampung warna-warni sempat viral dan diserbu wisatawan, kini sepi di hari biasa</t>
  </si>
  <si>
    <t xml:space="preserve">Sekitar 2025</t>
  </si>
  <si>
    <t xml:space="preserve">https://bandungbergerak.id/article/detail/1546038410/bagaimana-kabar-warga-di-pinggiran-destinasi-wisata-kota-bandung</t>
  </si>
  <si>
    <t xml:space="preserve">bandungbergerak.id</t>
  </si>
  <si>
    <t xml:space="preserve">Pria Meninggal Mendadak Saat Jualan Bareng Anak-Istri di Pasar Oefitis Kupang - detikcom</t>
  </si>
  <si>
    <t xml:space="preserve">Pantai Indah Kapuk</t>
  </si>
  <si>
    <t xml:space="preserve">kawasan PIK (Kamal Muara/Kapuk Muara)</t>
  </si>
  <si>
    <t xml:space="preserve">Diperkenalkan PIK Tourism Board kepada pelaku wisata Bandung sebagai destinasi terpadu</t>
  </si>
  <si>
    <t xml:space="preserve">https://www.suara.com/lifestyle/2026/09/26/191311/dari-kuliner-hingga-hiburan-travel-agent-bandung-mulai-lirik-kawasan-wisata-ini-di-ibu-kota</t>
  </si>
  <si>
    <t xml:space="preserve">www.suara.com</t>
  </si>
  <si>
    <t xml:space="preserve">MBG: Mulai korupsi hingga penutupan SPPG, deretan persoalan yang muncul dan belum dituntaskan - BBC</t>
  </si>
  <si>
    <t xml:space="preserve">Museum Geologi</t>
  </si>
  <si>
    <t xml:space="preserve">Cihaur Geulis</t>
  </si>
  <si>
    <t xml:space="preserve">Cibeunying Kaler</t>
  </si>
  <si>
    <t xml:space="preserve">Koleksi fosil, batuan, mineral dan replika dinosaurus dengan tiket murah</t>
  </si>
  <si>
    <t xml:space="preserve">https://pegadaian.co.id/artikel/inspirasi/wisata-bandung</t>
  </si>
  <si>
    <t xml:space="preserve">Viral kasus roti MBG brbelatung di Lombok Tengah kini dihentikan - kalteng.antaranews.com</t>
  </si>
  <si>
    <t xml:space="preserve">kalteng.antaranews.com</t>
  </si>
  <si>
    <t xml:space="preserve">Curug Malela</t>
  </si>
  <si>
    <t xml:space="preserve">Bandung Barat</t>
  </si>
  <si>
    <t xml:space="preserve">Cicadas</t>
  </si>
  <si>
    <t xml:space="preserve">Rongga</t>
  </si>
  <si>
    <t xml:space="preserve">Air terjun dijuluki Niagara Mini</t>
  </si>
  <si>
    <t xml:space="preserve">Tempat bersantai gratis di pusat kota</t>
  </si>
  <si>
    <t xml:space="preserve">Sunrise Point Cukul</t>
  </si>
  <si>
    <t xml:space="preserve">Pangalengan, Bandung</t>
  </si>
  <si>
    <t xml:space="preserve">Pangalengan</t>
  </si>
  <si>
    <t xml:space="preserve">teks menyebut "Bandung"; Pangalengan di Kabupaten Bandung</t>
  </si>
  <si>
    <t xml:space="preserve">Menikmati matahari terbit dengan hamparan kebun teh</t>
  </si>
  <si>
    <t xml:space="preserve">Lontong Kari Kebon Karet</t>
  </si>
  <si>
    <t xml:space="preserve">Sarapan lontong kari legendaris</t>
  </si>
  <si>
    <t xml:space="preserve">https://travel.tribunnews.com/destinasi/142815/itinerary-bandung-2-hari-1-malam-budget-rp-15-jutaan-dessert-viral</t>
  </si>
  <si>
    <t xml:space="preserve">Ribuan Sukarelawan SPPG Datangi Kantor Gubernur NTB, Minta Program MBG Tetap Berlanjut - jpnn.com</t>
  </si>
  <si>
    <t xml:space="preserve">jpnn.com</t>
  </si>
  <si>
    <t xml:space="preserve">Jalan Braga, Sumur Bandung, Bandung</t>
  </si>
  <si>
    <t xml:space="preserve">Jalan legendaris nuansa Eropa klasik dengan kafe vintage dan galeri seni</t>
  </si>
  <si>
    <t xml:space="preserve">https://www.tripzilla.id/tempat-wisata-dekat-stasiun-bandung/27226</t>
  </si>
  <si>
    <t xml:space="preserve">Viral, Pejabat BNPB Wawancara dari Rumah Makan di NTT, Ini Klarifikasinya - Kompas.com</t>
  </si>
  <si>
    <t xml:space="preserve">Museum Konferensi Asia Afrika</t>
  </si>
  <si>
    <t xml:space="preserve">Jl. Asia Afrika No. 65, Braga, Sumur Bandung, Bandung</t>
  </si>
  <si>
    <t xml:space="preserve">Museum sejarah diplomasi dunia dengan ruang konferensi asli</t>
  </si>
  <si>
    <t xml:space="preserve">052</t>
  </si>
  <si>
    <t xml:space="preserve">Punclut (Puncak Ciumbuleuit)</t>
  </si>
  <si>
    <t xml:space="preserve">Ciumbuleuit</t>
  </si>
  <si>
    <t xml:space="preserve">Cidadap</t>
  </si>
  <si>
    <t xml:space="preserve">kawasan Punclut sebagian masuk Kabupaten Bandung Barat</t>
  </si>
  <si>
    <t xml:space="preserve">Panorama Kota Bandung dari ketinggian, populer lewat konten TikTok dan Instagram, warganet antusias</t>
  </si>
  <si>
    <t xml:space="preserve">https://rri.co.id/bandung/wisata/2631404/punclut-kian-jadi-favorit-wisata-di-bandung</t>
  </si>
  <si>
    <t xml:space="preserve">BNPB Klarifikasi Video Viral Bertugas di Tempat Makan - Tirto.id</t>
  </si>
  <si>
    <t xml:space="preserve">Tirto.id</t>
  </si>
  <si>
    <t xml:space="preserve">TJI LAKI 9</t>
  </si>
  <si>
    <t xml:space="preserve">Jl. Cilaki No. 9, Cihapit, Bandung</t>
  </si>
  <si>
    <t xml:space="preserve">Toko oleh-oleh bolu pisang premium yang viral di bangunan kolonial</t>
  </si>
  <si>
    <t xml:space="preserve">https://bandungraya.inews.id/read/686605/3-oleh-oleh-bandung-paling-viral-rasa-premium-bikin-antre-panjang</t>
  </si>
  <si>
    <t xml:space="preserve">Sebagian Objek Wisata di NTT Ditutup Sementara Pascagempa, Ada Wae Rebo hingga Taman Nasional Kelimutu - VIVA.co.id</t>
  </si>
  <si>
    <t xml:space="preserve">Toko roti viral konsep serba kotak dengan cubic croissant, spot foto favorit</t>
  </si>
  <si>
    <t xml:space="preserve">https://bandungraya.inews.id/read/688410/bikin-ngiler-3-bakery-viral-bandung-ini-selalu-full-pengunjung</t>
  </si>
  <si>
    <t xml:space="preserve">Rupiah Melemah, ASITA Sebut Wisata NTT Tidak Otomatis Meningkat - RRI.co.id</t>
  </si>
  <si>
    <t xml:space="preserve">Toko roti viral roti jadul rasa premium, pembeli antre sejak pagi</t>
  </si>
  <si>
    <t xml:space="preserve">Terve Chocolate</t>
  </si>
  <si>
    <t xml:space="preserve">Jl. Bengawan No. 23, Bandung</t>
  </si>
  <si>
    <t xml:space="preserve">Jl. Bengawan</t>
  </si>
  <si>
    <t xml:space="preserve">Pabrik, toko dan kafe serba cokelat dari kakao lokal dengan workshop</t>
  </si>
  <si>
    <t xml:space="preserve">https://www.nibble.id/toko-cokelat-di-bandung/</t>
  </si>
  <si>
    <t xml:space="preserve">Wisata Danau Kelimutu Kembali Dibuka Setelah Gempa Flores - AFU.id</t>
  </si>
  <si>
    <t xml:space="preserve">Briiz Chocolate</t>
  </si>
  <si>
    <t xml:space="preserve">Toko cokelat bean to bar dari kakao petani lokal</t>
  </si>
  <si>
    <t xml:space="preserve">Restoran viral untuk sarapan dengan antrean sangat panjang</t>
  </si>
  <si>
    <t xml:space="preserve">https://www.tripzilla.id/itinerary-3h2m-liburan-bandung/26865</t>
  </si>
  <si>
    <t xml:space="preserve">Rasakan Uniknya Sisir dari Tulang Sapi di Nusa Tenggara Timur - 20detik</t>
  </si>
  <si>
    <t xml:space="preserve">Game On Arcade</t>
  </si>
  <si>
    <t xml:space="preserve">Arena permainan misi menginjak warna untuk menguji kekompakan</t>
  </si>
  <si>
    <t xml:space="preserve">The Pavlove Rooms</t>
  </si>
  <si>
    <t xml:space="preserve">Jl. Pajajaran, Bandung</t>
  </si>
  <si>
    <t xml:space="preserve">Jl. Pajajaran</t>
  </si>
  <si>
    <t xml:space="preserve">Kafe hits penuh warna dengan kelas keramik dan photobooth</t>
  </si>
  <si>
    <t xml:space="preserve">Cihapit, Bandung</t>
  </si>
  <si>
    <t xml:space="preserve">Pasar tradisional berubah jadi hub kuliner modern dengan bake house, masuk daftar tempat makan viral</t>
  </si>
  <si>
    <t xml:space="preserve">https://jogja.disway.id/gaya-hidup/read/699773/mulai-dari-hidden-gem-pasar-cihapit-hingga-jajanan-hits-viral-di-bandung</t>
  </si>
  <si>
    <t xml:space="preserve">Pemprov NTT Dorong Pariwisata Alor Jadi Penggerak Ekonomi Masyarakat - RRI.co.id</t>
  </si>
  <si>
    <t xml:space="preserve">Pasar Barukai</t>
  </si>
  <si>
    <t xml:space="preserve">Jalan Barukai, Cisarua, Kabupaten Bandung Barat</t>
  </si>
  <si>
    <t xml:space="preserve">Video lapak pedagang tersapu angin baling-baling helikopter viral (isu negatif)</t>
  </si>
  <si>
    <t xml:space="preserve">30 Juli 2026</t>
  </si>
  <si>
    <t xml:space="preserve">https://news.detik.com/berita/d-8599240/viral-lapak-kios-di-cisarua-bandung-porak-poranda-tersapu-angin-helikopter</t>
  </si>
  <si>
    <t xml:space="preserve">Viral! Jessica Mila Kepergok Unggah Momen Liburan ke Pulau Padar saat Pelayaran Ditutup, Kok Bisa? - VIVA.co.id</t>
  </si>
  <si>
    <t xml:space="preserve">Kalcer Market</t>
  </si>
  <si>
    <t xml:space="preserve">Malang Town Square, Malang</t>
  </si>
  <si>
    <t xml:space="preserve">Penanggungan</t>
  </si>
  <si>
    <t xml:space="preserve">Malang Town Square</t>
  </si>
  <si>
    <t xml:space="preserve">Pesta kuliner kekinian menghadirkan puluhan hidangan hype dan viral</t>
  </si>
  <si>
    <t xml:space="preserve">6-17 Agustus 2026</t>
  </si>
  <si>
    <t xml:space="preserve">https://malangposcomedia.id/bawa-kuliner-hype-menteng-dan-bandung-kalcer-market-sapa-warga-malang-di-matos/</t>
  </si>
  <si>
    <t xml:space="preserve">Viral Turis Omelin Turis Buang Sampah di Pulau Padar, Cek Etika Liburan di Sana - detikTravel</t>
  </si>
  <si>
    <t xml:space="preserve">Rumah Makan Lamun Ombak</t>
  </si>
  <si>
    <t xml:space="preserve">Rumah makan masakan khas Minangkabau populer untuk makan siang</t>
  </si>
  <si>
    <t xml:space="preserve">https://travel.tribunnews.com/kuliner/145744/5-tempat-makan-siang-enak-di-medan-pencinta-ayam-pop-kunjungi-restoran-garuda</t>
  </si>
  <si>
    <t xml:space="preserve">Keindahan Air Terjun Mataru yang Menakjubkan di Nusa Tenggara Timur - 20detik</t>
  </si>
  <si>
    <t xml:space="preserve">Rumah Makan Sederhana</t>
  </si>
  <si>
    <t xml:space="preserve">Hidangan khas Padang dengan menu lengkap</t>
  </si>
  <si>
    <t xml:space="preserve">Beragam lauk khas Sumatera Barat</t>
  </si>
  <si>
    <t xml:space="preserve">RM Fuja</t>
  </si>
  <si>
    <t xml:space="preserve">Makanan khas Minang dengan beragam lauk</t>
  </si>
  <si>
    <t xml:space="preserve">Rumah Makan Pagi Sore</t>
  </si>
  <si>
    <t xml:space="preserve">Rekomendasi tempat makan siang khas Padang</t>
  </si>
  <si>
    <t xml:space="preserve">Lontong Kak Lin</t>
  </si>
  <si>
    <t xml:space="preserve">Sarapan lontong sayur legendaris murah dan enak</t>
  </si>
  <si>
    <t xml:space="preserve">https://www.hipwee.com/travel/tempat-makan-di-medan-yang-murah-dan-enak/</t>
  </si>
  <si>
    <t xml:space="preserve">Menginap Seru di Ume Kbubu Bersama Warga Nusa Tenggara Timur - 20detik</t>
  </si>
  <si>
    <t xml:space="preserve">Mie Balap Mail</t>
  </si>
  <si>
    <t xml:space="preserve">Warung mie balap legendaris sejak 2007</t>
  </si>
  <si>
    <t xml:space="preserve">Petite Terrasse</t>
  </si>
  <si>
    <t xml:space="preserve">Jl. Sei Betutu No. 66, Medan Selayang, Medan</t>
  </si>
  <si>
    <t xml:space="preserve">Medan Selayang</t>
  </si>
  <si>
    <t xml:space="preserve">Restoran fine dining romantis bernuansa Prancis</t>
  </si>
  <si>
    <t xml:space="preserve">https://www.nibble.id/restoran-fine-dining-di-medan/</t>
  </si>
  <si>
    <t xml:space="preserve">Jokowi Dijadwalkan Kembali Turun ke Daerah, NTT Jadi Tujuan Safari Politik PSI - jateng.disway.id - DISWAY JATENG</t>
  </si>
  <si>
    <t xml:space="preserve">DISWAY JATENG</t>
  </si>
  <si>
    <t xml:space="preserve">2026-07-15</t>
  </si>
  <si>
    <t xml:space="preserve">Penthouse on 19th</t>
  </si>
  <si>
    <t xml:space="preserve">Restoran semi rooftop lantai 19 dengan city lights dan live music</t>
  </si>
  <si>
    <t xml:space="preserve">Fantastic Cafe &amp; Eatery</t>
  </si>
  <si>
    <t xml:space="preserve">Kafe yang buka sejak pagi untuk WFC</t>
  </si>
  <si>
    <t xml:space="preserve">https://jogja.disway.id/gaya-hidup/read/699166/kafe-wfc-di-medan-jadi-tempat-terbaik-yang-buka-sejak-pagi-untuk-kerja-dan-nugas</t>
  </si>
  <si>
    <t xml:space="preserve">Bantu Korban Gempa NTT, Kebon Bali Gelar Konser Amal - Balinetizen</t>
  </si>
  <si>
    <t xml:space="preserve">D'Heritage</t>
  </si>
  <si>
    <t xml:space="preserve">Grand Cityhall Hotel, Jl. Balai Kota, Medan</t>
  </si>
  <si>
    <t xml:space="preserve">Grand Cityhall Hotel</t>
  </si>
  <si>
    <t xml:space="preserve">Kafe di bangunan kolonial Balai Kota dengan Lontong Medan dan kopi Sidikalang</t>
  </si>
  <si>
    <t xml:space="preserve">https://sumut.idntimes.com/food/dining-guide/12-kafe-hits-di-sekitar-balai-kota-dan-lapangan-merdeka-medan-c1c2-01-2j5kq-qqfckb</t>
  </si>
  <si>
    <t xml:space="preserve">Bank Indonesia Salurkan Bantuan Kemanusiaan 32,5 Ton ke NTT - achmadnurhidayat.id</t>
  </si>
  <si>
    <t xml:space="preserve">achmadnurhidayat.id</t>
  </si>
  <si>
    <t xml:space="preserve">Depot Pard'y</t>
  </si>
  <si>
    <t xml:space="preserve">Kwetiau Medan halal dari gerobak hingga viral dan jadi rujukan food vlogger</t>
  </si>
  <si>
    <t xml:space="preserve">https://rri.co.id/surabaya/kuliner/2334885/depot-pardy-petemon-rekomendasi-kwetiau-medan-halal-di-surabaya</t>
  </si>
  <si>
    <t xml:space="preserve">Gubernur NTT Persilakan Warga Terdampak Gempa Ambil Kebutuhan di Toko, Nanti Pemprov yang Bayar - Warta Ekonomi</t>
  </si>
  <si>
    <t xml:space="preserve">Titik Koma Ayahanda</t>
  </si>
  <si>
    <t xml:space="preserve">Jalan Ayahanda No. 61, Medan</t>
  </si>
  <si>
    <t xml:space="preserve">Jl. Ayahanda</t>
  </si>
  <si>
    <t xml:space="preserve">Kafe minimalis tenang cocok untuk kerja dan belajar</t>
  </si>
  <si>
    <t xml:space="preserve">https://sumut.idntimes.com/food/dining-guide/5-kafe-rekomendasi-di-jalan-ayahanda-medan-spot-nongkrong-kekinian-c1c2-01-2j5kq-ncycqf</t>
  </si>
  <si>
    <t xml:space="preserve">gegara Orang Ketiga, Sebuah Toko di Ponorogo Dibongkar Gunakan Alat Berat - RRI.co.id</t>
  </si>
  <si>
    <t xml:space="preserve">Kaldera Toba</t>
  </si>
  <si>
    <t xml:space="preserve">Jalan Ayahanda No. 43B, Medan</t>
  </si>
  <si>
    <t xml:space="preserve">Resto-cafe family friendly</t>
  </si>
  <si>
    <t xml:space="preserve">VICI.CO</t>
  </si>
  <si>
    <t xml:space="preserve">Jalan Ayahanda, Medan</t>
  </si>
  <si>
    <t xml:space="preserve">Kafe kecil berkarakter kuat dengan suasana calm</t>
  </si>
  <si>
    <t xml:space="preserve">The Thirty-Six</t>
  </si>
  <si>
    <t xml:space="preserve">Jl. Multatuli No. 36, Hamdan, Medan Maimun, Medan</t>
  </si>
  <si>
    <t xml:space="preserve">Hamdan</t>
  </si>
  <si>
    <t xml:space="preserve">Medan Maimun</t>
  </si>
  <si>
    <t xml:space="preserve">Kafe estetik bernuansa hitam-putih dengan pastry</t>
  </si>
  <si>
    <t xml:space="preserve">https://sumut.idntimes.com/food/dining-guide/5-kafe-estetik-di-jalan-multatuli-medan-nongkrong-asyik-foto-cantik-01-2j5kq-mc48np</t>
  </si>
  <si>
    <t xml:space="preserve">Dua Tersangka Kasus Pembunuhan Lucky Sanu &amp; Delfi Foes Dilimpahkan ke Jaksa - katantt.com</t>
  </si>
  <si>
    <t xml:space="preserve">katantt.com</t>
  </si>
  <si>
    <t xml:space="preserve">Semeja</t>
  </si>
  <si>
    <t xml:space="preserve">Jalan Multatuli, Medan</t>
  </si>
  <si>
    <t xml:space="preserve">Jl. Multatuli</t>
  </si>
  <si>
    <t xml:space="preserve">Kafe modern warm lighting dengan area indoor dan outdoor</t>
  </si>
  <si>
    <t xml:space="preserve">Wooden Space</t>
  </si>
  <si>
    <t xml:space="preserve">Kafe vintage rustic-modern dengan dominasi elemen kayu</t>
  </si>
  <si>
    <t xml:space="preserve">https://sumut.idntimes.com/food/dining-guide/10-kafe-vintage-di-medan-yang-instagramable-bikin-kamu-nostalgia-c1c2-01-2j5kq-k16656</t>
  </si>
  <si>
    <t xml:space="preserve">Jagat media sosial dihebohkan dengan beredarnya video yang memperlihatkan penggerebekan di rumah dinas yang diduga dihuni Kepala Lembaga Pemasyarakatan (Kalapas) Waingapu, Nusa Tenggara Timur (NTT). Dalam video yang beredar, petugas m - facebook.com</t>
  </si>
  <si>
    <t xml:space="preserve">Vienna Botanical Living</t>
  </si>
  <si>
    <t xml:space="preserve">Jalan Jamin Ginting Km 12, Medan Tuntungan, Medan</t>
  </si>
  <si>
    <t xml:space="preserve">Medan Tuntungan</t>
  </si>
  <si>
    <t xml:space="preserve">Taman bergaya Eropa yang sempat ramai diperbincangkan di media sosial</t>
  </si>
  <si>
    <t xml:space="preserve">https://sumut.indozone.id/lifestyle/2486734742/5-tempat-wisata-di-medan-yang-lagi-hits-2026-cocok-untuk-liburan-dan-foto-foto</t>
  </si>
  <si>
    <t xml:space="preserve">sumut.indozone.id</t>
  </si>
  <si>
    <t xml:space="preserve">Motor Tabrak Pagar-Tiang di Kupang, Mahasiswa Tewas - detikcom</t>
  </si>
  <si>
    <t xml:space="preserve">Kampoeng Selfie</t>
  </si>
  <si>
    <t xml:space="preserve">Medan Polonia, Medan</t>
  </si>
  <si>
    <t xml:space="preserve">Medan Polonia</t>
  </si>
  <si>
    <t xml:space="preserve">Spot foto gratis</t>
  </si>
  <si>
    <t xml:space="preserve">Taman Sri Deli</t>
  </si>
  <si>
    <t xml:space="preserve">Ruang terbuka yang cukup dikenal di Medan</t>
  </si>
  <si>
    <t xml:space="preserve">Taiwan Travel Fair</t>
  </si>
  <si>
    <t xml:space="preserve">PIK Avenue, Jakarta</t>
  </si>
  <si>
    <t xml:space="preserve">Kamal Muara</t>
  </si>
  <si>
    <t xml:space="preserve">PIK Avenue</t>
  </si>
  <si>
    <t xml:space="preserve">Promosi pariwisata Taiwan bagi wisatawan Indonesia</t>
  </si>
  <si>
    <t xml:space="preserve">30 April - 7 Mei 2026</t>
  </si>
  <si>
    <t xml:space="preserve">https://medan.viva.co.id/medan/13552-lewat-wisata-kuliner-dan-muslim-friendly-tourism-taiwan-bidik-potensi-wisatawan-medan</t>
  </si>
  <si>
    <t xml:space="preserve">medan.viva.co.id</t>
  </si>
  <si>
    <t xml:space="preserve">Bantu UMKM, LPPOM Garap Toko Percontohan Bahan Baku Halal di 3 Provinsi - detikcom</t>
  </si>
  <si>
    <t xml:space="preserve">Maru Bake House</t>
  </si>
  <si>
    <t xml:space="preserve">The Curves, Jl. T. Amir Hamzah No. 8CC, Sei Agul, Medan Barat, Medan</t>
  </si>
  <si>
    <t xml:space="preserve">Sei Agul</t>
  </si>
  <si>
    <t xml:space="preserve">Kafe konsep gua yang ramai diperbincangkan di media sosial dengan Dubai Chewy Donut</t>
  </si>
  <si>
    <t xml:space="preserve">https://suarausu.or.id/maru-bake-house-sensasi-nongkrong-bernuansa-gua-viral-di-medan/</t>
  </si>
  <si>
    <t xml:space="preserve">suarausu.or.id</t>
  </si>
  <si>
    <t xml:space="preserve">Bukan Sekadar Pusat Belanja, Sira Village Sukses Aksi Kemanusiaan Lewat Pilates di KEK Kura Kura - Radar Bali</t>
  </si>
  <si>
    <t xml:space="preserve">Radar Bali</t>
  </si>
  <si>
    <t xml:space="preserve">Pesona Colorful Medan</t>
  </si>
  <si>
    <t xml:space="preserve">Lapangan Benteng, Medan</t>
  </si>
  <si>
    <t xml:space="preserve">Lapangan Benteng</t>
  </si>
  <si>
    <t xml:space="preserve">Perayaan HUT Kota Medan ke-436 dengan seni budaya, bazar UMKM dan rekor MURI kulcapi</t>
  </si>
  <si>
    <t xml:space="preserve">https://www.hariansib.com/Medan-Sekitarnya/446549/lrmpagelaran-permainan-kulcapi-suku-karo-pecahkan-rekor-dunia/all/</t>
  </si>
  <si>
    <t xml:space="preserve">Viral Video Tim Agrinas Sebut Kopdes Bisa Hasilkan Omzet Rp400 Juta per Bulan, Netizen Auto Nyinyir - OWRITE</t>
  </si>
  <si>
    <t xml:space="preserve">053</t>
  </si>
  <si>
    <t xml:space="preserve">Ikan Bakar Jimbaran Mas Aan</t>
  </si>
  <si>
    <t xml:space="preserve">Sekitar Pantai Parangtritis, Bantul, Yogyakarta</t>
  </si>
  <si>
    <t xml:space="preserve">sekitar Pantai Parangtritis</t>
  </si>
  <si>
    <t xml:space="preserve">Warung seafood segar populer di jalur Parangtritis</t>
  </si>
  <si>
    <t xml:space="preserve">https://rri.co.id/yogyakarta/kuliner/2316350/privacy.html</t>
  </si>
  <si>
    <t xml:space="preserve">Viral Video Dugaan Pelecehan di Mempawah Berujung Laporan Polisi, Kasus Didalami Unit PPA - suaranusantara.co.id</t>
  </si>
  <si>
    <t xml:space="preserve">suaranusantara.co.id</t>
  </si>
  <si>
    <t xml:space="preserve">Warung Seafood Nunik 3</t>
  </si>
  <si>
    <t xml:space="preserve">Pantai Depok, Bantul, Yogyakarta</t>
  </si>
  <si>
    <t xml:space="preserve">Pantai Depok</t>
  </si>
  <si>
    <t xml:space="preserve">Seafood segar harga terjangkau dengan lesehan</t>
  </si>
  <si>
    <t xml:space="preserve">Rumah Makan Arjuna Seafood</t>
  </si>
  <si>
    <t xml:space="preserve">Berbagai olahan laut dengan opsi lesehan</t>
  </si>
  <si>
    <t xml:space="preserve">Pantai Parangtritis</t>
  </si>
  <si>
    <t xml:space="preserve">Kalurahan Parangtritis, Bantul, Yogyakarta</t>
  </si>
  <si>
    <t xml:space="preserve">165.956 kunjungan wisatawan pada Juli 2026, sempat viral keluhan nomor seri tiket tidak berurutan (isu negatif)</t>
  </si>
  <si>
    <t xml:space="preserve">https://yogyakarta.bpk.go.id/kunjungan-wisata-naik-parangtritis-raup-rp24-miliar-dalam-sebulan/</t>
  </si>
  <si>
    <t xml:space="preserve">Bulog Kalbar Perkuat Stok Beras Premium Sesuai HET, Antisipasi Beras Oplosan - Kalbaronline</t>
  </si>
  <si>
    <t xml:space="preserve">Kalbaronline</t>
  </si>
  <si>
    <t xml:space="preserve">Alun-Alun Kidul</t>
  </si>
  <si>
    <t xml:space="preserve">Mantrijeron, Yogyakarta</t>
  </si>
  <si>
    <t xml:space="preserve">teks menyebut Mantrijeron; Alun-Alun Kidul berada di Patehan, Kecamatan Kraton</t>
  </si>
  <si>
    <t xml:space="preserve">Kasus viral pelaku usaha merasa tidak nyaman berjualan, Wawali lakukan pemantauan (isu negatif)</t>
  </si>
  <si>
    <t xml:space="preserve">https://warta.jogjakota.go.id/detail/index/52026</t>
  </si>
  <si>
    <t xml:space="preserve">warta.jogjakota.go.id</t>
  </si>
  <si>
    <t xml:space="preserve">Kapolda Kalbar: AVC 2026 di Pontianak Bukti Daerah Mampu Selenggarakan Event Dunia - RRI.co.id</t>
  </si>
  <si>
    <t xml:space="preserve">Jelajah Kotabaru - Kotabaru Heritage Film Festival 2026</t>
  </si>
  <si>
    <t xml:space="preserve">Kotabaru, Yogyakarta</t>
  </si>
  <si>
    <t xml:space="preserve">Walking tour heritage dan nonton film gratis dari atas becak listrik</t>
  </si>
  <si>
    <t xml:space="preserve">17 September 2026</t>
  </si>
  <si>
    <t xml:space="preserve">https://joglonews.com/2026/09/24/nonton-film-para-perasuk-dari-atas-becak-listrik-khff-2026-usung-wisata-heritage/</t>
  </si>
  <si>
    <t xml:space="preserve">joglonews.com</t>
  </si>
  <si>
    <t xml:space="preserve">Pontianak Dragon Boat Race 2026 Siap jadi Magnet Sport Tourism dan Penggerak Ekonomi Kreatif Kalbar, Sporta Indonesia Rancang Event Spektakuler di Sungai Kapuas - suarapemredkalbar.com</t>
  </si>
  <si>
    <t xml:space="preserve">suarapemredkalbar.com</t>
  </si>
  <si>
    <t xml:space="preserve">Kebaya Bu Pur</t>
  </si>
  <si>
    <t xml:space="preserve">Lantai 3 Pasar Beringharjo, Yogyakarta</t>
  </si>
  <si>
    <t xml:space="preserve">Toko thrifting kebaya yang viral di media sosial hingga dikunjungi selebriti</t>
  </si>
  <si>
    <t xml:space="preserve">https://jogja.idntimes.com/news/jogja/5-toko-kebaya-jogja-mulai-gaya-klasik-sampai-kekinian-c1c2-01-5fz5v-42qlzm</t>
  </si>
  <si>
    <t xml:space="preserve">DPD MABM Mempawah Siap Gelar Rakerda VI, Bahas Program Strategis dan Persiapan Festival Melayu Kalbar 2026 - suaranusantara.co.id</t>
  </si>
  <si>
    <t xml:space="preserve">Spot sarapan kuliner legendaris paling kalcer, ramai tiap musim liburan</t>
  </si>
  <si>
    <t xml:space="preserve">https://mojok.co/terminal/hal-hal-jarang-dibicarakan-soal-pasar-ngasem-jogja-yang-kalcer/</t>
  </si>
  <si>
    <t xml:space="preserve">Kapolda Kalbar Bangga Pontianak Jadi Tuan Rumah AVC 2026, Targetkan Bhayangkara Tembus Kejuaraan Dunia - suarakalbar.co.id</t>
  </si>
  <si>
    <t xml:space="preserve">suarakalbar.co.id</t>
  </si>
  <si>
    <t xml:space="preserve">Jogja International Kite Festival 2026</t>
  </si>
  <si>
    <t xml:space="preserve">"Yogyakarta" tidak jelas kota atau provinsi</t>
  </si>
  <si>
    <t xml:space="preserve">Festival layang-layang ke-11 dengan delegasi dari 17 negara</t>
  </si>
  <si>
    <t xml:space="preserve">https://www.sijogja.com/news/18417320804/jogja-international-kite-festival-2026-siap-lebih-meriah-hadirkan-inovasi-program-gaet-volunteer-dan-delegasi-dari-17-negara</t>
  </si>
  <si>
    <t xml:space="preserve">Pemprov Kalteng Siapkan Kapal Susur Sungai, Tanjung Puting Jadi Prioritas Pengembangan Wisata - news.okezone.com</t>
  </si>
  <si>
    <t xml:space="preserve">054</t>
  </si>
  <si>
    <t xml:space="preserve">Resto Timbul Roso</t>
  </si>
  <si>
    <t xml:space="preserve">Jalan Cangkringan KM 3, Bedoyo, Wukirsari, Cangkringan, Sleman</t>
  </si>
  <si>
    <t xml:space="preserve">Wukirsari</t>
  </si>
  <si>
    <t xml:space="preserve">Resto konsep hutan asri dengan olahan gurame di lereng Merapi</t>
  </si>
  <si>
    <t xml:space="preserve">https://jogja.idntimes.com/food/dining-guide/kuliner-di-cangkringan-sleman-00-w513j-9j0jtb</t>
  </si>
  <si>
    <t xml:space="preserve">Rancang Museum Budaya - Viral Kaltim</t>
  </si>
  <si>
    <t xml:space="preserve">Viral Kaltim</t>
  </si>
  <si>
    <t xml:space="preserve">Warung Eyup</t>
  </si>
  <si>
    <t xml:space="preserve">Cangkringan, Sleman</t>
  </si>
  <si>
    <t xml:space="preserve">Makan di tengah hamparan sawah yang asri</t>
  </si>
  <si>
    <t xml:space="preserve">SABA Korean Dining &amp; Cafe</t>
  </si>
  <si>
    <t xml:space="preserve">Sleman, Yogyakarta</t>
  </si>
  <si>
    <t xml:space="preserve">Restoran bernuansa Hanok Village yang tengah viral di media sosial</t>
  </si>
  <si>
    <t xml:space="preserve">https://rri.co.id/yogyakarta/kuliner/2627519/saba-sleman-hadirkan-sensasi-kuliner-korea-ala-hanok-village</t>
  </si>
  <si>
    <t xml:space="preserve">Main Sambil Belajar Budaya, Museum Sonobudoyo Jogja Punya Wahana Interaktif yang Seru Banget - TribunStyle.com</t>
  </si>
  <si>
    <t xml:space="preserve">Candi Prambanan</t>
  </si>
  <si>
    <t xml:space="preserve">Bokoharjo</t>
  </si>
  <si>
    <t xml:space="preserve">Prambanan</t>
  </si>
  <si>
    <t xml:space="preserve">kompleks berbatasan dengan Kabupaten Klaten, Jawa Tengah</t>
  </si>
  <si>
    <t xml:space="preserve">Candi ikonik dengan spot konten, sewa sepeda dan Wastra Prambanan</t>
  </si>
  <si>
    <t xml:space="preserve">https://injourneydestination.id/wisata-di-sleman/</t>
  </si>
  <si>
    <t xml:space="preserve">injourneydestination.id</t>
  </si>
  <si>
    <t xml:space="preserve">Viral Retribusi Parkir Rp300 Ribu, Plt Kadishub dan Satpol PP Datangi Kios Sembako G Obos VII - Tabengan Online</t>
  </si>
  <si>
    <t xml:space="preserve">Tabengan Online</t>
  </si>
  <si>
    <t xml:space="preserve">Mini Museum 50 Tahun PSS</t>
  </si>
  <si>
    <t xml:space="preserve">Stadion Maguwoharjo, Sleman</t>
  </si>
  <si>
    <t xml:space="preserve">Maguwoharjo</t>
  </si>
  <si>
    <t xml:space="preserve">Stadion Maguwoharjo</t>
  </si>
  <si>
    <t xml:space="preserve">Pameran sejarah setengah abad PSS Sleman dengan sembilan section</t>
  </si>
  <si>
    <t xml:space="preserve">17-24 Mei 2026</t>
  </si>
  <si>
    <t xml:space="preserve">https://voi.id/olahraga/575688/mini-museum-50-tahun-pss-sleman-jejak-sejarah-klub-hingga-pengalaman-ruang-ganti-pemain</t>
  </si>
  <si>
    <t xml:space="preserve">Dari Penjaga Toko Jadi Viral, Syahriyadi Sukses Guncang TikTok Lewat Lagu 'P P Apa' - KapanLagi.com</t>
  </si>
  <si>
    <t xml:space="preserve">KapanLagi.com</t>
  </si>
  <si>
    <t xml:space="preserve">Pameran memorabilia jersey, trophy room dan locker room experience PSS</t>
  </si>
  <si>
    <t xml:space="preserve">https://jogja.viva.co.id/warta/9205-mini-museum-pss-sleman-merayakan-setengah-abad-sejarah-dan-pengalaman-interaktif</t>
  </si>
  <si>
    <t xml:space="preserve">jogja.viva.co.id</t>
  </si>
  <si>
    <t xml:space="preserve">Viral Perampokan di IKN, Pemilik Toko Dipukul Balok dan Gelang Emas Dirampas - Media Indonesia</t>
  </si>
  <si>
    <t xml:space="preserve">Pembuka perayaan 50 tahun PSS Sleman</t>
  </si>
  <si>
    <t xml:space="preserve">https://video.tribunnews.com/news/936436/mini-museum-50-tahun-pss-sleman-resmi-dibuka-sajikan-jejak-sejarah-hingga-pengalaman-ruang-ganti-pe</t>
  </si>
  <si>
    <t xml:space="preserve">video.tribunnews.com</t>
  </si>
  <si>
    <t xml:space="preserve">Ramai Unggahan Situasi Kalimantan yang Masih Dikepung Kabut Asap dan ‘Aktivitas Normal’, Ada Apa? - Si Jogja - Si Jogja</t>
  </si>
  <si>
    <t xml:space="preserve">Si Jogja</t>
  </si>
  <si>
    <t xml:space="preserve">Mini Museum Viva La Historia PSS Sleman</t>
  </si>
  <si>
    <t xml:space="preserve">Ruang pamer sejarah PSS sejak 1976 dengan konsep perjalanan cerita</t>
  </si>
  <si>
    <t xml:space="preserve">https://beritadiy.pikiran-rakyat.com/diy/pr-7010220359/harga-tiket-masuk-mini-museum-viva-la-historia-pss-sleman-lengkap-jadwal-jam-buka-tutup?page=all</t>
  </si>
  <si>
    <t xml:space="preserve">beritadiy.pikiran-rakyat.com</t>
  </si>
  <si>
    <t xml:space="preserve">Sinopsis Film Obsession dan Jadwal Tayangnya di Kalimantan, Berani Nonton? - detikcom</t>
  </si>
  <si>
    <t xml:space="preserve">Pameran nostalgia dan edukasi sejarah klub dengan replika ruang ganti</t>
  </si>
  <si>
    <t xml:space="preserve">https://www.readers.id/pss-sleman-buka-mini-museum</t>
  </si>
  <si>
    <t xml:space="preserve">www.readers.id</t>
  </si>
  <si>
    <t xml:space="preserve">OJK dan BEI Kalteng Dorong Mahasiswa Antakusuma Cerdas Berinvestasi di Pasar Modal - MentayaNet</t>
  </si>
  <si>
    <t xml:space="preserve">MentayaNet</t>
  </si>
  <si>
    <t xml:space="preserve">Sunmor Ngijon</t>
  </si>
  <si>
    <t xml:space="preserve">Ngijon, Sendangarum, Minggir, Sleman</t>
  </si>
  <si>
    <t xml:space="preserve">Sendangarum</t>
  </si>
  <si>
    <t xml:space="preserve">Minggir</t>
  </si>
  <si>
    <t xml:space="preserve">Pasar Minggu pagi UMKM di tengah sawah, viral dalam empat bulan terakhir dan dipadati ribuan pengunjung</t>
  </si>
  <si>
    <t xml:space="preserve">Empat bulan terakhir 2026</t>
  </si>
  <si>
    <t xml:space="preserve">https://yogyapos.com/berita-pasar-tiban-ngijon-jadi-magnet-ekonomi-baru-di-sleman-19765</t>
  </si>
  <si>
    <t xml:space="preserve">yogyapos.com</t>
  </si>
  <si>
    <t xml:space="preserve">Rekomendasi 15 Soto Banjar Favorit di Samarinda, Kuah Kaya Rempah yang Menggugah Selera - Arusbawah.co</t>
  </si>
  <si>
    <t xml:space="preserve">Arusbawah.co</t>
  </si>
  <si>
    <t xml:space="preserve">Pasar Ngijon</t>
  </si>
  <si>
    <t xml:space="preserve">Sendangarum, Minggir, Sleman</t>
  </si>
  <si>
    <t xml:space="preserve">Pasar tradisional yang sempat viral, cikal bakal Sunmor Ngijon</t>
  </si>
  <si>
    <t xml:space="preserve">Festival Cassava</t>
  </si>
  <si>
    <t xml:space="preserve">Padukuhan Kalangan, Trimulyo, Sleman</t>
  </si>
  <si>
    <t xml:space="preserve">Trimulyo</t>
  </si>
  <si>
    <t xml:space="preserve">Sleman</t>
  </si>
  <si>
    <t xml:space="preserve">Padukuhan Kalangan</t>
  </si>
  <si>
    <t xml:space="preserve">Festival singkong mengenalkan varietas dan kuliner tradisional berbasis singkong dalam Ecolife Walk</t>
  </si>
  <si>
    <t xml:space="preserve">5 Juli 2026</t>
  </si>
  <si>
    <t xml:space="preserve">https://rri.co.id/yogyakarta/wisata/2547184/jalan-kaki-sambil-rekreasi-di-ecolife-walk-trimulyo-sleman</t>
  </si>
  <si>
    <t xml:space="preserve">Harian Disway X Grand Qin Hotel (6): Jejak Perjuangan di Museum Wasaka - harian.disway.id - HARIAN DISWAY</t>
  </si>
  <si>
    <t xml:space="preserve">HARIAN DISWAY</t>
  </si>
  <si>
    <t xml:space="preserve">Selarasa Fest 2026</t>
  </si>
  <si>
    <t xml:space="preserve">Rocket Arena Godean, Sleman</t>
  </si>
  <si>
    <t xml:space="preserve">Godean</t>
  </si>
  <si>
    <t xml:space="preserve">Rocket Arena Godean</t>
  </si>
  <si>
    <t xml:space="preserve">Festival musik dan kuliner bertema modernitas dan tradisi</t>
  </si>
  <si>
    <t xml:space="preserve">https://radarmalioboro.jawapos.com/musik/2606070003/selarasa-fest-2026-hadir-di-rocket-arena-godean-jogja-26-juni-ndx-aka-hingga-teko-mlaku-bakal-goyang-ribuan-pengunjung</t>
  </si>
  <si>
    <t xml:space="preserve">radarmalioboro.jawapos.com</t>
  </si>
  <si>
    <t xml:space="preserve">Waspada Super Flu: Kenali Gejala dan Cara Menanganinya - Halodoc</t>
  </si>
  <si>
    <t xml:space="preserve">Halodoc</t>
  </si>
  <si>
    <t xml:space="preserve">Cafe Sunset View</t>
  </si>
  <si>
    <t xml:space="preserve">Hidden gem dengan view sunset dan city light, harga mulai Rp15 ribu</t>
  </si>
  <si>
    <t xml:space="preserve">https://www.hipwee.com/travel/tempat-nongkrong-di-semarang/</t>
  </si>
  <si>
    <t xml:space="preserve">KADIN Kalsel Dorong Hilirisasi Komoditas, UMKM Naik Kelas hingga Tembus Pasar Global - Media Center Provinsi Kalimantan Selatan</t>
  </si>
  <si>
    <t xml:space="preserve">Media Center Provinsi Kalimantan Selatan</t>
  </si>
  <si>
    <t xml:space="preserve">Kopi Susu Bu Lurah</t>
  </si>
  <si>
    <t xml:space="preserve">Tempat nongkrong sejuk dengan outdoor natural garden</t>
  </si>
  <si>
    <t xml:space="preserve">Jalan Lampersari No. 29, Semarang</t>
  </si>
  <si>
    <t xml:space="preserve">Semarang Selatan</t>
  </si>
  <si>
    <t xml:space="preserve">Jl. Lampersari</t>
  </si>
  <si>
    <t xml:space="preserve">Ikon kuliner pedas dengan beragam sambal</t>
  </si>
  <si>
    <t xml:space="preserve">https://www.kompas.com/food/read/2026/04/06/164500975/7-tempat-makan-pedas-di-semarang-bisa-pilih-level-pedas-sendiri?page=all</t>
  </si>
  <si>
    <t xml:space="preserve">Pasar Terapung di Kalsel, Peradaban Ratusan Tahun Silam yang Masih Eksis - detikcom</t>
  </si>
  <si>
    <t xml:space="preserve">Mbok Rawit</t>
  </si>
  <si>
    <t xml:space="preserve">Jalan Manggis I No. 9, Lamper Lor, Semarang Selatan</t>
  </si>
  <si>
    <t xml:space="preserve">Lamper Lor</t>
  </si>
  <si>
    <t xml:space="preserve">Tempat makan pedas hits di kalangan mahasiswa</t>
  </si>
  <si>
    <t xml:space="preserve">Ayam Goreng Sayangan</t>
  </si>
  <si>
    <t xml:space="preserve">Sayangan, Semarang</t>
  </si>
  <si>
    <t xml:space="preserve">Sayangan</t>
  </si>
  <si>
    <t xml:space="preserve">Ayam goreng kampung legendaris sejak 1970-an, favorit Nex Carlos</t>
  </si>
  <si>
    <t xml:space="preserve">https://food.detik.com/rumah-makan/d-8425342/ayam-goreng-sayangan-cobain-ayam-kampung-goreng-favorit-nex-carlos-di-semarang</t>
  </si>
  <si>
    <t xml:space="preserve">Viral Dapur SPPG di Kalsel Rumah Mewah Bak Istana, Begini Ceritanya - detikNews</t>
  </si>
  <si>
    <t xml:space="preserve">RM Padang Sederhana Semarang</t>
  </si>
  <si>
    <t xml:space="preserve">Rekomendasi nasi Padang untuk makan malam</t>
  </si>
  <si>
    <t xml:space="preserve">https://jogja.disway.id/gaya-hidup/read/699684/kuliner-malam-semarang-ini-daftar-tempat-nasi-padang-murah-meriah-paling-wajib-dicoba</t>
  </si>
  <si>
    <t xml:space="preserve">6 Rekomendasi Sate Taichan di Samarinda yang Enak, Sajikan Sambal Pedas dan Menu Beragam - Arusbawah.co</t>
  </si>
  <si>
    <t xml:space="preserve">055</t>
  </si>
  <si>
    <t xml:space="preserve">Desa Wisata Krabat (Kranggan Hebat) Pecinan</t>
  </si>
  <si>
    <t xml:space="preserve">Kelurahan Kranggan, Semarang Tengah, Semarang</t>
  </si>
  <si>
    <t xml:space="preserve">Kranggan</t>
  </si>
  <si>
    <t xml:space="preserve">Resmi jadi desa wisata ke-14 Kota Semarang dengan wisata sejarah dan budaya Pecinan</t>
  </si>
  <si>
    <t xml:space="preserve">https://jateng.disway.id/disway-semarang/read/723789/pecinan-semarang-naik-kelas-krabat-resmi-jadi-desa-wisata-ke-14</t>
  </si>
  <si>
    <t xml:space="preserve">jateng.disway.id</t>
  </si>
  <si>
    <t xml:space="preserve">Surga Pencinta Bakso! Ini 5 Tempat Bakso Populer di Balikpapan - IDN Times Kaltim</t>
  </si>
  <si>
    <t xml:space="preserve">IDN Times Kaltim</t>
  </si>
  <si>
    <t xml:space="preserve">Little Netherland dengan gedung kolonial dan Taman Srigunting, gratis</t>
  </si>
  <si>
    <t xml:space="preserve">https://rri.co.id/semarang/berita-lain/2506318/liburan-sekolah-5-destinasi-wisata-seru-di-semarang</t>
  </si>
  <si>
    <t xml:space="preserve">Sari Madu Bakery Bidik Jadi Destinasi Kuliner Khas Kalimantan di Samarinda - indonesiaonline.co.id</t>
  </si>
  <si>
    <t xml:space="preserve">Lawang Sewu</t>
  </si>
  <si>
    <t xml:space="preserve">Ikon wisata sejarah peninggalan Hindia Belanda dengan banyak pintu</t>
  </si>
  <si>
    <t xml:space="preserve">Klenteng Sam Poo Kong</t>
  </si>
  <si>
    <t xml:space="preserve">Bongsari</t>
  </si>
  <si>
    <t xml:space="preserve">Situs sejarah persinggahan Laksamana Cheng Ho, spot foto instagramable</t>
  </si>
  <si>
    <t xml:space="preserve">Saloka Theme Park</t>
  </si>
  <si>
    <t xml:space="preserve">Lopait</t>
  </si>
  <si>
    <t xml:space="preserve">Tuntang</t>
  </si>
  <si>
    <t xml:space="preserve">Taman rekreasi tematik terbesar di Jawa Tengah bertema legenda Nusantara</t>
  </si>
  <si>
    <t xml:space="preserve">Dusun Semilir Eco Park</t>
  </si>
  <si>
    <t xml:space="preserve">Bawen, Kabupaten Semarang</t>
  </si>
  <si>
    <t xml:space="preserve">Bawen</t>
  </si>
  <si>
    <t xml:space="preserve">Tempat wisata viral karena arsitektur menyerupai stupa raksasa</t>
  </si>
  <si>
    <t xml:space="preserve">Kampung Pelangi</t>
  </si>
  <si>
    <t xml:space="preserve">Jl. DR. Sutomo No. 89, Randusari, Semarang Selatan, Semarang</t>
  </si>
  <si>
    <t xml:space="preserve">Randusari</t>
  </si>
  <si>
    <t xml:space="preserve">Kampung kumuh disulap warna-warni, gratis</t>
  </si>
  <si>
    <t xml:space="preserve">https://chanelmuslim.com/wisata/berikut-beberapa-tempat-wisata-di-sekitar-pusat-kota-semarang-yang-bisa-kamu-kunjungi</t>
  </si>
  <si>
    <t xml:space="preserve">Mau Makan Enak di Balikpapan? Ini 7 Spot Favorit di Jalan Sudirman - IDN Times Kaltim</t>
  </si>
  <si>
    <t xml:space="preserve">Kampung Batik Gedong Semarang</t>
  </si>
  <si>
    <t xml:space="preserve">Jalan Batik No. 698A, Rejomulyo, Semarang Timur, Semarang</t>
  </si>
  <si>
    <t xml:space="preserve">Rejomulyo</t>
  </si>
  <si>
    <t xml:space="preserve">Semarang Timur</t>
  </si>
  <si>
    <t xml:space="preserve">Wisata edukasi produksi batik khas Semarang</t>
  </si>
  <si>
    <t xml:space="preserve">Jalan Pemuda No. 160, Sekayu, Semarang Tengah, Semarang</t>
  </si>
  <si>
    <t xml:space="preserve">Objek wisata sejarah populer</t>
  </si>
  <si>
    <t xml:space="preserve">Eduwisata Mangrove Tapak</t>
  </si>
  <si>
    <t xml:space="preserve">Kelurahan Tugurejo, Kecamatan Tugu, Semarang</t>
  </si>
  <si>
    <t xml:space="preserve">Tugurejo</t>
  </si>
  <si>
    <t xml:space="preserve">Tugu</t>
  </si>
  <si>
    <t xml:space="preserve">Satu-satunya wisata edukasi hutan mangrove tersisa di Semarang, paket perahu dan tanam mangrove</t>
  </si>
  <si>
    <t xml:space="preserve">https://www.teras.id/serat-id/rubrik/mendalam/tapak-dan-kampung-batik-napas-panjang-wisata-komunitas-semarang-2138801</t>
  </si>
  <si>
    <t xml:space="preserve">www.teras.id</t>
  </si>
  <si>
    <t xml:space="preserve">8 Rekomendasi Sate Buka Siang di Samarinda, Ada Pilihan Sate Kambing hingga Ayam - Arusbawah.co</t>
  </si>
  <si>
    <t xml:space="preserve">Soto &amp; Rawon Om Go</t>
  </si>
  <si>
    <t xml:space="preserve">Jalan Kemantren II No. 3, Wonosari, Ngaliyan, Semarang</t>
  </si>
  <si>
    <t xml:space="preserve">Ngaliyan</t>
  </si>
  <si>
    <t xml:space="preserve">Soto dan rawon dekat Semarang Zoo</t>
  </si>
  <si>
    <t xml:space="preserve">https://travel.tribunnews.com/kuliner/144469/4-soto-enak-untuk-makan-siang-lokasi-dekat-wisata-semarang-zoo</t>
  </si>
  <si>
    <t xml:space="preserve">Rekomendasi 8 Rumah Makan Banjar di Samarinda, Sajikan Kuliner Khas dengan Cita Rasa Autentik - Arusbawah.co</t>
  </si>
  <si>
    <t xml:space="preserve">Soto Deeprock Mas Ayyib</t>
  </si>
  <si>
    <t xml:space="preserve">Jalan Beringin Raya, Tambakaji, Ngaliyan, Semarang</t>
  </si>
  <si>
    <t xml:space="preserve">Tambakaji</t>
  </si>
  <si>
    <t xml:space="preserve">Soto porsi kecil dan besar mulai Rp 6.000</t>
  </si>
  <si>
    <t xml:space="preserve">Soto Sapi Sodaqoh</t>
  </si>
  <si>
    <t xml:space="preserve">Soto sapi kuah bening dekat Semarang Zoo</t>
  </si>
  <si>
    <t xml:space="preserve">Masjid Agung Jawa Tengah</t>
  </si>
  <si>
    <t xml:space="preserve">Sambirejo</t>
  </si>
  <si>
    <t xml:space="preserve">Gayamsari</t>
  </si>
  <si>
    <t xml:space="preserve">Ikon wisata religi dengan payung hidrolik raksasa dan menara pandang</t>
  </si>
  <si>
    <t xml:space="preserve">https://lahatpos.disway.id/nasional/read/662186/ini-5-rekomendasi-wisata-religi-di-semarang-yang-wajib-dikunjungi</t>
  </si>
  <si>
    <t xml:space="preserve">Rekomendasi 7 Rawon Enak di Samarinda yang Siap Menghangatkan Harimu, Kuah Pekatnya Bikin Nagih - Arusbawah.co</t>
  </si>
  <si>
    <t xml:space="preserve">Sam Poo Kong</t>
  </si>
  <si>
    <t xml:space="preserve">Klenteng bersejarah Laksamana Cheng Ho, simbol akulturasi</t>
  </si>
  <si>
    <t xml:space="preserve">Gereja Blenduk</t>
  </si>
  <si>
    <t xml:space="preserve">Kota Lama, Semarang</t>
  </si>
  <si>
    <t xml:space="preserve">Gereja Protestan tertua di Jawa Tengah berarsitektur Eropa</t>
  </si>
  <si>
    <t xml:space="preserve">Pura Agung Giri Natha</t>
  </si>
  <si>
    <t xml:space="preserve">Gajahmungkur</t>
  </si>
  <si>
    <t xml:space="preserve">Pusat kegiatan umat Hindu dan wisata religi</t>
  </si>
  <si>
    <t xml:space="preserve">Destinasi paling favorit di Jateng saat libur sekolah, hampir 236 ribu kunjungan</t>
  </si>
  <si>
    <t xml:space="preserve">Libur sekolah Juli 2026</t>
  </si>
  <si>
    <t xml:space="preserve">https://travel.detik.com/travel-news/d-8565611/libur-sekolah-di-jawa-tengah-kota-lama-semarang-jadi-primadona</t>
  </si>
  <si>
    <t xml:space="preserve">Ririn Sari Dewi Tinggalkan Dinas Pariwisata, Resmi Pimpin Diskominfo Kaltim - Ibukotakini</t>
  </si>
  <si>
    <t xml:space="preserve">Ibukotakini</t>
  </si>
  <si>
    <t xml:space="preserve">teks menyebut Klaten; candi utama berada di Bokoharjo, Prambanan, Sleman (DIY)</t>
  </si>
  <si>
    <t xml:space="preserve">Destinasi kedua terbanyak dikunjungi saat libur sekolah, 251.475 wisatawan</t>
  </si>
  <si>
    <t xml:space="preserve">Makam Aulia Syeh Maulana Maghribi</t>
  </si>
  <si>
    <t xml:space="preserve">Kabupaten Batang</t>
  </si>
  <si>
    <t xml:space="preserve">Wisata religi dengan 175.722 kunjungan saat libur sekolah</t>
  </si>
  <si>
    <t xml:space="preserve">Kawasan Dataran Tinggi Dieng</t>
  </si>
  <si>
    <t xml:space="preserve">Kabupaten Banjarnegara</t>
  </si>
  <si>
    <t xml:space="preserve">Batur</t>
  </si>
  <si>
    <t xml:space="preserve">sebagian kawasan Dieng masuk Kabupaten Wonosobo</t>
  </si>
  <si>
    <t xml:space="preserve">116.828 pengunjung saat libur sekolah</t>
  </si>
  <si>
    <t xml:space="preserve">Rowo Jombor</t>
  </si>
  <si>
    <t xml:space="preserve">Krakitan</t>
  </si>
  <si>
    <t xml:space="preserve">Bayat</t>
  </si>
  <si>
    <t xml:space="preserve">77.400 wisatawan saat libur sekolah</t>
  </si>
  <si>
    <t xml:space="preserve">Museum Ronggowarsito</t>
  </si>
  <si>
    <t xml:space="preserve">Siswa SD meninggal tertimpa patung dekorasi di taman museum saat rombongan wisata (isu negatif)</t>
  </si>
  <si>
    <t xml:space="preserve">https://www.grid.id/read/044379760/kronologi-siswa-sd-tertimpa-patung-di-museum-ronggowarsito-semarang-korban-meninggal-dunia?page=all</t>
  </si>
  <si>
    <t xml:space="preserve">www.grid.id</t>
  </si>
  <si>
    <t xml:space="preserve">Heboh Pelat Merah Mobil Dinas Diganti Pelat Putih untuk Dipakai Wisata - detikcom</t>
  </si>
  <si>
    <t xml:space="preserve">Museum Fotografi Indonesia</t>
  </si>
  <si>
    <t xml:space="preserve">Eks Gedung Jiwasraya, Kota Lama, Semarang</t>
  </si>
  <si>
    <t xml:space="preserve">Kota Lama; koordinat kawasan</t>
  </si>
  <si>
    <t xml:space="preserve">Rencana revitalisasi gedung bersejarah jadi museum fotografi nasional</t>
  </si>
  <si>
    <t xml:space="preserve">https://regional.espos.id/eks-gedung-jiwasraya-semarang-bakal-disulap-jadi-museum-fotografi-indonesia-2234871</t>
  </si>
  <si>
    <t xml:space="preserve">regional.espos.id</t>
  </si>
  <si>
    <t xml:space="preserve">DPD Demokrat Kaltim Kirim 5 Kader ke Dikpolnas 2026, Raih Peserta Terbaik Teraktif - Viral Kaltim</t>
  </si>
  <si>
    <t xml:space="preserve">Bocah SD tertimpa patung 40 kg setelah bergelantungan, museum sterilisasi area (isu negatif)</t>
  </si>
  <si>
    <t xml:space="preserve">https://regional.kompas.com/read/2026/05/15/202812778/bocah-sd-tertimpa-patung-40-kg-di-museum-ronggowarsito-semarang-korban</t>
  </si>
  <si>
    <t xml:space="preserve">Minyakita Tak Sesuai Takaran Beredar di Kaltim, Dirut Operasional Jadi Tersangka - detikcom</t>
  </si>
  <si>
    <t xml:space="preserve">Kronologi anak SD meninggal tertimpa patung, Pemprov evaluasi keselamatan museum (isu negatif)</t>
  </si>
  <si>
    <t xml:space="preserve">https://regional.kompas.com/read/2026/05/15/194413178/kronologi-anak-sd-meninggal-tertimpa-patung-di-museum-ronggowarsito</t>
  </si>
  <si>
    <t xml:space="preserve">Duh! 64 Jenis Obat Ilegal Beredar di Balikpapan, Bisa Picu Jantung-Gagal Ginjal - detikcom</t>
  </si>
  <si>
    <t xml:space="preserve">Toko Roti Gambang</t>
  </si>
  <si>
    <t xml:space="preserve">Jadi perbincangan warganet karena diisukan milik anak Wali Kota dan pembongkaran pagar (isu negatif)</t>
  </si>
  <si>
    <t xml:space="preserve">https://matasemarang.com/disdag-toko-roti-gambang-malah-meramaikan-pasar-johar-semarang/</t>
  </si>
  <si>
    <t xml:space="preserve">matasemarang.com</t>
  </si>
  <si>
    <t xml:space="preserve">Viral Rp25 M untuk Rehab Rumah Dinas Gubernur, Pemprov Kaltim Sibuk Klarifikasi - Akurat Kaltim</t>
  </si>
  <si>
    <t xml:space="preserve">Akurat Kaltim</t>
  </si>
  <si>
    <t xml:space="preserve">Sisi utara Pasar Johar, Semarang</t>
  </si>
  <si>
    <t xml:space="preserve">Toko baru yang viral, diterpa isu miring namun diserbu pembeli dari luar kota lewat TikTok</t>
  </si>
  <si>
    <t xml:space="preserve">https://regional.espos.id/viral-di-medsos-warga-klaten-rela-berburu-kue-gambang-ke-semarang-2203333</t>
  </si>
  <si>
    <t xml:space="preserve">Viral Rp25 Miliar Renovasi Rumah Gubernur, Ini Klarifikasi Kaltim - IDN Times Kaltim</t>
  </si>
  <si>
    <t xml:space="preserve">Toko Roti Rapi</t>
  </si>
  <si>
    <t xml:space="preserve">Toko roti jadul sejak 1958 dengan roti tradisional dan jajanan pasar</t>
  </si>
  <si>
    <t xml:space="preserve">https://travel.tribunnews.com/kuliner/144026/5-toko-roti-jadul-di-semarang-ada-yang-bertahan-sejak-tahun-1936</t>
  </si>
  <si>
    <t xml:space="preserve">OBU VII Siapkan Pelaku Usaha Kaltim Tembus Pasar Ekspor lewat Logistik Digital - nomorsatukaltim.disway.id - Nomor Satu Kaltim</t>
  </si>
  <si>
    <t xml:space="preserve">Nomor Satu Kaltim</t>
  </si>
  <si>
    <t xml:space="preserve">Isu pembongkaran pagar cagar budaya viral di media sosial, dibantah pemilik (isu negatif)</t>
  </si>
  <si>
    <t xml:space="preserve">https://jatengpos.co.id/semarang-raya/2026/04/06/diisukan-bakal-bongkar-pagar-pasar-johar-pemilik-toko-roti-gambang-angkat-bicara/</t>
  </si>
  <si>
    <t xml:space="preserve">jatengpos.co.id</t>
  </si>
  <si>
    <t xml:space="preserve">Bahlil soal Gubernur Kaltim Rudy Mas'ud: Kita Viral, Kita Top - Tirto.id</t>
  </si>
  <si>
    <t xml:space="preserve">Narasi viral pembongkaran pagar pasar demi akses toko dibantah Disdag (isu negatif)</t>
  </si>
  <si>
    <t xml:space="preserve">https://www.suaramerdeka.com/semarang-raya/0416947186/toko-kue-gambang-pasar-johar-semarang-viral-bantah-ada-intervensi-wali-kota?page=2</t>
  </si>
  <si>
    <t xml:space="preserve">www.suaramerdeka.com</t>
  </si>
  <si>
    <t xml:space="preserve">Polisi Lepas Borgol Tersangka agar Bisa Peluk Anak, Momen Haru Viral di Kaltim - Radar Palu</t>
  </si>
  <si>
    <t xml:space="preserve">Radar Palu</t>
  </si>
  <si>
    <t xml:space="preserve">Isu kepemilikan anak Wali Kota viral di media sosial, diklarifikasi pemilik (isu negatif)</t>
  </si>
  <si>
    <t xml:space="preserve">https://www.ayosemarang.com/semarang-raya/7716945021/viral-toko-kue-gambang-disebut-milik-anak-wali-kota-semarang-owner-buka-suara</t>
  </si>
  <si>
    <t xml:space="preserve">Sekuriti Pasar Pagi Umpat "Media Busuk" ke Wartawati, Wali Kota Samarinda Minta Maaf - Kompas.com</t>
  </si>
  <si>
    <t xml:space="preserve">Jadi sorotan publik, diserbu ulasan bintang satu hingga rating Google turun ke 2,8 (isu negatif)</t>
  </si>
  <si>
    <t xml:space="preserve">https://jateng.suara.com/read/2026/04/04/065310/rating-anjlok-jadi-28-ini-fakta-polemik-toko-kue-gambang-semarang-yang-viral</t>
  </si>
  <si>
    <t xml:space="preserve">jateng.suara.com</t>
  </si>
  <si>
    <t xml:space="preserve">Viral Terduga Pencuri Diikat di Pasar Segiri, Polisi: Jangan Main Hakim Sendiri - Korankaltim.com</t>
  </si>
  <si>
    <t xml:space="preserve">Korankaltim.com</t>
  </si>
  <si>
    <t xml:space="preserve">Ramai polemik dugaan penjebolan tembok demi perluasan toko (isu negatif)</t>
  </si>
  <si>
    <t xml:space="preserve">https://jatim.tribunnews.com/news/539333/rating-toko-gue-gambang-semarang-anjlok-imbas-isu-anak-wali-kota-dipicu-masalah-penjebolan-tembok?page=all</t>
  </si>
  <si>
    <t xml:space="preserve">jatim.tribunnews.com</t>
  </si>
  <si>
    <t xml:space="preserve">Harga BBM Nonsubsidi Melonjak, Bahli: Kita Ikut Harga Pasar - EKSPOSKALTIM</t>
  </si>
  <si>
    <t xml:space="preserve">EKSPOSKALTIM</t>
  </si>
  <si>
    <t xml:space="preserve">Diserbu antrean pembeli penasaran setelah polemik viral di TikTok dan Instagram</t>
  </si>
  <si>
    <t xml:space="preserve">4 April 2026</t>
  </si>
  <si>
    <t xml:space="preserve">https://banyumas.tribunnews.com/umkm/90078/efek-viral-ganjel-rel-polemik-cagar-budaya-malah-dongkrak-penjualan-kue-gambang-semarang</t>
  </si>
  <si>
    <t xml:space="preserve">banyumas.tribunnews.com</t>
  </si>
  <si>
    <t xml:space="preserve">Kursi Pijat Rp 125 Juta Jadi Polemik, Pemprov Kaltim: Sesuai Harga Pasar - detikcom</t>
  </si>
  <si>
    <t xml:space="preserve">Isu pemanfaatan bangunan viral, Pemkot pastikan sesuai prosedur (isu negatif)</t>
  </si>
  <si>
    <t xml:space="preserve">https://www.ayosemarang.com/semarang-raya/7716944832/isu-toko-roti-gambang-bongkar-pagar-pasar-johar-ini-klarifikasi-disdag-semarang</t>
  </si>
  <si>
    <t xml:space="preserve">Audensi Bersama Tirtonegoro Foundation,Wawali Buka Pintu Dukungan untuk Event Nostalgia Kala Fest 2026 - Portal Resmi Kota Samarinda</t>
  </si>
  <si>
    <t xml:space="preserve">Portal Resmi Kota Samarinda</t>
  </si>
  <si>
    <t xml:space="preserve">Polemik isu penjebolan tembok dan pelanggaran cagar budaya di media sosial (isu negatif)</t>
  </si>
  <si>
    <t xml:space="preserve">https://regional.espos.id/toko-kue-gambang-di-pasar-johar-semarang-bantah-isu-jebol-tembok-2202997</t>
  </si>
  <si>
    <t xml:space="preserve">Kurang Bayar Dana Transfer Capai Rp 2 Triliun, Program Prioritas di Kaltim Mulai Dikoreksi - Kompas.com</t>
  </si>
  <si>
    <t xml:space="preserve">Tansurri (Ketan Susu RRI)</t>
  </si>
  <si>
    <t xml:space="preserve">Ruko Pasar Johar, Semarang</t>
  </si>
  <si>
    <t xml:space="preserve">Lapak ketan susu viral di media sosial meski baru buka tiga minggu, diserbu wisatawan</t>
  </si>
  <si>
    <t xml:space="preserve">https://regional.kompas.com/read/2026/05/18/051000878/diserbu-wisatawan-ketan-susu-viral-hidupkan-nostalgia-pasar-johar-semarang?page=all</t>
  </si>
  <si>
    <t xml:space="preserve">Kaltim Harus Lebih Banyak Event untuk Asah Potensi Atlet Taekwondo - Korankaltim.com</t>
  </si>
  <si>
    <t xml:space="preserve">056</t>
  </si>
  <si>
    <t xml:space="preserve">Kauman, Kecamatan Semarang Tengah, Kota Semarang</t>
  </si>
  <si>
    <t xml:space="preserve">Pasar bersejarah jadi destinasi wisata kuliner ramai muda-mudi, ada roti kekinian viral dan kuliner legendaris murah</t>
  </si>
  <si>
    <t xml:space="preserve">https://www.detik.com/jateng/kuliner/d-8540914/asyiknya-kulineran-di-pasar-johar-semarang-ada-ketan-susu-hingga-es-gempol</t>
  </si>
  <si>
    <t xml:space="preserve">Program Seragam Gratis Kaltim Belum Terealisasi, Siswa SMK di Samarinda Sekolah Pakai Baju SMP - Kompas.com</t>
  </si>
  <si>
    <t xml:space="preserve">Soto Pak No</t>
  </si>
  <si>
    <t xml:space="preserve">Lantai dua Pasar Johar, Kota Semarang</t>
  </si>
  <si>
    <t xml:space="preserve">Soto ayam favorit pengunjung yang wajib dicoba di Pasar Johar</t>
  </si>
  <si>
    <t xml:space="preserve">Video juru parkir patok tarif seenaknya viral hingga jukir dipecat (isu negatif)</t>
  </si>
  <si>
    <t xml:space="preserve">https://www.gridoto.com/read/224369595/jukir-pasar-di-semarang-kena-karma-kilat-bermula-mainkan-tarif-rp-1000</t>
  </si>
  <si>
    <t xml:space="preserve">www.gridoto.com</t>
  </si>
  <si>
    <t xml:space="preserve">Global Fund Belum Pasti, Kaltim Siapkan APBD untuk Program HIV/AIDS - BorneoFlash.com</t>
  </si>
  <si>
    <t xml:space="preserve">BorneoFlash.com</t>
  </si>
  <si>
    <t xml:space="preserve">Festival Kota Lama Semarang 2026</t>
  </si>
  <si>
    <t xml:space="preserve">Kawasan Kota Lama, Kota Semarang</t>
  </si>
  <si>
    <t xml:space="preserve">Festival seni budaya, kuliner nostalgia, jazz dan 1.000 Angklung Berkebaya, masuk Karisma Event Nusantara</t>
  </si>
  <si>
    <t xml:space="preserve">https://jateng.disway.id/disway-semarang/read/722991/festival-kota-lama-semarang-2026-dimulai-4-september-ada-kuliner-nostalgia-hingga-1000-angklung-berkebaya</t>
  </si>
  <si>
    <t xml:space="preserve">7 Pilihan Warung Soto Banjar Terpopuler di Balikpapan - detikcom</t>
  </si>
  <si>
    <t xml:space="preserve">Festival Bunga Bandungan 2026</t>
  </si>
  <si>
    <t xml:space="preserve">Bandungan, Kabupaten Semarang</t>
  </si>
  <si>
    <t xml:space="preserve">Festival bunga dengan workshop merangkai bunga dan parade 25 mobil hias</t>
  </si>
  <si>
    <t xml:space="preserve">https://travel.kompas.com/read/2026/07/01/100900927/akhir-pekan-ini-festival-bunga-bandungan-2026-digelar-di-semarang</t>
  </si>
  <si>
    <t xml:space="preserve">Fenomena Anak Muda Lebih Pilih Tinggal di Hotel daripada Sewa Rumah - detikcom</t>
  </si>
  <si>
    <t xml:space="preserve">Gebyar Kuliner Gang Senggol Jakarta Vol. 5</t>
  </si>
  <si>
    <t xml:space="preserve">Queen City Mall, Kota Semarang</t>
  </si>
  <si>
    <t xml:space="preserve">Queen City Mall</t>
  </si>
  <si>
    <t xml:space="preserve">Pesta kuliner jajanan khas dan kekinian</t>
  </si>
  <si>
    <t xml:space="preserve">23 Juli - 2 Agustus 2026</t>
  </si>
  <si>
    <t xml:space="preserve">https://www.ayosemarang.com/semarang-raya/7717446693/kalender-event-wisata-kota-semarang-agustus-2026-ada-festival-arak-arakan-cheng-ho</t>
  </si>
  <si>
    <t xml:space="preserve">Cokelat Bulungan Tembus Pasar Global Rp 1,13 Miliar, Apa Istimewanya? - Kompas.com</t>
  </si>
  <si>
    <t xml:space="preserve">Sela Rasa Festival Kuliner</t>
  </si>
  <si>
    <t xml:space="preserve">Pollux Mall Paragon, Kota Semarang</t>
  </si>
  <si>
    <t xml:space="preserve">Mal Paragon</t>
  </si>
  <si>
    <t xml:space="preserve">Festival kuliner dengan beragam stan hidangan nusantara dan modern</t>
  </si>
  <si>
    <t xml:space="preserve">29 Juli - 9 Agustus 2026</t>
  </si>
  <si>
    <t xml:space="preserve">Mall Paragon, Kota Semarang</t>
  </si>
  <si>
    <t xml:space="preserve">Festival kuliner nusantara dalam satu lokasi</t>
  </si>
  <si>
    <t xml:space="preserve">https://aboutsemarang.id/catat-deretan-event-seru-semarang-agustus-2026-dari-festival-kuliner-hingga-konser-hut-ri/</t>
  </si>
  <si>
    <t xml:space="preserve">aboutsemarang.id</t>
  </si>
  <si>
    <t xml:space="preserve">Agus Taufik: UMKM Kaltara Jangan Berhenti di Pasar Lokal - kaltara.indozone.id</t>
  </si>
  <si>
    <t xml:space="preserve">Jakarta Take Over The Capital's Food Festival</t>
  </si>
  <si>
    <t xml:space="preserve">Atrium The Park Mall Semarang, Kota Semarang</t>
  </si>
  <si>
    <t xml:space="preserve">The Park Mall Semarang</t>
  </si>
  <si>
    <t xml:space="preserve">Festival makanan khas Jakarta dan daerah lain</t>
  </si>
  <si>
    <t xml:space="preserve">31 Juli - 9 Agustus 2026</t>
  </si>
  <si>
    <t xml:space="preserve">Aurora Lighting Festival</t>
  </si>
  <si>
    <t xml:space="preserve">Grand Maerakaca, Kota Semarang</t>
  </si>
  <si>
    <t xml:space="preserve">Grand Maerakaca (kawasan PRPP)</t>
  </si>
  <si>
    <t xml:space="preserve">Wisata malam dengan instalasi lampu instagramable</t>
  </si>
  <si>
    <t xml:space="preserve">Hingga 6 September 2026</t>
  </si>
  <si>
    <t xml:space="preserve">Indonesia Mahabarata Art Festival</t>
  </si>
  <si>
    <t xml:space="preserve">Taman Indonesia Kaya, Kota Semarang</t>
  </si>
  <si>
    <t xml:space="preserve">Mugassari</t>
  </si>
  <si>
    <t xml:space="preserve">Festival seni pertunjukan bertema Mahabarata dikemas modern</t>
  </si>
  <si>
    <t xml:space="preserve">23 Agustus 2026</t>
  </si>
  <si>
    <t xml:space="preserve">Sop Konro Bawakaraeng</t>
  </si>
  <si>
    <t xml:space="preserve">Pusat Kota Makassar</t>
  </si>
  <si>
    <t xml:space="preserve">pusat kota</t>
  </si>
  <si>
    <t xml:space="preserve">Tempat makan konro legendaris dengan daging sangat lembut, selalu ramai</t>
  </si>
  <si>
    <t xml:space="preserve">https://makassar.antaranews.com/berita/632475/berikut-warung-konro-legendaris-di-kota-makassar</t>
  </si>
  <si>
    <t xml:space="preserve">Jawab Tantangan Pasar Global, Komoditas Ekspor Kaltara Didorong Penuhi Standar dan Hilirisasi - mantranews</t>
  </si>
  <si>
    <t xml:space="preserve">mantranews</t>
  </si>
  <si>
    <t xml:space="preserve">Daeng Banna</t>
  </si>
  <si>
    <t xml:space="preserve">Gayungsari Barat, Surabaya</t>
  </si>
  <si>
    <t xml:space="preserve">Gayungan</t>
  </si>
  <si>
    <t xml:space="preserve">Gayungsari Barat</t>
  </si>
  <si>
    <t xml:space="preserve">Warung hidden gem kuliner Makassar dengan pallubasa, coto dan konro resep keluarga</t>
  </si>
  <si>
    <t xml:space="preserve">https://jatimnow.com/baca-84205-kuliner-makassar-di-surabaya-pallubasa-daeng-banna-bikin-nagih</t>
  </si>
  <si>
    <t xml:space="preserve">70 Persen Ikan Kaltara Dijual Keluar, Alasan Harga Ikan Lokal Tetap Mahal - benuanta.co.id</t>
  </si>
  <si>
    <t xml:space="preserve">benuanta.co.id</t>
  </si>
  <si>
    <t xml:space="preserve">Ayam Goreng Kamari</t>
  </si>
  <si>
    <t xml:space="preserve">Jalan Dharma Husada, Surabaya</t>
  </si>
  <si>
    <t xml:space="preserve">Jl. Dharmahusada (lintas kecamatan)</t>
  </si>
  <si>
    <t xml:space="preserve">Viral di media sosial berkat ayam goreng ketumbar kremesan rahasia dan ayam kukus kuah kaldu</t>
  </si>
  <si>
    <t xml:space="preserve">https://radarsurabayabisnis.jawapos.com/wisata-kuliner/2606250011/ayam-goreng-kamari-surabaya-perpaduan-rasa-makassar-dan-chinese-food-yang-viral</t>
  </si>
  <si>
    <t xml:space="preserve">radarsurabayabisnis.jawapos.com</t>
  </si>
  <si>
    <t xml:space="preserve">Karantina Kaltara Dorong Standar Mutu dan Ekspor, Pasar Ikan Higienis Tarakan Jadi Titik Kuat Ekonomi Baru - kaltara.indozone.id</t>
  </si>
  <si>
    <t xml:space="preserve">Pulau Lanjukang</t>
  </si>
  <si>
    <t xml:space="preserve">pulau terluar Makassar; koordinat centroid kota</t>
  </si>
  <si>
    <t xml:space="preserve">Dikembangkan sebagai destinasi wisata bahari berbasis konservasi</t>
  </si>
  <si>
    <t xml:space="preserve">https://m.antaranews.com/amp/video/5760968/hari-pariwisata-dunia-momentum-kembangkan-wisata-bahari-makassar</t>
  </si>
  <si>
    <t xml:space="preserve">m.antaranews.com</t>
  </si>
  <si>
    <t xml:space="preserve">Kelapa Pandan Wangi Nunukan Dibidik Tembus Pasar Ekspor - kaltara.indozone.id</t>
  </si>
  <si>
    <t xml:space="preserve">Pantai Losari</t>
  </si>
  <si>
    <t xml:space="preserve">Losari</t>
  </si>
  <si>
    <t xml:space="preserve">Ujung Pandang</t>
  </si>
  <si>
    <t xml:space="preserve">Ikon wisata Makassar dengan panorama matahari terbenam dan kuliner khas</t>
  </si>
  <si>
    <t xml:space="preserve">https://mediata.id/2026/07/10-tempat-wisata-di-makassar-akhir-pekan/</t>
  </si>
  <si>
    <t xml:space="preserve">mediata.id</t>
  </si>
  <si>
    <t xml:space="preserve">Senyum Hasan di Balik Program Bedah Rumah Pemkot Pontianak - Kompas.com</t>
  </si>
  <si>
    <t xml:space="preserve">Benteng Fort Rotterdam</t>
  </si>
  <si>
    <t xml:space="preserve">Bulo Gading</t>
  </si>
  <si>
    <t xml:space="preserve">Wisata sejarah dan museum koleksi budaya Sulawesi Selatan</t>
  </si>
  <si>
    <t xml:space="preserve">Masjid 99 Kubah</t>
  </si>
  <si>
    <t xml:space="preserve">Kawasan Center Point of Indonesia, Kota Makassar</t>
  </si>
  <si>
    <t xml:space="preserve">kawasan Center Point of Indonesia</t>
  </si>
  <si>
    <t xml:space="preserve">Ikon baru Makassar, wisata religi dan lokasi favorit berfoto</t>
  </si>
  <si>
    <t xml:space="preserve">Kawasan Center Point of Indonesia</t>
  </si>
  <si>
    <t xml:space="preserve">Ruang publik untuk jalan kaki, olahraga dan menikmati suasana laut</t>
  </si>
  <si>
    <t xml:space="preserve">Pulau Samalona</t>
  </si>
  <si>
    <t xml:space="preserve">Pulau kecil dengan air laut jernih dan lokasi snorkeling</t>
  </si>
  <si>
    <t xml:space="preserve">Pantai Akkarena</t>
  </si>
  <si>
    <t xml:space="preserve">Pantai tenang untuk bersantai keluarga dengan area bermain dan kuliner</t>
  </si>
  <si>
    <t xml:space="preserve">Trans Studio Makassar</t>
  </si>
  <si>
    <t xml:space="preserve">Taman hiburan indoor terbesar dengan berbagai wahana permainan</t>
  </si>
  <si>
    <t xml:space="preserve">Ekowisata Mangrove Lakkang</t>
  </si>
  <si>
    <t xml:space="preserve">Kelurahan Lakkang, Kota Makassar</t>
  </si>
  <si>
    <t xml:space="preserve">Lakkang</t>
  </si>
  <si>
    <t xml:space="preserve">Tallo</t>
  </si>
  <si>
    <t xml:space="preserve">Kawasan delta mangrove digagas jadi ekowisata terpadu berbasis konservasi</t>
  </si>
  <si>
    <t xml:space="preserve">9 Juni 2026</t>
  </si>
  <si>
    <t xml:space="preserve">https://sulsel.suara.com/read/2026/06/09/201624/mengintip-potensi-ekowisata-lakkang-permata-tersembunyi-di-tengah-kota-makassar</t>
  </si>
  <si>
    <t xml:space="preserve">16 Tempat Makan di Tomohon Terbaik 2026, View Gunung Lokon hingga Cita Rasa Minahasa - Liputan6.com</t>
  </si>
  <si>
    <t xml:space="preserve">Pulau Kodingare Keke</t>
  </si>
  <si>
    <t xml:space="preserve">pulau di Makassar; koordinat centroid kota</t>
  </si>
  <si>
    <t xml:space="preserve">Pulau tempat camping dikunjungi selebriti dalam program liburan</t>
  </si>
  <si>
    <t xml:space="preserve">https://20.detik.com/spot-wisata/20260608-260608029/camping-seru-di-bibir-pantai-pulau-kodingareng-keke-makassar</t>
  </si>
  <si>
    <t xml:space="preserve">5 Restoran Manado di Jakarta Utara, Pernah Coba? - Popmama.com</t>
  </si>
  <si>
    <t xml:space="preserve">Popmama.com</t>
  </si>
  <si>
    <t xml:space="preserve">Pulau Liukang Loe</t>
  </si>
  <si>
    <t xml:space="preserve">pulau dekat Tanjung Bira</t>
  </si>
  <si>
    <t xml:space="preserve">Pulau yang dikunjungi selebriti, berjoget bersama warga lokal</t>
  </si>
  <si>
    <t xml:space="preserve">https://20.detik.com/spot-wisata/20260715-260715104/beristirahat-sejenak-di-penginapan-nyaman-kota-makassar</t>
  </si>
  <si>
    <t xml:space="preserve">3 Wisata Pantai Favorit di Sulawesi Utara, dari Manado hingga Likupang - IDN Times Sulsel</t>
  </si>
  <si>
    <t xml:space="preserve">IDN Times Sulsel</t>
  </si>
  <si>
    <t xml:space="preserve">Trans Snow World Makassar</t>
  </si>
  <si>
    <t xml:space="preserve">Trans Studio Mall Makassar, Jl. Metro Tanjung Bunga, Makassar</t>
  </si>
  <si>
    <t xml:space="preserve">Wisata salju indoor untuk bermain salju dan berseluncur, ada promo tiket</t>
  </si>
  <si>
    <t xml:space="preserve">18-24 Mei 2026</t>
  </si>
  <si>
    <t xml:space="preserve">https://travel.detik.com/domestic-destination/d-8499187/promo-amayzing-deals-trans-snow-world-makassar-main-salju-makin-hemat</t>
  </si>
  <si>
    <t xml:space="preserve">Wagub Giri Prasta Ajak Sulawesi Utara Perkuat Kolaborasi Majukan Pariwisata Nasional - Balipuspanews.com</t>
  </si>
  <si>
    <t xml:space="preserve">Balipuspanews.com</t>
  </si>
  <si>
    <t xml:space="preserve">Museum Kota Makassar</t>
  </si>
  <si>
    <t xml:space="preserve">Jalan Balaikota, Makassar</t>
  </si>
  <si>
    <t xml:space="preserve">Dimanfaatkan warga sebagai lokasi nobar Piala Dunia 2026</t>
  </si>
  <si>
    <t xml:space="preserve">https://makassar.tribunnews.com/makassar/1841601/munafri-sebut-museum-kota-makassar-bisa-dimanfaatkan-untuk-nobar-piala-dunia-2026</t>
  </si>
  <si>
    <t xml:space="preserve">makassar.tribunnews.com</t>
  </si>
  <si>
    <t xml:space="preserve">Menbud Dorong Museum Negeri Sulut Jadi Infrastruktur Kebudayaan &amp; Ekonomi - detikNews</t>
  </si>
  <si>
    <t xml:space="preserve">Toko Sumber Plastik</t>
  </si>
  <si>
    <t xml:space="preserve">Jalan Masjid Raya, Makassar</t>
  </si>
  <si>
    <t xml:space="preserve">Jl. Masjid Raya</t>
  </si>
  <si>
    <t xml:space="preserve">Aduan warga viral soal bongkar muat penyebab macet, disidak DPRD (isu negatif)</t>
  </si>
  <si>
    <t xml:space="preserve">29 April 2026</t>
  </si>
  <si>
    <t xml:space="preserve">https://rri.co.id/makassar/info-parlemen/2375815/dprd-makassar-sidak-gudang-toko-sumber-plastik</t>
  </si>
  <si>
    <t xml:space="preserve">Museum Daerah Sulut Jadi Tempat Liburan Gen Z dan Milenial, Rela Antre Demi Lihat Artefak Sejarah - Tribunmanado.co.id</t>
  </si>
  <si>
    <t xml:space="preserve">Tribunmanado.co.id</t>
  </si>
  <si>
    <t xml:space="preserve">057</t>
  </si>
  <si>
    <t xml:space="preserve">Festival Warisan Rasa Asia</t>
  </si>
  <si>
    <t xml:space="preserve">Phinisi Point Mall (PIPO), Makassar</t>
  </si>
  <si>
    <t xml:space="preserve">Phinisi Point Mall, Jl. Metro Tanjung Bunga</t>
  </si>
  <si>
    <t xml:space="preserve">Festival kuliner legendaris dan sajian viral Nusantara dan Asia, dimeriahkan SMASH</t>
  </si>
  <si>
    <t xml:space="preserve">https://makassar.terkini.id/phinisi-point-mall-hadirkan-festival-warisan-rasa-asia-smash-siap-hibur-pengunjung/</t>
  </si>
  <si>
    <t xml:space="preserve">makassar.terkini.id</t>
  </si>
  <si>
    <t xml:space="preserve">Breaking News: Kericuhan Terjadi di Mal Mantos Manado, Seorang Pria Bawa Sajam - Tribunmanado.co.id</t>
  </si>
  <si>
    <t xml:space="preserve">Bakso Bioskop Lamo</t>
  </si>
  <si>
    <t xml:space="preserve">Kertapati, Palembang</t>
  </si>
  <si>
    <t xml:space="preserve">Kertapati</t>
  </si>
  <si>
    <t xml:space="preserve">Kembali dipadati pengunjung setelah viral di media sosial, bakso legendaris sejak 1987 harga terjangkau</t>
  </si>
  <si>
    <t xml:space="preserve">https://rri.co.id/palembang/regional/2565904/viral-di-medsos-bakso-bioskop-lamo-kembali-ramai-pengunjung</t>
  </si>
  <si>
    <t xml:space="preserve">Kerap Jadi Korban Kebijakan, Pedagang Pasar Bersehati Manado Demo - IDN Times Sulsel</t>
  </si>
  <si>
    <t xml:space="preserve">Viral diboikot turis Malaysia usai rombongan dituduh belum bayar tagihan (isu negatif)</t>
  </si>
  <si>
    <t xml:space="preserve">20 Mei 2026</t>
  </si>
  <si>
    <t xml:space="preserve">https://www.rctiplus.com/news/detail/okezone/5387339/ternyata-ini-sosok-pemilik-rumah-makan-padang-terkenal-pagi-sore--viral-diboikot-turis-malaysia</t>
  </si>
  <si>
    <t xml:space="preserve">Viral Postingan Singgung Gubernur YSK, Lucky Senduk Tempuh Jalur Hukum: “Jangan Catut Nama Saya” - bolmora.com</t>
  </si>
  <si>
    <t xml:space="preserve">bolmora.com</t>
  </si>
  <si>
    <t xml:space="preserve">Jembatan Ampera</t>
  </si>
  <si>
    <t xml:space="preserve">menghubungkan Ilir Timur I dan Seberang Ulu I</t>
  </si>
  <si>
    <t xml:space="preserve">Ikon kota dengan panorama Sungai Musi, spot favorit berburu foto</t>
  </si>
  <si>
    <t xml:space="preserve">https://sumeks.disway.id/travelling-kuliner/read/790056/rekomendasi-5-tempat-wisata-palembang-yang-cocok-dikunjungi-saat-cuaca-cerah</t>
  </si>
  <si>
    <t xml:space="preserve">Viral Video Perkelahian Tiga Emak-emak di Pasar Sentral Sinjai, Berujung Saling Lapor Polisi - Kompas.com</t>
  </si>
  <si>
    <t xml:space="preserve">Tren London Bridge Palembang ramai diperbincangkan di media sosial, jadi latar konten malam anak muda</t>
  </si>
  <si>
    <t xml:space="preserve">https://rri.co.id/palembang/wisata/2324993/tren-london-bridge-palembang-viral-ampera-jadi-spot-konten-anak-muda</t>
  </si>
  <si>
    <t xml:space="preserve">Tragedi Drag Race Kotamobagu, Panitia dan Pemberi Izin dalam Ancaman Pidana - AFU.id</t>
  </si>
  <si>
    <t xml:space="preserve">Ikon kota, spot favorit menikmati panorama Sungai Musi saat sore hingga malam</t>
  </si>
  <si>
    <t xml:space="preserve">https://sumsel.akurat.co/traveling/869383/liburan-sekolah-di-palembang-ini-8-destinasi-menarik-yang-wajib-masuk-daftar-kunjungan</t>
  </si>
  <si>
    <t xml:space="preserve">IMI Sulut Ungkap Batas Kewenangan di Drag Race Kotamobagu: Teknis di RC, Penonton di Panitia - detotabuan.com</t>
  </si>
  <si>
    <t xml:space="preserve">detotabuan.com</t>
  </si>
  <si>
    <t xml:space="preserve">Masjid Agung Sultan Mahmud Badaruddin I</t>
  </si>
  <si>
    <t xml:space="preserve">19 Ilir</t>
  </si>
  <si>
    <t xml:space="preserve">Bangunan bersejarah perpaduan Melayu, Tionghoa dan Eropa untuk wisata edukasi</t>
  </si>
  <si>
    <t xml:space="preserve">Kompleks Pemakaman Kawah Tekurep</t>
  </si>
  <si>
    <t xml:space="preserve">3 Ilir</t>
  </si>
  <si>
    <t xml:space="preserve">Ilir Timur II</t>
  </si>
  <si>
    <t xml:space="preserve">Wisata sejarah makam tokoh Kesultanan Palembang Darussalam</t>
  </si>
  <si>
    <t xml:space="preserve">Kampung Kapitan</t>
  </si>
  <si>
    <t xml:space="preserve">7 Ulu</t>
  </si>
  <si>
    <t xml:space="preserve">Seberang Ulu I</t>
  </si>
  <si>
    <t xml:space="preserve">Kampung wisata budaya jejak komunitas Tionghoa di tepi Sungai Musi</t>
  </si>
  <si>
    <t xml:space="preserve">Punti Kayu</t>
  </si>
  <si>
    <t xml:space="preserve">Jl. Kolonel Haji Burlian Km 6,5, Kecamatan Sukarami, Palembang</t>
  </si>
  <si>
    <t xml:space="preserve">Hutan pinus 50 hektare di tengah kota untuk piknik keluarga</t>
  </si>
  <si>
    <t xml:space="preserve">https://www.detik.com/sumbagsel/wisata/d-8483092/wajib-tahu-ini-15-wisata-alam-sekitar-wilayah-kota-palembang</t>
  </si>
  <si>
    <t xml:space="preserve">2 Event Menarik di Sulawesi 10 September 2026, Termasuk Pameran Toyota Serbu di TSM Makassar - TribunStyle.com</t>
  </si>
  <si>
    <t xml:space="preserve">Bukit Siguntang</t>
  </si>
  <si>
    <t xml:space="preserve">Kelurahan Bukit Lama, Kecamatan Ilir Barat II, Kota Palembang</t>
  </si>
  <si>
    <t xml:space="preserve">Bukit Lama</t>
  </si>
  <si>
    <t xml:space="preserve">Ilir Barat I</t>
  </si>
  <si>
    <t xml:space="preserve">teks menyebut Ilir Barat II; Bukit Lama berada di Ilir Barat I</t>
  </si>
  <si>
    <t xml:space="preserve">Titik tertinggi Palembang, wisata alam sekaligus situs sejarah</t>
  </si>
  <si>
    <t xml:space="preserve">Benteng Kuto Besak</t>
  </si>
  <si>
    <t xml:space="preserve">Cagar budaya tepian Sungai Musi yang direvitalisasi, destinasi wisata sejarah</t>
  </si>
  <si>
    <t xml:space="preserve">https://jogja.disway.id/wisata/read/700870/lagi-hits-banget-ini-tempat-wisata-palembang-terbaru-2026-yang-wajib-masuk-list-liburan</t>
  </si>
  <si>
    <t xml:space="preserve">Pakar Setuju dengan Kapolda Sulut soal Tian Ngantung Bisa Tersangka Imbas Drag Race Maut Kotamobagu - Tribunnews.com</t>
  </si>
  <si>
    <t xml:space="preserve">Ampera Walk</t>
  </si>
  <si>
    <t xml:space="preserve">Kawasan wisata tepi Sungai Musi yang fotogenik</t>
  </si>
  <si>
    <t xml:space="preserve">Kambang Iwak</t>
  </si>
  <si>
    <t xml:space="preserve">Jalan Tasik, Talang Semut, Kecamatan Bukit Kecil, Palembang</t>
  </si>
  <si>
    <t xml:space="preserve">Talang Semut</t>
  </si>
  <si>
    <t xml:space="preserve">Dipadati pengunjung saat libur sekolah, ada wahana anak memberi makan kelinci, playground dan kuliner UMKM</t>
  </si>
  <si>
    <t xml:space="preserve">https://rri.co.id/palembang/regional/2547431/jadi-destinasi-wisata-di-palembang-kambang-iwak-ramai-dikunjungi-warga-saat-libur</t>
  </si>
  <si>
    <t xml:space="preserve">Warteg Kharisma Bahari Resmi Hadir di Gorontalo, Sajikan Kuliner Nusantara dengan Sentuhan Lidah Lokal - Go-Pena</t>
  </si>
  <si>
    <t xml:space="preserve">Go-Pena</t>
  </si>
  <si>
    <t xml:space="preserve">Kisah Baru Cabin</t>
  </si>
  <si>
    <t xml:space="preserve">Jakabaring Sport City, Palembang</t>
  </si>
  <si>
    <t xml:space="preserve">Kafe konsep rumah kabin di tepi Danau Jakabaring, pengunjung bertambah setelah viral di media sosial</t>
  </si>
  <si>
    <t xml:space="preserve">Sejak April 2026</t>
  </si>
  <si>
    <t xml:space="preserve">https://rri.co.id/palembang/wisata/2604175/kisah-baru-cabin-jadi-kafe-viral-bernuansa-kabin-di-palembang</t>
  </si>
  <si>
    <t xml:space="preserve">Liburan ke Gorontalo? Ini 7 Tempat Wisata Favorit yang Wajib Masuk Bucket List - Info Ekonomi</t>
  </si>
  <si>
    <t xml:space="preserve">Ditetapkan sebagai Cagar Budaya Peringkat Nasional</t>
  </si>
  <si>
    <t xml:space="preserve">2 Juli 2026</t>
  </si>
  <si>
    <t xml:space="preserve">https://www.rmolsumsel.id/kementerian-kebudayaan-tetapkan-empat-ikon-palembang-sebagai-cagar-budaya-peringkat-nasional</t>
  </si>
  <si>
    <t xml:space="preserve">Kucing Raksasa Interaktif Jadi Daya Tarik Baru Pentadio Resort, Siap Sambut Wisatawan - Pemerintah Kabupaten Gorontalo</t>
  </si>
  <si>
    <t xml:space="preserve">Pemerintah Kabupaten Gorontalo</t>
  </si>
  <si>
    <t xml:space="preserve">Masjid Agung Sultan Mahmud Badaruddin Jayo Wikramo</t>
  </si>
  <si>
    <t xml:space="preserve">Museum Sultan Mahmud Badaruddin II</t>
  </si>
  <si>
    <t xml:space="preserve">Pelataran museum jadi panggung kolosal ribuan penari perayaan Hari Tari Sedunia</t>
  </si>
  <si>
    <t xml:space="preserve">https://sumsel.akurat.co/sumsel/852962/ribuan-penari-getarkan-pelataran-museum-smb-ii-palembang-rayakan-hari-tari-sedunia</t>
  </si>
  <si>
    <t xml:space="preserve">Terjaring Razia, Dinsos-PM Kota Gorontalo Lakukan Pendataan dan Pembinaan Terhadap 19 PPKS - 60dtk.com</t>
  </si>
  <si>
    <t xml:space="preserve">60dtk.com</t>
  </si>
  <si>
    <t xml:space="preserve">Pasaraya Bandung</t>
  </si>
  <si>
    <t xml:space="preserve">16 Ilir, Palembang</t>
  </si>
  <si>
    <t xml:space="preserve">Video TikTok kondisi terkini eks Sumatera Shopping Center memancing nostalgia warganet, kini sepi</t>
  </si>
  <si>
    <t xml:space="preserve">https://palembang.tribunnews.com/metro/1322019/viral-tiktok-kondisi-pasaraya-bandung-16-ilir-palembang-bikin-warganet-nostalgia-masa-kejayaan-dulu</t>
  </si>
  <si>
    <t xml:space="preserve">palembang.tribunnews.com</t>
  </si>
  <si>
    <t xml:space="preserve">Tanggapi Isu Polis Viral, BRI Life Gorontalo Tegaskan Perbedaan Produk Davestera dan Agency - tintanusantara.co.id</t>
  </si>
  <si>
    <t xml:space="preserve">tintanusantara.co.id</t>
  </si>
  <si>
    <t xml:space="preserve">058</t>
  </si>
  <si>
    <t xml:space="preserve">Matahari Department Store IP Mall</t>
  </si>
  <si>
    <t xml:space="preserve">Internasional Plaza (IP Mall), Palembang</t>
  </si>
  <si>
    <t xml:space="preserve">Internasional Plaza</t>
  </si>
  <si>
    <t xml:space="preserve">Gerai legendaris resmi tutup, diskon besar-besaran, video suasana chaos penuh haru viral di media sosial</t>
  </si>
  <si>
    <t xml:space="preserve">https://sumselsatu.com/pamit-dari-palembang-matahari-ip-mall-tutup-pada-27-april-2026-warga-larut-dalam-diskon-dan-kenangan/</t>
  </si>
  <si>
    <t xml:space="preserve">Buka Peluang Pasar Digital, Kadis PPPA PMD Dorong Kemandirian Ekonomi Anggota DWP Gorontalo - Hulondalo - Hulondalo</t>
  </si>
  <si>
    <t xml:space="preserve">Hulondalo</t>
  </si>
  <si>
    <t xml:space="preserve">Sentra pempek dan kuliner khas yang viral sebagai destinasi kuliner unggulan, disiapkan jadi wisata kuliner modern</t>
  </si>
  <si>
    <t xml:space="preserve">23 April 2026</t>
  </si>
  <si>
    <t xml:space="preserve">https://rri.co.id/palembang/ekonomi/umkm/2356988/palembang-siapkan-pasar-26-ilir-jadi-destinasi-kuliner-modern</t>
  </si>
  <si>
    <t xml:space="preserve">Dari Kritik hingga Klarifikasi, Polemik MBG di Bone Pesisir Jadi Evaluasi Bersama - Pemerintah Provinsi Gorontalo</t>
  </si>
  <si>
    <t xml:space="preserve">Pemerintah Provinsi Gorontalo</t>
  </si>
  <si>
    <t xml:space="preserve">Festival 300 lebih menu jajanan viral khas Jakarta tanpa biaya masuk</t>
  </si>
  <si>
    <t xml:space="preserve">https://www.rmolsumsel.id/jajanan-viral-jakarta-serbu-palembang-festival-kuliner-digelar-10-hari</t>
  </si>
  <si>
    <t xml:space="preserve">DPRD Gorut Apresiasi Perbasi Fest 2026: Event Basket Pertama di Indonesia - Kronologi.id</t>
  </si>
  <si>
    <t xml:space="preserve">Kronologi.id</t>
  </si>
  <si>
    <t xml:space="preserve">Bakso Condong Raos</t>
  </si>
  <si>
    <t xml:space="preserve">Jalan Gede, Depok Timur, Depok</t>
  </si>
  <si>
    <t xml:space="preserve">Depok Timur (Perumnas)</t>
  </si>
  <si>
    <t xml:space="preserve">Bakso populer selalu ramai pembeli dengan kuah kaldu gurih</t>
  </si>
  <si>
    <t xml:space="preserve">https://food.detik.com/warung-makan/d-8660720/7-bakso-enak-di-depok-mulai-rp13-ribu-ada-bakso-gepeng-hingga-urat</t>
  </si>
  <si>
    <t xml:space="preserve">Wagub Idah Gerak Cepat Luruskan Kasus SPPG Tihu yang Sempat Viral - Pemerintah Provinsi Gorontalo</t>
  </si>
  <si>
    <t xml:space="preserve">Bakso Malang Citra</t>
  </si>
  <si>
    <t xml:space="preserve">Margonda Raya, Depok</t>
  </si>
  <si>
    <t xml:space="preserve">Jl. Margonda Raya</t>
  </si>
  <si>
    <t xml:space="preserve">Bakso Malang dengan pangsit goreng renyah dekat Stasiun UI</t>
  </si>
  <si>
    <t xml:space="preserve">Pondok Bakso Pak Parjo</t>
  </si>
  <si>
    <t xml:space="preserve">Jalan Proklamasi Abadijaya, Depok II Timur, Sukmajaya, Depok</t>
  </si>
  <si>
    <t xml:space="preserve">Abadijaya</t>
  </si>
  <si>
    <t xml:space="preserve">Bakso sederhana yang bikin pelanggan kembali</t>
  </si>
  <si>
    <t xml:space="preserve">Bakso Kraton Depok</t>
  </si>
  <si>
    <t xml:space="preserve">Jalan Siliwangi No. 4, Pancoran Mas, Depok</t>
  </si>
  <si>
    <t xml:space="preserve">Pancoran Mas</t>
  </si>
  <si>
    <t xml:space="preserve">Tempat makan bakso populer bertekstur lembut dan kenyal</t>
  </si>
  <si>
    <t xml:space="preserve">Pondok Bakso dan Mie Ayam Merdeka</t>
  </si>
  <si>
    <t xml:space="preserve">Depok II Tengah, Depok</t>
  </si>
  <si>
    <t xml:space="preserve">Depok II Tengah</t>
  </si>
  <si>
    <t xml:space="preserve">Bakso halus dan bakso urat harga terjangkau</t>
  </si>
  <si>
    <t xml:space="preserve">Kopi Kotak Margonda</t>
  </si>
  <si>
    <t xml:space="preserve">Kafe tematik di kawasan Margonda untuk nongkrong anak muda</t>
  </si>
  <si>
    <t xml:space="preserve">https://jogja.disway.id/gaya-hidup/read/698682/daftar-kafe-hits-di-margonda-depok-2026-ini-tempat-nongkrong-malam-favorit-paling-estetik</t>
  </si>
  <si>
    <t xml:space="preserve">3 Rumah Makan Rekomendasi untuk Pelancong Saat Melintasi Kabupaten Boalemo Gorontalo - Tribun Gorontalo</t>
  </si>
  <si>
    <t xml:space="preserve">Tribun Gorontalo</t>
  </si>
  <si>
    <t xml:space="preserve">The Milk Crate</t>
  </si>
  <si>
    <t xml:space="preserve">Tengah viral lewat kreasi salt bread 8 varian rasa, ramai direkomendasikan netizen Threads</t>
  </si>
  <si>
    <t xml:space="preserve">Juli-Agustus 2026</t>
  </si>
  <si>
    <t xml:space="preserve">https://food.detik.com/tempat-makan/d-8623962/cicip-lezatnya-salt-bread-viral-di-depok-ada-rasa-cheesy-jalapeno</t>
  </si>
  <si>
    <t xml:space="preserve">​5 Rekomendasi Tempat Makan Hits di Batam untuk Kulineran Saat Weekend - Jurnal Aceh - Jurnal Aceh</t>
  </si>
  <si>
    <t xml:space="preserve">Jurnal Aceh</t>
  </si>
  <si>
    <t xml:space="preserve">Alun-alun Kota Depok</t>
  </si>
  <si>
    <t xml:space="preserve">Grand Depok City, Depok</t>
  </si>
  <si>
    <t xml:space="preserve">Tirtajaya</t>
  </si>
  <si>
    <t xml:space="preserve">Grand Depok City</t>
  </si>
  <si>
    <t xml:space="preserve">Ruang publik primadona warga dengan fasilitas olahraga dan area bermain anak</t>
  </si>
  <si>
    <t xml:space="preserve">https://depok.tribunnews.com/news/50817/libur-sekolah-tiba-ini-6-destinasi-wisata-keluarga-terhits-di-depok-yang-wajib-dikunjungi</t>
  </si>
  <si>
    <t xml:space="preserve">depok.tribunnews.com</t>
  </si>
  <si>
    <t xml:space="preserve">Menyaksikan Keindahan Danau Paisu Pok yang Viral di Sulawesi Tengah - 20detik</t>
  </si>
  <si>
    <t xml:space="preserve">Taman Alun-alun dan Hutan Kota Wilayah Barat (Albar)</t>
  </si>
  <si>
    <t xml:space="preserve">Ruang terbuka hijau dengan jembatan ikonik Juara Situ Tujuh Muara</t>
  </si>
  <si>
    <t xml:space="preserve">D'Kandang Amazing Farm</t>
  </si>
  <si>
    <t xml:space="preserve">Pasir Putih</t>
  </si>
  <si>
    <t xml:space="preserve">Destinasi wisata keluarga hits saat libur sekolah</t>
  </si>
  <si>
    <t xml:space="preserve">Danau Shila Sawangan</t>
  </si>
  <si>
    <t xml:space="preserve">Bojongsari, Sawangan, Depok</t>
  </si>
  <si>
    <t xml:space="preserve">Bojongsari</t>
  </si>
  <si>
    <t xml:space="preserve">teks: Bojongsari, Sawangan; Bojongsari kini kecamatan tersendiri</t>
  </si>
  <si>
    <t xml:space="preserve">Spot viral beberapa bulan terakhir, danau 26 hektare di kawasan perumahan eco town, tak pernah sepi pengunjung</t>
  </si>
  <si>
    <t xml:space="preserve">https://www.harapanrakyat.com/2026/04/danau-shila-sawangan-depok-wisata-alam-di-tengah-perumahan-premium/</t>
  </si>
  <si>
    <t xml:space="preserve">Viral ! Jembatan Poboya Kawatuna Kini Jadi Magnet Wisata di Kota Palu | Tempat Selfi Baru, Wajib di Kunjungi - trilogi.co.id</t>
  </si>
  <si>
    <t xml:space="preserve">trilogi.co.id</t>
  </si>
  <si>
    <t xml:space="preserve">Jl. Penarikan, Pasir Putih, Sawangan, Depok</t>
  </si>
  <si>
    <t xml:space="preserve">Agrowisata interaksi sapi, domba, kuda, memerah susu dan outbound</t>
  </si>
  <si>
    <t xml:space="preserve">https://depok.tribunnews.com/alun-alun-depok/49593/bosan-macet-macetan-ke-puncak-ini-10-spot-healing-asri-di-depok-yang-wajib-dicoba-akhir-pekan-ini</t>
  </si>
  <si>
    <t xml:space="preserve">Pulau Sombori, "Permata Tersembunyi di Jantung Sulawesi tengah" - RRI.co.id</t>
  </si>
  <si>
    <t xml:space="preserve">Nara Kupu Village</t>
  </si>
  <si>
    <t xml:space="preserve">Jl. Batu Ampar Kekupu, Pasir Putih, Sawangan, Depok</t>
  </si>
  <si>
    <t xml:space="preserve">Agro lifestyle dengan rusa tutul, rumah lebah dan kebun organik</t>
  </si>
  <si>
    <t xml:space="preserve">Pondok Zidane</t>
  </si>
  <si>
    <t xml:space="preserve">Wisata alam dengan mini outbound, berkuda, kolam renang dan area berkemah</t>
  </si>
  <si>
    <t xml:space="preserve">Bandar Djakarta Summarecon Bekasi</t>
  </si>
  <si>
    <t xml:space="preserve">Summarecon Bekasi, Bekasi</t>
  </si>
  <si>
    <t xml:space="preserve">Marga Mulya</t>
  </si>
  <si>
    <t xml:space="preserve">Bekasi Utara</t>
  </si>
  <si>
    <t xml:space="preserve">kawasan Summarecon Bekasi</t>
  </si>
  <si>
    <t xml:space="preserve">Masuk daftar wisata kuliner viral, restoran seafood pilih sendiri</t>
  </si>
  <si>
    <t xml:space="preserve">https://chanelmuslim.com/wisata/5-tempat-wisata-kuliner-viral-di-bekasi-yang-wajib-masuk-daftar-kunjungan</t>
  </si>
  <si>
    <t xml:space="preserve">Dari Hainan untuk Sulawesi Tengah: Belajar Membangun Pertanian Masa Depan - Kaidah.ID</t>
  </si>
  <si>
    <t xml:space="preserve">Kaidah.ID</t>
  </si>
  <si>
    <t xml:space="preserve">Raja Sunda Bekasi</t>
  </si>
  <si>
    <t xml:space="preserve">Bekasi</t>
  </si>
  <si>
    <t xml:space="preserve">"Bekasi" tidak jelas Kota atau Kabupaten Bekasi</t>
  </si>
  <si>
    <t xml:space="preserve">Masuk daftar wisata kuliner viral, masakan Sunda dengan saung tradisional</t>
  </si>
  <si>
    <t xml:space="preserve">Martabak Sinar Senayan</t>
  </si>
  <si>
    <t xml:space="preserve">Martabak manis dan telur enak dengan beberapa cabang</t>
  </si>
  <si>
    <t xml:space="preserve">https://food.detik.com/tempat-makan/d-8675788/5-martabak-manis-di-bekasi-yang-cocok-buat-ngemil-sore</t>
  </si>
  <si>
    <t xml:space="preserve">[HOAKS] Undian Berhadian Bank Sulteng Periode April-Mei 2026 - Kompas.com</t>
  </si>
  <si>
    <t xml:space="preserve">Nasi Uduk Bang Bule</t>
  </si>
  <si>
    <t xml:space="preserve">Jl. Mayor Oking No.1, Margahayu, Bekasi</t>
  </si>
  <si>
    <t xml:space="preserve">Margahayu</t>
  </si>
  <si>
    <t xml:space="preserve">Bekasi Timur</t>
  </si>
  <si>
    <t xml:space="preserve">Nasi uduk legendaris sejak 1970-an dengan sate kikil favorit</t>
  </si>
  <si>
    <t xml:space="preserve">https://food.detik.com/tempat-makan/d-8629703/7-nasi-uduk-terkenal-enak-di-bekasi-ada-yang-legend-dari-70-an</t>
  </si>
  <si>
    <t xml:space="preserve">Sulteng Darurat Pinjol, Wali Kota Palu Dukung Gerakan Literasi Keuangan Anak Muda - KabarSelebes.id</t>
  </si>
  <si>
    <t xml:space="preserve">KabarSelebes.id</t>
  </si>
  <si>
    <t xml:space="preserve">Bear and Butter</t>
  </si>
  <si>
    <t xml:space="preserve">SPBU BP Grand Wisata, Jl. Western Boulevard No. 22, Mustikajaya, Bekasi</t>
  </si>
  <si>
    <t xml:space="preserve">Mustika Jaya</t>
  </si>
  <si>
    <t xml:space="preserve">Grand Wisata (sebagian di Kabupaten Bekasi)</t>
  </si>
  <si>
    <t xml:space="preserve">Salt bread enak yang mencuri perhatian pecinta kuliner</t>
  </si>
  <si>
    <t xml:space="preserve">https://www.nibble.id/salt-bread-enak-di-bekasi/</t>
  </si>
  <si>
    <t xml:space="preserve">Event Menarik di Sulawesi Besok 28 September 2026, Termasuk Pameran Jejak Tanah: Bentang Berlanjut - TribunStyle.com</t>
  </si>
  <si>
    <t xml:space="preserve">Momolin Bakery</t>
  </si>
  <si>
    <t xml:space="preserve">Jl. Cemara Permai Blok A-159, Harapan Jaya, Bekasi Utara, Bekasi</t>
  </si>
  <si>
    <t xml:space="preserve">Harapan Jaya</t>
  </si>
  <si>
    <t xml:space="preserve">Bakery ikut tren salt bread dengan varian unik</t>
  </si>
  <si>
    <t xml:space="preserve">Kolibrew</t>
  </si>
  <si>
    <t xml:space="preserve">Kafe family friendly dengan salt bread hasil riset setahun</t>
  </si>
  <si>
    <t xml:space="preserve">Seblak Prasmanan Bekasi</t>
  </si>
  <si>
    <t xml:space="preserve">Cimuning, Mustika Jaya, Bekasi</t>
  </si>
  <si>
    <t xml:space="preserve">Cimuning</t>
  </si>
  <si>
    <t xml:space="preserve">Seblak konsep prasmanan harga murah</t>
  </si>
  <si>
    <t xml:space="preserve">https://food.detik.com/warung-makan/d-8472262/raos-pisan-7-warung-seblak-prasmanan-di-bekasi-toppingnya-bikin-kalap</t>
  </si>
  <si>
    <t xml:space="preserve">3 Event Menarik di Sulawesi Besok Sabtu 12 September 2026, Salah Satunya Rektor Untad Cup III 2026 - TribunStyle.com</t>
  </si>
  <si>
    <t xml:space="preserve">Nangkring Seblak</t>
  </si>
  <si>
    <t xml:space="preserve">Seblak prasmanan dengan beragam pilihan kuah</t>
  </si>
  <si>
    <t xml:space="preserve">Super Seblak</t>
  </si>
  <si>
    <t xml:space="preserve">Bekasi Timur, Bekasi</t>
  </si>
  <si>
    <t xml:space="preserve">Seblak prasmanan dengan puluhan topping</t>
  </si>
  <si>
    <t xml:space="preserve">059</t>
  </si>
  <si>
    <t xml:space="preserve">Jl. Western Boulevard No.22, Grand Wisata, Mustikajaya, Bekasi</t>
  </si>
  <si>
    <t xml:space="preserve">Bakery artisan ala Jepang langsung diserbu dan diantre pelanggan sejak pagi demi salt bread</t>
  </si>
  <si>
    <t xml:space="preserve">Sejak awal Maret 2026</t>
  </si>
  <si>
    <t xml:space="preserve">https://food.detik.com/tempat-makan/d-8484316/diserbu-sejak-pagi-ini-5-rekomendasi-salt-bread-enak-di-bekasi</t>
  </si>
  <si>
    <t xml:space="preserve">Ngeri! Dua Kelompok di Mamuju Terlibat Perkelahian Pakai Badik di Tempat Wisata - Sulbar Online</t>
  </si>
  <si>
    <t xml:space="preserve">Sulbar Online</t>
  </si>
  <si>
    <t xml:space="preserve">2026-05-30</t>
  </si>
  <si>
    <t xml:space="preserve">Museum Gedung Juang</t>
  </si>
  <si>
    <t xml:space="preserve">Desa Setiadarma, Kecamatan Tambun Selatan, Kabupaten Bekasi</t>
  </si>
  <si>
    <t xml:space="preserve">Setiadarma</t>
  </si>
  <si>
    <t xml:space="preserve">Tambun Selatan</t>
  </si>
  <si>
    <t xml:space="preserve">Kabupaten Bekasi</t>
  </si>
  <si>
    <t xml:space="preserve">Destinasi wisata sejarah kini dilengkapi Pojok Baca Digital gratis</t>
  </si>
  <si>
    <t xml:space="preserve">https://beritacikarang.com/museum-gedung-juang-kini-dilengkapi-pojok-baca-digital-pengunjung-bisa-akses-ratusan-buku-gratis/</t>
  </si>
  <si>
    <t xml:space="preserve">beritacikarang.com</t>
  </si>
  <si>
    <t xml:space="preserve">Jeannette Artinya? Nama Toko Roti Legendaris di Jember Jawa Timur Disorot, Ternyata Asalnya dari Sini... - Jatim Network - Jatim Network</t>
  </si>
  <si>
    <t xml:space="preserve">Jatim Network</t>
  </si>
  <si>
    <t xml:space="preserve">Ikkudo Ichi</t>
  </si>
  <si>
    <t xml:space="preserve">Lantai 2 Pakuwon Mall Bekasi, Pekayon Jaya, Bekasi Selatan</t>
  </si>
  <si>
    <t xml:space="preserve">Pakuwon Mall Bekasi</t>
  </si>
  <si>
    <t xml:space="preserve">Restoran ramen Jepang dengan level pedas bisa dipilih</t>
  </si>
  <si>
    <t xml:space="preserve">https://www.nibble.id/restoran-di-pakuwon-mall/</t>
  </si>
  <si>
    <t xml:space="preserve">Viral Bule Bikin Event Lari di Bali dan WNI Dilarang Ikut, Satpol PP Sebut Tak Ada Izin - Liputan6.com</t>
  </si>
  <si>
    <t xml:space="preserve">The Misoa Story</t>
  </si>
  <si>
    <t xml:space="preserve">UG Floor Pakuwon Mall Bekasi, Pekayon Jaya, Bekasi Selatan</t>
  </si>
  <si>
    <t xml:space="preserve">Kuliner viral dari Blok M kini buka cabang di Bekasi</t>
  </si>
  <si>
    <t xml:space="preserve">Kitchenette</t>
  </si>
  <si>
    <t xml:space="preserve">Pakuwon Mall Bekasi, Pekayon Jaya, Bekasi Selatan</t>
  </si>
  <si>
    <t xml:space="preserve">Restoran bergaya Barat suasana rumahan untuk keluarga</t>
  </si>
  <si>
    <t xml:space="preserve">Festival Balon Plaza Patriot Candrabhaga</t>
  </si>
  <si>
    <t xml:space="preserve">Plaza Patriot Candrabhaga, Kota Bekasi</t>
  </si>
  <si>
    <t xml:space="preserve">Marga Jaya</t>
  </si>
  <si>
    <t xml:space="preserve">Ratusan warga padati festival balon terbang malam minggu dengan UMKM lokal</t>
  </si>
  <si>
    <t xml:space="preserve">https://bekasikota.go.id/detail/balon-terbang-jadi-magnet-hiburan-akhir-pekan-warga-di-plaza-patriot-chandrabhaga</t>
  </si>
  <si>
    <t xml:space="preserve">bekasikota.go.id</t>
  </si>
  <si>
    <t xml:space="preserve">Rekomendasi 10 Coto Makassar Enak di Samarinda yang Wajib Dicoba, Kuahnya Gurih Kaya Rempah - Arusbawah.co</t>
  </si>
  <si>
    <t xml:space="preserve">Plaza Patriot Candrabhaga, Jalan Ahmad Yani, Kota Bekasi</t>
  </si>
  <si>
    <t xml:space="preserve">Ribuan pengunjung membeludak, picu macet panjang dan keluhan harga balon mahal (isu negatif)</t>
  </si>
  <si>
    <t xml:space="preserve">https://bekasisatu.com/hiburan-viral-di-kota-bekasi-ahmad-yani-macet-harga-balon-dinilai-mahal/</t>
  </si>
  <si>
    <t xml:space="preserve">bekasisatu.com</t>
  </si>
  <si>
    <t xml:space="preserve">9 Pilihan Spot Wisata Instagramable di Sulsel, Ayo Liburan! - IDN Times Sulsel</t>
  </si>
  <si>
    <t xml:space="preserve">Hungry Playground</t>
  </si>
  <si>
    <t xml:space="preserve">Area Parkir Selatan Summarecon Mall Bekasi, Bekasi</t>
  </si>
  <si>
    <t xml:space="preserve">Summarecon Mall Bekasi</t>
  </si>
  <si>
    <t xml:space="preserve">Festival kuliner 110 tenant legendaris dan street food viral plus wahana permainan</t>
  </si>
  <si>
    <t xml:space="preserve">14 Agustus - 20 September 2026</t>
  </si>
  <si>
    <t xml:space="preserve">https://investor.id/national/450616/110-tenant-kuliner-ramaikan-hungry-playground-di-smb</t>
  </si>
  <si>
    <t xml:space="preserve">ABG Tewas Usai Terjatuh Saat Foto di Tebing Apparalang Bulukumba - detikNews</t>
  </si>
  <si>
    <t xml:space="preserve">Summarecon Mall Bekasi, Bekasi</t>
  </si>
  <si>
    <t xml:space="preserve">Festival kuliner 110 tenant yang menghadirkan kuliner tradisional dari berbagai daerah</t>
  </si>
  <si>
    <t xml:space="preserve">https://mediaindonesia.com/kuliner/922264/jaga-resep-lama-di-tengah-kuliner-viral</t>
  </si>
  <si>
    <t xml:space="preserve">Wisatawan Tewas Tenggelam, Kawasan Wisata Tebing Apparalang Ditutup Polisi - detikcom</t>
  </si>
  <si>
    <t xml:space="preserve">Klepon Gianyar Sejak 1980</t>
  </si>
  <si>
    <t xml:space="preserve">Gianyar, Bali (tenant Hungry Playground Summarecon Mall Bekasi)</t>
  </si>
  <si>
    <t xml:space="preserve">tenant di Summarecon Mall Bekasi; asal usaha Gianyar, Bali</t>
  </si>
  <si>
    <t xml:space="preserve">Klepon legendaris yang mempertahankan resep lama, pernah disajikan di Istana Negara</t>
  </si>
  <si>
    <t xml:space="preserve">Ribuan warga padati festival balon warna-warni, hiburan alternatif akhir pekan</t>
  </si>
  <si>
    <t xml:space="preserve">https://www.trawlmediaindonesia.id/2026/05/malam-minggu-di-bekasi-makin-meriah.html</t>
  </si>
  <si>
    <t xml:space="preserve">www.trawlmediaindonesia.id</t>
  </si>
  <si>
    <t xml:space="preserve">3 Arti Need a Buddy, Artinya Apa? Inilah Pekerjaan Jolina di Sinetron Asmara Gen Z Episode 579 yang Viral di Medsos - Jatim Network - Jatim Network</t>
  </si>
  <si>
    <t xml:space="preserve">Kawasan Kuliner Pasar Lama Tangerang</t>
  </si>
  <si>
    <t xml:space="preserve">Sukasari, Kecamatan Tangerang, Kota Tangerang</t>
  </si>
  <si>
    <t xml:space="preserve">Tujuan favorit berburu kuliner malam, ramai terutama malam hari</t>
  </si>
  <si>
    <t xml:space="preserve">https://travel.tribunnews.com/kuliner/142706/5-tempat-makan-malam-dekat-pasar-lama-tangerang-enak-dan-bikin-nagih</t>
  </si>
  <si>
    <t xml:space="preserve">Polisi buru dua pembobol toko ayam krispi di Makassar - ANTARA News Makassar</t>
  </si>
  <si>
    <t xml:space="preserve">ANTARA News Makassar</t>
  </si>
  <si>
    <t xml:space="preserve">Bebek Kaleyo Pasar Lama</t>
  </si>
  <si>
    <t xml:space="preserve">Jalan A. Damyati No.11, Sukasari, Kecamatan Tangerang, Kota Tangerang</t>
  </si>
  <si>
    <t xml:space="preserve">Bebek empuk porsi besar dengan sambal pedas pas</t>
  </si>
  <si>
    <t xml:space="preserve">Jalan Kisamaun No.38, Sukasari, Kecamatan Tangerang, Kota Tangerang</t>
  </si>
  <si>
    <t xml:space="preserve">Sayap ayam bakar madu yang hampir tidak pernah sepi</t>
  </si>
  <si>
    <t xml:space="preserve">Pempek Kenari</t>
  </si>
  <si>
    <t xml:space="preserve">Ruko Aniva Junction, Paramount Gading Serpong, Tangerang</t>
  </si>
  <si>
    <t xml:space="preserve">Gading Serpong</t>
  </si>
  <si>
    <t xml:space="preserve">Cabang baru pempek khas Palembang langsung ramai dikunjungi</t>
  </si>
  <si>
    <t xml:space="preserve">20 April 2026</t>
  </si>
  <si>
    <t xml:space="preserve">https://wartatangerang.com/pempek-kenari-buka-cabang-baru-di-gading-serpong/</t>
  </si>
  <si>
    <t xml:space="preserve">wartatangerang.com</t>
  </si>
  <si>
    <t xml:space="preserve">Heboh Sopir Taksi Online di Makassar Diamuk Massa hingga Mobil Dirusak - detikcom</t>
  </si>
  <si>
    <t xml:space="preserve">Situ Cipondoh</t>
  </si>
  <si>
    <t xml:space="preserve">Pernah ramai pascapandemi kini mulai sepi pengunjung, pengelolaan belum maksimal</t>
  </si>
  <si>
    <t xml:space="preserve">https://travel.detik.com/fototravel/d-8451092/jejak-wisata-yang-memudar-di-situ-cipondoh-tangerang</t>
  </si>
  <si>
    <t xml:space="preserve">Rumit Banget! Bos Toko Diselingkuhi Suami, Libatkan Mantan Suami Pertama - Suara.com</t>
  </si>
  <si>
    <t xml:space="preserve">Permata kuliner malam perpaduan budaya lokal dan Tionghoa, dipadati ribuan orang tiap akhir pekan</t>
  </si>
  <si>
    <t xml:space="preserve">https://jogja.disway.id/gaya-hidup/read/698479/surga-wisata-kuliner-malam-tangerang-legendaris-di-sekitar-pasar-lama</t>
  </si>
  <si>
    <t xml:space="preserve">Sekelompok Pemotor Kejar Remaja Pakai Busur Panah di Toko Kelontong Makassar - detikcom</t>
  </si>
  <si>
    <t xml:space="preserve">Sate Ayam H. Ishak</t>
  </si>
  <si>
    <t xml:space="preserve">Pasar Lama, Kota Tangerang</t>
  </si>
  <si>
    <t xml:space="preserve">Sate ayam legenda Pasar Lama</t>
  </si>
  <si>
    <t xml:space="preserve">060</t>
  </si>
  <si>
    <t xml:space="preserve">Jhon Book Store N Art</t>
  </si>
  <si>
    <t xml:space="preserve">Pintu masuk Perumahan Puri Pamulang, Pamulang, Tangerang Selatan</t>
  </si>
  <si>
    <t xml:space="preserve">Pamulang</t>
  </si>
  <si>
    <t xml:space="preserve">Toko buku bekas dan barang antik mendadak ramai setelah viral di TikTok dan Instagram</t>
  </si>
  <si>
    <t xml:space="preserve">11 Mei 2026</t>
  </si>
  <si>
    <t xml:space="preserve">https://ekbisbanten.com/berita/viral-di-tiktok-toko-buku-bekas-jhon-book-store-n-art-jadi-buruan-pecinta-literasi/</t>
  </si>
  <si>
    <t xml:space="preserve">Energi: BBM langka di Makassar, warga antre berjam-jam dan siswa belajar dari rumah - BBC</t>
  </si>
  <si>
    <t xml:space="preserve">Pamulang, Tangerang Selatan</t>
  </si>
  <si>
    <t xml:space="preserve">Toko buku lawas estetik penuh nostalgia ramai diperbincangkan dan viral di TikTok, banyak anak muda datang</t>
  </si>
  <si>
    <t xml:space="preserve">https://tangselpos.id/detail/49357/toko-buku-lawas-di-pamulang-viral-jadi-surga-pecinta-literasi-dan-pemburu-buku-langka</t>
  </si>
  <si>
    <t xml:space="preserve">119 Kios di Pasar Sawah Makassar Disegel gegara Nunggak Sewa Rp 569 Juta - detikcom</t>
  </si>
  <si>
    <t xml:space="preserve">Pasar Anyar Tangerang</t>
  </si>
  <si>
    <t xml:space="preserve">Pusat Kota Tangerang</t>
  </si>
  <si>
    <t xml:space="preserve">Pasar tiga lantai dengan area kuliner, ada sudut kulineran berlatar jalur KRL</t>
  </si>
  <si>
    <t xml:space="preserve">https://www.tangerangkota.go.id/berita/detail/69144/pasar-anyar-tangerang-jadi-pilihan-belanja-kebutuhan-dapur-sekaligus-kulineran</t>
  </si>
  <si>
    <t xml:space="preserve">Viral Geng Motor Bawa Sajam Serang Warga di Makassar, 5 Remaja Ditangkap - detikcom</t>
  </si>
  <si>
    <t xml:space="preserve">Pasar Kue Subuh Sitanala</t>
  </si>
  <si>
    <t xml:space="preserve">Jalan Dr. Sitanala, Kecamatan Neglasari, Kota Tangerang</t>
  </si>
  <si>
    <t xml:space="preserve">Neglasari</t>
  </si>
  <si>
    <t xml:space="preserve">Sentra lebih dari 50 jenis kue basah tradisional, dipadati pembeli sore hingga pagi</t>
  </si>
  <si>
    <t xml:space="preserve">https://www.tangerangkota.go.id/berita/detail/67728/pasar-kue-subuh-sitanala-surganya-jajanan-legendaris-di-kota-tangerang</t>
  </si>
  <si>
    <t xml:space="preserve">Festival Danau Tempe 2026 Resmi Dibuka, Pemprov Sulsel Dorong Masuk Kalender Event Nasional - wamanews.id</t>
  </si>
  <si>
    <t xml:space="preserve">Tilu Geulis Cijeruk</t>
  </si>
  <si>
    <t xml:space="preserve">Jalan Kolonel Bustomi No. 36, Warung Menteng, Bogor</t>
  </si>
  <si>
    <t xml:space="preserve">Warung Menteng</t>
  </si>
  <si>
    <t xml:space="preserve">Cijeruk</t>
  </si>
  <si>
    <t xml:space="preserve">teks "Bogor"; Cijeruk di Kabupaten Bogor</t>
  </si>
  <si>
    <t xml:space="preserve">Restoran Sunda modern dengan bangunan estetik dan instagramable</t>
  </si>
  <si>
    <t xml:space="preserve">https://jogja.disway.id/amp/701509/pecinta-kuliner-dekat-cibalung-happy-land-bogor-paling-enak-dan-selalu-ramai/16</t>
  </si>
  <si>
    <t xml:space="preserve">Bank Sultra Salurkan 300 Paket Sembako Untuk Korban Banjir di Kendari - lajur.co</t>
  </si>
  <si>
    <t xml:space="preserve">lajur.co</t>
  </si>
  <si>
    <t xml:space="preserve">Mojang Pasundan Restoran</t>
  </si>
  <si>
    <t xml:space="preserve">Jalan Raya Sukabumi Km 15 Ciawi, Cimande Hilir, Bogor</t>
  </si>
  <si>
    <t xml:space="preserve">Cimande Hilir</t>
  </si>
  <si>
    <t xml:space="preserve">Caringin</t>
  </si>
  <si>
    <t xml:space="preserve">Masakan Pasundan otentik dengan sambal dadak, dekat Cibalung Happy Land</t>
  </si>
  <si>
    <t xml:space="preserve">Cibalung Happy Land</t>
  </si>
  <si>
    <t xml:space="preserve">Bogor ambigu (Kota/Kabupaten Bogor)</t>
  </si>
  <si>
    <t xml:space="preserve">Destinasi wisata yang menjadi acuan kuliner sekitar</t>
  </si>
  <si>
    <t xml:space="preserve">Warung Kondang</t>
  </si>
  <si>
    <t xml:space="preserve">Jalan Pesona Florence Raya Blok H1, Ciangsana, Gunung Putri, Kabupaten Bogor</t>
  </si>
  <si>
    <t xml:space="preserve">Ciangsana</t>
  </si>
  <si>
    <t xml:space="preserve">Gunung Putri</t>
  </si>
  <si>
    <t xml:space="preserve">Beragam menu bebek, ayam bakar, sop buntut dan es di Kota Wisata</t>
  </si>
  <si>
    <t xml:space="preserve">https://www.kompas.com/food/read/2026/09/15/160400075/5-rekomendasi-kuliner-di-kota-wisata-bogor-ada-kopitiam?page=all</t>
  </si>
  <si>
    <t xml:space="preserve">Taman Nasional Wakatobi Buka Suara soal Viral Kapal Pembawa Turis Prancis Dicegat di Lokasi Selam Tomia - lajur.co</t>
  </si>
  <si>
    <t xml:space="preserve">Titik Desa</t>
  </si>
  <si>
    <t xml:space="preserve">Jalan Pesona Taman Florence J2 No. 10, Ciangsana, Gunung Putri, Kabupaten Bogor</t>
  </si>
  <si>
    <t xml:space="preserve">Tempat makan dengan pisang goreng andalan dan kopi susu</t>
  </si>
  <si>
    <t xml:space="preserve">Toge Goreng H. Gebro</t>
  </si>
  <si>
    <t xml:space="preserve">Jalan Pengadilan, kawasan Pasar Anyar, Kota Bogor</t>
  </si>
  <si>
    <t xml:space="preserve">Ikon kuliner Bogor sejak 1940-an, toge goreng bumbu tauco</t>
  </si>
  <si>
    <t xml:space="preserve">https://www.metrotvnews.com/read/kBVCM8ae-5-rekomendasi-kuliner-kaki-lima-legendaris-dekat-stasiun-bogor</t>
  </si>
  <si>
    <t xml:space="preserve">Pesona Pantai Ora, "Kepingan Surga Tersembunyi Maluku tengah" - RRI.co.id</t>
  </si>
  <si>
    <t xml:space="preserve">Mi Kocok Mawar</t>
  </si>
  <si>
    <t xml:space="preserve">Jalan Dr Sumeru No. 2, Kebon Kelapa, Kota Bogor</t>
  </si>
  <si>
    <t xml:space="preserve">Kebon Kelapa</t>
  </si>
  <si>
    <t xml:space="preserve">Mi kocok legendaris sejak 1970-an dekat Stasiun Bogor</t>
  </si>
  <si>
    <t xml:space="preserve">Doclang 405</t>
  </si>
  <si>
    <t xml:space="preserve">Jalan Veteran, Kota Bogor</t>
  </si>
  <si>
    <t xml:space="preserve">Warung doclang khas Bogor buka 24 jam</t>
  </si>
  <si>
    <t xml:space="preserve">Bakso Gunung Kidul Taichan Bu Iwan Teplan</t>
  </si>
  <si>
    <t xml:space="preserve">Jalan Kolonel Enjo M No. 37, Kedung Badak, Tanah Sareal, Kota Bogor</t>
  </si>
  <si>
    <t xml:space="preserve">Kedung Badak</t>
  </si>
  <si>
    <t xml:space="preserve">Tanah Sareal</t>
  </si>
  <si>
    <t xml:space="preserve">Kedai bakso kuah taichan pedas ramai dikunjungi sejak buka</t>
  </si>
  <si>
    <t xml:space="preserve">Sejak Juni 2026</t>
  </si>
  <si>
    <t xml:space="preserve">https://bogoronline.com/2026/09/bakso-gunung-kidul-taichan-bu-iwan-teplan-viral-di-bogor/</t>
  </si>
  <si>
    <t xml:space="preserve">bogoronline.com</t>
  </si>
  <si>
    <t xml:space="preserve">Berenang di Air Terjun Menyegarkan di Loloda, Maluku - 20detik</t>
  </si>
  <si>
    <t xml:space="preserve">Bakso Terbang</t>
  </si>
  <si>
    <t xml:space="preserve">Jl. Kol Ahmad Syam, Katulampa, Bogor Timur, Kota Bogor</t>
  </si>
  <si>
    <t xml:space="preserve">Katulampa</t>
  </si>
  <si>
    <t xml:space="preserve">Bogor Timur</t>
  </si>
  <si>
    <t xml:space="preserve">Cabang baru bakso urat jumbo</t>
  </si>
  <si>
    <t xml:space="preserve">https://www.nibble.id/restoran-baru-di-bogor-juli-2026/</t>
  </si>
  <si>
    <t xml:space="preserve">Rekomendasi Destinasi Wisata Alam Pilihan Generasi Muda - RRI.co.id</t>
  </si>
  <si>
    <t xml:space="preserve">Titik Seduh</t>
  </si>
  <si>
    <t xml:space="preserve">Jl. Sholeh Iskandar No.1, Kedungbadak, Tanah Sareal, Kota Bogor</t>
  </si>
  <si>
    <t xml:space="preserve">Coffee shop populer buka outlet baru yang luas dan nyaman</t>
  </si>
  <si>
    <t xml:space="preserve">Halaman Baru</t>
  </si>
  <si>
    <t xml:space="preserve">Restoran baru dengan area dine-in luas indoor dan outdoor</t>
  </si>
  <si>
    <t xml:space="preserve">Bubur Kabita</t>
  </si>
  <si>
    <t xml:space="preserve">Jl. Raya Gn. Batu No.67, Kota Bogor</t>
  </si>
  <si>
    <t xml:space="preserve">Bogor Barat</t>
  </si>
  <si>
    <t xml:space="preserve">Bubur ayam legendaris sejak 1971</t>
  </si>
  <si>
    <t xml:space="preserve">https://food.detik.com/tempat-makan/d-8610596/cuma-rp10-ribuan-7-bubur-ayam-enak-di-bogor-dengan-topping-melimpah</t>
  </si>
  <si>
    <t xml:space="preserve">Tiba dengan Ceria di Pulau Bacan, Maluku - 20detik</t>
  </si>
  <si>
    <t xml:space="preserve">Bubur Ayam Tirza</t>
  </si>
  <si>
    <t xml:space="preserve">Jl. Raya Pajajaran, Sukasari, Bogor</t>
  </si>
  <si>
    <t xml:space="preserve">Bubur ayam oriental legendaris sejak 1980-an</t>
  </si>
  <si>
    <t xml:space="preserve">Bubur Ayam Mang Eloy</t>
  </si>
  <si>
    <t xml:space="preserve">Bubur ayam gerobakan yang menarik perhatian</t>
  </si>
  <si>
    <t xml:space="preserve">Macaroni Panggang Bogor</t>
  </si>
  <si>
    <t xml:space="preserve">Babakan</t>
  </si>
  <si>
    <t xml:space="preserve">Makaroni panggang keju mozzarella khas Bogor</t>
  </si>
  <si>
    <t xml:space="preserve">https://jogja.disway.id/gaya-hidup/read/701706/daftar-wisata-kuliner-restoran-dan-tempat-makan-hits-di-bogor-yang-menggugah-selera/30</t>
  </si>
  <si>
    <t xml:space="preserve">Karyawan Indomaret Ambon Iseng Bakar Kaki Bocah Tidur, Pelaku Minta Maaf - Kompas.com</t>
  </si>
  <si>
    <t xml:space="preserve">Bogor Permai Bakery &amp; Restaurant</t>
  </si>
  <si>
    <t xml:space="preserve">Pusat Kota Bogor</t>
  </si>
  <si>
    <t xml:space="preserve">Tempat legendaris roti klasik dan hidangan rumahan sejak 1980-an</t>
  </si>
  <si>
    <t xml:space="preserve">Death by Chocolate &amp; Spaghettini</t>
  </si>
  <si>
    <t xml:space="preserve">Kafe tematik olahan cokelat dan pasta</t>
  </si>
  <si>
    <t xml:space="preserve">MomMilk</t>
  </si>
  <si>
    <t xml:space="preserve">Kafe susu segar kekinian aneka rasa</t>
  </si>
  <si>
    <t xml:space="preserve">De' Leuit</t>
  </si>
  <si>
    <t xml:space="preserve">Restoran Sunda luas dengan nasi liwet komplit</t>
  </si>
  <si>
    <t xml:space="preserve">Arirang Korean BBQ</t>
  </si>
  <si>
    <t xml:space="preserve">Jl. Raya Pajajaran No.262, Bantarjati, Bogor Utara, Kota Bogor</t>
  </si>
  <si>
    <t xml:space="preserve">Korean BBQ otentik bersertifikat halal</t>
  </si>
  <si>
    <t xml:space="preserve">https://www.nibble.id/restoran-korea-di-bogor/</t>
  </si>
  <si>
    <t xml:space="preserve">Lantai 4 Toko di Jalan Sam Ratulangi Ambon Terbakar - Klik Maluku - Klik Maluku</t>
  </si>
  <si>
    <t xml:space="preserve">Klik Maluku</t>
  </si>
  <si>
    <t xml:space="preserve">Daebagyu Korean BBQ</t>
  </si>
  <si>
    <t xml:space="preserve">Jalan Raya Pajajaran, Kota Bogor</t>
  </si>
  <si>
    <t xml:space="preserve">Korean BBQ dengan interior tradisional Korea</t>
  </si>
  <si>
    <t xml:space="preserve">Jl. Pajajaran Indah V No. 37, Bogor Timur, Bogor</t>
  </si>
  <si>
    <t xml:space="preserve">Restoran Italia berarsitektur estetik dan instagramable</t>
  </si>
  <si>
    <t xml:space="preserve">https://www.nibble.id/restoran-italia-di-bogor/</t>
  </si>
  <si>
    <t xml:space="preserve">Aksi di Teras Toko Viral, Karyawan Indomaret Minta Maaf - DataRiau.com</t>
  </si>
  <si>
    <t xml:space="preserve">T-Bene Social Kitchen</t>
  </si>
  <si>
    <t xml:space="preserve">Jalan Dadali, Tanah Sareal, Bogor</t>
  </si>
  <si>
    <t xml:space="preserve">Restoran steak ala Italia bernuansa elegan</t>
  </si>
  <si>
    <t xml:space="preserve">061</t>
  </si>
  <si>
    <t xml:space="preserve">Asinan Sedap Gedung Dalam</t>
  </si>
  <si>
    <t xml:space="preserve">Sekitar Stasiun Bogor, Kota Bogor</t>
  </si>
  <si>
    <t xml:space="preserve">Tempat makan siang populer dekat Stasiun Bogor</t>
  </si>
  <si>
    <t xml:space="preserve">https://jogja.disway.id/gaya-hidup/read/700576/pilihan-tempat-makan-siang-dekat-stasiun-bogor-yang-enak-legendaris-dan-ramah-di-kantong</t>
  </si>
  <si>
    <t xml:space="preserve">Uang Tunai Hanya Difoto tuk Dokumentasi, Penerima Manfaat di Maluku Tengah Justru Diberi Barang - Tribunambon.com</t>
  </si>
  <si>
    <t xml:space="preserve">Tribunambon.com</t>
  </si>
  <si>
    <t xml:space="preserve">Budiman Coffee</t>
  </si>
  <si>
    <t xml:space="preserve">Perumahan Cimanggu Permai No.1, Tanah Sareal, Bogor</t>
  </si>
  <si>
    <t xml:space="preserve">Mont Blanc creamy dengan konsep homey dan intimate</t>
  </si>
  <si>
    <t xml:space="preserve">https://food.detik.com/tempat-makan/d-8609923/catat-5-kafe-di-bogor-ini-punya-racikan-mont-blanc-yang-segar</t>
  </si>
  <si>
    <t xml:space="preserve">Kemendikdasmen Tantang SMK di Maluku Utara Siapkan Lulusan untuk Pasar Kerja Global - Haliyora.id</t>
  </si>
  <si>
    <t xml:space="preserve">Haliyora.id</t>
  </si>
  <si>
    <t xml:space="preserve">Futura Space &amp; Coffee</t>
  </si>
  <si>
    <t xml:space="preserve">Jl. Batu Hulung, Margajaya, Bogor Barat, Kota Bogor</t>
  </si>
  <si>
    <t xml:space="preserve">Margajaya</t>
  </si>
  <si>
    <t xml:space="preserve">Coffee shop natural contemporary dengan Mont Blanc terjangkau</t>
  </si>
  <si>
    <t xml:space="preserve">Kopi Satu Tudju</t>
  </si>
  <si>
    <t xml:space="preserve">Coffee shop dengan Mont Blanc bertekstur creamy</t>
  </si>
  <si>
    <t xml:space="preserve">The Rainforest Table</t>
  </si>
  <si>
    <t xml:space="preserve">Kawasan Sentul, Bogor</t>
  </si>
  <si>
    <t xml:space="preserve">Kawasan Sentul</t>
  </si>
  <si>
    <t xml:space="preserve">Destinasi makan baru bernuansa alam di Bogor</t>
  </si>
  <si>
    <t xml:space="preserve">https://jogja.disway.id/wisata/read/700113/menjelajahi-wisata-kuliner-bogor-2026-hidden-gem-dan-restoran-paling-viral</t>
  </si>
  <si>
    <t xml:space="preserve">ISNU Maluku Minta Tunda Pembongkaran Masjid Al-Ma’ruf Batumerah - saburomedia.com</t>
  </si>
  <si>
    <t xml:space="preserve">saburomedia.com</t>
  </si>
  <si>
    <t xml:space="preserve">Pasar konvensional beralih fungsi jadi destinasi wisata kekinian, digelar workshop Dari Pasar Jadi Destinasi</t>
  </si>
  <si>
    <t xml:space="preserve">22-23 September 2026</t>
  </si>
  <si>
    <t xml:space="preserve">https://travel.detik.com/cerita-perjalanan/d-8679733/pasar-jambu-dua-didorong-jadi-destinasi-wisata-kekinian-di-kota-bogor</t>
  </si>
  <si>
    <t xml:space="preserve">The Disbandment of the "Pig Party" Film Screening was Deemed Excessive - Kompas.id</t>
  </si>
  <si>
    <t xml:space="preserve">Taman Safari Indonesia Bogor</t>
  </si>
  <si>
    <t xml:space="preserve">Cisarua, Bogor</t>
  </si>
  <si>
    <t xml:space="preserve">Wisata satwa keluarga dengan wahana dan pertunjukan</t>
  </si>
  <si>
    <t xml:space="preserve">https://rentak.id/mau-liburan-ke-bogor-akhir-pekan-ini-ini-5-tempat-yang-cocok-untuk-keluarga/</t>
  </si>
  <si>
    <t xml:space="preserve">Festival Gema Buru 2026 perkuat pelestarian budaya lokal - antaranews.com</t>
  </si>
  <si>
    <t xml:space="preserve">antaranews.com</t>
  </si>
  <si>
    <t xml:space="preserve">Restoran Caravan</t>
  </si>
  <si>
    <t xml:space="preserve">Taman Safari Indonesia Bogor, Cisarua</t>
  </si>
  <si>
    <t xml:space="preserve">Di dalam Taman Safari Indonesia; koordinat TSI</t>
  </si>
  <si>
    <t xml:space="preserve">Restoran di dalam kawasan Taman Safari</t>
  </si>
  <si>
    <t xml:space="preserve">MiniMania Puncak</t>
  </si>
  <si>
    <t xml:space="preserve">Miniatur bangunan dan landmark dunia dengan banyak spot foto</t>
  </si>
  <si>
    <t xml:space="preserve">Telaga Saat Puncak</t>
  </si>
  <si>
    <t xml:space="preserve">Telaga dikelilingi kawasan hijau dan perkebunan untuk bersantai</t>
  </si>
  <si>
    <t xml:space="preserve">The Ranch Puncak</t>
  </si>
  <si>
    <t xml:space="preserve">Jl. Raya Puncak Km 77, Kopo, Cisarua, Kabupaten Bogor</t>
  </si>
  <si>
    <t xml:space="preserve">Kopo</t>
  </si>
  <si>
    <t xml:space="preserve">Wisata peternakan ala Eropa murah dengan berkuda dan taman bunga</t>
  </si>
  <si>
    <t xml:space="preserve">https://www.hipwee.com/travel/tempat-wisata-di-bogor-yang-murah-dan-hits/</t>
  </si>
  <si>
    <t xml:space="preserve">Festival Sepak Bola Piala Presiden U10 dan U12 Dimulai di Tidore - Headline.co.id</t>
  </si>
  <si>
    <t xml:space="preserve">Headline.co.id</t>
  </si>
  <si>
    <t xml:space="preserve">Destinasi ikonik dan kebun botani paling populer di Bogor</t>
  </si>
  <si>
    <t xml:space="preserve">Wisata malam instalasi cahaya interaktif Glow</t>
  </si>
  <si>
    <t xml:space="preserve">https://www.harapanrakyat.com/2026/05/wisata-malam-di-bogor-dari-destinasi-viral-hingga-kuliner-ikonik/</t>
  </si>
  <si>
    <t xml:space="preserve">Kronologi Politisi Golkar Maluku Tenggara Nus Kei Tewas Ditikam OTK, Dicegat Brutal di Pintu Bandara - Tribunnews.com</t>
  </si>
  <si>
    <t xml:space="preserve">Taman Safari Bogor</t>
  </si>
  <si>
    <t xml:space="preserve">Diasumsikan Taman Safari Indonesia Cisarua</t>
  </si>
  <si>
    <t xml:space="preserve">Safari Malam melihat hewan nokturnal setiap Sabtu malam</t>
  </si>
  <si>
    <t xml:space="preserve">Pasar Malam Jalan Baru</t>
  </si>
  <si>
    <t xml:space="preserve">Jalan Baru, Bogor</t>
  </si>
  <si>
    <t xml:space="preserve">Jalan Baru (Jl. Sholeh Iskandar) diasumsikan di Kota Bogor</t>
  </si>
  <si>
    <t xml:space="preserve">Hiburan rakyat dengan wahana permainan dan jajanan kaki lima</t>
  </si>
  <si>
    <t xml:space="preserve">Kawasan Kuliner Surya Kencana</t>
  </si>
  <si>
    <t xml:space="preserve">Jalan Surya Kencana, Kota Bogor</t>
  </si>
  <si>
    <t xml:space="preserve">Primadona kuliner malam berlatar bangunan kolonial dan lampion</t>
  </si>
  <si>
    <t xml:space="preserve">Martabak Encek</t>
  </si>
  <si>
    <t xml:space="preserve">Martabak legendaris dimasak dengan arang</t>
  </si>
  <si>
    <t xml:space="preserve">Soto Kuning Pak M. Yusuf</t>
  </si>
  <si>
    <t xml:space="preserve">Soto kuning legendaris</t>
  </si>
  <si>
    <t xml:space="preserve">Sate Sumsum Pak OO</t>
  </si>
  <si>
    <t xml:space="preserve">Sate sumsum legendaris sejak 1965</t>
  </si>
  <si>
    <t xml:space="preserve">Bukit Pelangi</t>
  </si>
  <si>
    <t xml:space="preserve">Spot menikmati city light dari ketinggian, tren 2026</t>
  </si>
  <si>
    <t xml:space="preserve">Two Stories Resto</t>
  </si>
  <si>
    <t xml:space="preserve">Restoran dengan menu lezat yang dikunjungi selebriti</t>
  </si>
  <si>
    <t xml:space="preserve">https://20.detik.com/spot-wisata/20260505-260505023/mencicipi-kuliner-viral-di-two-stories-resto-bogor</t>
  </si>
  <si>
    <t xml:space="preserve">Waruga Bukan Sekadar Kubur Batu, Kini Jadi Magnet Wisata Bule yang Bikin Mereka Terpesona di Maluku Utara - Universitas Teknokrat Indonesia</t>
  </si>
  <si>
    <t xml:space="preserve">Universitas Teknokrat Indonesia</t>
  </si>
  <si>
    <t xml:space="preserve">Museum Batutulis</t>
  </si>
  <si>
    <t xml:space="preserve">Batutulis, Kota Bogor</t>
  </si>
  <si>
    <t xml:space="preserve">Batutulis</t>
  </si>
  <si>
    <t xml:space="preserve">Peresmian museum dengan artefak utama Prasasti Batutulis pada Hari Jadi Bogor ke-544</t>
  </si>
  <si>
    <t xml:space="preserve">https://bogor.viva.co.id/kabar-bogor/4890-museum-batutulis-bogor-siap-diresmikan-3-juni-jadi-pusat-sejarah-dan-wisata-budaya</t>
  </si>
  <si>
    <t xml:space="preserve">bogor.viva.co.id</t>
  </si>
  <si>
    <t xml:space="preserve">Pulau Meti Cottage, Surga Wisata Bahari Halmahera Utara yang Kian Diminati - detikTravel</t>
  </si>
  <si>
    <t xml:space="preserve">Rustic Market Sentul (Valley Market)</t>
  </si>
  <si>
    <t xml:space="preserve">Wisata hits kuliner dan alam dengan konsep pedesaan Eropa yang estetik</t>
  </si>
  <si>
    <t xml:space="preserve">https://www.harapanrakyat.com/2026/05/rustic-market-sentul-tempat-nongkrong-dan-kulineran-estetik-ala-eropa/</t>
  </si>
  <si>
    <t xml:space="preserve">Mengunjungi Meti, Mengasah AI: Langkah Bersama BI dan Media Menjaga Ekonomi Maluku Utara - tandaseru.com</t>
  </si>
  <si>
    <t xml:space="preserve">tandaseru.com</t>
  </si>
  <si>
    <t xml:space="preserve">Museum Pajajaran</t>
  </si>
  <si>
    <t xml:space="preserve">Dibenahi jadi destinasi wisata sejarah unggulan dengan 103 koleksi termasuk karya Basuki Abdullah</t>
  </si>
  <si>
    <t xml:space="preserve">https://bogor.viva.co.id/kabar-bogor/6076-museum-pajajaran-disiapkan-jadi-destinasi-wisata-internasional</t>
  </si>
  <si>
    <t xml:space="preserve">Penikmat Wisata Armydock Morotai - cermat.co.id</t>
  </si>
  <si>
    <t xml:space="preserve">cermat.co.id</t>
  </si>
  <si>
    <t xml:space="preserve">Museum Zoologi Bogor</t>
  </si>
  <si>
    <t xml:space="preserve">Di kompleks Kebun Raya Bogor</t>
  </si>
  <si>
    <t xml:space="preserve">Museum sejak 1894 dengan teknik konservasi unik spesimen hewan dan kerangka paus ikonik</t>
  </si>
  <si>
    <t xml:space="preserve">https://travel.detik.com/domestic-destination/d-8488846/kasuari-ikan-kerapu-raksasa-di-museum-zoologi-bogor-awet-ratusan-tahun-ini-rahasianya</t>
  </si>
  <si>
    <t xml:space="preserve">Toko Kue Gambang Semarang Diserbu Bintang 1 Usai Viral Isu 'Anak Wali Kota', Kena Cancel Culture? - Konteks.co.id - Konteks.co.id</t>
  </si>
  <si>
    <t xml:space="preserve">Konteks.co.id</t>
  </si>
  <si>
    <t xml:space="preserve">2026-04-04</t>
  </si>
  <si>
    <t xml:space="preserve">Toko Ah Kamera Bogor</t>
  </si>
  <si>
    <t xml:space="preserve">Jalan Abesin, Kota Bogor</t>
  </si>
  <si>
    <t xml:space="preserve">Video sapi kurban mengamuk masuk toko kamera viral di media sosial (isu negatif)</t>
  </si>
  <si>
    <t xml:space="preserve">27 Mei 2026</t>
  </si>
  <si>
    <t xml:space="preserve">https://news.detik.com/berita/d-8508548/sapi-kurban-lepas-masuk-toko-kamera-di-bogor-pegawai-dan-pembeli-panik</t>
  </si>
  <si>
    <t xml:space="preserve">Viral Letusan Dahsyat Gunung Dukono di Maluku Utara, Belasan Pendaki Diduga Terjebak saat Hujan Abu pada Area Puncak - Mata Pers Indonesia - Mata Pers Indonesia</t>
  </si>
  <si>
    <t xml:space="preserve">Mata Pers Indonesia</t>
  </si>
  <si>
    <t xml:space="preserve">Sapi kurban masuk toko hingga pintu rusak (isu negatif)</t>
  </si>
  <si>
    <t xml:space="preserve">https://www.detik.com/sumut/berita/d-8508846/sapi-kurban-ngamuk-hingga-masuk-ke-toko-kamera-di-bogor-pengunjung-panik</t>
  </si>
  <si>
    <t xml:space="preserve">Protes Anggota DPRD Maluku Utara usai Videonya Viral, Curigai Logo Sherly di Akhir Rekaman - Wartakotalive.com</t>
  </si>
  <si>
    <t xml:space="preserve">Wartakotalive.com</t>
  </si>
  <si>
    <t xml:space="preserve">Sedang naik daun sebagai sentra kuliner dan spot nongkrong dijuluki Blok M-nya Bogor, 184 tenant jajanan viral</t>
  </si>
  <si>
    <t xml:space="preserve">Sejak Mei 2026</t>
  </si>
  <si>
    <t xml:space="preserve">https://travel.detik.com/cerita-perjalanan/d-8675144/pasar-jambu-dua-dijuluki-blok-m-nya-bogor-emang-ada-apa-saja-sih</t>
  </si>
  <si>
    <t xml:space="preserve">Cicy, Pembalap Wanita 14 Tahun yang Curi Perhatian di Wali Kota Cup Race I Tidore 2026 - RRI.co.id</t>
  </si>
  <si>
    <t xml:space="preserve">Sora Gabin</t>
  </si>
  <si>
    <t xml:space="preserve">Pasar Jambu Dua, Kota Bogor</t>
  </si>
  <si>
    <t xml:space="preserve">Tenant gabin aneka rasa yang diserbu banyak pengunjung</t>
  </si>
  <si>
    <t xml:space="preserve">Ayam Bakar Pak D</t>
  </si>
  <si>
    <t xml:space="preserve">Tidak disebutkan</t>
  </si>
  <si>
    <t xml:space="preserve">Lokasi tidak disebutkan</t>
  </si>
  <si>
    <t xml:space="preserve">Termasuk gerai kuliner ramah keluarga</t>
  </si>
  <si>
    <t xml:space="preserve">https://radarmalang.jawapos.com/wisata-kuliner/2605280007/rekomendasi-10-tempat-makan-keluarga-di-malang-dengan-suasana-hangat-dan-menu-tradisional</t>
  </si>
  <si>
    <t xml:space="preserve">Rindu Alam Papua: Sensasi Kuliner Nusantara di tengah Alam Asri Holtekamp - RRI.co.id</t>
  </si>
  <si>
    <t xml:space="preserve">Potre Koneng</t>
  </si>
  <si>
    <t xml:space="preserve">Lataran Sendayu</t>
  </si>
  <si>
    <t xml:space="preserve">Waroeng Tani</t>
  </si>
  <si>
    <t xml:space="preserve">Pawon Yang Kung</t>
  </si>
  <si>
    <t xml:space="preserve">Ayam Goreng Balaikota</t>
  </si>
  <si>
    <t xml:space="preserve">Ramlah Ayam Tangkap</t>
  </si>
  <si>
    <t xml:space="preserve">Latar Bokor</t>
  </si>
  <si>
    <t xml:space="preserve">Waroeng Pring Pethak</t>
  </si>
  <si>
    <t xml:space="preserve">Depot Samsin</t>
  </si>
  <si>
    <t xml:space="preserve">Jl. Brigjen Slamet Riyadi No.45/8, Oro-oro Dowo, Malang</t>
  </si>
  <si>
    <t xml:space="preserve">Oro-oro Dowo</t>
  </si>
  <si>
    <t xml:space="preserve">Chinese food ala Jawa dengan sate babi paling dicari</t>
  </si>
  <si>
    <t xml:space="preserve">https://www.nibble.id/kuliner-nonhalal-malang/</t>
  </si>
  <si>
    <t xml:space="preserve">Papua: Ratusan pelajar keracunan MBG – 'Seperti kasih makan binatang dalam kandang' - BBC</t>
  </si>
  <si>
    <t xml:space="preserve">Warung Sejahtera</t>
  </si>
  <si>
    <t xml:space="preserve">Jl. Pisang Candi Barat No. 2, Malang</t>
  </si>
  <si>
    <t xml:space="preserve">Pisangcandi</t>
  </si>
  <si>
    <t xml:space="preserve">Sukun</t>
  </si>
  <si>
    <t xml:space="preserve">Masakan babi murah favorit mahasiswa sejak 2007</t>
  </si>
  <si>
    <t xml:space="preserve">Warung Ahog</t>
  </si>
  <si>
    <t xml:space="preserve">Spesialis olahan babi dengan All Ribs Platter, punya cabang di Alam Sutera dan Gading Serpong</t>
  </si>
  <si>
    <t xml:space="preserve">Depot Bang Leo</t>
  </si>
  <si>
    <t xml:space="preserve">140 meter dari Stasiun Kota Malang, Malang</t>
  </si>
  <si>
    <t xml:space="preserve">Dekat Stasiun Malang</t>
  </si>
  <si>
    <t xml:space="preserve">Kuliner prasmanan legendaris sejak 1995 selalu ramai</t>
  </si>
  <si>
    <t xml:space="preserve">https://malangposcomedia.id/rekomendasi-kuliner-sekitar-stasiun-kota-malang/</t>
  </si>
  <si>
    <t xml:space="preserve">Kontroversi Gunung Rinjani Sempat Viral, Memicu Perang Netizen Indonesia dan Korea Selatan - suarapapua.com</t>
  </si>
  <si>
    <t xml:space="preserve">suarapapua.com</t>
  </si>
  <si>
    <t xml:space="preserve">Rawon Tessy</t>
  </si>
  <si>
    <t xml:space="preserve">Jl. Trunojoyo, Kiduldalem, Klojen, Kota Malang</t>
  </si>
  <si>
    <t xml:space="preserve">Kiduldalem</t>
  </si>
  <si>
    <t xml:space="preserve">Rawon favorit dekat Stasiun Malang dengan kuah ringan</t>
  </si>
  <si>
    <t xml:space="preserve">https://jatim.idntimes.com/food/dining-guide/5-tempat-makan-dekat-stasiun-malang-cukup-dengan-jalan-kaki-c1c2-01-sq9xb-7fwyvw</t>
  </si>
  <si>
    <t xml:space="preserve">[HOAKS] Undian Berhadiah Rumah dan Paket Wisata Bank Papua April 2026 - Kompas.com</t>
  </si>
  <si>
    <t xml:space="preserve">Warung Bu Warni</t>
  </si>
  <si>
    <t xml:space="preserve">Jl. Trunojoyo No.34, Klojen, Kota Malang</t>
  </si>
  <si>
    <t xml:space="preserve">Nasi rames khas Madura pedas dengan nasi free refill</t>
  </si>
  <si>
    <t xml:space="preserve">Kafe Rumah Loemadjang</t>
  </si>
  <si>
    <t xml:space="preserve">Kafe untuk nongkrong malam di Malang</t>
  </si>
  <si>
    <t xml:space="preserve">https://jogja.disway.id/gaya-hidup/read/701502/daftar-kafe-24-jam-di-malang-paling-hits-jadi-tempat-nongkrong-asyik-dan-estetik-favorit-mahasiswa</t>
  </si>
  <si>
    <t xml:space="preserve">Pantai Sawayepa, Surga Wisata Baru di Depapre yang Mulai Viral - CenderawasihPos</t>
  </si>
  <si>
    <t xml:space="preserve">CenderawasihPos</t>
  </si>
  <si>
    <t xml:space="preserve">Soto Tangkar Babe Ogah</t>
  </si>
  <si>
    <t xml:space="preserve">Kuliner khas Betawi yang cepat merebut perhatian publik lewat media sosial</t>
  </si>
  <si>
    <t xml:space="preserve">https://jogja.disway.id/gaya-hidup/read/701715/rekomendasi-kuliner-betawi-di-malang-dengan-kelezatan-soto-tangkar-babe-ogah-bikin-ketagihan</t>
  </si>
  <si>
    <t xml:space="preserve">Viral Konten Dukung Papua Merdeka, Marinir: Foto Manipulasi! - Indonesiadefense.com</t>
  </si>
  <si>
    <t xml:space="preserve">Indonesiadefense.com</t>
  </si>
  <si>
    <t xml:space="preserve">062</t>
  </si>
  <si>
    <t xml:space="preserve">Jatim Park</t>
  </si>
  <si>
    <t xml:space="preserve">Kota Batu, Malang</t>
  </si>
  <si>
    <t xml:space="preserve">Jatim Park (unit tidak disebut) di Kota Batu, bukan Malang</t>
  </si>
  <si>
    <t xml:space="preserve">Destinasi populer dengan berbagai wahana dan area edukasi</t>
  </si>
  <si>
    <t xml:space="preserve">https://lahatpos.disway.id/topik-utama/read/663279/menjelajah-malang-dan-sekitarnya-pilihan-wisata-dari-jatim-park-hingga-bromo</t>
  </si>
  <si>
    <t xml:space="preserve">Viral Koperasi Desa Merah Putih Buka Gerai di Blok M, Netizen: Vibesnya Kayak Korea Utara - OWRITE</t>
  </si>
  <si>
    <t xml:space="preserve">Museum Angkut</t>
  </si>
  <si>
    <t xml:space="preserve">Museum tematik koleksi kendaraan</t>
  </si>
  <si>
    <t xml:space="preserve">Pantai Balekambang</t>
  </si>
  <si>
    <t xml:space="preserve">Malang Selatan</t>
  </si>
  <si>
    <t xml:space="preserve">Srigonco</t>
  </si>
  <si>
    <t xml:space="preserve">Bantur</t>
  </si>
  <si>
    <t xml:space="preserve">Dikenal karena garis pantai dan pura di kawasan lautnya</t>
  </si>
  <si>
    <t xml:space="preserve">Taman Nasional Bromo Tengger Semeru</t>
  </si>
  <si>
    <t xml:space="preserve">Bromo, Malang</t>
  </si>
  <si>
    <t xml:space="preserve">TNBTS mencakup Kab. Malang, Probolinggo, Pasuruan, Lumajang; koordinat kawah Bromo</t>
  </si>
  <si>
    <t xml:space="preserve">Lanskap pegunungan, kawasan Penanjakan dan Lautan Pasir Bromo</t>
  </si>
  <si>
    <t xml:space="preserve">Piataland</t>
  </si>
  <si>
    <t xml:space="preserve">Wisata ramah anak dengan beragam wahana dan aktivitas seru</t>
  </si>
  <si>
    <t xml:space="preserve">https://radarmalang.jawapos.com/wisata-kuliner/2609170001/wisata-ramah-anak-di-tengah-kota-malang-ada-beragam-wahana-hingga-aktivitas-seru-di-piataland</t>
  </si>
  <si>
    <t xml:space="preserve">Bergaransi Resmi Biar Gak Boncos, Inilah 5 Tips Aman Beli TV Coocaa 32 Inch - Lintas Papua - Lintas Papua</t>
  </si>
  <si>
    <t xml:space="preserve">Lintas Papua</t>
  </si>
  <si>
    <t xml:space="preserve">Bromo Hillside</t>
  </si>
  <si>
    <t xml:space="preserve">Jemplang, Kabupaten Malang</t>
  </si>
  <si>
    <t xml:space="preserve">Ngadas</t>
  </si>
  <si>
    <t xml:space="preserve">Poncokusumo</t>
  </si>
  <si>
    <t xml:space="preserve">Kawasan Jemplang, TNBTS</t>
  </si>
  <si>
    <t xml:space="preserve">Kebakaran hutan Bromo mendekati kafe, pengunjung dievakuasi (isu negatif)</t>
  </si>
  <si>
    <t xml:space="preserve">https://www.suaralandak.co.id/karhutla-bromo-meluas-malang-tnbts-tutup-wisata</t>
  </si>
  <si>
    <t xml:space="preserve">www.suaralandak.co.id</t>
  </si>
  <si>
    <t xml:space="preserve">Gerai KDMP Buka Akses Pasar Produk Lokal Papua - Minews ID</t>
  </si>
  <si>
    <t xml:space="preserve">Minews ID</t>
  </si>
  <si>
    <t xml:space="preserve">Bromo, Kabupaten Malang</t>
  </si>
  <si>
    <t xml:space="preserve">TNBTS mencakup beberapa kabupaten; koordinat kawah Bromo</t>
  </si>
  <si>
    <t xml:space="preserve">Kebakaran hutan dan lahan meluas, akses wisata ditutup total (isu negatif)</t>
  </si>
  <si>
    <t xml:space="preserve">Coban Sewu</t>
  </si>
  <si>
    <t xml:space="preserve">Sidorenggo</t>
  </si>
  <si>
    <t xml:space="preserve">Ampelgading</t>
  </si>
  <si>
    <t xml:space="preserve">Coban Sewu/Tumpak Sewu di perbatasan Kab. Malang-Lumajang</t>
  </si>
  <si>
    <t xml:space="preserve">Destinasi unggulan dipromosikan ke pasar internasional di Travel Meet Asia 2026</t>
  </si>
  <si>
    <t xml:space="preserve">23-24 Juni 2026</t>
  </si>
  <si>
    <t xml:space="preserve">https://timesindonesia.co.id/wisata/595956/disparbud-kenalkan-destinasi-unggulan-kabupaten-malang-di-travel-meet-asia-2026</t>
  </si>
  <si>
    <t xml:space="preserve">Kronologi Kebakaran Hebat Pasar Distrik Paniai Papua, 6 Anak-Anak Tewas - merahputih.com</t>
  </si>
  <si>
    <t xml:space="preserve">Gunung Bromo</t>
  </si>
  <si>
    <t xml:space="preserve">Kawah Bromo di perbatasan Kab. Probolinggo/Pasuruan/Malang</t>
  </si>
  <si>
    <t xml:space="preserve">Destinasi ikonik Kabupaten Malang yang dipromosikan ke pasar internasional</t>
  </si>
  <si>
    <t xml:space="preserve">Lights Wonderland</t>
  </si>
  <si>
    <t xml:space="preserve">GOR Ken Arok, Kota Malang</t>
  </si>
  <si>
    <t xml:space="preserve">Buring</t>
  </si>
  <si>
    <t xml:space="preserve">Kedungkandang</t>
  </si>
  <si>
    <t xml:space="preserve">Festival 5 juta lampu estetik dengan laser interaktif, viral di media sosial</t>
  </si>
  <si>
    <t xml:space="preserve">12 Juni - 19 Juli 2026</t>
  </si>
  <si>
    <t xml:space="preserve">https://malangposcomedia.id/jadi-alternatif-wisata-sebulan-gor-ken-arok-diterangi-5-juta-lampu/</t>
  </si>
  <si>
    <t xml:space="preserve">Wamendagri Ribka Buka Pasar Murah &amp; Pameran UMKM di Papua - detikNews</t>
  </si>
  <si>
    <t xml:space="preserve">Kawasan Wisata Wediawu</t>
  </si>
  <si>
    <t xml:space="preserve">Tumpakrejo</t>
  </si>
  <si>
    <t xml:space="preserve">Video penyerangan rombongan wisatawan Surabaya viral di media sosial (isu negatif)</t>
  </si>
  <si>
    <t xml:space="preserve">https://malangtimes.com/baca/3331343131/20260505/022600/viral-wisatawan-asal-surabaya-diduga-diserang-di-vila-wediawu-malang</t>
  </si>
  <si>
    <t xml:space="preserve">Di Balik Ramainya Pasar Keyabi Nduga, Senyum Mama Papua dan Polwan Damai Cartenz Rajut Rasa Aman dan Nyaman - Viral Publik</t>
  </si>
  <si>
    <t xml:space="preserve">Pantai Jolangkung</t>
  </si>
  <si>
    <t xml:space="preserve">Desa Gajahrejo, Kecamatan Gedangan, Kabupaten Malang</t>
  </si>
  <si>
    <t xml:space="preserve">Gajahrejo</t>
  </si>
  <si>
    <t xml:space="preserve">Pantai eksotis dengan benteng karang alami dan ratusan laguna, tiket murah</t>
  </si>
  <si>
    <t xml:space="preserve">https://malang.disway.id/kulineran-pelesiran/read/22385/rincian-harga-tiket-dan-fasilitas-pantai-jolangkung-malang-bisa-jadi-alternatif-wisata-murah-tapi-asyik</t>
  </si>
  <si>
    <t xml:space="preserve">malang.disway.id</t>
  </si>
  <si>
    <t xml:space="preserve">Ledakan Bom Perang Dunia II di Biak Numfor Papua, 5 Orang Tewas dan 3 Hilang - Kompas.com</t>
  </si>
  <si>
    <t xml:space="preserve">Campground &amp; Cottage Wediawu</t>
  </si>
  <si>
    <t xml:space="preserve">Malang Selatan, Kabupaten Malang</t>
  </si>
  <si>
    <t xml:space="preserve">Kericuhan dan perusakan saat gathering karyawan memicu perdebatan di ruang digital (isu negatif)</t>
  </si>
  <si>
    <t xml:space="preserve">https://timesindonesia.co.id/peristiwa-daerah/588678/viral-kericuhan-wediawu-selatan-di-medsos-picu-sorotan-keamanan-wisata-kabupaten-malang</t>
  </si>
  <si>
    <t xml:space="preserve">Bulog Papua pastikan beras yang disalurkan layak dikonsumsi - ANTARA News Papua</t>
  </si>
  <si>
    <t xml:space="preserve">ANTARA News Papua</t>
  </si>
  <si>
    <t xml:space="preserve">Insiden penyerangan wisatawan dan temuan narkotika memicu kecaman (isu negatif)</t>
  </si>
  <si>
    <t xml:space="preserve">https://timesindonesia.co.id/hukum-kriminal/588884/dari-insiden-pantai-wediawu-temuan-polres-malang-dan-citra-wisata-malang-selatan</t>
  </si>
  <si>
    <t xml:space="preserve">Pantai Apparalang, Destinasi Wisata Alam Andalan Bulukumba - RRI.co.id</t>
  </si>
  <si>
    <t xml:space="preserve">Wisata Wendit Malang</t>
  </si>
  <si>
    <t xml:space="preserve">Mangliawan</t>
  </si>
  <si>
    <t xml:space="preserve">Pakis</t>
  </si>
  <si>
    <t xml:space="preserve">Vendor CCTV memviralkan tunggakan pembayaran proyek oleh manajemen (isu negatif)</t>
  </si>
  <si>
    <t xml:space="preserve">https://timesindonesia.co.id/peristiwa-daerah/583960/manajemen-wisata-wendit-malang-diberi-tenggat-seminggu-lunasi-rp105-juta-vendor-cctv-jika-tak-ada-itikad-baik-saya-ikhlaskan</t>
  </si>
  <si>
    <t xml:space="preserve">Viral Emosi di Jalan Empunala Mojokerto, Anak Jadi Korban Dugaan Kekerasan - Suara Merdeka Surabaya - Suara Merdeka Surabaya</t>
  </si>
  <si>
    <t xml:space="preserve">Suara Merdeka Surabaya</t>
  </si>
  <si>
    <t xml:space="preserve">Museum Mpu Purwa</t>
  </si>
  <si>
    <t xml:space="preserve">Mojolangu</t>
  </si>
  <si>
    <t xml:space="preserve">Lowokwaru</t>
  </si>
  <si>
    <t xml:space="preserve">Koleksi masa Hindu-Buddha dikenalkan lewat program Museum Keliling</t>
  </si>
  <si>
    <t xml:space="preserve">2 September 2026</t>
  </si>
  <si>
    <t xml:space="preserve">https://malang.disway.id/malang-melintang/read/21774/museum-keliling-disdikbud-malang-ajak-siswa-kenali-tinggalan-sejarah-di-sekitar-sungai-metro</t>
  </si>
  <si>
    <t xml:space="preserve">Banyak Persoalan di Pasar Sentral Sanggeng, Ini Penjelasan Plh Kepala Disperindag Manokwari - Tabura Pos</t>
  </si>
  <si>
    <t xml:space="preserve">Tabura Pos</t>
  </si>
  <si>
    <t xml:space="preserve">HAHA Donut &amp; Coffe</t>
  </si>
  <si>
    <t xml:space="preserve">Jalan Kawi, Malang</t>
  </si>
  <si>
    <t xml:space="preserve">Toko donat viral dengan varian donat gurih dan desain kafe estetik</t>
  </si>
  <si>
    <t xml:space="preserve">https://indiekraf.com/5-toko-donat-viral-di-malang-yang-wajib-masuk-wishlist-ada-donat-gurih-sampai-donat-labu-kuning/</t>
  </si>
  <si>
    <t xml:space="preserve">Festival Budaya Lembah Baliem 2026 Ternoda, Terjadi Penembakan Terhadap Pengunjung - sumeks.disway.id - Sumeks</t>
  </si>
  <si>
    <t xml:space="preserve">Yume Donut</t>
  </si>
  <si>
    <t xml:space="preserve">Toko donat viral berbahan labu kuning yang super lembut</t>
  </si>
  <si>
    <t xml:space="preserve">Kanenakan Donat</t>
  </si>
  <si>
    <t xml:space="preserve">Donat kentang premium viral karena topping melimpah</t>
  </si>
  <si>
    <t xml:space="preserve">Alun-alun Merdeka Malang</t>
  </si>
  <si>
    <t xml:space="preserve">Toko beroperasi di dalam toilet umum viral dan ditutup DLH (isu negatif)</t>
  </si>
  <si>
    <t xml:space="preserve">https://floresku.com/read/viral-di-medsos-dlh-kota-malang-tutup-toko-di-toilet-alun-alun-merdeka</t>
  </si>
  <si>
    <t xml:space="preserve">floresku.com</t>
  </si>
  <si>
    <t xml:space="preserve">Mewujudkan Indonesia Sebagai Tujuan Event Internasional: Harmoni Imigrasi dan Sektor Kreatif - Suara Merdeka Jakarta - Suara Merdeka Jakarta</t>
  </si>
  <si>
    <t xml:space="preserve">Suara Merdeka Jakarta</t>
  </si>
  <si>
    <t xml:space="preserve">Kauman, Kecamatan Klojen, Kota Malang</t>
  </si>
  <si>
    <t xml:space="preserve">Kawasan heritage yang tengah jadi incaran anak muda dengan banyak toko pernak-pernik</t>
  </si>
  <si>
    <t xml:space="preserve">18 Mei 2026</t>
  </si>
  <si>
    <t xml:space="preserve">https://ketik.com/malang/lifestyle/lagi-viral-di-kayutangan-heritage-toko-aksesoris-skena-ini-bikin-anak-muda-kota-malang-antre-demi-foto-keren</t>
  </si>
  <si>
    <t xml:space="preserve">Geger Peneliti Indonesia Diduga Palsukan Identitas Hingga Riset, Terduga Pelaku Banjir Hujatan - Kilat - Kilat</t>
  </si>
  <si>
    <t xml:space="preserve">Kilat</t>
  </si>
  <si>
    <t xml:space="preserve">Malang Town Square (MATOS)</t>
  </si>
  <si>
    <t xml:space="preserve">Kembali viral karena disebut mall terkecil di dunia</t>
  </si>
  <si>
    <t xml:space="preserve">https://malangposcomedia.id/menjelajahi-12-pusat-perbelanjaan-hits-di-kota-malang-mana-favoritmu/</t>
  </si>
  <si>
    <t xml:space="preserve">Dirjen Imigrasi Kecam Event Lari Bule Diskriminasi WNI: Seperti Negara dalam Negara - Liputan6.com</t>
  </si>
  <si>
    <t xml:space="preserve">Pasar Klojen</t>
  </si>
  <si>
    <t xml:space="preserve">Destinasi wisata kuliner dengan jajanan legend dan kekinian yang sedang viral</t>
  </si>
  <si>
    <t xml:space="preserve">https://malangposcomedia.id/jajan-kekinian-di-pasar-klojen/</t>
  </si>
  <si>
    <t xml:space="preserve">Satu Miliar Kebaikan: Kisah Empat Calon Guru Asmat yang Bertahan dari Lapar demi Masa Depan Papua - Inilah.com</t>
  </si>
  <si>
    <t xml:space="preserve">Yogiyo Donut &amp; Bomboloni</t>
  </si>
  <si>
    <t xml:space="preserve">Pasar Klojen, Kota Malang</t>
  </si>
  <si>
    <t xml:space="preserve">Donat empuk dan bomboloni dengan berbagai varian</t>
  </si>
  <si>
    <t xml:space="preserve">HeHang Hoheng</t>
  </si>
  <si>
    <t xml:space="preserve">Pisang goreng gula aren murah</t>
  </si>
  <si>
    <t xml:space="preserve">Tendo Gyoza</t>
  </si>
  <si>
    <t xml:space="preserve">Gerai gyoza viral di media sosial dengan harga terjangkau</t>
  </si>
  <si>
    <t xml:space="preserve">https://malang.disway.id/kulineran-pelesiran/read/13860/tendo-gyoza-di-pasar-klojen-malang-viral-ini-review-menu-dan-harganya</t>
  </si>
  <si>
    <t xml:space="preserve">Kapal Penampung Nelayan di Perairan Muara Safan Merauke Hangus Terbakar, Video Viral di Medsos - Fajar Papua</t>
  </si>
  <si>
    <t xml:space="preserve">Fajar Papua</t>
  </si>
  <si>
    <t xml:space="preserve">Gultik Pojo</t>
  </si>
  <si>
    <t xml:space="preserve">Gulai tikungan khas Blok M yang tengah naik daun sebagai kuliner malam</t>
  </si>
  <si>
    <t xml:space="preserve">https://radarmalang.jawapos.com/wisata-kuliner/2604300067/kuliner-malam-wajib-coba-gultik-pojok-pasar-oro-oro-dowo-dengan-kuah-gurih-bikin-nagih</t>
  </si>
  <si>
    <t xml:space="preserve">Harga BBM dan LPG nonsubsidi naik, warga kelas menengah protes - BBC</t>
  </si>
  <si>
    <t xml:space="preserve">063</t>
  </si>
  <si>
    <t xml:space="preserve">Malang Strudel Bakehouse</t>
  </si>
  <si>
    <t xml:space="preserve">Jalan Soekarno-Hatta, Malang</t>
  </si>
  <si>
    <t xml:space="preserve">Lini baru salt bread dan sourdough mengikuti tren roti viral</t>
  </si>
  <si>
    <t xml:space="preserve">https://malangposcomedia.id/garap-pasar-roti-viral-malang-strudel-hadirkan-bakehouse/</t>
  </si>
  <si>
    <t xml:space="preserve">Kronologi Sopir Travel Asal Toraja Ditembak Mati OPM di Wamena - detikcom</t>
  </si>
  <si>
    <t xml:space="preserve">Bazaar Kuliner Pesta Rasa</t>
  </si>
  <si>
    <t xml:space="preserve">Malang Town Square (Matos), Kota Malang</t>
  </si>
  <si>
    <t xml:space="preserve">Koordinat Malang Town Square</t>
  </si>
  <si>
    <t xml:space="preserve">Bazaar 30+ tenant kuliner legendaris dan viral dari berbagai kota</t>
  </si>
  <si>
    <t xml:space="preserve">https://malangposcomedia.id/pesta-rasa-di-matos-boyong-30-kuliner-legendaris-dan-viral-berbagai-kota-di-indonesia/</t>
  </si>
  <si>
    <t xml:space="preserve">Bulog Janji Serap Panen Petani Papua Selatan, Gudang Beras 5.000 Ton Disiapkan di Merauke - AFU.id</t>
  </si>
  <si>
    <t xml:space="preserve">Festival Genitri Tempo Doeloe</t>
  </si>
  <si>
    <t xml:space="preserve">Jalan Pisang Candi Barat, Kelurahan Pisangcandi, Kecamatan Sukun, Kota Malang</t>
  </si>
  <si>
    <t xml:space="preserve">Festival budaya tempo dulu ke-8 dengan kuliner tradisional, legendaris dan viral</t>
  </si>
  <si>
    <t xml:space="preserve">7 Juli 2026</t>
  </si>
  <si>
    <t xml:space="preserve">https://malangkota.go.id/2026/07/07/festival-genitri-tempo-doeloe-8-jadi-ruang-pelestarian-budaya-dan-penggerak-umkm/</t>
  </si>
  <si>
    <t xml:space="preserve">malangkota.go.id</t>
  </si>
  <si>
    <t xml:space="preserve">Pejuang Lingkungan Mama Sinta kini dukung food estate di Papua Selatan - ANTARA News Sumbar</t>
  </si>
  <si>
    <t xml:space="preserve">Anasera Batik Experience 2026</t>
  </si>
  <si>
    <t xml:space="preserve">Bumi Kopi Malang</t>
  </si>
  <si>
    <t xml:space="preserve">Workshop batik, sharing session dan content creation</t>
  </si>
  <si>
    <t xml:space="preserve">https://malang.disway.id/karier-pendidikan/read/14118/malang-edu-fest-2026-hadirkan-ajang-kompetisi-akademik-dan-event-kreatif-di-malang</t>
  </si>
  <si>
    <t xml:space="preserve">PSN di Papua Serap 15 Ribu Tenaga Kerja untuk Redam Potensi PHK, OAP Jadi Prioritas, Begini Skemanya - Radar Bali</t>
  </si>
  <si>
    <t xml:space="preserve">ESKQ Steakhouse &amp; Wine Bar</t>
  </si>
  <si>
    <t xml:space="preserve">Canggu, Kuta Utara, Badung, Bali</t>
  </si>
  <si>
    <t xml:space="preserve">Steakhouse wood fire untuk perayaan keluarga dengan live jazz</t>
  </si>
  <si>
    <t xml:space="preserve">https://www.nibble.id/restoran-enak-di-bali/</t>
  </si>
  <si>
    <t xml:space="preserve">Festival Samosir Music International 2026 Hadirkan Lyodra hingga Viky Sianipar - Opsi.id</t>
  </si>
  <si>
    <t xml:space="preserve">Opsi.id</t>
  </si>
  <si>
    <t xml:space="preserve">Warung Nasi Ayam Kedewatan Ibu Mangku</t>
  </si>
  <si>
    <t xml:space="preserve">Jl. Raya Kedewatan No.18, Kedewatan, Kec. Ubud, Kab. Gianyar, Bali</t>
  </si>
  <si>
    <t xml:space="preserve">Kedewatan</t>
  </si>
  <si>
    <t xml:space="preserve">Warung legendaris sejak 1963 dengan nasi ayam kedewatan spesial</t>
  </si>
  <si>
    <t xml:space="preserve">Warung Nasi Tempong Bu Indra</t>
  </si>
  <si>
    <t xml:space="preserve">Denpasar, Bali</t>
  </si>
  <si>
    <t xml:space="preserve">Rekomendasi nasi tempong pedas autentik di Denpasar</t>
  </si>
  <si>
    <t xml:space="preserve">https://jogja.disway.id/gaya-hidup/read/699548/pecinta-pedas-wajib-mampir-inilah-rekomendasi-nasi-tempong-legendaris-di-denpasar</t>
  </si>
  <si>
    <t xml:space="preserve">Pesta Babi, Pesta Para Oligarki - Arrahmah.id</t>
  </si>
  <si>
    <t xml:space="preserve">Arrahmah.id</t>
  </si>
  <si>
    <t xml:space="preserve">Gultik Mpok Ning</t>
  </si>
  <si>
    <t xml:space="preserve">Jalan Teuku Umar Barat, Denpasar</t>
  </si>
  <si>
    <t xml:space="preserve">Gulai tikungan khas Blok M hadir di Denpasar, seporsi Rp13 ribu, antusias warga tinggi</t>
  </si>
  <si>
    <t xml:space="preserve">https://www.detik.com/bali/kuliner/d-8522186/gultik-khas-blok-m-kini-ada-di-denpasar-seporsi-cuma-rp-13-ribu</t>
  </si>
  <si>
    <t xml:space="preserve">Kontroversi Film “Pesta Babi”: Pemerintah Tegaskan Tak Larang, TNI Ingatkan Potensi Gangguan - Kompas.com</t>
  </si>
  <si>
    <t xml:space="preserve">Pasar Malam Sindhu</t>
  </si>
  <si>
    <t xml:space="preserve">Jl. Pungutan No. 2, Sanur, Bali</t>
  </si>
  <si>
    <t xml:space="preserve">Kawasan Sanur</t>
  </si>
  <si>
    <t xml:space="preserve">Pasar malam kuliner lokal dengan sate ayam legendaris dan martabak</t>
  </si>
  <si>
    <t xml:space="preserve">https://www.tripzilla.id/rekomendasi-tempat-makan-di-sanur/26923</t>
  </si>
  <si>
    <t xml:space="preserve">Agrinas Palma Kedepankan Dialog dalam Pengembangan Papua Selatan - Teropong News</t>
  </si>
  <si>
    <t xml:space="preserve">Teropong News</t>
  </si>
  <si>
    <t xml:space="preserve">Tandjung Sari</t>
  </si>
  <si>
    <t xml:space="preserve">Restoran di hotel butik bersejarah tepi pantai dengan nasi campur</t>
  </si>
  <si>
    <t xml:space="preserve">Kawasan Wisata Sanur</t>
  </si>
  <si>
    <t xml:space="preserve">Sanur, Kota Denpasar</t>
  </si>
  <si>
    <t xml:space="preserve">Penataan kawasan wisata lanjutan oleh Pemkot Denpasar</t>
  </si>
  <si>
    <t xml:space="preserve">https://radarbadung.jawapos.com/bali/2607160008/pemkot-denpasar-lanjutkan-penataan-sanur-senilai-rp239-miliar-kawasan-wisata-kian-ramah-pejalan-kaki</t>
  </si>
  <si>
    <t xml:space="preserve">radarbadung.jawapos.com</t>
  </si>
  <si>
    <t xml:space="preserve">Papua: Tidak ada dapur MBG di kantong stunting tertinggi di Mamberamo Raya, Papua - BBC</t>
  </si>
  <si>
    <t xml:space="preserve">Pantai Sidakarya</t>
  </si>
  <si>
    <t xml:space="preserve">Sidakarya, Denpasar, Bali</t>
  </si>
  <si>
    <t xml:space="preserve">Sidakarya</t>
  </si>
  <si>
    <t xml:space="preserve">Destinasi baru yang tengah viral di media sosial, dikelola desa adat</t>
  </si>
  <si>
    <t xml:space="preserve">https://www.balipost.com/news/2026/04/19/544031/Ratusan-DTW-Tersebar-di-Bali,...html</t>
  </si>
  <si>
    <t xml:space="preserve">www.balipost.com</t>
  </si>
  <si>
    <t xml:space="preserve">Dewan Pendidikan Papteng Gelar Pertemuan Internal - Papuapos Nabire</t>
  </si>
  <si>
    <t xml:space="preserve">Papuapos Nabire</t>
  </si>
  <si>
    <t xml:space="preserve">Pura Uluwatu</t>
  </si>
  <si>
    <t xml:space="preserve">Kabupaten Badung, Bali</t>
  </si>
  <si>
    <t xml:space="preserve">Pecatu</t>
  </si>
  <si>
    <t xml:space="preserve">Pura di atas tebing dengan tari kecak berlatar matahari terbenam</t>
  </si>
  <si>
    <t xml:space="preserve">Pantai Pandawa</t>
  </si>
  <si>
    <t xml:space="preserve">Kutuh</t>
  </si>
  <si>
    <t xml:space="preserve">Pantai tersembunyi dengan tebing kapur menjulang</t>
  </si>
  <si>
    <t xml:space="preserve">Pantai Padang-Padang</t>
  </si>
  <si>
    <t xml:space="preserve">Surga peselancar dengan lanskap tebing eksotis</t>
  </si>
  <si>
    <t xml:space="preserve">Tirta Empul</t>
  </si>
  <si>
    <t xml:space="preserve">Kabupaten Gianyar, Bali</t>
  </si>
  <si>
    <t xml:space="preserve">Manukaya</t>
  </si>
  <si>
    <t xml:space="preserve">Tampaksiring</t>
  </si>
  <si>
    <t xml:space="preserve">Tempat pelukatan dengan mata air alami</t>
  </si>
  <si>
    <t xml:space="preserve">Air Terjun Tegenungan</t>
  </si>
  <si>
    <t xml:space="preserve">Kemenuh</t>
  </si>
  <si>
    <t xml:space="preserve">Sukawati</t>
  </si>
  <si>
    <t xml:space="preserve">DTW favorit wisatawan di Gianyar</t>
  </si>
  <si>
    <t xml:space="preserve">Subak Sembung</t>
  </si>
  <si>
    <t xml:space="preserve">Peguyangan Kaja</t>
  </si>
  <si>
    <t xml:space="preserve">Kawasan ekowisata subak dengan jalur trekking dan sawah di tengah kota</t>
  </si>
  <si>
    <t xml:space="preserve">https://travel.detik.com/travel-news/d-8488620/duh-subak-yang-mempesona-di-denpasar-itu-tersisa-1-915-hektare</t>
  </si>
  <si>
    <t xml:space="preserve">Dorong Pertumbuhan Ekonomi Lokal, PT Aspirasi Hidup Indonesia Resmikan AZKO Timika - Tribunpapuatengah.com</t>
  </si>
  <si>
    <t xml:space="preserve">Subak Teba Majalangu</t>
  </si>
  <si>
    <t xml:space="preserve">Wisata edukasi pertanian tradisional sistem subak</t>
  </si>
  <si>
    <t xml:space="preserve">Subak Anggabaya</t>
  </si>
  <si>
    <t xml:space="preserve">Penatih Dangin Puri</t>
  </si>
  <si>
    <t xml:space="preserve">Pengembangan konsep agrowisata subak</t>
  </si>
  <si>
    <t xml:space="preserve">Food, Hotel and Tourism Bali (FHTB) 2026</t>
  </si>
  <si>
    <t xml:space="preserve">Pameran kuliner dan pariwisata, promosi pertanian organik untuk wisata kuliner</t>
  </si>
  <si>
    <t xml:space="preserve">https://bali.antaranews.com/berita/404392/bali-kembangkan-pertanian-organik-wujudkan-destinasi-wisata-kuliner</t>
  </si>
  <si>
    <t xml:space="preserve">bali.antaranews.com</t>
  </si>
  <si>
    <t xml:space="preserve">Viral Video Menteri Pertanian RI Soal Papua Beredar di WhatsApp, BMP RI: Itu Hoax dan Editan AI - Tribunpapuatengah.com</t>
  </si>
  <si>
    <t xml:space="preserve">Museum Geopark Batur</t>
  </si>
  <si>
    <t xml:space="preserve">Penelokan, Kecamatan Kintamani, Kabupaten Bangli</t>
  </si>
  <si>
    <t xml:space="preserve">Kintamani</t>
  </si>
  <si>
    <t xml:space="preserve">Kabupaten Bangli</t>
  </si>
  <si>
    <t xml:space="preserve">Kawasan Penelokan</t>
  </si>
  <si>
    <t xml:space="preserve">Video keributan dua remaja di depan museum viral di media sosial (isu negatif)</t>
  </si>
  <si>
    <t xml:space="preserve">18 Juni 2026</t>
  </si>
  <si>
    <t xml:space="preserve">https://bali.tribunnews.com/bali/599874/video-viral-dua-remaja-wanita-adu-jotos-di-depan-museum-geopark-batur-kintamani-bali</t>
  </si>
  <si>
    <t xml:space="preserve">bali.tribunnews.com</t>
  </si>
  <si>
    <t xml:space="preserve">Viral Tanah di Jakpus Semburkan Asap Hitam, Polisi Sebut Korsleting - cnnindonesia.com</t>
  </si>
  <si>
    <t xml:space="preserve">064</t>
  </si>
  <si>
    <t xml:space="preserve">Denpasar Youth Festival (D'Youth Fest) 6.0</t>
  </si>
  <si>
    <t xml:space="preserve">Kota Denpasar, Bali</t>
  </si>
  <si>
    <t xml:space="preserve">Festival ekonomi kreatif anak muda dengan 20 UMKM kuliner, food truck dan atraksi seni</t>
  </si>
  <si>
    <t xml:space="preserve">https://bali.antaranews.com/berita/408871/denpasar-youth-festival-2026-jadi-panggung-anak-muda-tumbuhkan-ekonomi-kreatif</t>
  </si>
  <si>
    <t xml:space="preserve">BEM Uncen Desak Pemkab Jayapura Transparansi Soal Dugaan Keracunan Massal MBG di Depapre - Tribunpapuatengah.com</t>
  </si>
  <si>
    <t xml:space="preserve">Balinale</t>
  </si>
  <si>
    <t xml:space="preserve">Festival film internasional ke-19 berkualifikasi Oscar, 94 film dari 38 negara</t>
  </si>
  <si>
    <t xml:space="preserve">https://bali.antaranews.com/berita/406840/kemenbud-ajak-sineas-angkat-kearifan-lokal-indonesia-lewat-festival-film</t>
  </si>
  <si>
    <t xml:space="preserve">Viral Pesawat Tempur Dikerahkan Gempur Markas OPM, TNI Bantah - detikcom</t>
  </si>
  <si>
    <t xml:space="preserve">Warung Nasi Omar</t>
  </si>
  <si>
    <t xml:space="preserve">Jl. Ki Maja No. 66, Way Halim, Bandar Lampung</t>
  </si>
  <si>
    <t xml:space="preserve">Way Halim</t>
  </si>
  <si>
    <t xml:space="preserve">Nasi nila bumbu hitam murah untuk makan siang</t>
  </si>
  <si>
    <t xml:space="preserve">https://rri.co.id/bandar-lampung/kuliner/2759543/rekomendasi-makan-siang-enak-di-bandarlampung-nasi-omar-wajib-coba</t>
  </si>
  <si>
    <t xml:space="preserve">Rekomendasi Wisata Papua: Dari Raja Ampat hingga Lembah Baliem yang Eksotis - Info Ekonomi</t>
  </si>
  <si>
    <t xml:space="preserve">Sarapan 10 Ribu by Dapoer Radira</t>
  </si>
  <si>
    <t xml:space="preserve">Jalan Raden Intan, Bandar Lampung</t>
  </si>
  <si>
    <t xml:space="preserve">Paket nasi lengkap dengan lauk hanya Rp10 ribu</t>
  </si>
  <si>
    <t xml:space="preserve">https://lampung.idntimes.com/food/dining-guide/7-tempat-makan-murah-di-bandar-lampung-bikin-perut-kenyang-00-jf67w-5qbk8z</t>
  </si>
  <si>
    <t xml:space="preserve">Sopir Travel Ditembak Mati OPM, Jenazah Ditemukan dalam Mobil Terbakar - detikcom</t>
  </si>
  <si>
    <t xml:space="preserve">Cerita Dadar</t>
  </si>
  <si>
    <t xml:space="preserve">Jalan Nangka, Korpri Raya, Harapan Jaya, Sukarame, Bandar Lampung</t>
  </si>
  <si>
    <t xml:space="preserve">Sukarame</t>
  </si>
  <si>
    <t xml:space="preserve">Kelurahan ambigu (Korpri Raya/Harapan Jaya)</t>
  </si>
  <si>
    <t xml:space="preserve">Telur dadar dengan cumi oseng harga Rp15 ribuan</t>
  </si>
  <si>
    <t xml:space="preserve">Mie Khodon Bandar Lampung</t>
  </si>
  <si>
    <t xml:space="preserve">Kuliner malam legendaris mi kenyal bumbu gurih</t>
  </si>
  <si>
    <t xml:space="preserve">https://travel.tribunnews.com/kuliner/144964/terkenal-enak-cicipi-3-kuliner-malam-di-lampung-yang-legendaris</t>
  </si>
  <si>
    <t xml:space="preserve">Presenter TVRI Papua Barat Yanto Idorway Hilang di Air Terjun, Rekan Kerja Ikut Sisir Pegunungan Arfak - Kompas.com</t>
  </si>
  <si>
    <t xml:space="preserve">Aneka Sari Dapur Rasa</t>
  </si>
  <si>
    <t xml:space="preserve">Cafe resto mewah estetik dua lantai yang juga menjual oleh-oleh khas Lampung</t>
  </si>
  <si>
    <t xml:space="preserve">https://lampung.idntimes.com/food/dining-guide/aneka-sari-bandar-lampung-nongkrong-mewah-sambil-beli-oleh-oleh-00-jf67w-j3rdm2</t>
  </si>
  <si>
    <t xml:space="preserve">Pembunuh Sopir Travel di Wamena Diduga KKB Kodap III Ndugama - detikcom</t>
  </si>
  <si>
    <t xml:space="preserve">Kopi Sheo</t>
  </si>
  <si>
    <t xml:space="preserve">Promo spesial kemerdekaan HUT RI ke-81</t>
  </si>
  <si>
    <t xml:space="preserve">16-17 Agustus 2026</t>
  </si>
  <si>
    <t xml:space="preserve">https://lampung.idntimes.com/food/dining-guide/promo-hut-ri-ke-81-di-kafe-bandar-lampung-c1c2-01-g4h89-129dh4</t>
  </si>
  <si>
    <t xml:space="preserve">Sopir Dibunuh OPM di Wamena Ditemukan dalam Mobil Terbakar - detikcom</t>
  </si>
  <si>
    <t xml:space="preserve">Cupten Kopitiam</t>
  </si>
  <si>
    <t xml:space="preserve">Promo kemerdekaan free refill Teh O dan menu hemat</t>
  </si>
  <si>
    <t xml:space="preserve">14-18 Agustus 2026</t>
  </si>
  <si>
    <t xml:space="preserve">New Town Cafe</t>
  </si>
  <si>
    <t xml:space="preserve">Promo kuliner HUT RI</t>
  </si>
  <si>
    <t xml:space="preserve">Warung Soto Bu Yanti</t>
  </si>
  <si>
    <t xml:space="preserve">Teluk Betung Utara, Bandar Lampung</t>
  </si>
  <si>
    <t xml:space="preserve">Teluk Betung Utara</t>
  </si>
  <si>
    <t xml:space="preserve">Soto rempah kuat dengan konsep semi outdoor</t>
  </si>
  <si>
    <t xml:space="preserve">https://lampung.idntimes.com/food/dining-guide/rekomendasi-soto-enak-di-bandar-lampung-01-g4h89-t8zz1z</t>
  </si>
  <si>
    <t xml:space="preserve">Barbar KKB Sandera-Bunuh Sopir Wamena Saat Bawa Logistik Warga - detikcom</t>
  </si>
  <si>
    <t xml:space="preserve">Warung Soto Cak Li</t>
  </si>
  <si>
    <t xml:space="preserve">Sukarame, Bandar Lampung</t>
  </si>
  <si>
    <t xml:space="preserve">Soto dengan taburan koya melimpah favorit warga</t>
  </si>
  <si>
    <t xml:space="preserve">Soto Khas Bekasi Mastho</t>
  </si>
  <si>
    <t xml:space="preserve">Kampung Baru Unila, Bandar Lampung</t>
  </si>
  <si>
    <t xml:space="preserve">Dekat Universitas Lampung</t>
  </si>
  <si>
    <t xml:space="preserve">Soto khas Bekasi langganan mahasiswa</t>
  </si>
  <si>
    <t xml:space="preserve">Taman rekreasi perbukitan dengan instalasi seni fotogenik dan konsep smart tourism</t>
  </si>
  <si>
    <t xml:space="preserve">https://jogja.disway.id/wisata/read/699061/eksplorasi-bukit-aslan-jadi-destinasi-wisata-paling-instagramable-di-bandar-lampung-tahun-2026</t>
  </si>
  <si>
    <t xml:space="preserve">Satgas Koops TNI Habema Amankan 5.000 Batang Ganja dari Dua Kampung di Papua Pegunungan - Indonesiadefense.com</t>
  </si>
  <si>
    <t xml:space="preserve">Viral di media sosial karena gugusan batu karang mirip Raja Ampat, primadona baru wisata bahari</t>
  </si>
  <si>
    <t xml:space="preserve">https://radarlampung.disway.id/wisata-kuliner/read/724809/viral-di-medsos-pulau-wayang-pesawaran-kini-jadi-primadona-baru-wisata-bahari-lampung</t>
  </si>
  <si>
    <t xml:space="preserve">Ruko di Jayawijaya Papua Pegunungan Hangus Terbakar, 11 Orang Tewas - detikcom</t>
  </si>
  <si>
    <t xml:space="preserve">Museum Nasional</t>
  </si>
  <si>
    <t xml:space="preserve">Delapan artefak budaya Papua hasil repatriasi dari AS jadi koleksi permanen</t>
  </si>
  <si>
    <t xml:space="preserve">https://jakarta.suaramerdeka.com/nasional/13417412665/8-artefak-budaya-papua-hasil-repatriasi-dari-fbi-jadi-koleksi-museum-nasional</t>
  </si>
  <si>
    <t xml:space="preserve">jakarta.suaramerdeka.com</t>
  </si>
  <si>
    <t xml:space="preserve">Wagub NTT Lepas Jenazah Korban Penembakan Papua Wili Mbuik Menuju Rote Ndao - Tribunsorong.com</t>
  </si>
  <si>
    <t xml:space="preserve">Tribunsorong.com</t>
  </si>
  <si>
    <t xml:space="preserve">2026-09-11</t>
  </si>
  <si>
    <t xml:space="preserve">Museum Negeri Provinsi Lampung Ruwa Jurai</t>
  </si>
  <si>
    <t xml:space="preserve">Jalan ZA Pagar Alam No. 64, Bandar Lampung</t>
  </si>
  <si>
    <t xml:space="preserve">Gedong Meneng</t>
  </si>
  <si>
    <t xml:space="preserve">Rajabasa</t>
  </si>
  <si>
    <t xml:space="preserve">Museum terbesar di Lampung dengan 4.700 koleksi dan tiket sangat murah</t>
  </si>
  <si>
    <t xml:space="preserve">https://radartv.disway.id/ragam/read/38204/mengenal-sejarah-lampung-di-museum-ruwa-jurai-wisata-edukasi-murah-di-bandar-lampung</t>
  </si>
  <si>
    <t xml:space="preserve">radartv.disway.id</t>
  </si>
  <si>
    <t xml:space="preserve">Gudang Toko Rani Puri Magetan Ludes Terbakar, Tidak Ada Korban Jiwa - Harian Massa Id - harianmassa.id</t>
  </si>
  <si>
    <t xml:space="preserve">harianmassa.id</t>
  </si>
  <si>
    <t xml:space="preserve">065</t>
  </si>
  <si>
    <t xml:space="preserve">Bandar Lampung Expo 2026</t>
  </si>
  <si>
    <t xml:space="preserve">Graha Mandala Alam Siger, Bandar Lampung</t>
  </si>
  <si>
    <t xml:space="preserve">Rangkaian HUT ke-344 Kota Bandar Lampung dengan lomba masakan tradisional dan jajanan pasar</t>
  </si>
  <si>
    <t xml:space="preserve">https://radarlampung.disway.id/bandar-lampung/read/727449/lomba-masak-tradisional-hut-bandar-lampung-dorong-pelestarian-kuliner-daerah</t>
  </si>
  <si>
    <t xml:space="preserve">Soal Penerapan Pendidikan Tinggi Negeri Gratis, Mendiktisaintek Beri Penjelasan - jpnn.com</t>
  </si>
  <si>
    <t xml:space="preserve">Soto Padang Mak Datuak</t>
  </si>
  <si>
    <t xml:space="preserve">Pujasera Blok M Square, Jakarta Selatan</t>
  </si>
  <si>
    <t xml:space="preserve">Soto Padang legendaris resep otentik Bukittinggi sejak 2010</t>
  </si>
  <si>
    <t xml:space="preserve">https://food.detik.com/warung-makan/d-8680682/lamak-bana-ada-soto-padang-bukittinggi-yang-nyempil-di-pujasera-blok-m</t>
  </si>
  <si>
    <t xml:space="preserve">Viral Wisatawan Asing Panah Penyu di Papua Barat Daya, Pakar: Harus Diproses Hukum - OWRITE</t>
  </si>
  <si>
    <t xml:space="preserve">Soto Padang H. St. Mangkuto</t>
  </si>
  <si>
    <t xml:space="preserve">Jalan Pintu Air Raya No. 26, Pasar Baru, Jakarta Pusat</t>
  </si>
  <si>
    <t xml:space="preserve">Soto Padang tertua di Jakarta, berdiri sejak 1942</t>
  </si>
  <si>
    <t xml:space="preserve">https://food.detik.com/tempat-makan/d-8675709/blusukan-cari-5-soto-padang-legendaris-di-jakarta-ada-yang-sejak-1942</t>
  </si>
  <si>
    <t xml:space="preserve">Pemkot Sorong tingkatkan kapasitas pengelola destinasi pariwisata - papuatengah.antaranews.com</t>
  </si>
  <si>
    <t xml:space="preserve">papuatengah.antaranews.com</t>
  </si>
  <si>
    <t xml:space="preserve">Soto Padang Pak Malin</t>
  </si>
  <si>
    <t xml:space="preserve">Blok M Square Lantai Basement Blok J.72, Melawai, Jakarta Selatan</t>
  </si>
  <si>
    <t xml:space="preserve">Sempat viral karena banyak konten review soto</t>
  </si>
  <si>
    <t xml:space="preserve">Pertengahan 2025</t>
  </si>
  <si>
    <t xml:space="preserve">Sinar Surya</t>
  </si>
  <si>
    <t xml:space="preserve">Dekat Pasar Benhil, Bendungan Hilir, Jakarta Pusat</t>
  </si>
  <si>
    <t xml:space="preserve">Warung tenda ikan bakar khas Padang laris saat makan siang</t>
  </si>
  <si>
    <t xml:space="preserve">https://food.detik.com/warung-makan/d-8668273/sinar-surya-laris-manis-ikan-bakar-padang-tendaan-rp33-ribu-di-benhil</t>
  </si>
  <si>
    <t xml:space="preserve">Raja Ampat Bukan Sekadar Destinasi Wisata, melainkan Kawasan yang Harus Dijaga - detikTravel</t>
  </si>
  <si>
    <t xml:space="preserve">Restoran Sederhana Singapura</t>
  </si>
  <si>
    <t xml:space="preserve">Kampong Glam, Singapura</t>
  </si>
  <si>
    <t xml:space="preserve">Di luar Indonesia: Singapura (Kampong Glam)</t>
  </si>
  <si>
    <t xml:space="preserve">Restoran Padang baru buka mendadak viral, antrean panjang dan makanan ludes</t>
  </si>
  <si>
    <t xml:space="preserve">29-30 Mei 2026</t>
  </si>
  <si>
    <t xml:space="preserve">https://food.detik.com/info-kuliner/d-8511021/baru-saja-buka-restoran-sederhana-di-singapura-ludes-dalam-hitungan-jam</t>
  </si>
  <si>
    <t xml:space="preserve">Bulog Klarifikasi Soal Video Viral Beras Diinjak-injak di Pelabuhan Jayapura - Tribunnews.com</t>
  </si>
  <si>
    <t xml:space="preserve">Wisata Dadakan Padang Ilalang Binturu</t>
  </si>
  <si>
    <t xml:space="preserve">Desa Binturu, Kecamatan Kelua, Kabupaten Tabalong</t>
  </si>
  <si>
    <t xml:space="preserve">Binturu</t>
  </si>
  <si>
    <t xml:space="preserve">Kelua</t>
  </si>
  <si>
    <t xml:space="preserve">Kabupaten Tabalong</t>
  </si>
  <si>
    <t xml:space="preserve">Hamparan ilalang viral di TikTok, dikunjungi ratusan orang per hari</t>
  </si>
  <si>
    <t xml:space="preserve">https://tvtabalong.com/viral-padang-ilalang-di-kelua-diserbu-ratusan-warga-pemandangannya-disebut-mirip-swiss/</t>
  </si>
  <si>
    <t xml:space="preserve">tvtabalong.com</t>
  </si>
  <si>
    <t xml:space="preserve">Elisa Kambu Ungkap Dampak Penurunan Dana Transfer ke Papua Barat Daya - Tribunsorong.com</t>
  </si>
  <si>
    <t xml:space="preserve">Kota Padang, Sumatera Barat</t>
  </si>
  <si>
    <t xml:space="preserve">Ikon wisata Kota Padang dengan pemandangan instagramable</t>
  </si>
  <si>
    <t xml:space="preserve">https://jogja.disway.id/wisata/read/699105/tempat-wisata-di-padang-terbaru-2026-paling-memukau-menawarkan-pesona-alam-dan-budaya-minang</t>
  </si>
  <si>
    <t xml:space="preserve">Viral Ratusan Karyawan Alfamart Demo di Kantor Bupati Lombok Tengah, Diduga Cemaskan PHK usai Penutupan 25 Ritel - Mata Pers Indonesia - Mata Pers Indonesia</t>
  </si>
  <si>
    <t xml:space="preserve">Sate Padang Pariaman Merjosari</t>
  </si>
  <si>
    <t xml:space="preserve">Merjosari, Kota Malang</t>
  </si>
  <si>
    <t xml:space="preserve">Merjosari</t>
  </si>
  <si>
    <t xml:space="preserve">Kuliner sate Padang di tengah tren kuliner murah Malang</t>
  </si>
  <si>
    <t xml:space="preserve">https://www.kompasiana.com/parlinphn/6aa52e7e34777c6c3c322003/sate-padang-pariaman-merjosari-siasat-rasa-di-kota-pelajar?page=all</t>
  </si>
  <si>
    <t xml:space="preserve">Globalisasi, Kapitalisme,Perubahan Pola Konsumsi Masyarakat Kota Sorong Halaman all - Kompasiana.com</t>
  </si>
  <si>
    <t xml:space="preserve">Taman Pinggir Sungai Siak</t>
  </si>
  <si>
    <t xml:space="preserve">Ruang terbuka dengan pemandangan ikon Sungai Siak untuk liburan keluarga</t>
  </si>
  <si>
    <t xml:space="preserve">https://www.cakaplah.com/berita/baca/137548/2026/06/29/tak-melulu-ke-mal-ini-3-destinasi-wisata-seru-di-pekanbaru-saat-libur-sekolah/</t>
  </si>
  <si>
    <t xml:space="preserve">Pendapatan PBD Naik Rp202 Miliar, Belanja Modal Baru 12,6 Persen, Gubernur Elisa Kambu Bereaksi - iNews.ID</t>
  </si>
  <si>
    <t xml:space="preserve">D'keboen Park</t>
  </si>
  <si>
    <t xml:space="preserve">Jl. Beringin, Air Hitam, Payung Sekaki, Pekanbaru</t>
  </si>
  <si>
    <t xml:space="preserve">Payung Sekaki</t>
  </si>
  <si>
    <t xml:space="preserve">Rekreasi keluarga dengan berbagai wahana permainan anak</t>
  </si>
  <si>
    <t xml:space="preserve">Taman Aerosport</t>
  </si>
  <si>
    <t xml:space="preserve">Dekat Bandara SSK II, Pekanbaru</t>
  </si>
  <si>
    <t xml:space="preserve">Dekat Bandara Sultan Syarif Kasim II</t>
  </si>
  <si>
    <t xml:space="preserve">Taman teduh dengan wahana perahu bebek</t>
  </si>
  <si>
    <t xml:space="preserve">Festival Kue Ketan Talam Durian</t>
  </si>
  <si>
    <t xml:space="preserve">Jalan Jendral Sudirman, Pekanbaru</t>
  </si>
  <si>
    <t xml:space="preserve">Tercatat MURI sebagai sajian terpanjang, dipadati jutaan warga saat HUT Pekanbaru ke-242</t>
  </si>
  <si>
    <t xml:space="preserve">https://riauaktual.com/news/detail/119014/talam-durian-sukses-masuk-muri-andre-rosiade-dan-wako-agung-berangkatkan-2-warga-pekanbaru-umroh</t>
  </si>
  <si>
    <t xml:space="preserve">riauaktual.com</t>
  </si>
  <si>
    <t xml:space="preserve">Wisata Kuliner Jaksel Berikut Tempat Makan Ramen Paling Enak dan Populer di Jakarta Selatan - jogja.disway.id - Disway Jogja</t>
  </si>
  <si>
    <t xml:space="preserve">066</t>
  </si>
  <si>
    <t xml:space="preserve">AZKO Living World Pekanbaru</t>
  </si>
  <si>
    <t xml:space="preserve">Living World, Pekanbaru, Riau</t>
  </si>
  <si>
    <t xml:space="preserve">Mal Living World Pekanbaru</t>
  </si>
  <si>
    <t xml:space="preserve">Video viral genset dan lampu darurat ludes diborong saat mati listrik se-Sumatera</t>
  </si>
  <si>
    <t xml:space="preserve">22-23 Mei 2026</t>
  </si>
  <si>
    <t xml:space="preserve">https://www.detik.com/properti/berita/d-8502109/heboh-genset-diborong-warga-saat-listrik-padam-di-sumatera</t>
  </si>
  <si>
    <t xml:space="preserve">7 Resto Keluarga di Jakarta Selatan yang Enak dan Murah - Hipwee</t>
  </si>
  <si>
    <t xml:space="preserve">Festival kuliner nasional dengan 45 tenant dan 300+ menu halal</t>
  </si>
  <si>
    <t xml:space="preserve">https://riauaktual.com/news/detail/116901/living-world-pekanbaru-dan-gebyarkulinerid-hadirkan-festival-kuliner-terbesar</t>
  </si>
  <si>
    <t xml:space="preserve">10 Restoran Baru di Jakarta Juni 2026 - nibble.id</t>
  </si>
  <si>
    <t xml:space="preserve">Rujak buah dengan bumbu khas yang viral di berbagai platform digital</t>
  </si>
  <si>
    <t xml:space="preserve">Gebyar Kuliner Jakarta</t>
  </si>
  <si>
    <t xml:space="preserve">Lebih dari 45 stan makanan viral, stan bungeoppang ramai diserbu hingga habis</t>
  </si>
  <si>
    <t xml:space="preserve">https://riau.harianhaluan.com/daerah/1117055847/stan-jajanan-korea-di-event-kuliner-mal-living-world-pekanbaru-cita-rasa-autentik</t>
  </si>
  <si>
    <t xml:space="preserve">Tempat Makan Siang di Senopati Jakarta Selatan, Kuliner Viral hingga Hidden Gem - jogja.disway.id - Disway Jogja</t>
  </si>
  <si>
    <t xml:space="preserve">Festival rekor MURI HUT Pekanbaru ke-242 yang disebut sudah viral hingga luar daerah</t>
  </si>
  <si>
    <t xml:space="preserve">https://riauaktual.com/news/detail/119227/pemko-pekanbaru-gerakkan-ekonomi-masyarakat-lewat-event-promosi-budaya-lokal</t>
  </si>
  <si>
    <t xml:space="preserve">Wisata Kuliner Blok M Square Terbaru ini Kelezatan Viral Ala Korea yang Memanjakan Lidah - jogja.disway.id - Disway Jogja</t>
  </si>
  <si>
    <t xml:space="preserve">Pekanbaru, Riau</t>
  </si>
  <si>
    <t xml:space="preserve">Rekor MURI kue talam durian terpanjang, disebut viral hingga luar Pekanbaru</t>
  </si>
  <si>
    <t xml:space="preserve">https://halloriau.com/read-pekanbaru-14618580-2026-06-27-agung-nugroho-genjot-ekonomi-pekanbaru-lewat-festival-umkm-makin-bergairah.html</t>
  </si>
  <si>
    <t xml:space="preserve">10 Salt Bread di Jakarta yang Viral - nibble.id</t>
  </si>
  <si>
    <t xml:space="preserve">2026-04-28</t>
  </si>
  <si>
    <t xml:space="preserve">Rumah Adat Banjar Bubungan Tinggi</t>
  </si>
  <si>
    <t xml:space="preserve">Desa Teluk Selong Ulu, Kecamatan Martapura Barat, Kabupaten Banjar</t>
  </si>
  <si>
    <t xml:space="preserve">Teluk Selong Ulu</t>
  </si>
  <si>
    <t xml:space="preserve">Martapura Barat</t>
  </si>
  <si>
    <t xml:space="preserve">Destinasi wisata rumah adat, lokasi sosialisasi Gerakan Bersama Memviralkan Pariwisata</t>
  </si>
  <si>
    <t xml:space="preserve">https://rri.co.id/banjarmasin/budaya/2334694/about.html</t>
  </si>
  <si>
    <t xml:space="preserve">10 Salt Bread di Jakarta yang Enak dan Viral - Haibunda</t>
  </si>
  <si>
    <t xml:space="preserve">Haibunda</t>
  </si>
  <si>
    <t xml:space="preserve">Festival Peh Cun 2026</t>
  </si>
  <si>
    <t xml:space="preserve">Lapangan Badminton Klenteng Suci Nurani, Banjarmasin</t>
  </si>
  <si>
    <t xml:space="preserve">Festival budaya Tionghoa dengan demonstrasi pembuatan bakcang</t>
  </si>
  <si>
    <t xml:space="preserve">https://kakinews.id/sekda-banjarmasin-buka-festival-peh-cun-2026-perkuat-harmoni-melalui-tradisi/</t>
  </si>
  <si>
    <t xml:space="preserve">kakinews.id</t>
  </si>
  <si>
    <t xml:space="preserve">Viral Pria Diturunkan dari KRL karena Diduga Lecehkan Penumpang Wanita - detikNews</t>
  </si>
  <si>
    <t xml:space="preserve">Pantai Kilang Mandiri</t>
  </si>
  <si>
    <t xml:space="preserve">Panorama matahari terbenam, tetap jadi daya tarik meski kunjungan turun</t>
  </si>
  <si>
    <t xml:space="preserve">https://travel.detik.com/fototravel/d-8440275/wisata-balikpapan-sepi-jumlah-pengunjung-alami-penurunan</t>
  </si>
  <si>
    <t xml:space="preserve">Kronologi Pengendara Ninja Pukul Pemotor di Jagakarsa Jaksel, Tak Terima Ditegur - Kompas.com</t>
  </si>
  <si>
    <t xml:space="preserve">KWPLH Beruang Madu</t>
  </si>
  <si>
    <t xml:space="preserve">Karang Joang</t>
  </si>
  <si>
    <t xml:space="preserve">Balikpapan Utara</t>
  </si>
  <si>
    <t xml:space="preserve">Destinasi unggulan paket city tour PORPAMNAS IX</t>
  </si>
  <si>
    <t xml:space="preserve">7-10 Oktober 2026</t>
  </si>
  <si>
    <t xml:space="preserve">https://kotaku.co.id/balikpapan-siap-sambut-10-ribu-tamu-porpamnas-ix-2026-sport-tourism-dan-city-tour-jadi-andalan/</t>
  </si>
  <si>
    <t xml:space="preserve">kotaku.co.id</t>
  </si>
  <si>
    <t xml:space="preserve">Libur Sekolah Berakhir, BGN Kembali Distribusikan Program MBG di Jakarta - Warta Ekonomi</t>
  </si>
  <si>
    <t xml:space="preserve">Pantai Manggar Segara Sari</t>
  </si>
  <si>
    <t xml:space="preserve">Balikpapan Timur</t>
  </si>
  <si>
    <t xml:space="preserve">Destinasi unggulan dengan jet ski, wisata berkuda, villa dan sport tourism</t>
  </si>
  <si>
    <t xml:space="preserve">https://kotaku.co.id/liburan-sekolah-disporapar-balikpapan-ingatkan-pengelola-wisata-perketat-sop/</t>
  </si>
  <si>
    <t xml:space="preserve">Menjelajah Surga Street Food Jalan Sabang, Kuliner Malam Terbaik dan Legendaris di Jakarta - jogja.disway.id - Disway Jogja</t>
  </si>
  <si>
    <t xml:space="preserve">067</t>
  </si>
  <si>
    <t xml:space="preserve">Pasar Tumpah Pringgondani</t>
  </si>
  <si>
    <t xml:space="preserve">Jalan Gunung Binjai, Teritip, Balikpapan Timur</t>
  </si>
  <si>
    <t xml:space="preserve">Teritip</t>
  </si>
  <si>
    <t xml:space="preserve">Pasar jajanan tradisional bernuansa Jawa dengan transaksi unik memakai uang kayu ulin</t>
  </si>
  <si>
    <t xml:space="preserve">https://nomorsatukaltim.disway.id/balikpapan/read/80343/pasar-tumpah-pringgondani-di-teritip-balikpapan-timur-transaksi-unik-memakai-uang-kayu-dilengkapi-barcode</t>
  </si>
  <si>
    <t xml:space="preserve">nomorsatukaltim.disway.id</t>
  </si>
  <si>
    <t xml:space="preserve">Viral Warung di Kemayoran Dirusak Oknum TNI Gara-gara Biaya QRIS Rp1.000, Ini Aturan Tegas Bank Indonesia! - Sukabumisatu.com</t>
  </si>
  <si>
    <t xml:space="preserve">Sukabumisatu.com</t>
  </si>
  <si>
    <t xml:space="preserve">Festival Kemudahan dan Perlindungan Usaha Mikro 2026</t>
  </si>
  <si>
    <t xml:space="preserve">Balikpapan Sport and Convention Center (BSCC/DOME), Balikpapan</t>
  </si>
  <si>
    <t xml:space="preserve">Festival layanan perizinan gratis dan promosi 1.200 pelaku UMKM</t>
  </si>
  <si>
    <t xml:space="preserve">https://kotaku.co.id/pemkot-balikpapan-libatkan-1-200-pelaku-usaha-mikro-terdaftar-sapa-umkm/</t>
  </si>
  <si>
    <t xml:space="preserve">Toko Buku Blok M, Oase Literasi di Pusat Skena Jakarta - cnnindonesia.com</t>
  </si>
  <si>
    <t xml:space="preserve">2026-05-27</t>
  </si>
  <si>
    <t xml:space="preserve">Gunung Steling</t>
  </si>
  <si>
    <t xml:space="preserve">Selili</t>
  </si>
  <si>
    <t xml:space="preserve">Samarinda Ilir</t>
  </si>
  <si>
    <t xml:space="preserve">Wisata puncak ciptaan warga yang jadi primadona anak muda</t>
  </si>
  <si>
    <t xml:space="preserve">https://www.niaga.asia/pemkot-diminta-bidik-wisata-alam-perbukitan-sebagai-sumber-pad/</t>
  </si>
  <si>
    <t xml:space="preserve">www.niaga.asia</t>
  </si>
  <si>
    <t xml:space="preserve">Viral Kepanikan Warga saat Asap Hitam Menyembur dari Bawah Tanah di Jakpus: Minggir, Jangan Ada yang Lewat! - Edisi - edisi.co.id</t>
  </si>
  <si>
    <t xml:space="preserve">Bukit RCTI</t>
  </si>
  <si>
    <t xml:space="preserve">Samarinda Seberang, Samarinda</t>
  </si>
  <si>
    <t xml:space="preserve">Samarinda Seberang</t>
  </si>
  <si>
    <t xml:space="preserve">Wisata perbukitan ciptaan warga yang digemari generasi muda</t>
  </si>
  <si>
    <t xml:space="preserve">Teras Samarinda</t>
  </si>
  <si>
    <t xml:space="preserve">Destinasi ikonik Kota Samarinda</t>
  </si>
  <si>
    <t xml:space="preserve">Hutan Lindung Kebun Raya Samarinda</t>
  </si>
  <si>
    <t xml:space="preserve">Samarinda Utara</t>
  </si>
  <si>
    <t xml:space="preserve">Destinasi wisata alam yang redup dan perlu direvitalisasi (isu negatif)</t>
  </si>
  <si>
    <t xml:space="preserve">Air Terjun Tanah Merah</t>
  </si>
  <si>
    <t xml:space="preserve">Tanah Merah</t>
  </si>
  <si>
    <t xml:space="preserve">Sempat viral dan ramai dikunjungi namun daya tarik menurun karena kurang pengembangan</t>
  </si>
  <si>
    <t xml:space="preserve">https://kutaipanrita.id/dprd-usulkan-dinas-pariwisata-berdiri-sendiri-dinilai-mampu-dongkrak-pad-samarinda/</t>
  </si>
  <si>
    <t xml:space="preserve">kutaipanrita.id</t>
  </si>
  <si>
    <t xml:space="preserve">Viral Aksi Pemalakan Sopir Bajaj di Pasar Tanah Abang, Pelaku Dibekuk Polisi - Warta Pontianak - Warta Pontianak</t>
  </si>
  <si>
    <t xml:space="preserve">Warta Pontianak</t>
  </si>
  <si>
    <t xml:space="preserve">Pasar Tungging</t>
  </si>
  <si>
    <t xml:space="preserve">Jalan Bung Tomo, Samarinda Seberang, Samarinda</t>
  </si>
  <si>
    <t xml:space="preserve">Viral di media sosial, jadi destinasi wisata baru dengan panorama tepi Sungai Mahakam</t>
  </si>
  <si>
    <t xml:space="preserve">5 Agustus 2026</t>
  </si>
  <si>
    <t xml:space="preserve">https://jurnalborneo.com/dari-pasar-tungging-ke-pasar-pagi/</t>
  </si>
  <si>
    <t xml:space="preserve">jurnalborneo.com</t>
  </si>
  <si>
    <t xml:space="preserve">Rekomendasi Tempat Makan Legendaris di Jakarta - Harper's Bazaar Indonesia</t>
  </si>
  <si>
    <t xml:space="preserve">Harper's Bazaar Indonesia</t>
  </si>
  <si>
    <t xml:space="preserve">Viral karena sudah direvitalisasi ratusan miliar tapi masih sepi penjual dan pembeli (isu negatif)</t>
  </si>
  <si>
    <t xml:space="preserve">Foto dan video keramaian pasar tepi Sungai Mahakam viral di media sosial</t>
  </si>
  <si>
    <t xml:space="preserve">1 Juni 2026</t>
  </si>
  <si>
    <t xml:space="preserve">https://rri.co.id/samarinda/berita-foto/52680/situasi-pasar-tungging-samarinda-seberang-viral-di-media-sosial-dipadati-pembeli</t>
  </si>
  <si>
    <t xml:space="preserve">Selalu Ngangenin! 5 Tempat Makan Kwetiau Sapi Legendaris yang Smoky Sedap - detikFood</t>
  </si>
  <si>
    <t xml:space="preserve">068</t>
  </si>
  <si>
    <t xml:space="preserve">Kafe Ahmad</t>
  </si>
  <si>
    <t xml:space="preserve">Jalan Teuku Umar, Karang Asam Ulu, Kecamatan Sungai Kunjang, Samarinda</t>
  </si>
  <si>
    <t xml:space="preserve">Karang Asam Ulu</t>
  </si>
  <si>
    <t xml:space="preserve">Sungai Kunjang</t>
  </si>
  <si>
    <t xml:space="preserve">Video viral oknum TNI bersitegang dengan Kasatpol PP saat penertiban kafe diduga jual miras (isu negatif)</t>
  </si>
  <si>
    <t xml:space="preserve">https://www.bintangtenggara.net/news/3923054854/viral-oknum-tni-bersitegang-dengan-kasatpol-pp-samarinda-saat-penertiban-kafe-remang-remang-dandim-minta-maaf</t>
  </si>
  <si>
    <t xml:space="preserve">www.bintangtenggara.net</t>
  </si>
  <si>
    <t xml:space="preserve">Ini Pemicu Pembacokan Pria di Cengkareng hingga Tewas - SINDOnews Daerah</t>
  </si>
  <si>
    <t xml:space="preserve">SINDOnews Daerah</t>
  </si>
  <si>
    <t xml:space="preserve">Ucapan media busuk petugas keamanan pasar ke jurnalis ramai diperbincangkan di media sosial (isu negatif)</t>
  </si>
  <si>
    <t xml:space="preserve">https://kaltim.akurasi.id/news/kaltim/samarinda/viral-satpam-pasar-pagi-sebut-media-busuk-andi-harun-minta-maaf-kepada-wartawan/</t>
  </si>
  <si>
    <t xml:space="preserve">kaltim.akurasi.id</t>
  </si>
  <si>
    <t xml:space="preserve">Pencuri Uang Puluhan Juta Rupiah Minimarket di Jakbar Ditangkap - MetroTVNews.com</t>
  </si>
  <si>
    <t xml:space="preserve">Video perseteruan petugas keamanan dengan jurnalis beredar di media sosial (isu negatif)</t>
  </si>
  <si>
    <t xml:space="preserve">https://klausa.co/viral-cekcok-sekuriti-dan-media-di-pasar-pagi-disdag-samarinda-soroti-miskomunikasi-sop/</t>
  </si>
  <si>
    <t xml:space="preserve">klausa.co</t>
  </si>
  <si>
    <t xml:space="preserve">Senggolan di Jalan Berujung Pria Tewas Dibacok di Cengkareng - detikNews</t>
  </si>
  <si>
    <t xml:space="preserve">Pedagang meluber ke koridor pasar sempat viral dan jadi sorotan publik (isu negatif)</t>
  </si>
  <si>
    <t xml:space="preserve">https://pusaranmedia.com/read/48338/disdag-samarinda-minta-pedagang-pasar-pagi-tidak-menaruh-barang-dagangannya-meluber-hingga-ke-koridor</t>
  </si>
  <si>
    <t xml:space="preserve">pusaranmedia.com</t>
  </si>
  <si>
    <t xml:space="preserve">Viral Sejumlah Mal Pasang Pagar Tinggi, APPBI: Antisipasi Pangamanan Demonstrasi - RCTI+</t>
  </si>
  <si>
    <t xml:space="preserve">Pasar viral karena unik dan khas di tepi Sungai Mahakam, jadi destinasi wisata baru</t>
  </si>
  <si>
    <t xml:space="preserve">https://www.berandaindonesia.id/2026/08/06/dari-pasar-tungging-ke-pasar-pagi</t>
  </si>
  <si>
    <t xml:space="preserve">www.berandaindonesia.id</t>
  </si>
  <si>
    <t xml:space="preserve">Polisi tangkap pelaku pembacokan pegawai toko roti hingga tewas di Cengkareng - ANTARA News Megapolitan</t>
  </si>
  <si>
    <t xml:space="preserve">Viral karena usai revitalisasi ratusan miliar masih sepi penjual dan pembeli (isu negatif)</t>
  </si>
  <si>
    <t xml:space="preserve">Dacoffee</t>
  </si>
  <si>
    <t xml:space="preserve">Kawasan santai tempat anak muda nongkrong malam di tepi Sungai Mahakam</t>
  </si>
  <si>
    <t xml:space="preserve">Polemik petugas keamanan ucapkan media busuk ke reporter viral di media sosial berujung damai (isu negatif)</t>
  </si>
  <si>
    <t xml:space="preserve">https://busam.id/sekuriti-viral-sebut-media-busuk-meminta-maaf/</t>
  </si>
  <si>
    <t xml:space="preserve">busam.id</t>
  </si>
  <si>
    <t xml:space="preserve">Viral asap hitam di Pasar Baru, Polisi pastikan akibat korsleting gardu - ANTARA News Jawa Barat</t>
  </si>
  <si>
    <t xml:space="preserve">Pasar Segiri</t>
  </si>
  <si>
    <t xml:space="preserve">Sidodadi</t>
  </si>
  <si>
    <t xml:space="preserve">Video viral wanita diduga pencuri sayur diikat di tiang listrik oleh pedagang (isu negatif)</t>
  </si>
  <si>
    <t xml:space="preserve">https://kumparan.com/kumparannews/wanita-di-samarinda-diikat-di-tiang-usai-diduga-curi-sayuran-pedagang-27tqgLnOqwE</t>
  </si>
  <si>
    <t xml:space="preserve">kumparan.com</t>
  </si>
  <si>
    <t xml:space="preserve">Viral buntut tumpukan sampah, LH pasang spanduk di Pasar Kopro - antaranews.com</t>
  </si>
  <si>
    <t xml:space="preserve">Expo Wonder of Paser</t>
  </si>
  <si>
    <t xml:space="preserve">Kabupaten Paser</t>
  </si>
  <si>
    <t xml:space="preserve">Expo kuliner, cendera mata khas Paser, tari tradisional dan festival band pendukung Porprov Kaltim</t>
  </si>
  <si>
    <t xml:space="preserve">14-27 November 2026</t>
  </si>
  <si>
    <t xml:space="preserve">https://rri.co.id/samarinda/ekonomi/umkm/2764277/ekraf-disporapar-paser-akan-gelar-expo-wonder-of-paser-di-perhelatan-porprov</t>
  </si>
  <si>
    <t xml:space="preserve">Bazar dan Event Jadi Kesempatan UMKM Kenalkan Produk - RRI.co.id</t>
  </si>
  <si>
    <t xml:space="preserve">Rumah Makan Gratis Habib</t>
  </si>
  <si>
    <t xml:space="preserve">Dikenal lewat kegiatan makan gratis rutin untuk masyarakat, dikunjungi Wakil Kepala BGN</t>
  </si>
  <si>
    <t xml:space="preserve">https://wartapontianak.pikiran-rakyat.com/kalbar/pr-11710206813/rumah-makan-gratis-habib-terima-kunjungan-wakil-kepala-badan-gizi-nasional-ri</t>
  </si>
  <si>
    <t xml:space="preserve">Jaktim dorong pariwisata tetap hijau lewat Green Tourism Festival - antaranews.com</t>
  </si>
  <si>
    <t xml:space="preserve">Che Hun Tiau Ahien</t>
  </si>
  <si>
    <t xml:space="preserve">Jalan WR Supratman, Pontianak</t>
  </si>
  <si>
    <t xml:space="preserve">Minuman khas Pontianak che hun tiau dengan beragam topping</t>
  </si>
  <si>
    <t xml:space="preserve">https://kaltim.idntimes.com/food/dining-guide/liburan-ke-pontianak-jangan-cuma-foto-foto-cicipi-7-kuliner-ini-01-xnb32-nlsgw8</t>
  </si>
  <si>
    <t xml:space="preserve">Video Viral Dugaan Pemerasan Pesepeda di Jaktim, Pelaku Siap-Siap Saja - jpnn.com</t>
  </si>
  <si>
    <t xml:space="preserve">Nasi Kari Kang Ho</t>
  </si>
  <si>
    <t xml:space="preserve">Jalan Haji Agus Salim Gang 1, Pontianak</t>
  </si>
  <si>
    <t xml:space="preserve">Nasi kari berbumbu kuat ala street food di pinggir gang</t>
  </si>
  <si>
    <t xml:space="preserve">Sate Kuah Sunda Rasa</t>
  </si>
  <si>
    <t xml:space="preserve">Sate disajikan dengan kuah khas yang gurih</t>
  </si>
  <si>
    <t xml:space="preserve">RM Puring Jaya</t>
  </si>
  <si>
    <t xml:space="preserve">Jalan Khatulistiwa No. 8, Siantan, Pontianak</t>
  </si>
  <si>
    <t xml:space="preserve">Pontianak Utara</t>
  </si>
  <si>
    <t xml:space="preserve">Kawasan Siantan</t>
  </si>
  <si>
    <t xml:space="preserve">Rumah makan Padang harga ramah, buka 24 jam</t>
  </si>
  <si>
    <t xml:space="preserve">La Gramma</t>
  </si>
  <si>
    <t xml:space="preserve">Toko kue yang melayani lonjakan pesanan saat Imlek dan Lebaran</t>
  </si>
  <si>
    <t xml:space="preserve">https://www.hops.id/viral/29417288273/begini-rahasia-sukses-toko-kue-legendaris-pontianak-hingga-produknya-diburu-para-perantau?page=2</t>
  </si>
  <si>
    <t xml:space="preserve">www.hops.id</t>
  </si>
  <si>
    <t xml:space="preserve">Kendaraan yang Parkir Liar di Kalisari Jaktim Dipindahkan usai Viral Laporan Warga Direspons Foto AI - Kompas.tv</t>
  </si>
  <si>
    <t xml:space="preserve">Alfa Lim</t>
  </si>
  <si>
    <t xml:space="preserve">Toko oleh-oleh khas Pontianak dengan banyak pesanan dari luar kota</t>
  </si>
  <si>
    <t xml:space="preserve">Toko Along</t>
  </si>
  <si>
    <t xml:space="preserve">Toko oleh-oleh khas Pontianak yang produknya menjangkau berbagai wilayah</t>
  </si>
  <si>
    <t xml:space="preserve">069</t>
  </si>
  <si>
    <t xml:space="preserve">Le Gita Cakes</t>
  </si>
  <si>
    <t xml:space="preserve">Toko kue legendaris sejak 1972, kue lapis dan kue kering dikirim hingga Jakarta</t>
  </si>
  <si>
    <t xml:space="preserve">https://www.inilah.com/kuliner-pontianak-makin-cuan-jangkau-pasar-nasional-berkat-kargo-udara-terjangkau</t>
  </si>
  <si>
    <t xml:space="preserve">The Power of Viral, Parkir Liar di Kalisari Tiba-Tiba Bersih Tanpa AI - cnnindonesia.com</t>
  </si>
  <si>
    <t xml:space="preserve">Bakso Lapangan Tembak</t>
  </si>
  <si>
    <t xml:space="preserve">Jl. Gerbang Pemuda No.1, Gelora, Tanah Abang, Jakarta Pusat</t>
  </si>
  <si>
    <t xml:space="preserve">Kuliner bakso yang melekat dengan kawasan Senayan, harga terjangkau</t>
  </si>
  <si>
    <t xml:space="preserve">https://www.nibble.id/tempat-makan-di-senayan/</t>
  </si>
  <si>
    <t xml:space="preserve">Munjirin Buka Green Tourism Festival 2026, Satu Aksi Nyata Hijaukan Wisata Kota - radarnonstop.co</t>
  </si>
  <si>
    <t xml:space="preserve">radarnonstop.co</t>
  </si>
  <si>
    <t xml:space="preserve">Sop Buntut Ibu Samino</t>
  </si>
  <si>
    <t xml:space="preserve">Jl. Tentara Pelajar No.22, Grogol Utara, Kebayoran Lama, Jakarta Selatan</t>
  </si>
  <si>
    <t xml:space="preserve">Grogol Utara</t>
  </si>
  <si>
    <t xml:space="preserve">Sop buntut favorit banyak orang dengan harga sekitar 20 ribuan</t>
  </si>
  <si>
    <t xml:space="preserve">Kapal Wisata Sapta Pesona</t>
  </si>
  <si>
    <t xml:space="preserve">Kota Manado, Sulawesi Utara</t>
  </si>
  <si>
    <t xml:space="preserve">Kapal wisata baru diluncurkan Dishub untuk tur wisata bahari Manado Bay hingga Bunaken</t>
  </si>
  <si>
    <t xml:space="preserve">https://indobrita.co/2026/06/26/inovasi-hebat-dishub-manado-launching-kapal-wisata-sapta-pesona/</t>
  </si>
  <si>
    <t xml:space="preserve">indobrita.co</t>
  </si>
  <si>
    <t xml:space="preserve">Festival Glenn Fredly Kembali Ke Timur Siap Jadi Perayaan Musik, Budaya, dan Cinta di Jakarta - Opsi.id</t>
  </si>
  <si>
    <t xml:space="preserve">Manado Town Square</t>
  </si>
  <si>
    <t xml:space="preserve">Pria diduga ODGJ mengamuk menodongkan pisau ke pengunjung mal, video beredar di media sosial (isu negatif)</t>
  </si>
  <si>
    <t xml:space="preserve">https://sulsel.idntimes.com/news/sulawesi-selatan/viral-odgj-di-manado-masuk-mal-bawa-pisau-pengunjung-panik-00-dgmbm-4qj855</t>
  </si>
  <si>
    <t xml:space="preserve">Pengeroyokan Pemuda di Matraman Jaktim Diduga Dipicu Salah Paham - Kompas.com</t>
  </si>
  <si>
    <t xml:space="preserve">Teluk Manado</t>
  </si>
  <si>
    <t xml:space="preserve">Sunset Manado ramai dibagikan dan raih jutaan tayangan di media sosial</t>
  </si>
  <si>
    <t xml:space="preserve">https://beritamanado.com/5-alasan-sunset-manado-viral-di-media-sosial-netizen-tak-pernah-bosan-menikmatinya/</t>
  </si>
  <si>
    <t xml:space="preserve">beritamanado.com</t>
  </si>
  <si>
    <t xml:space="preserve">Viral di Instagram, Toko Sate Taichan di Koja Dibobol Maling, Gas LPG dan Tablet Raib - Target Berita</t>
  </si>
  <si>
    <t xml:space="preserve">Target Berita</t>
  </si>
  <si>
    <t xml:space="preserve">Pulau Manado Tua</t>
  </si>
  <si>
    <t xml:space="preserve">Bunaken Kepulauan</t>
  </si>
  <si>
    <t xml:space="preserve">Siluet pulau jadi latar ikonik sunset Manado yang diburu konten kreator</t>
  </si>
  <si>
    <t xml:space="preserve">Kawasan Megamas</t>
  </si>
  <si>
    <t xml:space="preserve">Spot festival musik pantai sambil menikmati sunset yang viral di media sosial</t>
  </si>
  <si>
    <t xml:space="preserve">Pohon Kasih</t>
  </si>
  <si>
    <t xml:space="preserve">Warung Bunda</t>
  </si>
  <si>
    <t xml:space="preserve">Jalan Kelapa 2 Entrop, belakang Terminal Tipe A Entrop, Jayapura</t>
  </si>
  <si>
    <t xml:space="preserve">Entrop</t>
  </si>
  <si>
    <t xml:space="preserve">Jayapura Selatan</t>
  </si>
  <si>
    <t xml:space="preserve">Destinasi kuliner olahan ikan segar dengan tiga sambal sepuasnya</t>
  </si>
  <si>
    <t xml:space="preserve">https://rri.co.id/jayapura/kuliner/2322340/warung-bunda-surga-pecinta-olahan-ikan-di-jayapura</t>
  </si>
  <si>
    <t xml:space="preserve">Dinas PPKUKM Beri Klarifikasi Video Viral Pendamping Kecamatan Koja Dicecar Dewan Kota - Beritajakarta.id</t>
  </si>
  <si>
    <t xml:space="preserve">Beritajakarta.id</t>
  </si>
  <si>
    <t xml:space="preserve">Laoban Jayapura</t>
  </si>
  <si>
    <t xml:space="preserve">Jalan Amphibi 17 Hamadi, Jayapura</t>
  </si>
  <si>
    <t xml:space="preserve">Hamadi</t>
  </si>
  <si>
    <t xml:space="preserve">Resto konsep kopitiam baru dibuka dan langsung mencuri minat pecinta kuliner</t>
  </si>
  <si>
    <t xml:space="preserve">Akhir April 2026</t>
  </si>
  <si>
    <t xml:space="preserve">https://rri.co.id/jayapura/kuliner/2382763/laoban-jayapura-sensasi-kopitiam-kekinian-yang-wajib-dicoba-pecinta-kuliner</t>
  </si>
  <si>
    <t xml:space="preserve">Viral Loker Palsu di Jakut, Minta Pelamar Bayar untuk Rekening Prakerja - detikNews</t>
  </si>
  <si>
    <t xml:space="preserve">Kusuka Cafe &amp; Resto</t>
  </si>
  <si>
    <t xml:space="preserve">Jalan Kelapa 2 No 18, Entrop, Jayapura Selatan</t>
  </si>
  <si>
    <t xml:space="preserve">Menawarkan laksa topping dory dan ebi furai serta ramen</t>
  </si>
  <si>
    <t xml:space="preserve">https://rri.co.id/jayapura/kuliner/2319718/dari-laksa-hingga-ramen-ini-pilihan-menu-favorit-di-kusuka-cafe-resto-jayapura</t>
  </si>
  <si>
    <t xml:space="preserve">Polisi menyelidiki dugaan penistaan agama dalam festival musik di Ancol - ANTARA News</t>
  </si>
  <si>
    <t xml:space="preserve">The Roof Jayapura</t>
  </si>
  <si>
    <t xml:space="preserve">Lantai 11 Front One Hotel, Ruko Pacific Permai Dok 2, Jayapura</t>
  </si>
  <si>
    <t xml:space="preserve">Kawasan Dok II</t>
  </si>
  <si>
    <t xml:space="preserve">Rooftop dengan pemandangan laut dan Pelabuhan Jayapura</t>
  </si>
  <si>
    <t xml:space="preserve">https://rri.co.id/jayapura/kuliner/2580667/the-roof-jayapura-sensasi-kuliner-di-rooftop-hotel</t>
  </si>
  <si>
    <t xml:space="preserve">Polisi Panggil EO Konser dan MC Buntut Challenge Hafalan Qur'an demi Miras - detikNews</t>
  </si>
  <si>
    <t xml:space="preserve">You Need Mee Jayapura</t>
  </si>
  <si>
    <t xml:space="preserve">Cibo-Land Entrop, samping Lapangan Trisila, Jayapura</t>
  </si>
  <si>
    <t xml:space="preserve">Kuliner mie pedas yang sedang naik daun dengan harga terjangkau</t>
  </si>
  <si>
    <t xml:space="preserve">https://rri.co.id/jayapura/kuliner/2346530/you-need-mee-jayapura-rekomendasi-mie-pedas-dan-murah</t>
  </si>
  <si>
    <t xml:space="preserve">Video Viral Dugaan Penistaan Agama di Festival Musik Ancol, Polisi Panggil EO dan MC - Suara.com</t>
  </si>
  <si>
    <t xml:space="preserve">One Cloud Coffee &amp; Eatery</t>
  </si>
  <si>
    <t xml:space="preserve">Jayapura</t>
  </si>
  <si>
    <t xml:space="preserve">Disimpulkan dari lokasi gerai yang sama (Ciboland Entrop)</t>
  </si>
  <si>
    <t xml:space="preserve">Kafe estetik instagramable favorit nongkrong anak muda, kontennya terus bermunculan di media sosial</t>
  </si>
  <si>
    <t xml:space="preserve">https://rri.co.id/jayapura/kuliner/2458774/one-cloud-coffee-jadi-magnet-nongkrong-generasi-muda-jayapura</t>
  </si>
  <si>
    <t xml:space="preserve">EO The Sounds Project Dipanggil Polisi Buntut Games Setor Hafalan Ad Dhuha Berhadiah Miras - AFU.id</t>
  </si>
  <si>
    <t xml:space="preserve">Onigiri Babaibun</t>
  </si>
  <si>
    <t xml:space="preserve">Doyo, dekat Polres Jayapura</t>
  </si>
  <si>
    <t xml:space="preserve">Doyo Baru</t>
  </si>
  <si>
    <t xml:space="preserve">Waibu</t>
  </si>
  <si>
    <t xml:space="preserve">UMKM kuliner Jepang halal dengan 11 varian onigiri</t>
  </si>
  <si>
    <t xml:space="preserve">https://rri.co.id/jayapura/kuliner/2391768/onigiri-babaibun-jayapura-umkm-kuliner-jepang-halal-dengan-harga-ramah-di-kantong</t>
  </si>
  <si>
    <t xml:space="preserve">MUI Pademangan Laporkan Dugaan Penistaan Agama di Festival Musik di Ancol - RRI.co.id</t>
  </si>
  <si>
    <t xml:space="preserve">Holtekamp, Distrik Muara Tami, Jayapura</t>
  </si>
  <si>
    <t xml:space="preserve">Resto cafe konsep healing dengan lesehan di atas air sambil memberi makan ikan</t>
  </si>
  <si>
    <t xml:space="preserve">https://rri.co.id/jayapura/kuliner/2457868/rindu-alam-papua-kuliner-healing-unik-di-tepi-air-jayapura</t>
  </si>
  <si>
    <t xml:space="preserve">Polisi Selidiki Dugaan Penistaan Agama Terkait Promosi Miras dengan Hafalan Ayat Al-Quran - Kompas.tv</t>
  </si>
  <si>
    <t xml:space="preserve">Ciboland Entrop, samping Lapangan Trisila, Jayapura</t>
  </si>
  <si>
    <t xml:space="preserve">Kafe aesthetic tempat nongkrong dan work from cafe yang mulai mencuri perhatian</t>
  </si>
  <si>
    <t xml:space="preserve">https://rri.co.id/jayapura/kuliner/2346417/one-cloud-coffee-eatery-jayapura-spot-nongkrong-aesthetic</t>
  </si>
  <si>
    <t xml:space="preserve">Viral Challenge Hafalan Al Quran Berhadiah Miras di Event The Sound Project, Polisi Turun Tangan - news.indozone.id</t>
  </si>
  <si>
    <t xml:space="preserve">news.indozone.id</t>
  </si>
  <si>
    <t xml:space="preserve">070</t>
  </si>
  <si>
    <t xml:space="preserve">Festival Danau Sentani XV</t>
  </si>
  <si>
    <t xml:space="preserve">Danau Sentani</t>
  </si>
  <si>
    <t xml:space="preserve">Festival budaya tahunan yang sedang dipersiapkan Pemkab Jayapura</t>
  </si>
  <si>
    <t xml:space="preserve">https://www.beritapapua.co/berita-kabupaten-jayapura/2026/06/bupati-jayapura-pemalangan-aset-publik-tindakan-pidana-sengketa-tanah-selesaikan-lewat-pengadilan-dan-kerjasama/</t>
  </si>
  <si>
    <t xml:space="preserve">www.beritapapua.co</t>
  </si>
  <si>
    <t xml:space="preserve">Rekomendasi 8 Kuliner Surabaya Enak dan Murah, Cocok buat Anak Kos - detikcom</t>
  </si>
  <si>
    <t xml:space="preserve">Kampung Piala Dunia Dok IX Kali</t>
  </si>
  <si>
    <t xml:space="preserve">RW 07 Dok IX Kali, Kelurahan Imbi, Kota Jayapura</t>
  </si>
  <si>
    <t xml:space="preserve">Imbi</t>
  </si>
  <si>
    <t xml:space="preserve">Kampung dihias lukisan bintang sepak bola dan replika tribun stadion, jadi pusat perhatian pecinta bola</t>
  </si>
  <si>
    <t xml:space="preserve">10 Juni 2026</t>
  </si>
  <si>
    <t xml:space="preserve">https://jubi.id/mendalam/2026/ekspresi-glokal-di-kampung-piala-dunia-kota-jayapura/</t>
  </si>
  <si>
    <t xml:space="preserve">jubi.id</t>
  </si>
  <si>
    <t xml:space="preserve">10 Tempat Makan Murah di Surabaya dengan Menu Legendaris yang Bikin Nagih - Hipwee</t>
  </si>
  <si>
    <t xml:space="preserve">Kawasan Gading, dekat Alun-Alun Kidul, Solo</t>
  </si>
  <si>
    <t xml:space="preserve">Kawasan Gading</t>
  </si>
  <si>
    <t xml:space="preserve">Soto ayam kuah bening legendaris untuk sarapan</t>
  </si>
  <si>
    <t xml:space="preserve">https://travel.tribunnews.com/kuliner/145994/terkenal-legendaris-ini-5-soto-enak-di-solo-untuk-menu-sarapan</t>
  </si>
  <si>
    <t xml:space="preserve">6 Kuliner Malam Enak di Dekat Stasiun Pasar Turi Surabaya - IDN Times Jatim</t>
  </si>
  <si>
    <t xml:space="preserve">Soto Triwindu</t>
  </si>
  <si>
    <t xml:space="preserve">Sekitar Pasar Triwindu, Solo</t>
  </si>
  <si>
    <t xml:space="preserve">Soto daging sapi kuah bening legendaris</t>
  </si>
  <si>
    <t xml:space="preserve">Soto Kirana</t>
  </si>
  <si>
    <t xml:space="preserve">Jayengan, Solo</t>
  </si>
  <si>
    <t xml:space="preserve">Jayengan</t>
  </si>
  <si>
    <t xml:space="preserve">Soto ayam khas Solo dengan kuah ringan</t>
  </si>
  <si>
    <t xml:space="preserve">Soto Seger Hj. Fatimah</t>
  </si>
  <si>
    <t xml:space="preserve">Tipes, Serengan, Solo</t>
  </si>
  <si>
    <t xml:space="preserve">Tipes</t>
  </si>
  <si>
    <t xml:space="preserve">Soto kuah bening segar pilihan sarapan</t>
  </si>
  <si>
    <t xml:space="preserve">Soto Sapi Bu Hadi</t>
  </si>
  <si>
    <t xml:space="preserve">Soto daging sapi pilihan sarapan</t>
  </si>
  <si>
    <t xml:space="preserve">Nasi Liwet Wongso Lemu</t>
  </si>
  <si>
    <t xml:space="preserve">Nasi liwet legendaris sejak 1950, selalu ramai hingga antre</t>
  </si>
  <si>
    <t xml:space="preserve">https://mojok.co/terminal/8-kuliner-solo-yang-legendaris-dan-beneran-enak/</t>
  </si>
  <si>
    <t xml:space="preserve">6 Tempat Makan Malam Enak di Kawasan Kota Lama Surabaya - Kompas.com</t>
  </si>
  <si>
    <t xml:space="preserve">Jebres, Solo</t>
  </si>
  <si>
    <t xml:space="preserve">Museum baru yang megah dan populer, ramai dikunjungi wisatawan</t>
  </si>
  <si>
    <t xml:space="preserve">https://jogja.disway.id/gaya-hidup/read/701391/jelajah-kuliner-lezat-dan-murah-di-sekitar-tahir-solo-museum-pilihan-tempat-makan-populer</t>
  </si>
  <si>
    <t xml:space="preserve">10 Kuliner Malam Surabaya yang Wajib Dicoba, Favorit Warga Lokal - IDN Times Jatim</t>
  </si>
  <si>
    <t xml:space="preserve">Taman Sriwedari</t>
  </si>
  <si>
    <t xml:space="preserve">Sriwedari, Surakarta</t>
  </si>
  <si>
    <t xml:space="preserve">Viral rusa koleksi mengais makanan dari tempat sampah, Pemkot turun tangan (isu negatif)</t>
  </si>
  <si>
    <t xml:space="preserve">https://www.cnnindonesia.com/nasional/20260607102330-20-1366271/viral-rusa-di-taman-sriwedari-solo-cari-makan-di-tempat-sampah</t>
  </si>
  <si>
    <t xml:space="preserve">10 Restoran Baru di Surabaya Juli 2026 - nibble.id</t>
  </si>
  <si>
    <t xml:space="preserve">Serabi Notosuman</t>
  </si>
  <si>
    <t xml:space="preserve">Jalan Mohammad Yamin No. 28, Solo</t>
  </si>
  <si>
    <t xml:space="preserve">Jajanan serabi legendaris sejak 1923 dimasak di tungku</t>
  </si>
  <si>
    <t xml:space="preserve">https://food.detik.com/rumah-makan/d-8648613/5-warung-legendaris-solo-yang-sudah-eksis-sejak-zaman-belanda</t>
  </si>
  <si>
    <t xml:space="preserve">Tissa Biani dan Dul Kulineran di Surabaya, Cicip 4 Makanan Khas Nikmat - detikFood</t>
  </si>
  <si>
    <t xml:space="preserve">Pasar Gede, Solo</t>
  </si>
  <si>
    <t xml:space="preserve">Pasar Gede</t>
  </si>
  <si>
    <t xml:space="preserve">Es dawet legendaris sejak 1930, pernah disambangi Presiden Jokowi</t>
  </si>
  <si>
    <t xml:space="preserve">Timlo Sastro 1</t>
  </si>
  <si>
    <t xml:space="preserve">Jalan Abdul Muis No.32A, Kepatihan Kulon, Jebres, Surakarta</t>
  </si>
  <si>
    <t xml:space="preserve">Kepatihan Kulon</t>
  </si>
  <si>
    <t xml:space="preserve">Tempat sarapan timlo legendaris khas Solo</t>
  </si>
  <si>
    <t xml:space="preserve">https://travel.tribunnews.com/kuliner/145448/3-tempat-sarapan-enak-dan-legendaris-di-solo-dijamin-bikin-ketagihan</t>
  </si>
  <si>
    <t xml:space="preserve">7 Tempat Minuman Es di Surabaya, Ada Es Dawe Cak Minto - IDN Times Jatim</t>
  </si>
  <si>
    <t xml:space="preserve">Soto Gading 1</t>
  </si>
  <si>
    <t xml:space="preserve">Jalan Brigjen Sudiarto No.75, Joyosuran, Pasar Kliwon, Surakarta</t>
  </si>
  <si>
    <t xml:space="preserve">Soto ayam kuah bening legendaris tujuan wisata kuliner</t>
  </si>
  <si>
    <t xml:space="preserve">Gudeg Ceker Margoyudan Bu Kasno</t>
  </si>
  <si>
    <t xml:space="preserve">Jalan Wolter Monginsidi No.41-43, Setabelan, Banjarsari, Solo</t>
  </si>
  <si>
    <t xml:space="preserve">Setabelan</t>
  </si>
  <si>
    <t xml:space="preserve">Gudeg dengan ceker ayam empuk untuk sarapan khas Solo</t>
  </si>
  <si>
    <t xml:space="preserve">Rumah Makan Pak Die Solo Balapan</t>
  </si>
  <si>
    <t xml:space="preserve">Kestalan, Banjarsari, Solo</t>
  </si>
  <si>
    <t xml:space="preserve">Kestalan</t>
  </si>
  <si>
    <t xml:space="preserve">Masakan Jawa rumahan dekat Stasiun Solo Balapan</t>
  </si>
  <si>
    <t xml:space="preserve">https://travel.tribunnews.com/kuliner/145072/3-tempat-makan-siang-enak-dekat-stasiun-solo-balapan-ada-sate-buntel-hits</t>
  </si>
  <si>
    <t xml:space="preserve">10 Restoran Hot Pot di Surabaya yang Menghangatkan Perut - nibble.id</t>
  </si>
  <si>
    <t xml:space="preserve">Sate Kambing-Buntel Pak H. Kasdi</t>
  </si>
  <si>
    <t xml:space="preserve">Jalan Walter Monginsidi, Solo</t>
  </si>
  <si>
    <t xml:space="preserve">Sate kambing dan sate buntel favorit dekat Stasiun Solo Balapan</t>
  </si>
  <si>
    <t xml:space="preserve">Selat Vien's Pusat</t>
  </si>
  <si>
    <t xml:space="preserve">Jalan Hasanudin, Punggawan, Solo</t>
  </si>
  <si>
    <t xml:space="preserve">Punggawan</t>
  </si>
  <si>
    <t xml:space="preserve">Menyajikan selat Solo khas yang menyegarkan</t>
  </si>
  <si>
    <t xml:space="preserve">Warung Makan Bu Las</t>
  </si>
  <si>
    <t xml:space="preserve">Jalan Demak II, Solo</t>
  </si>
  <si>
    <t xml:space="preserve">Populer dengan ayam tulang lunak berbumbu rempah, harga ekonomis</t>
  </si>
  <si>
    <t xml:space="preserve">https://jogja.disway.id/gaya-hidup/read/701393/rekomendasi-kuliner-lezat-rp-10-ribuan-di-dekat-solo-safari-yang-menggugah-selera/15</t>
  </si>
  <si>
    <t xml:space="preserve">Wisata Surabaya Gak Cuma Mal! Intip 3 Galeri Seni Estetik di Kota Pahlawan - ketik.com</t>
  </si>
  <si>
    <t xml:space="preserve">Ayam Geprek Kumlot</t>
  </si>
  <si>
    <t xml:space="preserve">Jalan Kartika 5, Solo</t>
  </si>
  <si>
    <t xml:space="preserve">Ayam geprek crispy dengan level pedas bisa disesuaikan</t>
  </si>
  <si>
    <t xml:space="preserve">Warung selat Solo legendaris yang ikonik</t>
  </si>
  <si>
    <t xml:space="preserve">https://jogja.disway.id/gaya-hidup/read/700529/cek-kuliner-legendaris-solo-yang-wajib-dicoba-dengan-cita-rasa-autentik-untuk-makan-siang</t>
  </si>
  <si>
    <t xml:space="preserve">Surabaya Dijadikan Penghubung Wisatawan Jawa Timur ke Malaysia - Kompas.com</t>
  </si>
  <si>
    <t xml:space="preserve">Sriwedari, Solo</t>
  </si>
  <si>
    <t xml:space="preserve">Viral rusa mengais makanan dari tempat sampah, Pemkot Solo turun tangan (isu negatif)</t>
  </si>
  <si>
    <t xml:space="preserve">https://news.detik.com/berita/d-8521117/viral-rusa-di-taman-sriwedari-solo-makan-di-tempat-sampah</t>
  </si>
  <si>
    <t xml:space="preserve">Walkot Eri Ingatkan Larangan Hewan Open Donasi di Tempat Wisata-CFD - detikcom</t>
  </si>
  <si>
    <t xml:space="preserve">Kereta Hantu Solo</t>
  </si>
  <si>
    <t xml:space="preserve">Transmart Pabelan Solo lantai F1, Jalan A. Yani No. 234, Banaran, Pabelan, Kartasura, Sukoharjo</t>
  </si>
  <si>
    <t xml:space="preserve">Pabelan</t>
  </si>
  <si>
    <t xml:space="preserve">Kartasura</t>
  </si>
  <si>
    <t xml:space="preserve">Transmart Pabelan; teks juga menyebut Banaran</t>
  </si>
  <si>
    <t xml:space="preserve">Wahana horor baru yang ramai diperbincangkan dan viral di kalangan pengunjung</t>
  </si>
  <si>
    <t xml:space="preserve">https://travel.tribunnews.com/destinasi/146002/promo-tiket-kereta-hantu-di-solo-cuma-rp-25-ribu-cek-syaratnya</t>
  </si>
  <si>
    <t xml:space="preserve">Daftar Wisata Surabaya Paling Hits untuk Melepas Penat Hari Minggu - jatimnow.com</t>
  </si>
  <si>
    <t xml:space="preserve">De Tjolomadoe</t>
  </si>
  <si>
    <t xml:space="preserve">Malangjiwan</t>
  </si>
  <si>
    <t xml:space="preserve">Colomadu</t>
  </si>
  <si>
    <t xml:space="preserve">Kabupaten Karanganyar</t>
  </si>
  <si>
    <t xml:space="preserve">Teks menyebut Solo, lokasi sebenarnya di Colomadu, Karanganyar</t>
  </si>
  <si>
    <t xml:space="preserve">Bekas pabrik gula Belanda jadi destinasi heritage modern yang instagramable</t>
  </si>
  <si>
    <t xml:space="preserve">https://www.hipwee.com/travel/tempat-wisata-di-solo-yang-instagramable/</t>
  </si>
  <si>
    <t xml:space="preserve">Rekomendasi Wisata Air di Surabaya, dari Danau hingga Sungai di Tengah Kota - MalangTIMES</t>
  </si>
  <si>
    <t xml:space="preserve">MalangTIMES</t>
  </si>
  <si>
    <t xml:space="preserve">Tumurun Private Museum</t>
  </si>
  <si>
    <t xml:space="preserve">Museum privat seni kontemporer dengan interior estetik</t>
  </si>
  <si>
    <t xml:space="preserve">Jalan Ir. Sutami No.109, Jebres, Kota Surakarta</t>
  </si>
  <si>
    <t xml:space="preserve">Taman Satwa Taru Jurug</t>
  </si>
  <si>
    <t xml:space="preserve">Destinasi wisata keluarga viral berkat orang utan Didi dan singa Febri</t>
  </si>
  <si>
    <t xml:space="preserve">https://travel.tribunnews.com/destinasi/144420/mau-ketemu-singa-febri-yang-hobi-tidur-di-solo-safari-segini-tiket-masuknya</t>
  </si>
  <si>
    <t xml:space="preserve">Liburan Murah Meriah di Surabaya, Harga Tiket Wisata Cuma Rp 733 - detikTravel</t>
  </si>
  <si>
    <t xml:space="preserve">Museum menunggak PBB Rp600 juta dan dikeluhkan tarif parkir ngepruk (isu negatif)</t>
  </si>
  <si>
    <t xml:space="preserve">8 September 2026</t>
  </si>
  <si>
    <t xml:space="preserve">https://regional.kompas.com/read/2026/09/11/091724178/tahir-solo-museum-nunggak-pbb-rp-600-juta-wali-kota-respati-mohon-penuhi?page=all</t>
  </si>
  <si>
    <t xml:space="preserve">Jalan Tunjungan Surabaya Jadi Magnet Wisata Malam Selama Liburan Sekolah - surabaya.kompas.com</t>
  </si>
  <si>
    <t xml:space="preserve">Destinasi budaya baru soft launching, keluhan tarif parkir di kawasannya viral di media sosial</t>
  </si>
  <si>
    <t xml:space="preserve">https://jateng.disway.id/disway-solo/read/721371/tahir-solo-museum-resmi-diperkenalkan-ikon-edukasi-dan-budaya-kota-solo</t>
  </si>
  <si>
    <t xml:space="preserve">DPRD Pastikan Satwa KBS Surabaya Sehat, Dorong Inovasi Wisata dan Night Zoo - memorandum.disway.id - Memorandum.co.id</t>
  </si>
  <si>
    <t xml:space="preserve">Memorandum.co.id</t>
  </si>
  <si>
    <t xml:space="preserve">Dekat kampus UNS, Kota Solo</t>
  </si>
  <si>
    <t xml:space="preserve">Dekat kampus UNS</t>
  </si>
  <si>
    <t xml:space="preserve">Museum modern baru dibuka dengan koleksi sains, dinosaurus, dan budaya Nusantara</t>
  </si>
  <si>
    <t xml:space="preserve">https://travel.tribunnews.com/news/143935/resmi-dibuka-cek-harga-tiket-masuk-tahir-solo-museum</t>
  </si>
  <si>
    <t xml:space="preserve">Rooftop Beach Club Trans Luxury Hotel Surabaya, Serasa Liburan di Bali - detikcom</t>
  </si>
  <si>
    <t xml:space="preserve">Museum Tahir Solo</t>
  </si>
  <si>
    <t xml:space="preserve">Solo, Jawa Tengah</t>
  </si>
  <si>
    <t xml:space="preserve">Memamerkan fosil dinosaurus asli Omeisaurus dari Sichuan, pertama di Indonesia</t>
  </si>
  <si>
    <t xml:space="preserve">27 Juli 2026</t>
  </si>
  <si>
    <t xml:space="preserve">https://achmadnurhidayat.id/museum-tahir-solo-pamerkan-fosil-dinosaurus</t>
  </si>
  <si>
    <t xml:space="preserve">Pemkot Surabaya Putus Kontrak Runner Up Raka Raki Jatim Usai Viral Dugaan Permintaan Aborsi - Suara Surabaya</t>
  </si>
  <si>
    <t xml:space="preserve">Suara Surabaya</t>
  </si>
  <si>
    <t xml:space="preserve">071</t>
  </si>
  <si>
    <t xml:space="preserve">Cafe Bukuku Lawas</t>
  </si>
  <si>
    <t xml:space="preserve">Kedai kopi sekaligus toko buku bekas bernuansa vintage, favorit mahasiswa untuk foto estetik</t>
  </si>
  <si>
    <t xml:space="preserve">https://www.detik.com/jateng/wisata/d-8479034/9-toko-buku-solo-yang-instagramable-dan-punya-koleksi-menarik-pernah-mampir</t>
  </si>
  <si>
    <t xml:space="preserve">Pameran “Aku Arek Suroboyo” Hadir di Alun-Alun Surabaya, Ungkap Jejak Bung Karno di Kota Pahlawan - Harian Merah Putih</t>
  </si>
  <si>
    <t xml:space="preserve">Ikon oleh-oleh Solo, ditetapkan Warisan Budaya Takbenda dengan konsep open kitchen</t>
  </si>
  <si>
    <t xml:space="preserve">https://www.harapanrakyat.com/2026/05/toko-oleh-oleh-di-solo-favorit-wisatawan-untuk-belanja-kuliner-legendaris-hingga-batik-keraton/</t>
  </si>
  <si>
    <t xml:space="preserve">ARTSUBS 2026 Kembali Hadir, Surabaya Diproyeksikan Jadi Pusat Seni Kontemporer Indonesia - d-onenews.com</t>
  </si>
  <si>
    <t xml:space="preserve">Abon Mesran</t>
  </si>
  <si>
    <t xml:space="preserve">Oleh-oleh abon sapi legendaris sejak 1987</t>
  </si>
  <si>
    <t xml:space="preserve">Abon Sapi KL Noeria</t>
  </si>
  <si>
    <t xml:space="preserve">Jagalan, Solo</t>
  </si>
  <si>
    <t xml:space="preserve">Jagalan</t>
  </si>
  <si>
    <t xml:space="preserve">Abon sapi langganan keluarga Presiden Joko Widodo</t>
  </si>
  <si>
    <t xml:space="preserve">Toko Roti Orion</t>
  </si>
  <si>
    <t xml:space="preserve">Toko roti legendaris sejak 1932 dengan Roti Mandarijn</t>
  </si>
  <si>
    <t xml:space="preserve">Toko Solo Floss Roll</t>
  </si>
  <si>
    <t xml:space="preserve">Oleh-oleh kekinian roti gulung abon sapi melimpah</t>
  </si>
  <si>
    <t xml:space="preserve">Solo Pluffy</t>
  </si>
  <si>
    <t xml:space="preserve">Oleh-oleh cheesecake lembut aneka varian</t>
  </si>
  <si>
    <t xml:space="preserve">Kampung Batik Laweyan</t>
  </si>
  <si>
    <t xml:space="preserve">Laweyan, Solo</t>
  </si>
  <si>
    <t xml:space="preserve">Kampung batik tempat melihat proses produksi batik</t>
  </si>
  <si>
    <t xml:space="preserve">Kampung Batik Kauman</t>
  </si>
  <si>
    <t xml:space="preserve">Kauman, Solo</t>
  </si>
  <si>
    <t xml:space="preserve">Uleg Bazar Kuliner 2026</t>
  </si>
  <si>
    <t xml:space="preserve">Pamedan Pura Mangkunegaran, Surakarta</t>
  </si>
  <si>
    <t xml:space="preserve">Pura Mangkunegaran</t>
  </si>
  <si>
    <t xml:space="preserve">Bazar makanan pedas terbesar dengan puluhan tenant kuliner nusantara dan kuliner viral</t>
  </si>
  <si>
    <t xml:space="preserve">14-17 Mei 2026</t>
  </si>
  <si>
    <t xml:space="preserve">https://mettanews.id/uleg-bazar-kuliner-2026-hadir-di-solo-suguhkan-wisata-kuliner-konser-musik-hingga-angkat-umkm-lokal-naik-kelas/</t>
  </si>
  <si>
    <t xml:space="preserve">mettanews.id</t>
  </si>
  <si>
    <t xml:space="preserve">Rebutan Pasar Babatan Indah Surabaya, Warga RW 04 Pasang Spanduk Penolakan - memorandum.disway.id - Memorandum.co.id</t>
  </si>
  <si>
    <t xml:space="preserve">Bazar kuliner pedas semarak dengan tenant populer Jakarta, Bandung, Surabaya</t>
  </si>
  <si>
    <t xml:space="preserve">https://www.fokusjateng.com/2026/05/15/uleg-bazar-kuliner-2026-solo-hadirkan-kuliner-pedas-viral-hingga-konser-musik/</t>
  </si>
  <si>
    <t xml:space="preserve">www.fokusjateng.com</t>
  </si>
  <si>
    <t xml:space="preserve">DPRD Puji Program Revitalisasi Pasar Pemkot Surabaya - detikNews</t>
  </si>
  <si>
    <t xml:space="preserve">RASAFORIA</t>
  </si>
  <si>
    <t xml:space="preserve">Main Atrium The Park Mall Solo</t>
  </si>
  <si>
    <t xml:space="preserve">Grogol</t>
  </si>
  <si>
    <t xml:space="preserve">The Park Mall Solo Baru, secara administratif di Kab. Sukoharjo</t>
  </si>
  <si>
    <t xml:space="preserve">Festival kuliner beragam cita rasa Nusantara, jajanan kekinian dan minuman viral</t>
  </si>
  <si>
    <t xml:space="preserve">https://mettanews.id/festival-kuliner-rasaforia-ramaikan-the-park-mall-solo-surga-kuliner-dengan-puluhan-tenant-pilihan/</t>
  </si>
  <si>
    <t xml:space="preserve">16 Pasar di Surabaya Bakal Dimoderernisasi, Anggarannya Rp20 M - IDN Times Jatim</t>
  </si>
  <si>
    <t xml:space="preserve">Event kuliner nusantara, pedas, dan viral dari UMKM Solo Raya plus konser</t>
  </si>
  <si>
    <t xml:space="preserve">https://rri.co.id/surakarta/regional/2414770/uleg-bazar-kuliner-hadir-di-solo-sajikan-kuliner-pedas-nusantara</t>
  </si>
  <si>
    <t xml:space="preserve">Pemkot Surabaya dan Keluarga Bantah Isu Anak 5 Tahun Dieksploitasi Ayah - d-onenews.com</t>
  </si>
  <si>
    <t xml:space="preserve">Meeting of Styles 2026</t>
  </si>
  <si>
    <t xml:space="preserve">Rumah Tahanan Negara Kelas I Solo</t>
  </si>
  <si>
    <t xml:space="preserve">Festival grafiti internasional 50 seniman dari 19 negara</t>
  </si>
  <si>
    <t xml:space="preserve">https://jateng.disway.id/disway-solo/read/718844/rutan-solo-jadi-panggung-seni-dunia-seniman-dari-19-negara-ramaikan-festival-grafiti-internasional</t>
  </si>
  <si>
    <t xml:space="preserve">Diduga Terjadi Pungli di Pasar Tugu Pahlawan, Video Viral hingga Direspons Wali Kota Surabaya - Informasi-Realita.net</t>
  </si>
  <si>
    <t xml:space="preserve">Informasi-Realita.net</t>
  </si>
  <si>
    <t xml:space="preserve">Teras Sarapan Pagi</t>
  </si>
  <si>
    <t xml:space="preserve">Cirebon</t>
  </si>
  <si>
    <t xml:space="preserve">Cirebon ambigu (Kota/Kabupaten Cirebon)</t>
  </si>
  <si>
    <t xml:space="preserve">Tempat sarapan ketan bumbu dan soto hangat</t>
  </si>
  <si>
    <t xml:space="preserve">https://radarcirebon.disway.id/jawa-barat/read/229740/pagi-hari-lapar-ini-4-tempat-sarapan-enak-dan-viral-di-cirebon-yang-wajib-dicoba</t>
  </si>
  <si>
    <t xml:space="preserve">radarcirebon.disway.id</t>
  </si>
  <si>
    <t xml:space="preserve">Jejak Sejarah Pasar Maling di Wonokromo Surabaya, Bermula dari Lokalisasi Kelas Teri di Dekat Rel Kereta Api - Radar Surabaya</t>
  </si>
  <si>
    <t xml:space="preserve">Radar Surabaya</t>
  </si>
  <si>
    <t xml:space="preserve">GTC Cirebon</t>
  </si>
  <si>
    <t xml:space="preserve">Kota Cirebon</t>
  </si>
  <si>
    <t xml:space="preserve">Gunungsari Trade Center</t>
  </si>
  <si>
    <t xml:space="preserve">Video keributan pengunjung tempat makan dengan pengamen hingga adu jotos viral (isu negatif)</t>
  </si>
  <si>
    <t xml:space="preserve">4 Agustus 2026</t>
  </si>
  <si>
    <t xml:space="preserve">https://news.detik.com/berita/d-8603716/viral-pengamen-vs-pengunjung-adu-jotos-di-gtc-cirebon-gegara-tak-diberi-uang</t>
  </si>
  <si>
    <t xml:space="preserve">Destinasi Kuliner Viral yang Wajib Masuk Bucket List di Pasar Tunjungan Surabaya - jogja.disway.id - Disway Jogja</t>
  </si>
  <si>
    <t xml:space="preserve">Empal Gentong H. Irwan Ciperna</t>
  </si>
  <si>
    <t xml:space="preserve">Dekat Gerbang Tol Ciperna, Cirebon</t>
  </si>
  <si>
    <t xml:space="preserve">Ciperna</t>
  </si>
  <si>
    <t xml:space="preserve">Talun</t>
  </si>
  <si>
    <t xml:space="preserve">Dekat Gerbang Tol Ciperna</t>
  </si>
  <si>
    <t xml:space="preserve">Empal gentong legendaris dan sate maranggi di akses tol</t>
  </si>
  <si>
    <t xml:space="preserve">https://radarcirebon.disway.id/kabupaten-cirebon/read/219102/8-rumah-makan-enak-dekat-tol-ciperna-cirebon-favorit-pemudik-dan-wisatawan</t>
  </si>
  <si>
    <t xml:space="preserve">Viral Satpol PP Surabaya Sita Sayur Lontong dan Kikil Pedagang - detikcom</t>
  </si>
  <si>
    <t xml:space="preserve">Polisi tangkap pengamen yang ribut dengan pengunjung (isu negatif)</t>
  </si>
  <si>
    <t xml:space="preserve">https://www.detik.com/jabar/cirebon-raya/d-8604456/pengamen-pemukul-pengunjung-di-gtc-cirebon-ditangkap-polisi</t>
  </si>
  <si>
    <t xml:space="preserve">Kawasan Pasar Babaan Surabaya Ditata dan Dibersihkan, PKL Diarahkan Masuk Area Pasar - memorandum.disway.id - Memorandum.co.id</t>
  </si>
  <si>
    <t xml:space="preserve">Empal Gentong H. Apud</t>
  </si>
  <si>
    <t xml:space="preserve">Battembat</t>
  </si>
  <si>
    <t xml:space="preserve">Tengah Tani</t>
  </si>
  <si>
    <t xml:space="preserve">Empal gentong legendaris yang selalu ramai hingga antre panjang</t>
  </si>
  <si>
    <t xml:space="preserve">https://radarcirebon.disway.id/kota-cirebon/read/226715/rekomendasi-4-wisata-kuliner-di-cirebon-untuk-makan-malam-enak-legendaris-dan-viral</t>
  </si>
  <si>
    <t xml:space="preserve">Protes Satpol PP Surabaya Disebut Maling gegara Viral Sita Lontong-Kikil - detikcom</t>
  </si>
  <si>
    <t xml:space="preserve">Keributan pengunjung dan pengamen berujung baku hantam viral (isu negatif)</t>
  </si>
  <si>
    <t xml:space="preserve">https://www.detik.com/jabar/cirebon-raya/d-8604226/aksi-pengamen-maksa-minta-uang-berujung-baku-hantam-di-cirebon</t>
  </si>
  <si>
    <t xml:space="preserve">Festival Rujak Uleg dan Surabaya Vaganza Jadi Andalan HJKS 2026, Surabaya Makin Mendunia - iNews.ID</t>
  </si>
  <si>
    <t xml:space="preserve">Kopi Montong</t>
  </si>
  <si>
    <t xml:space="preserve">Tempat ngopi bernuansa alam di tengah rimbun pepohonan</t>
  </si>
  <si>
    <t xml:space="preserve">https://radarcirebon.disway.id/trend/read/228457/bosan-nongkrong-di-kafe-biasa-ini-7-tempat-bernuansa-alam-di-cirebon-yang-bikin-pikiran-adem</t>
  </si>
  <si>
    <t xml:space="preserve">Event di Surabaya Wajib Libatkan UMKM, Pemkot Kejar Efek Ekonomi - Harian Merah Putih</t>
  </si>
  <si>
    <t xml:space="preserve">GTC Kota Cirebon</t>
  </si>
  <si>
    <t xml:space="preserve">Area parkir GTC, Kota Cirebon</t>
  </si>
  <si>
    <t xml:space="preserve">Dua pengamen ditangkap usai video adu jotos dengan pengunjung tempat makan viral (isu negatif)</t>
  </si>
  <si>
    <t xml:space="preserve">https://news.detik.com/berita/d-8604733/2-pengamen-pemukul-pengunjung-gtc-cirebon-ditangkap</t>
  </si>
  <si>
    <t xml:space="preserve">Balai Kota Surabaya, bank bjb, Event Olahraga Surabaya, Harian Kompas, Lari 10K Indonesia, PB PASI, Sport Tourism Surabaya, Suroboyo 10K 2026, The Ultimate 10K Series, UMKM SurabayaSuroboyo 10K 2026, The Ultimate 10K Series, Harian Kompas, - Nusantara Abadi News</t>
  </si>
  <si>
    <t xml:space="preserve">Nusantara Abadi News</t>
  </si>
  <si>
    <t xml:space="preserve">Nasi Jamblang Mang Dul</t>
  </si>
  <si>
    <t xml:space="preserve">Kesambi</t>
  </si>
  <si>
    <t xml:space="preserve">Rumah makan nasi jamblang yang dipadati pelanggan</t>
  </si>
  <si>
    <t xml:space="preserve">https://radarcirebon.disway.id/kota-cirebon/read/219100/rekomendasi-4-nasi-jamblang-di-cirebon-untuk-makan-siang-enak-dan-legendaris</t>
  </si>
  <si>
    <t xml:space="preserve">Murni Kreatifitas Pribadi, Owner Zona Club Surabaya Minta Maaf usai Poster Polisi Viral - beritajatim.com</t>
  </si>
  <si>
    <t xml:space="preserve">Nasi Jamblang Ibu Nur</t>
  </si>
  <si>
    <t xml:space="preserve">Nasi jamblang legendaris nyaris tak pernah sepi dengan lauk lengkap</t>
  </si>
  <si>
    <t xml:space="preserve">Cita Rasa Amak</t>
  </si>
  <si>
    <t xml:space="preserve">Jalan Sukasari No. 49/07, Kelurahan Sukapura, Kecamatan Kejaksan, Kota Cirebon</t>
  </si>
  <si>
    <t xml:space="preserve">Sukapura</t>
  </si>
  <si>
    <t xml:space="preserve">Kejaksan</t>
  </si>
  <si>
    <t xml:space="preserve">Kedai Padang konsep kalcer baru dibuka dengan soto Padang</t>
  </si>
  <si>
    <t xml:space="preserve">10 April 2026</t>
  </si>
  <si>
    <t xml:space="preserve">https://radarcirebon.disway.id/kota-cirebon/read/218888/cita-rasa-amak-rumah-makan-padang-kalcer-dengan-rasa-autentik-di-cirebon</t>
  </si>
  <si>
    <t xml:space="preserve">Ekspor IKM Surabaya Tembus 2,73 Juta Dolar AS, SIL Festival 2026 Serap Ribuan Tenaga Kerja Lokal - iNews.ID</t>
  </si>
  <si>
    <t xml:space="preserve">Festival Kuliner dan Budaya Kenduri Kue Bulan 2026</t>
  </si>
  <si>
    <t xml:space="preserve">Kawasan Pecinan, Kota Cirebon</t>
  </si>
  <si>
    <t xml:space="preserve">Kawasan Pecinan</t>
  </si>
  <si>
    <t xml:space="preserve">Festival kuliner dan budaya Tionghoa bersamaan peresmian Gapura Pecinan</t>
  </si>
  <si>
    <t xml:space="preserve">https://radarcirebon.disway.id/kota-cirebon/read/231851/gapura-pecinan-cirebon-diresmikan-jadi-penanda-wisata-sejarah-dan-budaya</t>
  </si>
  <si>
    <t xml:space="preserve">5 Spot Terbaik Menikmati Surabaya Vaganza 2026 - Radar Surabaya</t>
  </si>
  <si>
    <t xml:space="preserve">Gapura Pecinan</t>
  </si>
  <si>
    <t xml:space="preserve">Gapura baru diresmikan sebagai penanda kawasan wisata sejarah dan budaya</t>
  </si>
  <si>
    <t xml:space="preserve">Embung Wanakaya</t>
  </si>
  <si>
    <t xml:space="preserve">Kecamatan Tengah Tani, Kabupaten Cirebon</t>
  </si>
  <si>
    <t xml:space="preserve">Wanakaya</t>
  </si>
  <si>
    <t xml:space="preserve">Embung mengering jadi hamparan rumput, viral di media sosial dan jadi wisata dadakan</t>
  </si>
  <si>
    <t xml:space="preserve">https://aboutcirebon.id/embung-wanakaya-cirebon-mengering-jadi-wisata-dadakan-dan-ramai-dikunjungi-warga/</t>
  </si>
  <si>
    <t xml:space="preserve">aboutcirebon.id</t>
  </si>
  <si>
    <t xml:space="preserve">Cafe &amp; Restoran Halal Certified di Bandung untuk Wisata Kuliner Nikmat - tripzilla.id</t>
  </si>
  <si>
    <t xml:space="preserve">Pantai Kejawanan</t>
  </si>
  <si>
    <t xml:space="preserve">Lemahwungkuk</t>
  </si>
  <si>
    <t xml:space="preserve">Wisata Cirebon yang lagi hits</t>
  </si>
  <si>
    <t xml:space="preserve">https://radarcirebon.disway.id/kota-cirebon/read/222041/lagi-hits-dan-ramai-pengunjung-ini-daftar-tempat-wisata-di-cirebon-terbaru-2026</t>
  </si>
  <si>
    <t xml:space="preserve">Sop Burtok Bandung: Cita rasa kuliner unik, lokasi, dan menu favorit - ANTARA News Jawa Barat</t>
  </si>
  <si>
    <t xml:space="preserve">Keraton Kasepuhan</t>
  </si>
  <si>
    <t xml:space="preserve">Kasepuhan</t>
  </si>
  <si>
    <t xml:space="preserve">Wisata sejarah Cirebon yang lagi hits</t>
  </si>
  <si>
    <t xml:space="preserve">Goa Sunyaragi</t>
  </si>
  <si>
    <t xml:space="preserve">Sunyaragi</t>
  </si>
  <si>
    <t xml:space="preserve">Batik Trusmi</t>
  </si>
  <si>
    <t xml:space="preserve">Trusmi, Cirebon</t>
  </si>
  <si>
    <t xml:space="preserve">Plered</t>
  </si>
  <si>
    <t xml:space="preserve">Desa Trusmi Wetan/Trusmi Kulon</t>
  </si>
  <si>
    <t xml:space="preserve">Wisata belanja batik Cirebon yang lagi hits</t>
  </si>
  <si>
    <t xml:space="preserve">Taman Air Goa Sunyaragi</t>
  </si>
  <si>
    <t xml:space="preserve">Kompleks bersejarah berarsitektur unik menyerupai gua, destinasi favorit wisatawan</t>
  </si>
  <si>
    <t xml:space="preserve">https://mediacirebon.id/yuk-liburan-ke-cirebon-turun-kereta-10-menit-sudah-berwisata/</t>
  </si>
  <si>
    <t xml:space="preserve">mediacirebon.id</t>
  </si>
  <si>
    <t xml:space="preserve">30 Tempat Makan di Braga, Dari Yang Murah Hingga Legendaris! - tripzilla.id</t>
  </si>
  <si>
    <t xml:space="preserve">Kampung Batik Trusmi</t>
  </si>
  <si>
    <t xml:space="preserve">Kawasan pusat batik khas Cirebon dekat stasiun</t>
  </si>
  <si>
    <t xml:space="preserve">072</t>
  </si>
  <si>
    <t xml:space="preserve">Panggung Rakyat Taman Parkir Sumber</t>
  </si>
  <si>
    <t xml:space="preserve">Sumber, Kabupaten Cirebon</t>
  </si>
  <si>
    <t xml:space="preserve">Sumber</t>
  </si>
  <si>
    <t xml:space="preserve">Ruang publik dengan hiburan musik, kesenian tradisional dan stan kuliner UMKM tiap akhir pekan</t>
  </si>
  <si>
    <t xml:space="preserve">https://mediacirebon.id/taman-parkir-sumber-jadi-destinasi-wisata-malam-di-cirebon/</t>
  </si>
  <si>
    <t xml:space="preserve">12 Rekomendasi Kuliner Hits di Bandung yang Wajib Dicoba - Media Indonesia</t>
  </si>
  <si>
    <t xml:space="preserve">Taman Ade Irma Suryani</t>
  </si>
  <si>
    <t xml:space="preserve">Jalan Yos Sudarso, pinggir pantai Kota Cirebon</t>
  </si>
  <si>
    <t xml:space="preserve">Cirebon Waterland kembali ke nama lama dan dipercantik untuk dongkrak kunjungan yang lesu</t>
  </si>
  <si>
    <t xml:space="preserve">https://mediacirebon.id/cirebon-waterland-akan-berganti-nama-jadi-taman-ade-irma-suryani/</t>
  </si>
  <si>
    <t xml:space="preserve">Destinasi Nongkrong Estetik Restoran dan Cafe Baru Paling Hits dan Lezat di Bandung 2026 - jogja.disway.id - Disway Jogja</t>
  </si>
  <si>
    <t xml:space="preserve">Lembur Pakuan</t>
  </si>
  <si>
    <t xml:space="preserve">Subang</t>
  </si>
  <si>
    <t xml:space="preserve">Kabupaten Subang</t>
  </si>
  <si>
    <t xml:space="preserve">Destinasi wisata edukatif yang dikunjungi rombongan anak yatim</t>
  </si>
  <si>
    <t xml:space="preserve">https://mediacirebon.id/bkprmi-kota-cirebon-ajak-anak-yatim-jelajahi-lembur-pakuan-dan-bandung/</t>
  </si>
  <si>
    <t xml:space="preserve">10 Kuliner Legendaris Bandung 2026, Wajib Coba Buat Nostalgia - detikcom</t>
  </si>
  <si>
    <t xml:space="preserve">Museum Geologi Bandung</t>
  </si>
  <si>
    <t xml:space="preserve">Museum Linggarjati</t>
  </si>
  <si>
    <t xml:space="preserve">Linggarjati, Kuningan</t>
  </si>
  <si>
    <t xml:space="preserve">Linggarjati</t>
  </si>
  <si>
    <t xml:space="preserve">Cilimus</t>
  </si>
  <si>
    <t xml:space="preserve">Kabupaten Kuningan</t>
  </si>
  <si>
    <t xml:space="preserve">Pedagang museum berjuang di tengah sepinya pengunjung pasca COVID-19</t>
  </si>
  <si>
    <t xml:space="preserve">https://www.detik.com/jabar/cirebon-raya/d-8428858/nestapa-pedagang-di-museum-linggarjati-kuningan-berteman-kesepian</t>
  </si>
  <si>
    <t xml:space="preserve">Update Kuliner Bandung ini Destinasi Makan Hits dengan Pemandangan Alam yang Memukau - jogja.disway.id - Disway Jogja</t>
  </si>
  <si>
    <t xml:space="preserve">Pasar Rumput Plumbon</t>
  </si>
  <si>
    <t xml:space="preserve">Desa Karangmulya, Kecamatan Plumbon, Kabupaten Cirebon</t>
  </si>
  <si>
    <t xml:space="preserve">Karangmulya</t>
  </si>
  <si>
    <t xml:space="preserve">Plumbon</t>
  </si>
  <si>
    <t xml:space="preserve">Tumpukan sampah setinggi dua meter di belakang pasar viral di media sosial (isu negatif)</t>
  </si>
  <si>
    <t xml:space="preserve">https://bandung.kompas.com/read/2026/07/31/141239378/sampah-menggunung-hingga-2-meter-di-pasar-warga-cirebon-keluhkan-bau?page=all</t>
  </si>
  <si>
    <t xml:space="preserve">Bagaimana Kabar Warga di Pinggiran Destinasi Wisata Kota Bandu... - BandungBergerak.id</t>
  </si>
  <si>
    <t xml:space="preserve">BandungBergerak.id</t>
  </si>
  <si>
    <t xml:space="preserve">Gunungsari Trade Centre</t>
  </si>
  <si>
    <t xml:space="preserve">Pasar Gunungsari, Kota Cirebon</t>
  </si>
  <si>
    <t xml:space="preserve">Video keributan pengamen dan pengunjung di pusat kuliner malam viral di media sosial (isu negatif)</t>
  </si>
  <si>
    <t xml:space="preserve">https://radarcirebon.disway.id/insiden-24-jam/read/227039/viral-pengamen-diduga-ajak-ribut-pengunjung-di-kawasan-kuliner-gtc-cirebon-warga-pertanyakan-keamanan</t>
  </si>
  <si>
    <t xml:space="preserve">Dari Kuliner hingga Hiburan, Travel Agent Bandung Mulai Lirik Kawasan Wisata Ini di Ibu Kota - Suara.com</t>
  </si>
  <si>
    <t xml:space="preserve">Pasar Jagasatru</t>
  </si>
  <si>
    <t xml:space="preserve">Aksi pencurian sayur berulang terekam CCTV viral dan jadi perbincangan warganet (isu negatif)</t>
  </si>
  <si>
    <t xml:space="preserve">6 Agustus 2026</t>
  </si>
  <si>
    <t xml:space="preserve">https://mediacirebon.id/pelaku-pencurian-di-pasar-jagasatru-yang-viral-di-instagram-akhirnya-ditangkap/</t>
  </si>
  <si>
    <t xml:space="preserve">10+ Rekomendasi Destinasi Wisata Bandung yang Low Budget - Pegadaian</t>
  </si>
  <si>
    <t xml:space="preserve">Keributan pengamen dan pengunjung kawasan kuliner malam viral dan jadi sorotan publik (isu negatif)</t>
  </si>
  <si>
    <t xml:space="preserve">https://fajarcirebon.com/oknum-pengamen-ribut-dengan-pengunjung-cafe-di-gtc/</t>
  </si>
  <si>
    <t xml:space="preserve">fajarcirebon.com</t>
  </si>
  <si>
    <t xml:space="preserve">Punclut Kian Jadi Favorit Wisata di Bandung - RRI.co.id</t>
  </si>
  <si>
    <t xml:space="preserve">Pasar Tumaritis</t>
  </si>
  <si>
    <t xml:space="preserve">Jalan Sekarkemuning, Kelurahan Karya Mulya, Kecamatan Kesambi, Kota Cirebon</t>
  </si>
  <si>
    <t xml:space="preserve">Karya Mulya</t>
  </si>
  <si>
    <t xml:space="preserve">Pasar artisan pertama di Cirebon dengan kuliner, literasi dan karya warga binaan</t>
  </si>
  <si>
    <t xml:space="preserve">14 Juni 2026</t>
  </si>
  <si>
    <t xml:space="preserve">https://radarcirebon.disway.id/kota-cirebon/read/222770/pasar-tumaritis-cirebon-pasar-artisan-pertama-yang-menghadirkan-harmoni-kuliner-literasi-karya-warga-rutan</t>
  </si>
  <si>
    <t xml:space="preserve">3 Oleh-oleh Bandung Paling Viral, Rasa Premium Bikin Antre Panjang - iNews.ID</t>
  </si>
  <si>
    <t xml:space="preserve">Keraton Kanoman</t>
  </si>
  <si>
    <t xml:space="preserve">Polemik rencana pasar darurat di depan keraton ditolak keluarga Kesultanan (isu negatif)</t>
  </si>
  <si>
    <t xml:space="preserve">7 Agustus 2026</t>
  </si>
  <si>
    <t xml:space="preserve">https://radarcirebon.disway.id/kota-cirebon/read/227334/keraton-kanoman-cirebon-tegas-menolak-pasar-darurat-di-halaman-depan-simak-alasannya</t>
  </si>
  <si>
    <t xml:space="preserve">Bikin Ngiler! 3 Bakery Viral Bandung Ini Selalu Full Pengunjung - iNews.ID</t>
  </si>
  <si>
    <t xml:space="preserve">Trikarsa Fest 2026</t>
  </si>
  <si>
    <t xml:space="preserve">Grage Mall Cirebon</t>
  </si>
  <si>
    <t xml:space="preserve">Grage Mall</t>
  </si>
  <si>
    <t xml:space="preserve">Festival kreatif dan bazar UKM gelaran BI Cirebon dengan 37 program</t>
  </si>
  <si>
    <t xml:space="preserve">14-17 Agustus 2026</t>
  </si>
  <si>
    <t xml:space="preserve">https://mediacirebon.id/yuk-saksikan-trikarsa-fest-2026-di-grage-mall-cirebon-catat-tanggalnya/</t>
  </si>
  <si>
    <t xml:space="preserve">Heboh Angin Helikopter Sapu Lapak Pedagang di Cisarua Bandung Barat - detikcom</t>
  </si>
  <si>
    <t xml:space="preserve">Festival Kepatihan 2</t>
  </si>
  <si>
    <t xml:space="preserve">Kecamatan Pekalipan, Kota Cirebon</t>
  </si>
  <si>
    <t xml:space="preserve">Pekalipan</t>
  </si>
  <si>
    <t xml:space="preserve">Festival bernuansa spiritual dengan kuliner tradisional Nasi Bogana di Hari Jadi Cirebon</t>
  </si>
  <si>
    <t xml:space="preserve">https://mediacirebon.id/kota-cirebon-sukses-gelar-hari-jadi-ke-599-dan-porsenitas-ke-xiii/</t>
  </si>
  <si>
    <t xml:space="preserve">Bawa Kuliner Hype Menteng dan Bandung, Kalcer Market Sapa Warga Malang di Matos - Malang Posco Media</t>
  </si>
  <si>
    <t xml:space="preserve">Festival Serabi</t>
  </si>
  <si>
    <t xml:space="preserve">Festival serabi pertama di Kota Cirebon diikuti 20 UMKM</t>
  </si>
  <si>
    <t xml:space="preserve">Festival ekonomi, budaya dan kreativitas dengan UMKM, kompetisi dan hiburan</t>
  </si>
  <si>
    <t xml:space="preserve">https://radarcirebon.disway.id/kota-cirebon/read/227832/trikarsa-fest-2026-digelar-di-cirebon-14-17-agustus-ini-rangkaian-acaranya</t>
  </si>
  <si>
    <t xml:space="preserve">5 Tempat Makan Siang Enak di Medan, Pencinta Ayam Pop Kunjungi Restoran Garuda - Tribun Travel</t>
  </si>
  <si>
    <t xml:space="preserve">Warung Sangu Alun-Alun</t>
  </si>
  <si>
    <t xml:space="preserve">Jalan Otto Iskandar Dinata, Kota Tasikmalaya</t>
  </si>
  <si>
    <t xml:space="preserve">Kota Tasikmalaya</t>
  </si>
  <si>
    <t xml:space="preserve">Rumah makan olahan ikan dan cumi goreng dadakan yang viral di media sosial, didatangi legenda Persib</t>
  </si>
  <si>
    <t xml:space="preserve">https://www.harapanrakyat.com/2026/07/penasaran-karena-viral-eks-pemain-persib-bandung-cicipi-kuliner-warung-sangu-alun-alun-di-tasikmalaya/</t>
  </si>
  <si>
    <t xml:space="preserve">ALL YOU CAN EAT WAROENG POJOK DI IBIS STYLES MEDAN PATTIMURA! Bingung mau makan siang di mana? Langsung aja merapat ke Ibis Styles Medan Pattimura dan nikmati menu terbaru Waroeng Pojok 442 Puja Sera. Tempat makan yang nyaman - instagram.com</t>
  </si>
  <si>
    <t xml:space="preserve">instagram.com</t>
  </si>
  <si>
    <t xml:space="preserve">Tonjong Canyon</t>
  </si>
  <si>
    <t xml:space="preserve">Desa Nagrog, Kecamatan Cipatujah, Kabupaten Tasikmalaya</t>
  </si>
  <si>
    <t xml:space="preserve">Nagrog</t>
  </si>
  <si>
    <t xml:space="preserve">Cipatujah</t>
  </si>
  <si>
    <t xml:space="preserve">Kabupaten Tasikmalaya</t>
  </si>
  <si>
    <t xml:space="preserve">Ngarai dengan sungai hijau toska dijuluki Green Canyon mini, viral di Instagram dan TikTok</t>
  </si>
  <si>
    <t xml:space="preserve">https://kronologi.id/tonjong-canyon-tasikmalaya-green-canyon-versi-mini-yang-lagi-viral-di-kalangan-anak-muda/</t>
  </si>
  <si>
    <t xml:space="preserve">10 Restoran Fine Dining di Medan untuk Momen Spesial - nibble.id</t>
  </si>
  <si>
    <t xml:space="preserve">Gua Safarwadi</t>
  </si>
  <si>
    <t xml:space="preserve">Panyalahan, Desa Pamijahan, Kecamatan Bantarkalong, Kabupaten Tasikmalaya</t>
  </si>
  <si>
    <t xml:space="preserve">Pamijahan</t>
  </si>
  <si>
    <t xml:space="preserve">Bantarkalong</t>
  </si>
  <si>
    <t xml:space="preserve">Wisata religi yang viral karena disebut punya jalan tembus ke Mekkah</t>
  </si>
  <si>
    <t xml:space="preserve">https://cahaya.kompas.com/aktual/26D19230827790/fakta-gua-safarwadi-tasikmalaya-wisata-religi-yang-disebut-punya-jalan-tembus-ke</t>
  </si>
  <si>
    <t xml:space="preserve">cahaya.kompas.com</t>
  </si>
  <si>
    <t xml:space="preserve">Setelah viralnya keluhan seorang pelanggan terkait dugaan pelayanan yang kurang menyenangkan di sebuah rumah makan, pihak Rumah Makan Sop Tunjang Pertama M1 akhirnya menyampaikan klarifikasi sekaligus permintaan maaf kepada publik. Sebe - facebook.com</t>
  </si>
  <si>
    <t xml:space="preserve">Citiis</t>
  </si>
  <si>
    <t xml:space="preserve">Padakembang, Tasikmalaya</t>
  </si>
  <si>
    <t xml:space="preserve">Padakembang</t>
  </si>
  <si>
    <t xml:space="preserve">Video preman mengaku penguasa kawasan wisata viral dan memicu kegeraman netizen (isu negatif)</t>
  </si>
  <si>
    <t xml:space="preserve">https://jabar.suara.com/read/2026/04/01/113446/saya-penguasa-citiis-pria-arogan-yang-viral-di-tasikmalaya-akhirnya-tertunduk-lesu-minta-maaf</t>
  </si>
  <si>
    <t xml:space="preserve">jabar.suara.com</t>
  </si>
  <si>
    <t xml:space="preserve">Kafe WFC di Medan jadi Tempat Terbaik yang Buka Sejak Pagi untuk Kerja dan Nugas - jogja.disway.id - Disway Jogja</t>
  </si>
  <si>
    <t xml:space="preserve">Jembatan Cirahong</t>
  </si>
  <si>
    <t xml:space="preserve">Perbatasan Kabupaten Ciamis dan Tasikmalaya</t>
  </si>
  <si>
    <t xml:space="preserve">Perbatasan Kab. Ciamis dan Kab. Tasikmalaya</t>
  </si>
  <si>
    <t xml:space="preserve">Jembatan heritage ditata Gubernur usai isu pungli, ramai pengunjung karena viral</t>
  </si>
  <si>
    <t xml:space="preserve">https://www.harapanrakyat.com/2026/04/kdm-tata-jembatan-cirahong-warga-tasikmalaya-potensi-jadi-destinasi-wisata-heritage-baru/</t>
  </si>
  <si>
    <t xml:space="preserve">12 Kafe di Sekitar Balai Kota dan Lapangan Merdeka Medan, Favorit! - IDN Times Sumut</t>
  </si>
  <si>
    <t xml:space="preserve">073</t>
  </si>
  <si>
    <t xml:space="preserve">Tugu Koperasi</t>
  </si>
  <si>
    <t xml:space="preserve">Jalan Moh. Hatta, Kecamatan Cipedes, Kota Tasikmalaya</t>
  </si>
  <si>
    <t xml:space="preserve">Monumen direvitalisasi menjadi museum sejarah koperasi</t>
  </si>
  <si>
    <t xml:space="preserve">https://priangan.tribunnews.com/kota-tasikmalaya/88235/viman-alfarizi-tinjau-tugu-koperasi-tasikmalaya-jelang-kedatangan-menteri-koperasi</t>
  </si>
  <si>
    <t xml:space="preserve">priangan.tribunnews.com</t>
  </si>
  <si>
    <t xml:space="preserve">5 Rekomendasi Kafe Jalan Ayahanda Medan, Nongkrong dari Siang ke Malam - IDN Times Sumut</t>
  </si>
  <si>
    <t xml:space="preserve">Hazet</t>
  </si>
  <si>
    <t xml:space="preserve">Kawasan Jl. HZ Mustofa</t>
  </si>
  <si>
    <t xml:space="preserve">Kawasan pedestrian ikon kota yang dipromosikan lewat lagu Kongkow ke Hazet yang ramai di TikTok</t>
  </si>
  <si>
    <t xml:space="preserve">http://kilangbara.com/2026/08/12/lagu-kongkow-ke-hazet-gebrak-tiktok-netizen-gokil-ikut-karaoke-icon-kota-tasik-unjuk-gigi/</t>
  </si>
  <si>
    <t xml:space="preserve">kilangbara.com</t>
  </si>
  <si>
    <t xml:space="preserve">Maru Bake House, Sensasi Nongkrong Bernuansa Gua Viral di Medan - suara usu</t>
  </si>
  <si>
    <t xml:space="preserve">suara usu</t>
  </si>
  <si>
    <t xml:space="preserve">SMOKIKI</t>
  </si>
  <si>
    <t xml:space="preserve">Jl. Gurindam, Tlk. Tering, Kecamatan Batam Kota, Kota Batam</t>
  </si>
  <si>
    <t xml:space="preserve">Restoran baru milik runner up MCI dengan BPK halal daging sapi</t>
  </si>
  <si>
    <t xml:space="preserve">https://metropolis.batampos.co.id/jelajah-kuliner-batam-5-tempat-makan-baru-dengan-menu-unik-dan-instagramable/</t>
  </si>
  <si>
    <t xml:space="preserve">Diduga Belum Serah Terima, Pedagang 4 Pasar Dihimbau Bayar Kontibusi Kepada Wali Kota - Viral24.co.id</t>
  </si>
  <si>
    <t xml:space="preserve">Ruang Tamu Slow Bar Roastery</t>
  </si>
  <si>
    <t xml:space="preserve">Jl. Orchid Park blok D no 136, Taman Baloi, Kecamatan Batam Kota, Kota Batam</t>
  </si>
  <si>
    <t xml:space="preserve">Kafe rumahan dengan kopi signature rempah, cocok WFC</t>
  </si>
  <si>
    <t xml:space="preserve">odd by Common Space</t>
  </si>
  <si>
    <t xml:space="preserve">Ruko Greenland Jl. Gurindam No.4 Blok T, Tlk. Tering, Kecamatan Batam Kota, Kota Batam</t>
  </si>
  <si>
    <t xml:space="preserve">Kafe baru konsep kekinian dengan cold brew tap</t>
  </si>
  <si>
    <t xml:space="preserve">Warung Nasi Pedas Athena Restaurant</t>
  </si>
  <si>
    <t xml:space="preserve">Pacific Palace Hotel, Batam</t>
  </si>
  <si>
    <t xml:space="preserve">Buffet kuliner Nusantara all you can eat dengan menu berganti setiap hari</t>
  </si>
  <si>
    <t xml:space="preserve">https://batam.inews.id/read/691325/pilihan-tempat-makan-siang-hits-di-batam-sajikan-kuliner-nusantara-kaya-rempah</t>
  </si>
  <si>
    <t xml:space="preserve">batam.inews.id</t>
  </si>
  <si>
    <t xml:space="preserve">Viral Jukir di Medan Babak Belur Dikeroyok Preman Pasar - detikcom</t>
  </si>
  <si>
    <t xml:space="preserve">jumlah_tempat</t>
  </si>
  <si>
    <t xml:space="preserve">jumlah_viral_eksplisit</t>
  </si>
  <si>
    <t xml:space="preserve">cuplikan isi</t>
  </si>
  <si>
    <t xml:space="preserve">skor judul vs isi</t>
  </si>
  <si>
    <t xml:space="preserve">skor URL vs isi</t>
  </si>
  <si>
    <t xml:space="preserve">https://jatimnet.com/media-sosial-mengubah-cara-kita-memilih-tempat-makan</t>
  </si>
  <si>
    <t xml:space="preserve">jatimnet.com</t>
  </si>
  <si>
    <t xml:space="preserve">Jumat, 25 September 2026 08:00 UTC Ilustrasi: Pilihan dari Layar. -Dx Gen-AI JATIMNET.COM - Media sosial mengubah cara memilih tempat makan dalam kehidupan sehari-hari. Restoran yang sebelumnya ditemu</t>
  </si>
  <si>
    <t xml:space="preserve">Di Jakarta dan Bogor, ada kedai soto mie yang sudah buka sejak puluhan tahun lalu dan terkenal lezat. Bahkan sampai sekarang masih terus diburu oleh pelanggannya. Soto mie menjadi salah satu hidangan </t>
  </si>
  <si>
    <t xml:space="preserve">RRI.CO.ID, Yogyakarta - Daerah Istimewa Yogyakarta (DIY).dikenal luas sebagai surganya kuliner murah di Indonesia, tempat menikmati hidangan otentik Jawa hingga sajian internasional tanpa menguras dom</t>
  </si>
  <si>
    <t xml:space="preserve">Harus siapkan mental buat antre, ini dia tempat makan viral di Bandung 2026 yang sampai kini selalu gak ada habisnya dibahas. Kota ini memang gak ada hentinya untuk memunculkan banyak spot kulineran e</t>
  </si>
  <si>
    <t xml:space="preserve">English edition available TikTok Food Fest 2026 Hari Terakhir di GBK, Ada 40 Lebih Tenant hingga Kuliner Viral Jakarta , Aktualita.co — TikTok Food Fest 2026 memasuki hari terakhir penyelenggaraan pad</t>
  </si>
  <si>
    <t xml:space="preserve">Sebagai seorang travel writer yang hobi keliling berburu kuliner, Bekasi sering kali mengejutkan saya! Kota yang sering dituduh "berada di luar planet" ini ternyata menyimpan surga kuliner yang sangat</t>
  </si>
  <si>
    <t xml:space="preserve">Ayam Goreng Kalibogor-- diswayjogja.id - Dunia kuliner tradisional di Kota Purwokerto terus menunjukkan pesona yang sangat kuat dan memukau, ditandai dengan tetap eksisnya berbagai warung serta rumah </t>
  </si>
  <si>
    <t xml:space="preserve">Kuliner malam di Sidoarjo menjadi daya tarik tersendiri bagi masyarakat Jawa Timur. Berbagai warung makan, kaki lima, hingga restoran tetap ramai dikunjungi saat malam hari. Perpaduan antara sajian ya</t>
  </si>
  <si>
    <t xml:space="preserve">Mencari tempat makan di Jakarta Timur yang murah dan enak bukan hal sulit. Kawasan ini punya banyak pilihan, mulai dari warung sederhana hingga restoran keluarga dengan harga yang masih ramah di kanto</t>
  </si>
  <si>
    <t xml:space="preserve">Malang tidak hanya terkenal dengan deretan tempat wisata dan lingkungan udaranya yang sejuk. Kota ini juga punya surga kuliner yang akan memanjakan perut kamu, mulai dari bakso legendaris, rawon denga</t>
  </si>
  <si>
    <t xml:space="preserve">Berburu tempat makan di Tangerang sebenarnya nggak terlalu sulit karena pilihannya melimpah. Mulai dari area Pasar Lama yang padat kuliner legendaris sampai sudut-sudut BSD, selalu ada pilihan tempat </t>
  </si>
  <si>
    <t xml:space="preserve">RRI.CO.ID, Madiun - Siapa sih yang tidak kenal Harmadha Joglo? Salah satu restoran sekaligus tempat nongkrong yang cukup terkenal di Magetan ini selalu menjadi pilihan bagi masyarakat yang ingin menik</t>
  </si>
  <si>
    <t xml:space="preserve">Selain terkenal dengan keindahan alamnya, Garut juga penuh dengan ragam kuliner khas. Jika mencari tempat makan berat Sunda hingga nusantara lainnya di kota Garut, bisa mampir ke 7 tempat ini! Garut y</t>
  </si>
  <si>
    <t xml:space="preserve">Halo para pencinta kuliner! Sedang mencari referensi tempat makan di Depok yang pas buat kumpul bareng teman kantor, reuni, atau sekadar quality time bareng keluarga?Depok sekarang bukan cuma soal Mar</t>
  </si>
  <si>
    <t xml:space="preserve">Photo source: @padre.bogor Bogor dikenal dengan hidangan soto mienya yang khas. Ada pula asinan Bogor yang segar dan sering jadi pilihan oleh-oleh para wisatawan. Selain kuliner legendaris yang telah </t>
  </si>
  <si>
    <t xml:space="preserve">Sate Madura Cak Mat dan Ayam Bakar Madu-- diswayjogja.id - Sektor transportasi publik dan pariwisata perkotaan di wilayah Jakarta terus menunjukkan perkembangan infrastruktur yang sangat membanggakan </t>
  </si>
  <si>
    <t xml:space="preserve">Kalau sudah urusan makan bareng keluarga, yang dicari biasanya bukan cuma makanan enak. Tempatnya juga harus nyaman, luas, ramah anak, punya parkiran yang memadai, dan kalau bisa bikin semua anggota k</t>
  </si>
  <si>
    <t xml:space="preserve">Bandung dan kuliner adalah perpaduan yang tidak pernah gagal. Udara sejuknya yang bikin rindu ditambah kreativitas warganya yang tanpa batas, selalu sukses melahirkan tempat-tempat nongkrong yang unik</t>
  </si>
  <si>
    <t xml:space="preserve">Kebumen itu seringnya cuma jadi persinggahan. Orang mampir sebentar, makan, lalu lanjut jalan. Padahal kalau kamu mau sedikit lebih pelan, pilihan kulinernya tuh nggak sesederhana itu. Dari yang cocok</t>
  </si>
  <si>
    <t xml:space="preserve">Kuliner di Ciledug banyak yang menarik dan belakangan viral. Di antaranya ada ayam goreng bawang putih, nasi liwet bakar, dan lainnya. Berikut rekomendasinya! Kawasan Ciledug, Tangerang, juga banyak m</t>
  </si>
  <si>
    <t xml:space="preserve">https://rri.co.id/tanjungpinang/kesehatan/2756719/kuliner-viral-bermunculan-apa-yang-perlu-diperhatikan-sebelum-ikut-mencoba</t>
  </si>
  <si>
    <t xml:space="preserve">Kuliner Viral Bermunculan, Apa yang Perlu Diperhatikan sebelum Ikut Mencoba? - RRI.co.id</t>
  </si>
  <si>
    <t xml:space="preserve">RRI.CO.ID, Tanjungpinang - Kuliner yang sedang tren semakin gampang dijumpai di media sosial. Bermula dari hidangan dengan penampilan menarik, ukuran besar, rasa luar biasa hingga camilan yang banyak </t>
  </si>
  <si>
    <t xml:space="preserve">‎Medan ( harianSIB.com ) ‎Bazar kuliner gang viral di Jakarta kini ada di Medan, tepatnya di Outdoor Lobby Utama - Ground Floor (GF), Cambridge City Square, Jl. S. Parman Medan, Minggu (27/9/2026). ‎M</t>
  </si>
  <si>
    <t xml:space="preserve">Ditulis oleh Administrator Pemerintah Kelurahan Lembang, Kabupaten Bantaeng, Provinsi Sulawesi Selatan kembali menunjukkan komitmen nyatanya dalam mendorong pertumbuhan ekonomi lokal melalui promosi U</t>
  </si>
  <si>
    <t xml:space="preserve">Bagaimana Cara Mencari Mie Gacoan Terdekat dan Kuliner Viral Lain di GrabFood? KOMPAS.com – Makanan yang sedang viral sering kali membuat orang penasaran untuk ikut mencobanya, apalagi jika harganya r</t>
  </si>
  <si>
    <t xml:space="preserve">Blok M lagi-lagi jadi spot nongkrong paling nge- trend di Jakarta Selatan, dan berburu kuliner di Blok M Hub Jakarta rasanya sudah jadi agenda wajib buat siapa pun yang main ke area ini. Begitu melang</t>
  </si>
  <si>
    <t xml:space="preserve">TikTok Food Fest 2026 digelar di Hutan Kota GBK dengan lebih dari 40 tenant kuliner. Di festival ini kamu bisa cicip aneka makanan viral dan enak, dari mochi gelato hingga nasi lidah. TikTok Food Fest</t>
  </si>
  <si>
    <t xml:space="preserve">Bandung (ANTARA) - Kota Bandung memiliki beragam pilihan kuliner yang tersebar di berbagai sudut kota. Salah satu kawasan yang dapat menjadi pilihan untuk berburu makanan adalah Jalan Taman Cibeunying</t>
  </si>
  <si>
    <t xml:space="preserve">Kota Tangerang kembali memiliki pilihan destinasi kuliner baru bagi masyarakat. Rumah Makan (RM) Sari Moerni hadir di kawasan Jalan Kisamaun, tidak jauh dari kawasan Pasar Lama, hadir mengusung konsep</t>
  </si>
  <si>
    <t xml:space="preserve">https://rm.id/baca-berita/education/326683/jebakan-fomo-kuliner-viral-saat-validasi-media-sosial-ancam-kesehatan-gen-z</t>
  </si>
  <si>
    <t xml:space="preserve">Jebakan FOMO Kuliner Viral: Saat Validasi Media Sosial Ancam Kesehatan Gen Z - RM.ID</t>
  </si>
  <si>
    <t xml:space="preserve">RM.ID</t>
  </si>
  <si>
    <t xml:space="preserve">Pemandangan antrean yang  panjang di depan kedai minuman kekinian kini jadi potret keseharian di berbagai pusat perbelanjaan dan sudut kuliner Kota Medan. Menariknya, mereka yang rela berdiri berjam-j</t>
  </si>
  <si>
    <t xml:space="preserve">Warga mengunjungi Festival Kuliner Nusantarasa by Roadshow Kuliner Viral Indonesia di Mal Ratu Indah, Makassar, Sulawesi Selatan, Rabu (26/8/2026). Festival kuliner yang berlangsung hingga Minggu (6/9</t>
  </si>
  <si>
    <t xml:space="preserve">https://rri.co.id/banjarmasin/regional/2759213/fenomena-fomo-kuliner-viral-picu-belanja-impulsif-generasi-muda</t>
  </si>
  <si>
    <t xml:space="preserve">Fenomena “Fomo” Kuliner Viral Picu Belanja Impulsif Generasi Muda - RRI.co.id</t>
  </si>
  <si>
    <t xml:space="preserve">RRI.CO.ID, Banjarmasin - Fenomena fear of missing out atau FOMO terhadap kuliner viral semakin mendorong perilaku konsumtif generasi muda di Kalimantan Selatan. Kebiasaan berburu makanan kekinian demi</t>
  </si>
  <si>
    <t xml:space="preserve">&lt;strong&gt;DEPOK&lt;/strong&gt; tidak hanya dikenal sebagai kota penyangga Jakarta, tetapi juga memiliki beragam destinasi kuliner yang terus berkembang. Dalam beberapa tahun terakhir, banyak tempat makan di D</t>
  </si>
  <si>
    <t xml:space="preserve">IDXChannel — Wisata kuliner kini tak lagi identik dengan restoran mewah atau hidangan terkenal. Makanan lokal yang sederhana, tempat makan yang tersembunyi, hingga jajanan yang mendadak viral di media</t>
  </si>
  <si>
    <t xml:space="preserve">Bandung (ANTARA) - Kota Bandung seolah-olah tidak pernah kehabisan cerita soal kuliner, di tengah beragam pilihan makanan yang terus bermunculan, Pasar Cihapit kini menjadi satu diantara bagian destin</t>
  </si>
  <si>
    <t xml:space="preserve">Halo, Foodies TripZilla Indonesia! Kembali lagi bareng blog petualangan kuliner kesayangan kalian! Kali ini, saya hadir dengan daftar lengkap 20 rekomendasi kuliner Jalan Sabang (Jalan H. Agus Salim),</t>
  </si>
  <si>
    <t xml:space="preserve">Sarapan menjadi salah satu waktu makan yang penting untuk memenuhi kebutuhan energi sebelum memulai aktivitas. Tak perlu bingung mencari menu pagi, Kota Tangerang memiliki beragam pilihan kuliner, mul</t>
  </si>
  <si>
    <t xml:space="preserve">https://rri.co.id/makassar/ekonomi/umkm/2739221/kuliner-viral-di-media-sosial-peluang-baru-bagi-umkm</t>
  </si>
  <si>
    <t xml:space="preserve">Kuliner Viral di Media Sosial, Peluang Baru bagi UMKM - RRI.co.id</t>
  </si>
  <si>
    <t xml:space="preserve">RRI.CO.ID, Makassar - Kuliner viral kini menjadi salah satu jenis konten yang paling mudah menarik perhatian di media sosial. Foto makanan yang menggugah selera, video proses memasak, hingga ulasan da</t>
  </si>
  <si>
    <t xml:space="preserve">RRI.CO.ID, Ambon - Tren gaya hidup sehat dan inovasi kuliner khas daerah kini semakin memikat hati masyarakat Kota Ambon. Hal ini terungkap dalam program siaran UMKM Bicara bertema "Peluang Ada di Sek</t>
  </si>
  <si>
    <t xml:space="preserve">INFORMASI.COM, Jakarta — Parkir motor gede di kawasan Gunawarman, Kebayoran Baru, Jakarta Selatan, mendadak menjadi perbincangan setelah beredar video seorang pengendara yang harus membayar Rp150 ribu</t>
  </si>
  <si>
    <t xml:space="preserve">Di Seminyak Bali, ada sebuah cafe yang hits banget. Namanya Motel Mexicola. Hotel Mexicola ini terkenal dengan tempatnya yang instagramable banget. Dok : Celebrity On VacationTrans TV (Diki)</t>
  </si>
  <si>
    <t xml:space="preserve">Bandar Lampung, IDN Times - Catatan kasir Faste Coffee viral membuat customer marah dan tidak terima. Pasalnya, dalam catatan pesanan tertulis permintaan dua porsi seblak dengan keterangan yang dinila</t>
  </si>
  <si>
    <t xml:space="preserve">1. Moment Cafe Kafe ini berada di Zamzam Tower dan dikenal memiliki pemandangan langsung ke Masjidil Haram. Banyak pengunjung menyebut suasananya menenangkan. Menu yang ditawarkan cukup beragam, mulai</t>
  </si>
  <si>
    <t xml:space="preserve">https://www.cnbcindonesia.com/news/20260710114636-4-749767/viral-penggeledahan-kafe-cipete-rumah-sentul-ini-penjelasan-jampidsus</t>
  </si>
  <si>
    <t xml:space="preserve">Viral Penggeledahan Kafe Cipete-Rumah Sentul, Ini Penjelasan Jampidsus - CNBC Indonesia</t>
  </si>
  <si>
    <t xml:space="preserve">Jakarta, CNBC Indonesia - Jaksa Agung Muda Tindak Pidana Khusus Kejaksaan Agung Febrie Adriansyah merespons penggeledahan yang dilakukan tim gabungan kepolisian di beberapa lokasi sepanjang Rabu (8/7/</t>
  </si>
  <si>
    <t xml:space="preserve">DELISERDANG ( Waspada.id ): Aktivitas peredaran narkotika di tempat hiburan malam (THM) kembali menjadi perhatian aparat. Tim 11 Unit III Satresnarkoba Polrestabes Medan, mengungkap dugaan peredaran n</t>
  </si>
  <si>
    <t xml:space="preserve">Ilustrasi nongkrong di cafe hits (Foto: Freepik) Berita Terkini, Eksklusif di WhatsApp Inilah.com Kawasan Pantai Indah Kapuk atau PIK memang tidak pernah kehabisan tempat menarik untuk dikunjungi, ter</t>
  </si>
  <si>
    <t xml:space="preserve">https://20.detik.com/spot-wisata/20260809-260809048/menikmati-suasana-cafe-viral-nuansa-yunani-jakarta</t>
  </si>
  <si>
    <t xml:space="preserve">Menikmati Suasana Cafe Viral Nuansa Yunani, Jakarta - 20detik</t>
  </si>
  <si>
    <t xml:space="preserve">Dari taman Kota, selebriti mau lanjut berwisata kuliner. Mereka akan menuju sebuah cafe di daerah Pantai Indah Kapuk. Cafe ini memiliki gaya bangunan seperti di Santorini Yunani. Dok : Celebrity On Va</t>
  </si>
  <si>
    <t xml:space="preserve">https://www.bloombergtechnoz.com/detail-news/107928/10-cafe-viral-di-mekkah-madinah-sekitarnya</t>
  </si>
  <si>
    <t xml:space="preserve">10 Cafe Viral di Mekkah, Madinah &amp; Sekitarnya - Bloomberg Technoz</t>
  </si>
  <si>
    <t xml:space="preserve">Bloomberg Technoz, Jakarta - Menjalankan ibadah haji atau umrah di Mekkah dan Madinah tidak hanya menjadi momen spiritual, tetapi juga bisa menjadi pengalaman perjalanan yang berkesan. Selain fokus be</t>
  </si>
  <si>
    <t xml:space="preserve">batampos – Kota Batam kembali menghadirkan banyak pilihan tempat nongkrong baru yang sedang viral di kalangan anak muda hingga pecinta kuliner. Sepanjang 2026, berbagai cafe baru bermunculan dengan ko</t>
  </si>
  <si>
    <t xml:space="preserve">https://20.detik.com/spot-wisata/20260809-260809049/menyantap-kuliner-lezat-di-cafe-viral-jakarta</t>
  </si>
  <si>
    <t xml:space="preserve">Menyantap Kuliner Lezat di Cafe Viral, Jakarta - 20detik</t>
  </si>
  <si>
    <t xml:space="preserve">Di cafe ini terdapat spot-spot foto yang instagramable. Jadi sambil makan, kita juga bisa berfoto-foto di cafe ini. Selain tempatnya yang asik, menu dan rasa dari makanan yang ditawarkan cafe inipun c</t>
  </si>
  <si>
    <t xml:space="preserve">https://20.detik.com/spot-wisata/20260716-260716196/bergaya-di-cafe-viral-yang-instagramable-di-bogor</t>
  </si>
  <si>
    <t xml:space="preserve">Bergaya di Cafe Viral yang Instagramable di Bogor - 20detik</t>
  </si>
  <si>
    <t xml:space="preserve">Selanjutnya selebriti akan kulineran di tempat makan yang lagi hits di Bogor. Tempat ini memiliki konsep unik dan sangat instagramable. Tempat duduk yang disediakan ada yang berupa ayunan dan berkonse</t>
  </si>
  <si>
    <t xml:space="preserve">Di pangandaran terdapat sebuah cafe yang hits. Cafe ini menghadap langsung ke lautan lepas. Nama cafe ini adalah Madyâs Gelato, Cafe and Grill. Dok : Celebrity On VacationTrans TV (Diki)</t>
  </si>
  <si>
    <t xml:space="preserve">https://20.detik.com/spot-wisata/20260719-260719106/berkuliner-di-cafe-viral-yang-hits-di-cianjur</t>
  </si>
  <si>
    <t xml:space="preserve">Berkuliner di Cafe Viral yang Hits di Cianjur - 20detik</t>
  </si>
  <si>
    <t xml:space="preserve">2026-08-17</t>
  </si>
  <si>
    <t xml:space="preserve">Ada banyak menu istimewa yang dipesan oleh selebriti. Rasa makanannya sangat enak-enak.Selain makanannya yang istimewa, minumannya pun cukup spesial. Dok : Celebrity On VacationTrans TV (Diki)</t>
  </si>
  <si>
    <t xml:space="preserve">https://news.detik.com/berita/d-8444727/ditjenpas-sultra-tindak-tegas-napi-yang-viral-berkeliaran-ke-coffee-shop</t>
  </si>
  <si>
    <t xml:space="preserve">Ditjenpas Sultra Tindak Tegas Napi yang Viral Berkeliaran ke Coffee Shop - detikNews</t>
  </si>
  <si>
    <t xml:space="preserve">Kantor Wilayah (Kanwil) Direktorat Jendral Pemasyarakatan (Ditjenpas) Sulawesi Tenggara (Sultra) menindak tegas narapidana kasus Tindak Pidana Korupsi (Tipikor) Supriadi yang viral berkeliaran ke keda</t>
  </si>
  <si>
    <t xml:space="preserve">Kafe de'Clan di Jalan Tole Iskandar, Kota Depok , Jawa Barat, tutup. Tutupnya kafe tersebut pun viral di media sosial (medsos). Pantauan detikcom di lokasi, Senin (13/7/2026), kafe yang berada persis </t>
  </si>
  <si>
    <t xml:space="preserve">Tak ada buku menu di restoran Spanyol ini. Pelayan justru keliling sambil meneriakkan hidangan dan pengunjung harus 'gercep' sebelum makanan diambil meja lain. Makan di restoran biasanya dimulai denga</t>
  </si>
  <si>
    <t xml:space="preserve">Untuk Masuk dan Daftar akan kami arahkan ke laman Subscribe Investor Daily J AKARTA, investor.id — Restoran dengan menu f ried mozzarella yang viral, Chili’s, kini memperluas kehadirannya dengan membu</t>
  </si>
  <si>
    <t xml:space="preserve">AKURAT.CO , Pencuri beraksi di restoran ayam cepat saji Almaz Fried Chicken di Jalan dr Wahidin Sudirohusodo, Kota Pasuruan. Pelaku mencuri besi penutup bak kontrol saluran air yang ada di lokasi. Aks</t>
  </si>
  <si>
    <t xml:space="preserve">https://jogja.disway.id/gaya-hidup/read/701701/deretan-restoran-baru-di-bali-paling-hits-tempat-makan-estetik-dan-kuliner-kekinian-viral</t>
  </si>
  <si>
    <t xml:space="preserve">Deretan Restoran Baru di Bali Paling Hits, Tempat Makan Estetik dan Kuliner Kekinian Viral - jogja.disway.id - Disway Jogja</t>
  </si>
  <si>
    <t xml:space="preserve">diswayjogja.id - Sektor pariwisata kuliner dan gaya hidup urban di berbagai wilayah Pulau Bali terus menunjukkan perkembangan yang sangat luar biasa dari waktu ke waktu. Destinasi pariwisata dunia yan</t>
  </si>
  <si>
    <t xml:space="preserve">Mitrapost.com – Viral dugaan pungutan liar (pungli) di Alun-alun Kidul (Alkid) Jogjakarta membuat pemilik restoran menjerit. Salah satu pemilik restoran yang membuka food truck di Alkid menyampaikan k</t>
  </si>
  <si>
    <t xml:space="preserve">https://food.detik.com/info-kuliner/d-8675225/viral-ayah-12-tahun-jualan-tisu-depan-resto-demi-menanti-anaknya-pulang</t>
  </si>
  <si>
    <t xml:space="preserve">Viral! Ayah 12 Tahun Jualan Tisu Depan Resto Demi Menanti Anaknya Pulang - detikFood</t>
  </si>
  <si>
    <t xml:space="preserve">Kisah haru seorang ayah yang setia berjualan tisu selama 12 tahun di depan restoran menarik perhatian. Ia melakukannya demi menanti kepulangan sang anak setelah lama terpisah. Kasih sayang seorang aya</t>
  </si>
  <si>
    <t xml:space="preserve">https://food.detik.com/info-kuliner/d-8663142/jago-gaet-pelanggan-bocah-5-tahun-ini-viral-saat-kerja-di-restoran</t>
  </si>
  <si>
    <t xml:space="preserve">Jago Gaet Pelanggan! Bocah 5 Tahun Ini Viral saat Kerja di Restoran - detikFood</t>
  </si>
  <si>
    <t xml:space="preserve">Bocah 5 tahun ini viral karena jago mengajak orang untuk makan di restorannya. Ia bahkan sigap menyiapkan sumpit, tempat duduk, hingga minuman untuk tamunya. Seorang bocah berusia lima tahun di China,</t>
  </si>
  <si>
    <t xml:space="preserve">https://surabaya.kompas.com/read/2026/08/21/230542378/viral-dugaan-pelecehan-di-restoran-korea-surabaya-kuasa-hukum-ungkap-ada?page=all</t>
  </si>
  <si>
    <t xml:space="preserve">Viral Dugaan Pelecehan di Restoran Korea Surabaya, Kuasa Hukum Ungkap Ada Korban Lain - Kompas.com</t>
  </si>
  <si>
    <t xml:space="preserve">Viral Dugaan Pelecehan di Restoran Korea Surabaya, Kuasa Hukum Ungkap Ada Korban Lain Peringatan: Artikel ini memuat informasi mengenai pelecehan atau kekerasan seksual yang dapat memicu ketidaknyaman</t>
  </si>
  <si>
    <t xml:space="preserve">Kasus dugaan pungutan liar (pungli) terhadap pemilik restoran Bolosego saat membuka food truck di Alun-alun Kidul (Alkid) Jogja memasuki babak baru. Polisi memeriksa pemilik restoran tersebut terkait </t>
  </si>
  <si>
    <t xml:space="preserve">Juru parkir (jukir) di Alun-alun Kidul (Alkid) Jogja menyebut sudah ada kesepakatan soal uang parkir dengan pihak restoran yang viral sambat kena pungutan liar (pungli) saat membuka food truck di kawa</t>
  </si>
  <si>
    <t xml:space="preserve">Sebuah video berisi sambatan pemilik restoran yang membuka food truck di Alun-alun Kidul (Alkid) Jogja viral di media sosial. Pemilik food truck itu mengungkap kena pungli parkir hingga Rp 1 juta per </t>
  </si>
  <si>
    <t xml:space="preserve">Wakil Wali Kota (Wawali) Jogja Wawan Harmawan menyerahkan ke kepolisian soal pengusutan dugaan pungutan liar (pungli) terhadap pemilik restoran saat membuka food truck di Alun-alun Kidul (Alkid) Jogja</t>
  </si>
  <si>
    <t xml:space="preserve">Seorang pengunjung terekam CCTV diduga merusak sofa restoran bebek dengan benda tajam. Aksinya ini viral hingga berujung dilaporkan ke polisi. Sebuah restoran di kawasan Green Lake City, Cengkareng, J</t>
  </si>
  <si>
    <t xml:space="preserve">https://20.detik.com/spot-wisata/20260722-260722052/mengunjungi-restoran-viral-dengan-konsep-timur-tengah-yang-menggugah-selera-di-jakarta</t>
  </si>
  <si>
    <t xml:space="preserve">Mengunjungi Restoran Viral dengan Konsep Timur Tengah yang Menggugah Selera di Jakarta - 20detik</t>
  </si>
  <si>
    <t xml:space="preserve">Restoran yang dikunjungi selebriti memiliki konsep Timur Tengah. Mereka telah tiba di restoran. Suasana di restoran ini sangat asyik. Dok : Celebrity On VacationTrans TV (Diki)</t>
  </si>
  <si>
    <t xml:space="preserve">Restoran steak di Florida, Amerika Serikat, menarik perhatian setelah menghadirkan konsep makan malam tanpa busana sebagai strategi promosi. Konsep yang tidak biasa ini langsung viral di media sosial </t>
  </si>
  <si>
    <t xml:space="preserve">https://food.detik.com/info-kuliner/d-8629954/viral-pelayan-restoran-padang-ahli-tebak-lauk-dari-sisa-piring-dan-kuah</t>
  </si>
  <si>
    <t xml:space="preserve">Viral! Pelayan Restoran Padang Ahli Tebak Lauk dari Sisa Piring dan Kuah - detikFood</t>
  </si>
  <si>
    <t xml:space="preserve">Seorang pelayan di restoran Padang mampu mengenali makanan hanya dari bekasnya. Ia bisa menebak berbagai lauk dengan tepat setelah belajar selama 2 minggu. Ada berbagai cara unik untuk mengenali makan</t>
  </si>
  <si>
    <t xml:space="preserve">Sebuah restoran hotpot viral setelah pemiliknya berkali-kali meminta orang tidak datang ke tempat makannya. Ternyata ini alasannya! Alih-alih meredam perhatian, sikap pemilik resto tersebut justru mem</t>
  </si>
  <si>
    <t xml:space="preserve">https://food.detik.com/foto-kuliner/d-8628943/burgernya-viral-aldi-taher-kini-punya-bisnis-kopi-dan-restoran-padang</t>
  </si>
  <si>
    <t xml:space="preserve">Burgernya Viral, Aldi Taher Kini Punya Bisnis Kopi dan Restoran Padang - detikFood</t>
  </si>
  <si>
    <t xml:space="preserve">Jakarta - Tak hanya di dunia entertaiment, Aldi Taher juga serius menekuni bisnis kuliner. Ia punya usaha burger hingga ayam goreng basah. Anda menyukai artikel ini</t>
  </si>
  <si>
    <t xml:space="preserve">https://food.detik.com/info-kuliner/d-8571881/kritikus-makanan-bilang-ogah-masuk-restoran-dengan-5-ciri-ini</t>
  </si>
  <si>
    <t xml:space="preserve">Kritikus Makanan Bilang Ogah Masuk Restoran dengan 5 Ciri Ini - detikFood</t>
  </si>
  <si>
    <t xml:space="preserve">Kritikus makanan ini membagikan ciri-ciri restoran yang tidak akan pernah ia kunjungi. Kenapa ya alasannya? Kritikus makanan atau food critic mengunjungi restoran untuk mencicipi berbagai hidangan dan</t>
  </si>
  <si>
    <t xml:space="preserve">https://gotvnews.co.id/viral-kasatpol-pp-samarinda-cekcok-dengan-anggota-tni-saat-penertiban-warung-miras/</t>
  </si>
  <si>
    <t xml:space="preserve">Viral, Kasatpol PP Samarinda Cekcok Dengan Anggota TNI Saat Penertiban Warung Miras - gotvnews.co.id</t>
  </si>
  <si>
    <t xml:space="preserve">GOTVNEWS, Kaltim – Penertiban sejumlah warung yang diduga menjadi lokasi penjualan minuman keras di Jalan Teuku Umar, Samarinda, Kalimantan Timur, Selasa (22/9/2026) malam, sempat diwarnai cekcok anta</t>
  </si>
  <si>
    <t xml:space="preserve">https://www.mcwnews.com</t>
  </si>
  <si>
    <t xml:space="preserve">www.mcwnews.com</t>
  </si>
  <si>
    <t xml:space="preserve">Duo WN Iran Viral Hipnotis Pedagang Warung Ditangkap di Kuta - mcwnews.com</t>
  </si>
  <si>
    <t xml:space="preserve">mcwnews.com</t>
  </si>
  <si>
    <t xml:space="preserve">Kejari Mimika Tetapkan Tersangka Korupsi Pembangunan Gerai Maritim Kejagung Tetapkan 5 Tersangka Korupsi Tata Kelola Nikel, Kerugian Negara Rp401,65 Miliar DPO Korupsi Kejati Kalsel Ditangkap di Berau</t>
  </si>
  <si>
    <t xml:space="preserve">https://radarbadung.jawapos.com/bali/2609160004/ngaku-pecalang-pungut-rp120-ribu-di-warung-warga-gianyar-viral-di-tiktok</t>
  </si>
  <si>
    <t xml:space="preserve">Ngaku Pecalang Pungut Rp120 Ribu di Warung, Warga Gianyar Viral di TikTok - Radar Badung</t>
  </si>
  <si>
    <t xml:space="preserve">Radar Badung</t>
  </si>
  <si>
    <t xml:space="preserve">Aksi pria mengaku sebagai Pecalang dan meminta uang keamanan serta iuran banjar di sebuah warung makan di Jalan Gunung Soputan, Denpasar, viral di media sosial TikTok.</t>
  </si>
  <si>
    <t xml:space="preserve">https://news.detik.com/berita/d-8643188/viral-pemotor-dikejar-begal-sampai-nabrak-warung-di-tebet-polisi-selidiki</t>
  </si>
  <si>
    <t xml:space="preserve">Viral Pemotor Dikejar Begal Sampai Nabrak Warung di Tebet, Polisi Selidiki - detikNews</t>
  </si>
  <si>
    <t xml:space="preserve">Rekaman CCTV yang menunjukkan dugaan pembegalan terhadap dua orang pemuda di Tebet, Jakarta Selatan (Jaksel), viral di media sosial. Polisi menduga korban dan pelaku diduga saling kenal. Dalam video y</t>
  </si>
  <si>
    <t xml:space="preserve">https://depok.tribunnews.com/news/52323/viral-penyerangan-pelajar-di-duren-sawit-korban-ditebas-sajam-warung-jadi-sasaran-amuk-pelaku</t>
  </si>
  <si>
    <t xml:space="preserve">Viral Penyerangan Pelajar di Duren Sawit: Korban Ditebas Sajam, Warung Jadi Sasaran Amuk Pelaku - Tribunnewsdepok.com</t>
  </si>
  <si>
    <t xml:space="preserve">Tribunnewsdepok.com</t>
  </si>
  <si>
    <t xml:space="preserve">Belum punya akun? Daftar Akun Download TribunX untuk Android &amp; iOS TRIBUNNEWSDEPOK.COM, JAKARTA TIMUR – Jagat media sosial dihebohkan oleh rekaman video aksi penyerangan brutal sekelompok pelajar berm</t>
  </si>
  <si>
    <t xml:space="preserve">https://www.suryaindonesia.net/2026/09/10/viral-di-media-sosial-terkait-dugaan-aksi-penipuan-yang-melibatkan-seorang-warga-negara-asing-wna-di-sebuah-warung-wilayah-darmasaba/</t>
  </si>
  <si>
    <t xml:space="preserve">www.suryaindonesia.net</t>
  </si>
  <si>
    <t xml:space="preserve">Viral di Media Sosial terkait dugaan aksi penipuan yang melibatkan seorang warga negara asing (WNA) di sebuah warung wilayah Darmasaba - suryaindonesia.net</t>
  </si>
  <si>
    <t xml:space="preserve">suryaindonesia.net</t>
  </si>
  <si>
    <t xml:space="preserve">Redaksi Surya Indonesia Kamis, 10 September 2026 -  16:18    					 WIB Mangupura, Surya Indonesia.net – Menindaklanjuti informasi yang Viral di Media Sosial terkait dugaan aksi penipuan yang melibatka</t>
  </si>
  <si>
    <t xml:space="preserve">CARAPANDANG – Sebuah warung makan yang berdiri di tengah kompleks pemakaman di Karawang, Jawa Barat, menjadi perhatian publik. Lokasinya yang tidak lazim membuat banyak orang penasaran hingga rela dat</t>
  </si>
  <si>
    <t xml:space="preserve">Viral Warung Lontong di Pati Ditarik Retribusi Rp 840.000, DPUTR: Bukan Tarif Setahun PATI, KOMPAS.com – Video seorang pemilik warung lontong sayur di Desa Kebolampang, Kecamatan Winong, Kabupaten Pat</t>
  </si>
  <si>
    <t xml:space="preserve">BATU – Di tengah menjamurnya tempat kuliner dengan konsep kekinian, sebuah warung sederhana di Kota Batu justru mencuri perhatian lewat cara berbeda. Tidak mengandalkan promosi besar di media sosial, </t>
  </si>
  <si>
    <t xml:space="preserve">https://gotvnews.co.id/viral-dua-pria-terlibat-perkelahian-di-warung-kopi-tanjungpinang-diduga-berawal-saling-senggol/</t>
  </si>
  <si>
    <t xml:space="preserve">Viral! Dua Pria Terlibat Perkelahian di Warung Kopi Tanjungpinang, Diduga Berawal Saling Senggol - gotvnews.co.id</t>
  </si>
  <si>
    <t xml:space="preserve">GOTVNEWS, Tanjungpinang – Video dua pria terlibat perkelahian di sebuah warung kopi di kawasan Bakar Batu, Kota Tanjungpinang, viral di media sosial, Senin (21/9/2026). Dalam video yang beredar, seora</t>
  </si>
  <si>
    <t xml:space="preserve">Bebi Romeo diketahui hobi membagikan momen saat menikmati mie ayam favoritnya di kawasan Fatmawati, Jakarta Selatan. Berikut nama warung makan dan racikan favoritnya! Mie ayam memang digemari banyak o</t>
  </si>
  <si>
    <t xml:space="preserve">https://news.detik.com/berita/d-8577814/bang-jago-bersajam-viral-bikin-onar-di-warung-jamu-bogor-ditangkap</t>
  </si>
  <si>
    <t xml:space="preserve">Bang Jago Bersajam Viral Bikin Onar di Warung Jamu Bogor Ditangkap - detikNews</t>
  </si>
  <si>
    <t xml:space="preserve">Pria yang membawa golok dan membuat onar di warung jamu kawasan Kamurang, Kecamatan Citeureup, Bogor , Jawa Barat, ditangkap. Pelaku berinisial IK (18). "Polsek Citeureup bersama Tim Resmob Polres Bog</t>
  </si>
  <si>
    <t xml:space="preserve">https://20.detik.com/detikupdate/20260730-260730011/video-viral-sekelompok-pemuda-bawa-celurit-serang-warung-makan-di-sidoarjo</t>
  </si>
  <si>
    <t xml:space="preserve">Video Viral Sekelompok Pemuda Bawa Celurit Serang Warung Makan di Sidoarjo - 20detik</t>
  </si>
  <si>
    <t xml:space="preserve">Scroll atau gunakan tombol
                                        [ ]
                                        [ ] serta klik panah di sisi kanan untuk menjelajahi feed video. Viral sekelompok pemud</t>
  </si>
  <si>
    <t xml:space="preserve">https://news.detik.com/berita/d-8573022/viral-bang-jago-bersajam-bikin-onar-di-warung-jamu-bogor-polisi-selidiki</t>
  </si>
  <si>
    <t xml:space="preserve">Viral Bang Jago Bersajam Bikin Onar di Warung Jamu Bogor, Polisi Selidiki - detikNews</t>
  </si>
  <si>
    <t xml:space="preserve">Video seorang pria membuat onar di sebuah warung jamu kawasan Kamurang, Kecamatan Citeureup, Bogor , Jawa Barat, beredar di media sosial. Pria tersebut tampak membawa senjata tajam. Dalam video yang d</t>
  </si>
  <si>
    <t xml:space="preserve">https://food.detik.com/info-kuliner/d-8599873/kencan-di-warung-makan-dianggap-low-effort-pendapat-wanita-ini-viral</t>
  </si>
  <si>
    <t xml:space="preserve">Kencan di Warung Makan Dianggap 'Low Effort', Pendapat Wanita Ini Viral - detikFood</t>
  </si>
  <si>
    <t xml:space="preserve">Wanita ini mengkritik tren kencan di warung makan sederhana dianggap 'low effort'. Pendapatnya viral hingga memicu debat soal makna kencan. Tradisi makan di kedai mamak atau warung makan kaki lima men</t>
  </si>
  <si>
    <t xml:space="preserve">Seorang nenek 80 tahun tidak menyangka bisnisnya tiba-tiba jadi sorotan karena kisah yang beredar. Ia kini kebanjiran pelanggan! Membangun dan mempertahankan bisnis kuliner bukan hal mudah. Para pemil</t>
  </si>
  <si>
    <t xml:space="preserve">https://20.detik.com/detikupdate/20260715-260715088/video-viral-bang-jago-bersajam-ngamuk-di-warung-jamu-bogor</t>
  </si>
  <si>
    <t xml:space="preserve">Video Viral Bang Jago Bersajam Ngamuk di Warung Jamu Bogor - 20detik</t>
  </si>
  <si>
    <t xml:space="preserve">Scroll atau gunakan tombol
                                        [ ]
                                        [ ] serta klik panah di sisi kanan untuk menjelajahi feed video. Heboh aksi seorang pri</t>
  </si>
  <si>
    <t xml:space="preserve">https://news.detik.com/berita/d-8517401/viral-pria-curi-minyak-goreng-di-warung-tambora-ternyata-tak-sekali</t>
  </si>
  <si>
    <t xml:space="preserve">Viral Pria Curi Minyak Goreng di Warung Tambora, Ternyata Tak Sekali - detikNews</t>
  </si>
  <si>
    <t xml:space="preserve">Pria berinisial P (25) ditangkap setelah mencuri minyak goreng (migor) dari sebuah warung kelontong di Tambora, Jakarta Barat (Jakbar). Pria yang sehari-hari bekerja sebagai tukang sablon itu dipergok</t>
  </si>
  <si>
    <t xml:space="preserve">Jakarta - Berlangsung selama dua hari, TikTok Food Fest 2026 berlangsung meriah. Ada lebih dari 40 tenant jajanan viral lengkap dengan hiburan konser musik. RM Lokiin yang populer di Blok M ikut hadir</t>
  </si>
  <si>
    <t xml:space="preserve">MALANG - Ada yang renyah di luar, tetapi lembut dan dingin di dalam. Sensasi itu yang membuat es gabin berbeda dari kudapan es krim pada umumnya. Bagi sebagian konsumen, daya tariknya bukan sekadar ra</t>
  </si>
  <si>
    <t xml:space="preserve">https://rri.co.id/mamuju/kuliner/2742613/kenapa-jajanan-viral-selalu-bikin-kita-penasaran</t>
  </si>
  <si>
    <t xml:space="preserve">Kenapa Jajanan Viral Selalu Bikin Kita Penasaran? - RRI.co.id</t>
  </si>
  <si>
    <t xml:space="preserve">RRI.CO.ID, Mamuju - Pernah melihat jajanan yang terus muncul di media sosial, lalu tiba-tiba muncul keinginan untuk mencobanya? Padahal, sebelum viral, makanan tersebut mungkin tidak pernah masuk dala</t>
  </si>
  <si>
    <t xml:space="preserve">D i tengah bayang-bayang krisis ekonomi global yang berdampak pada melambungnya harga kebutuhan pokok di Indonesia, masyarakat semakin pintar memilah pengeluaran, terutama soal urusan perut. Kenaikan </t>
  </si>
  <si>
    <t xml:space="preserve">Pecinta jajanan viral sekarang punya destinasi kuliner yang wajib dicoba di Kota Tangerang. Berkonsep lapak kaki lima, Kibow Corner menawarkan jajanan unik, kekinial dan viral dengan varian rasa yang </t>
  </si>
  <si>
    <t xml:space="preserve">Rekor 10 Pertemuan Terakhir: Indonesia Lebih Unggul atas Malaysia Laga Indonesia vs Malaysia Bakal Semarak dengan Fanzone di SUGBK Jelang Indonesia vs Malaysia, 56.000 Tiket Sudah Terjual Polres Malan</t>
  </si>
  <si>
    <t xml:space="preserve">https://bangsaonline.com/berita/167563/viral-wanita-diduga-dosen-di-surabaya-tertangkap-basah-curi-jajanan-pasar</t>
  </si>
  <si>
    <t xml:space="preserve">bangsaonline.com</t>
  </si>
  <si>
    <t xml:space="preserve">Viral Wanita Diduga Dosen di Surabaya Tertangkap Basah Curi Jajanan Pasar - BANGSAONLINE.com</t>
  </si>
  <si>
    <t xml:space="preserve">BANGSAONLINE.com</t>
  </si>
  <si>
    <t xml:space="preserve">SURABAYA, BANGSAONLINE.com - Seorang wanita yang diketahui dan diduga merupakan mantan dosen tertangkap basah mencuri jajanan pasar di Jalan Rungkut Menanggal Harapan, depan Masjid Al Wahyu pada Senin</t>
  </si>
  <si>
    <t xml:space="preserve">https://mozaik.inilah.com/halal-living/jajanan-anak-kekinian-ternyata-berbahaya-inilah-ancaman-serius-jarang-disadari-orang-tua</t>
  </si>
  <si>
    <t xml:space="preserve">mozaik.inilah.com</t>
  </si>
  <si>
    <t xml:space="preserve">Jajanan Anak Kekinian Ternyata Berbahaya, Inilah Ancaman Serius Jarang Disadari Orang Tua - Mozaik Islam</t>
  </si>
  <si>
    <t xml:space="preserve">Mozaik Islam</t>
  </si>
  <si>
    <t xml:space="preserve">Di balik kemasan warna-warni dan rasa yang menggoda, makanan jenis ultra-processed food (UPF) atau makanan ultra-proses diam-diam berpotensi merusak kesehatan anak sejak usia dini.(Ilustrasi: Freepik)</t>
  </si>
  <si>
    <t xml:space="preserve">Bagi sebagian pengunjung ,jajanan manis ini mungkin hanya menjadi pintu masuk untuk mengenal lebih jauh isi pasar Foto : Kalingga Shagufta Islam (magang) Dubai chewy cookies, dessert yang belakangan v</t>
  </si>
  <si>
    <t xml:space="preserve">RRI.CO.ID, Samarinda - Berawal dari melihat konten video berisi food vlogger yang sedang review jajanan khas Jepang, pelaku usaha kuliner Handak Ubi, Fitri Indriyani, memantapkan diri membuka usaha ja</t>
  </si>
  <si>
    <t xml:space="preserve">https://rri.co.id/semarang/berita-lain/2553511/mengapa-orang-rela-mengantre-demi-jajanan-viral</t>
  </si>
  <si>
    <t xml:space="preserve">Mengapa Orang Rela Mengantre demi Jajanan Viral? - RRI.co.id</t>
  </si>
  <si>
    <t xml:space="preserve">RRI.CO.ID, Semarang - Pemandangan antrean panjang di berbagai gerai makanan kini menjadi hal yang semakin sering ditemui. Banyak orang rela menunggu berjam-jam demi mencicipi jajanan yang sedang viral</t>
  </si>
  <si>
    <t xml:space="preserve">https://food.detik.com/info-kuliner/d-8663831/5-makanan-ini-viral-gegara-bentuk-nyeleneh-ada-waffle-mr-p</t>
  </si>
  <si>
    <t xml:space="preserve">5 Makanan Ini Viral Gegara Bentuk Nyeleneh, Ada Waffle Mr. P! - detikFood</t>
  </si>
  <si>
    <t xml:space="preserve">Makanan ini viral tak hanya karena rasanya, tetapi bentuknya juga bikin salah fokus. Ada waffle alat kelamin pria hingga croissat berbulu kemaluan. Jajanan biasanya dibuat untuk menggugah selera lewat</t>
  </si>
  <si>
    <t xml:space="preserve">https://wolipop.detik.com/wedding-news/d-8664014/viral-pernikahan-unik-pasangan-ini-datangkan-jajanan-sd-beserta-gerobaknya</t>
  </si>
  <si>
    <t xml:space="preserve">Viral Pernikahan Unik, Pasangan Ini Datangkan Jajanan SD Beserta Gerobaknya - Wolipop</t>
  </si>
  <si>
    <t xml:space="preserve">Pernikahan pasangan ini mencuri perhatian warganet lantaran mengusung konsep katering yang tak biasa. Alih-alih menyajikan hidangan prasmanan mewah, kedua mempelai memilih menghadirkan para pedagang j</t>
  </si>
  <si>
    <t xml:space="preserve">https://20.detik.com/detikupdate/20260502-260502035/video-dear-gen-z-waspadai-hidden-sugar-di-jajanan-viral</t>
  </si>
  <si>
    <t xml:space="preserve">Video: Dear Gen Z, Waspadai 'Hidden Sugar' di Jajanan Viral - 20detik</t>
  </si>
  <si>
    <t xml:space="preserve">Scroll atau gunakan tombol
                                        [ ]
                                        [ ] serta klik panah di sisi kanan untuk menjelajahi feed video. Matcha latte, boba, sa</t>
  </si>
  <si>
    <t xml:space="preserve">https://wolipop.detik.com/wedding-news/d-8665675/pernikahan-viral-kebanjiran-tamunya-tetap-santap-makanan-prasmanan</t>
  </si>
  <si>
    <t xml:space="preserve">Pernikahan Viral Kebanjiran, Tamunya Tetap Santap Makanan Prasmanan - Wolipop</t>
  </si>
  <si>
    <t xml:space="preserve">Sebuah video yang merekam suasana pesta pernikahan di Provinsi Quang Tri, Vietnam, viral dan menarik perhatian luas di media sosial. Pasalnya, di tengah genangan air yang cukup tinggi, para tamu undan</t>
  </si>
  <si>
    <t xml:space="preserve">RRI.CO.ID, Jayapura - Fenomena kuliner kembali diramaikan dengan kehadiran Dubai Strawberry, sajian penutup yang sedang viral di berbagai media sosial. Hidangan ini memadukan stroberi segar, cokelat l</t>
  </si>
  <si>
    <t xml:space="preserve">https://jogja.disway.id/gaya-hidup/read/701326/sensasi-hi-cal-toast-mentega-leleh-hingga-jajanan-kekinian-street-food-viral-di-bogor-paling-hits</t>
  </si>
  <si>
    <t xml:space="preserve">Sensasi Hi-Cal Toast Mentega Leleh hingga Jajanan Kekinian Street Food Viral di Bogor Paling Hits - jogja.disway.id - Disway Jogja</t>
  </si>
  <si>
    <t xml:space="preserve">diswayjogja.id - Kota Bogor atau yang akrab disapa Kota Hujan senantiasa menempati ruang tersendiri di hati para pelancong, anak muda urban, serta para pemburu kuliner berkat dinamika kulinernya yang </t>
  </si>
  <si>
    <t xml:space="preserve">Suasana sejuk "Kota Kembang" berpadu dengan kreativitas tanpa batas para pelaku kuliner, menciptakan deretan spot street food yang tidak hanya menawarkan kelezatan rasa, tetapi juga pengalaman yang In</t>
  </si>
  <si>
    <t xml:space="preserve">https://travel.detik.com/international-destination/d-8473191/7-street-food-yang-wajib-dicoba-di-china-surga-kuliner-pinggir-jalan</t>
  </si>
  <si>
    <t xml:space="preserve">7 Street Food yang Wajib Dicoba di China: Surga Kuliner Pinggir Jalan - detikTravel</t>
  </si>
  <si>
    <t xml:space="preserve">Kalau bicara soal street food China, satu kata yang paling tepat adalah: variatif banget. Dari yang gurih, pedas, manis, sampai yang ekstrem, semuanya ada! Buat kamu yang suka wisata kuliner, China bi</t>
  </si>
  <si>
    <t xml:space="preserve">KLIKJATIM.Com | Gresik - Event kuliner kekinian bertajuk FOMO Land resmi hadir di area Outdoor Icon Mall Gresik, menawarkan pengalaman wisata kuliner yang berbeda bagi masyarakat Gresik dan sekitarnya</t>
  </si>
  <si>
    <t xml:space="preserve">diswayjogja.id - Ingin merasakan suasana seperti sedang berada di Timur Tengah tanpa harus terbang jauh? Cukup langkahkan kaki Anda menuju kawasan Ampel di Surabaya. Area ini telah bertransformasi men</t>
  </si>
  <si>
    <t xml:space="preserve">Street Food Legendaris Sekitar Wonokromo Surabaya-- diswayjogja.id - Menemukan destinasi kuliner malam yang menyajikan hidangan lezat berkualitas tinggi namun tetap menawarkan harga ekonomis sering ka</t>
  </si>
  <si>
    <t xml:space="preserve">Alun-alun Kidul (Alkid) Yogyakarta selama ini dikenal sebagai salah satu ruang publik dan destinasi wisata favorit di Kota Gudeg. Namun kawasan yang ramai dikunjungi wisatawan itu belakangan menjadi s</t>
  </si>
  <si>
    <t xml:space="preserve">RRI.CO.ID, Lhokseumawe – Satuan Pengamanan Objek Vital (Sat Pamobvit) Polres Lhokseumawe meningkatkan pengamanan di sejumlah lokasi wisata dan tempat yang menjadi pusat aktivitas masyarakat, Sabtu 26 </t>
  </si>
  <si>
    <t xml:space="preserve">● Bagi tempat pariwisata, jadi viral memang salah satu strategi mujarab mendatangkan wisatawan. ● Sayangnya banyak yang menjadikan viralitas jadi prioritas utama dalam strategi pengembangan. ● Dampak </t>
  </si>
  <si>
    <t xml:space="preserve">Layanan ini merupakan sarana layanan online bagi pemohon informasi publik sebagai salah satu wujud pelaksanaan keterbukaan informasi publik di Badan Pemeriksa Keuangan RI. Untuk mengajukan permohonan </t>
  </si>
  <si>
    <t xml:space="preserve">Bagi pencinta petualangan alam, pengelola Pictniq Land Jogja menyediakan atraksi Jeep Pictniq untuk menjelajahi rute menantang di sekitar kawasan Patuk dan objek wisata sekitarnya. Destinasi wisata ba</t>
  </si>
  <si>
    <t xml:space="preserve">Redaksi Rentak - Penulis Minggu, 13 September 2026 -  08:34											 WIB Telaga Saat Puncak bisa menjadi alternatif lokasi wisata Bogor untuk mengisi libur akhir pekan (Sumber. Instagram-@telagasaat</t>
  </si>
  <si>
    <t xml:space="preserve">Magetan (ANTARA) - Dinas Kebudayaan dan Pariwisata Kabupaten Magetan, Jawa Timur, menyebutkan keberadaan spot foto dengan latar belakang bunga bugenvil di tepi Telaga Sarangan mirip di Italia yang sed</t>
  </si>
  <si>
    <t xml:space="preserve">https://www.suarasurabaya.net/kelanakota/2026/viral-di-media-sosial-bukan-jaminan-destinasi-wisata-bertahan-lama/</t>
  </si>
  <si>
    <t xml:space="preserve">Viral di Media Sosial Bukan Jaminan Destinasi Wisata Bertahan Lama - Suara Surabaya</t>
  </si>
  <si>
    <t xml:space="preserve">Fenomena destinasi wisata yang mendadak ramai setelah viral di media sosial semakin sering terjadi dalam beberapa tahun terakhir. Namun di balik meningkatnya jumlah wisatawan dan cepatnya perputaran e</t>
  </si>
  <si>
    <t xml:space="preserve">To view this video please enable JavaScript, and consider upgrading to a web browser that supports HTML5 video Vietnam Vietnam semakin populer sebagai destinasi wisata dengan berbagai tempat yang dira</t>
  </si>
  <si>
    <t xml:space="preserve">RASIKAFM.COM | UNGARAN – Sebuah lokasi wisata alam baru di perbatasan Desa Lerep dan Desa Kalisidi, Kecamatan Ungaran Barat, Kabupaten Semarang, mendadak ramai dikunjungi wisatawan dalam tiga pekan te</t>
  </si>
  <si>
    <t xml:space="preserve">Dugaan praktik pungutan liar (pungli) di kawasan wisata Lau Debuk-Debuk, Kabupaten Karo, Sumatera Utara, kembali menjadi sorotan publik setelah sejumlah...</t>
  </si>
  <si>
    <t xml:space="preserve">RRI.CO.ID, Makassar - Bendungan Kampili di Kabupaten Gowa, Sulawesi Selatan, belakangan menjadi perhatian masyarakat karena perubahan kondisi alam yang membuat kawasan tersebut terlihat berbeda dari b</t>
  </si>
  <si>
    <t xml:space="preserve">Wisata Berkuda di Pererenan Berhenti Beroperasi Usai Viral Dugaan Eksploitasi Agus Eka - detikBali Wisata berkuda di kawasan Pererenan, Kecamatan Mengwi, Badung, Bali, kini berhenti beroperasi. Usaha </t>
  </si>
  <si>
    <t xml:space="preserve">https://www.suarasurabaya.net/kelanakota/2026/wawasan-polling-ss-mayoritas-masyarakat-mengaku-tidak-langsung-mengunjungi-tempat-wisata-yang-viral-di-medsos/</t>
  </si>
  <si>
    <t xml:space="preserve">Wawasan Polling SS: Mayoritas Masyarakat Mengaku Tidak Langsung Mengunjungi Tempat Wisata yang Viral di Medsos - Suara Surabaya</t>
  </si>
  <si>
    <t xml:space="preserve">Fenomena destinasi wisata yang mendadak ramai dikunjungi setelah viral di media sosial beberapa tahun terakhir. Di satu sisi, viralitas mampu meningkatkan eksposur dan mendatangkan wisatawan dalam jum</t>
  </si>
  <si>
    <t xml:space="preserve">Bendung Karet Sungai Juana di Desa Bungasrejo Kecamatan Jakenan, Kabupaten Pati, menjadi tempat wisata dadakan setelah viral mengalami kering hingga banyak ikan terdampar. Warga penasaran dengan banya</t>
  </si>
  <si>
    <t xml:space="preserve">RRI.CO.ID, Bukittinggi - Indonesia dikenal sebagai negara yang kaya akan keindahan alam dan budaya. Dari Sabang hingga Merauke, terdapat banyak destinasi wisata yang menawarkan pengalaman tak terlupak</t>
  </si>
  <si>
    <t xml:space="preserve">Best in Storytelling Kompasiana Awards 2025 | 
Storyteller | Book sniffer | irerosana.com | 
email : irerosana@gmail.com Sejak merantau saya jadi lebih sering mengagumi kampung sendiri. Dulu ketika </t>
  </si>
  <si>
    <t xml:space="preserve">Ilustrasi Kebun Raya Bogor. Foto: Pexels Muhamad Marup •  2 July 2026 23:06 Jakarta: Dalam memasuki masa liburan pelajar, banyak destinasi wisata yang indah dan sangat menghibur, salah satunya berada </t>
  </si>
  <si>
    <t xml:space="preserve">Belum punya akun? Daftar Akun Download TribunX untuk Android &amp; iOS TRIBUN-PAPUATENGAH.COM, JAYAPURA - Bukit Krisna di Kampung Yokiwa , Distrik Ebungfau , Kabupaten Jayapura , Papua , kini menjadi tuju</t>
  </si>
  <si>
    <t xml:space="preserve">TRIBUNTRAVEL.COM - Wonosobo merupakan salah satu destinasi wisata favorit bagi wisata wan yang ingin menikmati keindahan alam pegunungan. Daerah ini terkenal dengan udara sejuk, pemandangan perbukitan</t>
  </si>
  <si>
    <t xml:space="preserve">Provinsi Lampung dikenal sebagai salah satu destinasi wisata menarik di ujung selatan Pulau Sumatera. Dengan keindahan alam yang beragam, mulai dari pantai, pulau, hingga wisata alam pegunungan, Lampu</t>
  </si>
  <si>
    <t xml:space="preserve">Selalu ada alasan untuk liburan ke Bangkok, Thailand. Bahkan berkali-kali liburan ke ibukota Thailand ini selalu ada cerita dan hal baru yang menyenangkan. Bukan tanpa alasan karena Bangkok, Thailand </t>
  </si>
  <si>
    <t xml:space="preserve">Bogor tak pernah kekurangan pilihan tempat wisata untuk akhir pekan. Kamu kira-kira sudah pernah ke tempat-tempat ini belum? Di tahun 2026, akses menuju berbagai spot ini semakin tertata, menjadikanny</t>
  </si>
  <si>
    <t xml:space="preserve">5 tempat wisata terbaru dan viral di Solo-- LAHAT.CO - Yogyakarta dan Bali memang terkenal, namun Kota Surakarta atau yang akrab disebut Solo tak kalah menarik untuk dikunjungi. Selain Keraton Kasunan</t>
  </si>
  <si>
    <t xml:space="preserve">Dilarang keras mengambil konten (tulisan, foto, infografis,
                video, dan sebagainya) yang dimuat di situs web ini, melakukan
                crawling atau pengindeksan otomatis untuk p</t>
  </si>
  <si>
    <t xml:space="preserve">Nativeindonesia – Popularitas Mikutopia Batu semakin melejit berkat media sosial. Banyak pengunjung yang membagikan momen seru mereka saat berada di lokasi ini, mulai dari spot foto yang estetik hingg</t>
  </si>
  <si>
    <t xml:space="preserve">&lt;strong&gt;BOGOR&lt;/strong&gt; kembali menghadirkan destinasi wisata baru yang tengah viral di kalangan muda, yakni Canyoning Bogor. Aktivitas ekstrem yang memadukan petualangan alam dan olahraga ini kini men</t>
  </si>
  <si>
    <t xml:space="preserve">Biar kalian nggak kudet, yuk simak 10 tempat wisata favorit di Sukabumi terbaru tahun 2026 yang wajib kalian datangi bareng geng atau pacar: 1. Goalpara Tea Park (GTP) Bukan cuma kebun teh biasa, temp</t>
  </si>
  <si>
    <t xml:space="preserve">Destinasi wisata baru Mikutopia di Kecamatan Bumiaji, Kota Batu, mendadak viral. Namun bukan karena keindahan atau daya tariknya, melainkan serangkaian insiden yang memicu kekhawatiran publik. Dalam w</t>
  </si>
  <si>
    <t xml:space="preserve">SinPo.tv - Sebuah museum unik di Kota Shenzhen, China, menarik perhatian pengunjung dengan berbagai instalasi seni nyeleneh yang menyindir tekanan hidup modern dan budaya kerja saat ini. 30 Agustus 20</t>
  </si>
  <si>
    <t xml:space="preserve">Museum Terumbu Karang Indonesia menawarkan pengalaman menjelajahi ekosistem laut Indonesia tanpa harus basah-basahan. JOGJA – Siapa bilang menikmati keindahan bawah laut harus pergi ke pantai atau men</t>
  </si>
  <si>
    <t xml:space="preserve">https://jogja.disway.id/wisata/read/700045/cara-baru-keliling-museum-dengan-koleksi-cap-estetik-dengan-museum-passport-yang-viral</t>
  </si>
  <si>
    <t xml:space="preserve">Cara Baru Keliling Museum dengan Koleksi Cap Estetik dengan Museum Passport yang Viral - jogja.disway.id - Disway Jogja</t>
  </si>
  <si>
    <t xml:space="preserve">Museum Passport yang Viral-- diswayjogja.id - Bagi banyak orang, mengunjungi museum mungkin dianggap sebagai kegiatan yang monoton dan kaku. Namun, narasi tersebut perlahan berubah sejak kehadiran Mus</t>
  </si>
  <si>
    <t xml:space="preserve">Antrean panjang sudah mengular di depan galeri sebelum pintu resmi dibuka untuk Art Dialogue II di Tasikmalaya , sebuah kejadian yang jadi bahan perbincangan setelah video singkat beredar di media sos</t>
  </si>
  <si>
    <t xml:space="preserve">https://metropolitan.jawapos.com/metropolitan/2604080001/5-galeri-dan-art-space-di-jakarta-ini-sering-gelar-pameran-gratis-dan-terbuka-untuk-umum</t>
  </si>
  <si>
    <t xml:space="preserve">5 Galeri dan Art Space di Jakarta Ini Sering Gelar Pameran Gratis dan Terbuka untuk Umum - Jawa Pos Metropolitan</t>
  </si>
  <si>
    <t xml:space="preserve">Hadirnya berbagai galeri dan art space sebagai ruang apresiasi untuk seni dan para seniman di belakangnya. Menariknya, beberapa tempat tersebut rutin menggelar pameran yang terbuka untuk umum secara g</t>
  </si>
  <si>
    <t xml:space="preserve">https://afederasi.com/golkar-tulungagung-kritik-minimnya-fasilitas-kesenian-dorong-pembangunan-galeri-seni</t>
  </si>
  <si>
    <t xml:space="preserve">afederasi.com</t>
  </si>
  <si>
    <t xml:space="preserve">Golkar Tulungagung Kritik Minimnya Fasilitas Kesenian, Dorong Pembangunan Galeri Seni - Afederasi</t>
  </si>
  <si>
    <t xml:space="preserve">Afederasi</t>
  </si>
  <si>
    <t xml:space="preserve">Join our subscribers list to get the latest news, updates and special offers directly in your inbox Tulungagung, (afederasi.com) – Partai Golkar Tulungagung menyoroti perlunya penguatan ekosistem seni</t>
  </si>
  <si>
    <t xml:space="preserve">https://bekasi.inews.id/read/714544/viral-keributan-di-mal-bekasi-utara-ternyata-dipicu-spg-digoda-spb-pameran</t>
  </si>
  <si>
    <t xml:space="preserve">bekasi.inews.id</t>
  </si>
  <si>
    <t xml:space="preserve">Viral Keributan di Mal Bekasi Utara, Ternyata Dipicu SPG Digoda SPB Pameran - iNews.ID</t>
  </si>
  <si>
    <t xml:space="preserve">Scan this QR or download app from: BEKASI , iNewsBekasi.id  - Sebuah video di media sosial mendadak viral usai memperlihatkan keributan sengit di kawasan mal wilayah Bekasi Utara , Jawa Barat, pada Se</t>
  </si>
  <si>
    <t xml:space="preserve">Pengunjung melakukan transaksi digital membeli makanan saat digelarnya Festival Kuliner Gang Senggol Jakarta Viral di Padang, Sumatera Barat, Sabtu (29/8/2026). Pameran yang menampilkan 400 menu kulin</t>
  </si>
  <si>
    <t xml:space="preserve">IDXChannel - Chief Operating Officer (COO) PT Hyundai Motors Indonesia (HMID), Fransiscus Soerjopranoto, membeberkan rencana memamerkan Hyundai Ioniq 3 di ajang GAIKINDO Indonesia International Auto S</t>
  </si>
  <si>
    <t xml:space="preserve">JAKARTA, iNews.id – Seorang usher atau sales promotion girl (SPG) di ajang Gaikindo Indonesia International Auto Show (GIIAS) 2026 mengaku direkam secara diam-diam tanpa persetujuan, lalu dijadikan ob</t>
  </si>
  <si>
    <t xml:space="preserve">https://www.merahputih.com/post/read/dituding-sepi-peminat-video-asli-mark-lee-nct-di-event-ralph-lauren-justru-bikin-merinding-dan-viral-di-medsos</t>
  </si>
  <si>
    <t xml:space="preserve">Fakta di Balik Video Viral Mark Lee vs Jay ENHYPEN: Fans Bongkar Trik Sudut Kamera - merahputih.com</t>
  </si>
  <si>
    <t xml:space="preserve">Merahputih.com - Video viral yang membandingkan popularitas Mark Lee NCT dan Jay ENHYPEN di acara Ralph Lauren sukses memicu perdebatan sengit gara-gara klaim kerumunan sepi di lokasi. Faktanya, naras</t>
  </si>
  <si>
    <t xml:space="preserve">https://tirto.id/viral-event-lari-wna-di-bali-yang-diduga-diskriminasi-wni-hAd1</t>
  </si>
  <si>
    <t xml:space="preserve">tirto.id</t>
  </si>
  <si>
    <t xml:space="preserve">Viral Event Lari WNA di Bali yang Diduga Diskriminasi WNI - Tirto.id</t>
  </si>
  <si>
    <t xml:space="preserve">tirto.id - Dugaan praktik diskriminasi terhadap warga negara Indonesia (WNI) mencuat di media sosial setelah sebuah komunitas lari di Bali, Entourage Bali, dituding lebih memprioritaskan peserta warga</t>
  </si>
  <si>
    <t xml:space="preserve">https://www.suarasurabaya.net/kelanakota/2026/polisi-selidiki-video-viral-dugaan-penistaan-agama-di-festival-musik/</t>
  </si>
  <si>
    <t xml:space="preserve">Polisi Selidiki Video Viral Dugaan Penistaan Agama di Festival Musik - Suara Surabaya</t>
  </si>
  <si>
    <t xml:space="preserve">Kepolisian mendalami dugaan penistaan agama yang terekam dalam video dan viral di media sosial saat pelaksanaan festival musik di kawasan Ancol, Jakarta Utara. Kombes Pol Budi Hermanto Kabid Humas Pol</t>
  </si>
  <si>
    <t xml:space="preserve">https://eksposkaltim.com/berita-17710-dari-event-viral-ke-kasus-pidana-penyelenggara-samarinda-half-marathon-jadi-tersangka.html</t>
  </si>
  <si>
    <t xml:space="preserve">eksposkaltim.com</t>
  </si>
  <si>
    <t xml:space="preserve">Dari Event Viral ke Kasus Pidana: Penyelenggara Samarinda Half Marathon Jadi Tersangka - EKSPOSKALTIM</t>
  </si>
  <si>
    <t xml:space="preserve">Batalnya Samarinda Half Marathon yang sempat memicu kemarahan peserta kini berujung perkara pidana. Polisi mengungkap sebagian dana pendaftaran diduga digunakan untuk kepentingan pribadi dan menetapka</t>
  </si>
  <si>
    <t xml:space="preserve">https://news.detik.com/berita/d-8588802/imigrasi-tangkal-masuk-2-bule-penyelenggara-event-lari-yang-diskriminasi-wni</t>
  </si>
  <si>
    <t xml:space="preserve">Imigrasi Tangkal Masuk 2 Bule Penyelenggara Event Lari yang Diskriminasi WNI - detikNews</t>
  </si>
  <si>
    <t xml:space="preserve">Direktorat Jenderal Imigrasi menindak dua warga negara asing ( WNA ) yang diduga menjadi penyelenggara komunitas lari Entourage Run di Canggu, Bali. Kegiatan tersebut diduga bersifat diskriminatif ter</t>
  </si>
  <si>
    <t xml:space="preserve">https://balinews.id/viral-event-lari-bali-silent-disco-diduga-diskriminatif-dua-wna-diduga-jadi-penyelenggara-dicekal/</t>
  </si>
  <si>
    <t xml:space="preserve">balinews.id</t>
  </si>
  <si>
    <t xml:space="preserve">Viral Event Lari Bali Silent Disco Diduga Diskriminatif, Dua WNA Diduga Jadi Penyelenggara Dicekal - BaliNews.id</t>
  </si>
  <si>
    <t xml:space="preserve">25 Juli 2026 pukul 07.27 WITA · 1 menit baca VIRAL, BALINEWS.ID - Direktorat Jenderal Imigrasi mengambil tindakan terhadap penyelenggaraan acara Bali Silent Disco Fun Run yang sempat menjadi sorotan p</t>
  </si>
  <si>
    <t xml:space="preserve">https://regional.kompas.com/read/2026/07/24/121049978/viral-dugaan-diskriminasi-wni-di-event-lari-canggu-bali-satpol-pp-soroti</t>
  </si>
  <si>
    <t xml:space="preserve">Viral Dugaan Diskriminasi WNI di Event Lari Canggu Bali, Satpol PP Soroti Rekomendasi - Kompas.com</t>
  </si>
  <si>
    <t xml:space="preserve">Viral Dugaan Diskriminasi WNI di Event Lari Canggu Bali, Satpol PP Soroti Rekomendasi BADUNG, KOMPAS.com – Sebuah event lari yang digelar komunitas di kawasan Canggu, Kecamatan Kuta Utara, Kabupaten B</t>
  </si>
  <si>
    <t xml:space="preserve">https://www.beautynesia.id/life/sederet-fakta-event-lari-di-bali-yang-viral-gegara-diduga-tolak-peserta-wni/b-322186</t>
  </si>
  <si>
    <t xml:space="preserve">Sederet Fakta Event Lari di Bali yang Viral Gegara Diduga Tolak Peserta WNI - Beautynesia</t>
  </si>
  <si>
    <t xml:space="preserve">Bali tidak hanya menghadapi overtourism , tapi juga diskriminasi yang dialami baru-baru ini. Entourage Run Club mengadakan sebuah event lari di Canggu, Bali, yang diduga menolak warga negara Indonesia</t>
  </si>
  <si>
    <t xml:space="preserve">https://wartaekonomi.co.id/read618244/viral-ajudan-di-event-marathon-2026-tni-ad-nomor-terlepas</t>
  </si>
  <si>
    <t xml:space="preserve">Viral Ajudan di Event Marathon 2026, TNI AD: Nomor Terlepas - Warta Ekonomi</t>
  </si>
  <si>
    <t xml:space="preserve">Tentara Nasional Indonesia Angkatan Darat memberikan penjelasan terkait video yang memperlihatkan seorang perwira tinggi TNI AD membawa ajudannya saat mengikuti Mandiri Jogja Marathon 2026 yang digela</t>
  </si>
  <si>
    <t xml:space="preserve">https://www.rctiplus.com/news/detail/sindonews/5392754/viral-tenant-curhat-event-padel-thariq-halilintar-sepi--aaliyah-massaid-langsung-pasang-badan</t>
  </si>
  <si>
    <t xml:space="preserve">Viral Tenant Curhat Event Padel Thariq Halilintar Sepi, Aaliyah Massaid Langsung Pasang Badan - RCTI+</t>
  </si>
  <si>
    <t xml:space="preserve">Nama Thariq Halilintar tengah ramai diperbincangkan di media sosial setelah sebuah video dari akun TikTok @eatwithel viral. Video tersebut memperlihatkan curhatan seorang tenant yang mengaku kecewa ka</t>
  </si>
  <si>
    <t xml:space="preserve">https://poskota.co/hukum-kriminal/polisi-dalami-video-viral-dugaan-penistaan-agama-pada-festival-musik-the-sounds-project-di-ancol/</t>
  </si>
  <si>
    <t xml:space="preserve">Polisi Dalami Video Viral Dugaan Penistaan Agama pada Festival Musik 'The Sounds Project' di Ancol - Poskotaonline</t>
  </si>
  <si>
    <t xml:space="preserve">JAKARTA – Penyidik Polda Metro Jaya tengah mendalami video viral yang memuat dugaan penistaan agama. Kasus itu terjadi pada kegiatan festival musik “The Sounds Project” di kawasan Ancol, Jakarta Utara</t>
  </si>
  <si>
    <t xml:space="preserve">https://www.nusabali.com/berita/226550/viral-event-lari-diduga-diskriminasi-wni</t>
  </si>
  <si>
    <t xml:space="preserve">www.nusabali.com</t>
  </si>
  <si>
    <t xml:space="preserve">Viral Event Lari Diduga Diskriminasi WNI - NUSABALI.com</t>
  </si>
  <si>
    <t xml:space="preserve">NUSABALI.com</t>
  </si>
  <si>
    <t xml:space="preserve">Berdasarkan aturan yang berlaku, WNA tidak diperbolehkan menjadi penyelenggara kegiatan di Indonesia apabila tidak sesuai dengan izin tinggal yang dimiliki</t>
  </si>
  <si>
    <t xml:space="preserve">https://news.okezone.com/read/2026/08/11/337/3235419/heboh-challenge-hafalan-alquran-dapat-miras-gratis-di-festival-musik-polisi-turun-tangan</t>
  </si>
  <si>
    <t xml:space="preserve">Heboh Challenge Hafalan Alquran Dapat Miras Gratis di Festival Musik, Polisi Turun Tangan! - news.okezone.com</t>
  </si>
  <si>
    <t xml:space="preserve">JAKARTA - Viral kelakuan segelintir anak muda yang melakukan challenge hafalan surat Ad-Dhuha untuk mendapatkan minuman keras (miras) gratis dari salah satu brand. Dalam video viral di media sosial, k</t>
  </si>
  <si>
    <t xml:space="preserve">RRI.CO.ID, Palembang - Antusiasme masyarakat terhadap event kuliner khas Jakarta yang digelar di Palembang Indah Mall (PIM) sejak 22 Juni hingga 2 Juli 2026 terlihat sangat tinggi. Sejak hari pertama </t>
  </si>
  <si>
    <t xml:space="preserve">https://www.suarasurabaya.net/kelanakota/2026/viral-video-dugaan-penistaan-agama-di-festival-musik-polisi-mulai-kumpulkan-bukti/</t>
  </si>
  <si>
    <t xml:space="preserve">Viral Video Dugaan Penistaan Agama di Festival Musik, Polisi Mulai Kumpulkan Bukti - Suara Surabaya</t>
  </si>
  <si>
    <t xml:space="preserve">Polres Metro Jakarta Utara menyelidiki dugaan penistaan agama yang disebut terjadi dalam festival musik di kawasan Ancol, Jakarta Utara. Penyelidikan dilakukan setelah rekaman video kejadian tersebut </t>
  </si>
  <si>
    <t xml:space="preserve">https://www.detik.com/jogja/berita/d-8473688/viral-pemuda-tiba-tiba-diserang-otk-saat-event-lari-di-jogja</t>
  </si>
  <si>
    <t xml:space="preserve">Viral Pemuda Tiba-tiba Diserang OTK Saat Event Lari di Jogja - detikcom</t>
  </si>
  <si>
    <t xml:space="preserve">Sebuah insiden penyeranga terjadi di Jogja saat event lari berlangsung. Salah satu peserta lari diserang orang tak dikenal (OTK) saat mengambil minum di water station. Akibatnya pemuda itu mengalami l</t>
  </si>
  <si>
    <t xml:space="preserve">https://regional.kompas.com/image/2026/07/24/121049978/viral-dugaan-diskriminasi-wni-di-event-lari-canggu-bali-satpol-pp-soroti?page=1</t>
  </si>
  <si>
    <t xml:space="preserve">Foto : Viral Dugaan Diskriminasi WNI di Event Lari Canggu Bali, Satpol PP Soroti Rekomendasi Halaman 1 - Kompas.com</t>
  </si>
  <si>
    <t xml:space="preserve">Kompas.com - Berita Indonesia dan Dunia Terkini Hari Ini, Kabar Harian Terbaru Terpercaya Terlengkap Seputar Politik, Ekonomi, Travel, Teknologi, Otomotif, Bola</t>
  </si>
  <si>
    <t xml:space="preserve">https://women.okezone.com/read/2026/07/25/612/3232298/viral-wna-di-bali-bikin-event-lari-tertutup-untuk-wni</t>
  </si>
  <si>
    <t xml:space="preserve">Viral! WNA di Bali Bikin Event Lari, Tertutup untuk WNI - women.okezone.com</t>
  </si>
  <si>
    <t xml:space="preserve">JAKARTA - Viral di media sosial ajang olahraga lari yang digelar oleh komunitas warga negara asing (WNA) di daerah Canggu, Kuta Utara, Badung, Bali. Event ini bikin warganet geram, karena adanya dugaa</t>
  </si>
  <si>
    <t xml:space="preserve">JAKARTA - Viral di media sosial netizen membagikan momen diduga hujan abu vulkanik yang terjadi di wilayah Bukittinggi saat sebuah festival musik yang saat itu diisi oleh band Kotak pada Sabtu, 26 Sep</t>
  </si>
  <si>
    <t xml:space="preserve">https://www.baliviralnews.com/ketua-whdi-badung-dukung-lomba-tradisional-di-festival-kapal/</t>
  </si>
  <si>
    <t xml:space="preserve">www.baliviralnews.com</t>
  </si>
  <si>
    <t xml:space="preserve">Ketua WHDI Badung Dukung Lomba Tradisional di Festival Kapal - baliviralnews.com</t>
  </si>
  <si>
    <t xml:space="preserve">RANGKAIAN FESTIVAL – Ketua WHDI Kabupaten Badung Nyonya Yunita Alit Sucipta menghadiri Rangkaian Festival Kelurahan Kapal 2026, Sabtu (26/9). MANGUPURA (BALIVIRALNEWS) – Rangkaian Festival Kelurahan K</t>
  </si>
  <si>
    <t xml:space="preserve">JAMBI – Kabar gembira buat kamu pencinta kuliner dan seni di Jambi! Universitas Adiwangsa Jambi ( UNAJA ) siap menggelar salah satu festival kampus paling seru tahun ini, Savoria Festival 2026 . Catat</t>
  </si>
  <si>
    <t xml:space="preserve">https://20.detik.com/detikupdate/20260914-260914025/video-viral-karnaval-di-pekalongan-berbau-ritual-kontroversi</t>
  </si>
  <si>
    <t xml:space="preserve">Video Viral Karnaval di Pekalongan Berbau Ritual Kontroversi - 20detik</t>
  </si>
  <si>
    <t xml:space="preserve">Scroll atau gunakan tombol
                                        [ ]
                                        [ ] serta klik panah di sisi kanan untuk menjelajahi feed video. Niatnya ngerayain Maul</t>
  </si>
  <si>
    <t xml:space="preserve">https://www.metrotvnews.com/read/K5nCRze9-viral-kostum-satanik-festival-di-pekalongan-panitia-minta-maaf</t>
  </si>
  <si>
    <t xml:space="preserve">Viral Kostum Satanik Festival di Pekalongan, Panitia Minta Maaf - MetroTVNews.com</t>
  </si>
  <si>
    <t xml:space="preserve">Bagian penampilan dalam Night Carnival atau SKNC 2026 di Kabupaten Pekalongan. MI/Ist. Supardji Rasban • 14 September 2026 22:01 Pekalongan: Panitia Simbangkulon Night Carnival ( SKNC ) 2026 di Kabupa</t>
  </si>
  <si>
    <t xml:space="preserve">RRI.CO.ID, Palembang - Festival Kuliner Gang Senggol Jakarta Viral menarik perhatian masyarakat sejak digelar di Lobi Barat PTC Mall Palembang. Kegiatan ini berlangsung mulai 25 Juni hingga 5 Juli 202</t>
  </si>
  <si>
    <t xml:space="preserve">https://www.antaranews.com/berita/5688868/polisi-selidiki-dugaan-penistaan-agama-dalam-festival-musik-di-ancol</t>
  </si>
  <si>
    <t xml:space="preserve">Polisi selidiki dugaan penistaan agama dalam festival musik di Ancol - ANTARA News</t>
  </si>
  <si>
    <t xml:space="preserve">Jakarta (ANTARA) - Kepolisian tengah mendalami video viral yang memuat dugaan penistaan agama pada kegiatan festival musik "The Sounds Project" di kawasan Ancol, Jakarta Utara. Kabid Humas Polda Metro</t>
  </si>
  <si>
    <t xml:space="preserve">Visitors choose the food offerings sold at the Jakarta Halal Viral Culinary Festival event in Kediri City, East Java, Sunday (19/7/2026). The culinary exhibition aims to introduce viral snacks from va</t>
  </si>
  <si>
    <t xml:space="preserve">https://tv.sinpo.id/detail/viral-diduga-mencopet-di-pasar-cisurupan-irt-diamankan</t>
  </si>
  <si>
    <t xml:space="preserve">Viral! Diduga Mencopet di Pasar Cisurupan, IRT Diamankan - SinPo.id</t>
  </si>
  <si>
    <t xml:space="preserve">SinPo.tv - Aksi dugaan pencopetan seorang ibu rumah tangga di Pasar Cisurupan, Garut, Jawa Barat, viral di media sosial. Terduga pelaku langsung diamankan pihak kepolisian guna menghindari amukan mass</t>
  </si>
  <si>
    <t xml:space="preserve">Wali Kota Solo Buka Suara soal Video Viral Oknum Satpam Pasar Triwindu Tarik Parkir SOLO, KOMPAS.com - Wali Kota Solo Respati Ardi buka suara terkait video viral oknum petugas keamanan atau satpam di </t>
  </si>
  <si>
    <t xml:space="preserve">https://radarbadung.jawapos.com/hukum-kriminal/2609200006/viral-pura-pura-belanja-dua-wna-curi-uang-pedagang-di-pasar-bajera-pakai-ilmu-gendam</t>
  </si>
  <si>
    <t xml:space="preserve">Viral! Pura-pura Belanja, Dua WNA Curi Uang Pedagang di Pasar Bajera pakai Ilmu Gendam - Radar Badung</t>
  </si>
  <si>
    <t xml:space="preserve">Modus pencurian dengan mengalihkan perhatian atau yang dikenal sebagai modus gendam kembali terjadi. Dua warga negara asing (WNA) mencuri uang milik pedagang di Pasar Bajera, Kecamatan Selemadeg, Taba</t>
  </si>
  <si>
    <t xml:space="preserve">Jakarta, CNBC Indonesia - Memulai usaha tidak selalu membutuhkan modal besar. Di Pusat Grosir Asemka, Jakarta Barat, calon pelaku usaha bisa berburu barang grosiran yang sedang tren untuk kemudian dij</t>
  </si>
  <si>
    <t xml:space="preserve">https://www.eksposkaltim.com/berita-18146-viral-sekuriti-pasar-pagi-sebut-%E2%80%9Cmedia-busuk%E2%80%9D-wali-kota-samarinda-minta-maaf.html</t>
  </si>
  <si>
    <t xml:space="preserve">www.eksposkaltim.com</t>
  </si>
  <si>
    <t xml:space="preserve">Viral Sekuriti Pasar Pagi Sebut “Media Busuk”, Wali Kota Samarinda Minta Maaf - EKSPOSKALTIM</t>
  </si>
  <si>
    <t xml:space="preserve">Polemik antara jurnalis dan sekuriti Pasar Pagi Samarinda yang memicu sorotan publik mendapat tanggapan langsung dari Wali Kota Andi Harun. EKSPOSKALTIM, Samarinda – Polemik antara jurnalis dan seoran</t>
  </si>
  <si>
    <t xml:space="preserve">https://mediaindonesia.com/megapolitan/936345/viral-di-threads-transjakarta-perketat-pengawasan-layanan-malam-di-koridor-8-dan-halte-pasar-baru</t>
  </si>
  <si>
    <t xml:space="preserve">Viral di Threads, Transjakarta Perketat Pengawasan Layanan Malam di Koridor 8 dan Halte Pasar Baru - Media Indonesia</t>
  </si>
  <si>
    <t xml:space="preserve">Ketidakterbukaan informasi penindakan pelaku kekerasan seksual menimbulkan ancaman bagi korban. PT Transportasi Jakarta ( Transjakarta ) memperketat pengawasan petugas terhadap layanan malam, khususny</t>
  </si>
  <si>
    <t xml:space="preserve">Satpam di Pasar Triwindu Solo Viral Usai Tarik Parkir Ngepruk ke Pengunjung SOLO, KOMPAS.com - Seorang warganet mengeluhkan tarif parkir tak sesuai atau ngepruk oleh oknum satpam di Pasar Triwindu Kot</t>
  </si>
  <si>
    <t xml:space="preserve">https://20.detik.com/detikupdate/20260907-260907021/video-viral-semburan-asap-hitam-di-pasar-baru-jakpus-ternyata-korsleting-listrik</t>
  </si>
  <si>
    <t xml:space="preserve">Video Viral Semburan Asap Hitam di Pasar Baru Jakpus, Ternyata Korsleting Listrik - 20detik</t>
  </si>
  <si>
    <t xml:space="preserve">Scroll atau gunakan tombol
                                        [ ]
                                        [ ] serta klik panah di sisi kanan untuk menjelajahi feed video. Video asap hitam yang </t>
  </si>
  <si>
    <t xml:space="preserve">Rasanya belum sah kalau bepergian ke Bogor tetapi tidak menyempatkan mampir ke Pasar Jambu Dua. Dijuluki sebagai Blok M-nya Kota Bogor, Pasar Jambu Dua kini beralih menjadi tempat nongkrong kalcer yan</t>
  </si>
  <si>
    <t xml:space="preserve">https://megapolitan.kompas.com/read/2026/09/07/23502731/bukan-kabur-ini-pengakuan-perusahaan-kantor-seleksi-di-pasar-minggu-usai</t>
  </si>
  <si>
    <t xml:space="preserve">Bukan Kabur, Ini Pengakuan Perusahaan “Kantor Seleksi” di Pasar Minggu Usai Viral - Kompas.com</t>
  </si>
  <si>
    <t xml:space="preserve">Bukan Kabur, Ini Pengakuan Perusahaan “Kantor Seleksi” di Pasar Minggu Usai Viral JAKARTA, KOMPAS.com - Perusahaan yang beroperasi di ruko "Kantor Seleksi" di Jalan Raya Pasar Minggu, Jakarta Selatan,</t>
  </si>
  <si>
    <t xml:space="preserve">https://20.detik.com/detikupdate/20260909-260909026/video-viral-loker-bodong-pasar-minggu-begini-kondisi-terkini-kesaksiannya</t>
  </si>
  <si>
    <t xml:space="preserve">Video: Viral Loker Bodong Pasar Minggu, Begini Kondisi Terkini &amp; Kesaksiannya - 20detik</t>
  </si>
  <si>
    <t xml:space="preserve">Scroll atau gunakan tombol
                                        [ ]
                                        [ ] serta klik panah di sisi kanan untuk menjelajahi feed video. Ruko yang dijadikan te</t>
  </si>
  <si>
    <t xml:space="preserve">https://news.detik.com/berita/d-8648380/viral-kantor-loker-palsu-di-pasar-minggu-jaksel-polisi-cek-tkp</t>
  </si>
  <si>
    <t xml:space="preserve">Viral Kantor Loker Palsu di Pasar Minggu Jaksel, Polisi Cek TKP - detikNews</t>
  </si>
  <si>
    <t xml:space="preserve">Kasus penipuan modus membuka lowongan kerja (loker) di Pasar Minggu, Jakarta Selatan (Jaksel), ramai disorot di media sosial (medsos). Diduga kantor yang mengaku membuka loker itu justru meminta uang </t>
  </si>
  <si>
    <t xml:space="preserve">Viral seorang pemotor sambat ditarik parkir ngepruk oleh satpam di Pasar Triwindu, Kecamatan Banjarsari, Kota Solo. Keluhan itu disampaikan oleh akun Instagram @juanmonty_. " Waktu saya mau pulang ada</t>
  </si>
  <si>
    <t xml:space="preserve">https://news.detik.com/berita/d-8651769/viral-asap-hitam-menyembur-dari-dalam-tanah-di-jakpus-ini-penyebabnya</t>
  </si>
  <si>
    <t xml:space="preserve">Viral Asap Hitam Menyembur dari Dalam Tanah di Jakpus, Ini Penyebabnya - detikNews</t>
  </si>
  <si>
    <t xml:space="preserve">Asap hitam pekat tiba-tiba menyembur di dalam tanah di depan sebuah ruko di kawasan Pasar Baru, Jakarta Pusat. Semburan asap hitam itu ternyata berasal dari gardu listrik yang mengalami korsleting. Da</t>
  </si>
  <si>
    <t xml:space="preserve">https://www.jpnn.com/video/lagu-basstamam-viral-syed-iqbal-kini-bidik-pasar-musik-indonesia</t>
  </si>
  <si>
    <t xml:space="preserve">Lagu Basstamam Viral, Syed Iqbal Kini Bidik Pasar Musik Indonesia - jpnn.com</t>
  </si>
  <si>
    <t xml:space="preserve">Lagu berjudul 'Basstamam' yang viral di media sosial membawa penyanyi asal Malaysia, Syed Iqbal, memperluas kiprahnya ke Indonesia. Mengusung musik bernuansa Islami dengan perpaduan bahasa Arab, Melay</t>
  </si>
  <si>
    <t xml:space="preserve">30 Orang Terjebak di Bianglala Pasar Malam Deli Serdang, Pengelola Ungkap Penyebabnya MEDAN, KOMPAS.com - Pengelola Pasar Malam di Desa Laut Dendang, Kecamatan Percut Sei Tuan, Kabupaten Deli Serdang </t>
  </si>
  <si>
    <t xml:space="preserve">https://www.viralpublik.com/personel-polsek-kepahiang-amankan-bazar-umkm-dan-pasar-malam-warga-beraktivitas-dengan-aman-dan</t>
  </si>
  <si>
    <t xml:space="preserve">Kepahiang – Guna memberikan rasa aman kepada masyarakat serta memastikan kelancaran aktivitas ekonomi masyarakat, personel Polsek Kepahiang, Polres Kepahiang, melaksanakan pengamanan kegiatan Bazar UM</t>
  </si>
  <si>
    <t xml:space="preserve">Demi Jagung Bakar, Bos NVIDIA Jensen Huang Traktir Antrean 1 Pasar Malam KOMPAS.com - Aksi pendiri sekaligus CEO NVIDIA, Jensen Huang, saat mengunjungi Pasar Malam Raohe di Taipei, Taiwan, viral di me</t>
  </si>
  <si>
    <t xml:space="preserve">https://wolipop.detik.com/worklife/d-8528087/viral-wanita-jadi-joki-tong-setan-dari-pasar-malam-kini-beraksi-di-inggris</t>
  </si>
  <si>
    <t xml:space="preserve">Viral Wanita Jadi Joki Tong Setan, dari Pasar Malam Kini Beraksi di Inggris - Wolipop</t>
  </si>
  <si>
    <t xml:space="preserve">Siapa sangka, gemuruh knalpot dan aksi menegangkan di dinding kayu vertikal "tong setan" yang biasa dijumpai di pasar malam pelosok desa mampu membawa Karmila Purba terbang jauh hingga ke Inggris. Wan</t>
  </si>
  <si>
    <t xml:space="preserve">https://alurnews.com/2026/09/23/viral-pria-ajak-2-anak-jajan-beras-di-toko-sembako-batam-diduga-dibawa-kabur/</t>
  </si>
  <si>
    <t xml:space="preserve">Viral Pria Ajak 2 Anak Jajan, Beras di Toko Sembako Batam Diduga Dibawa Kabur - alurnews.com</t>
  </si>
  <si>
    <t xml:space="preserve">Viral Pria Ajak 2 Anak Jajan, Beras di Toko Sembako Batam Diduga Dibawa Kabur AlurNews.com – Kepolisian melakukan penyelidikan terhadap sebuah video pendek berdurasi satu menit, yang kini viral di med</t>
  </si>
  <si>
    <t xml:space="preserve">https://news.detik.com/berita/d-8634488/3-bocah-bobol-toko-hp-di-mal-padang-aksinya-viral-terekam-cctv</t>
  </si>
  <si>
    <t xml:space="preserve">3 Bocah Bobol Toko HP di Mal Padang, Aksinya Viral Terekam CCTV - detikNews</t>
  </si>
  <si>
    <t xml:space="preserve">Tiga anak di bawah umur di Kota Padang, Sumatera Barat, kedapatan membobol lima toko elektronik di Plaza Andalas (mal). Aksi pencurian ini terekam kamera CCTV kemudian viral di media sosial. Kasat Res</t>
  </si>
  <si>
    <t xml:space="preserve">https://kabarhandayani.com/toko-bukan-koperasi-desa-merah-putih-di-semanu-viral-begini-alasan-pemilik/</t>
  </si>
  <si>
    <t xml:space="preserve">kabarhandayani.com</t>
  </si>
  <si>
    <t xml:space="preserve">Toko “Bukan Koperasi Desa Merah Putih” di Semanu Viral, Begini Alasan Pemilik - kabarhandayani.com</t>
  </si>
  <si>
    <t xml:space="preserve">GUNUNGKIDUL, (KH) ,– Ada-ada saja kreativitas warga Kabupaten Gunungkidul dalam membangun usaha. Baru-baru ini, sebuah toko kelontong di kawasan Kangkung B, Kalurahan Ngeposari, Kapanewon Semanu menda</t>
  </si>
  <si>
    <t xml:space="preserve">https://www.kompasiana.com/rikaapriani/6a1e3477ed64153e723a00f2/fenomena-toko-viral-yang-tutup-hanya-beberapa-bulan-setelah-buka?page=all</t>
  </si>
  <si>
    <t xml:space="preserve">Fenomena Toko Viral yang Tutup Hanya Beberapa Bulan Setelah Buka Halaman all - Kompasiana.com</t>
  </si>
  <si>
    <t xml:space="preserve">Creating my own imaginary world through writing. Di kota ini, viral bisa datang lebih cepat daripada hujan. Hari ini tidak ada yang mengenalmu. Besok antrean sudah mengular sampai trotoar. Lusa, semua</t>
  </si>
  <si>
    <t xml:space="preserve">https://www.facebook.com/medandailynews/videos/sebuah-video-yang-memperlihatkan-keributan-antara-seorang-driver-ojek-online-ojo/1393359856015128/</t>
  </si>
  <si>
    <t xml:space="preserve">Sebuah video yang memperlihatkan keributan antara seorang driver ojek online (ojol) dengan karyawan sebuah toko viral di media sosial. Insiden tersebut...</t>
  </si>
  <si>
    <t xml:space="preserve">(Surat Kabar Dan Tri) - Terletak di sepanjang tebing sebuah lubang runtuhan sedalam 326 meter di Tiongkok, sebuah toko buku dengan lebih dari 10.000 buku menjadi tempat check-in populer bagi wisatawan</t>
  </si>
  <si>
    <t xml:space="preserve">https://news.okezone.com/read/2026/08/11/340/3235292/viral-istri-ngamuk-hingga-hancurkan-rumah-dan-toko-dengan-alat-berat-karena-suami-selingkuh</t>
  </si>
  <si>
    <t xml:space="preserve">Viral! Istri Ngamuk hingga Hancurkan Rumah dan Toko dengan Alat Berat karena Suami Selingkuh - news.okezone.com</t>
  </si>
  <si>
    <t xml:space="preserve">PONOROGO - Seorang istri berinisal NJ nekat menghancurkan rumah dan toko yang selama ini menjadi tempat usaha mereka di Desa Watubonar, Kecamatan Badegan, Ponorogo, Jawa Timur. Peristiwa tersebut vira</t>
  </si>
  <si>
    <t xml:space="preserve">https://balijani.id/perkelahian-viral-di-depan-toko-modern-singaraja/</t>
  </si>
  <si>
    <t xml:space="preserve">balijani.id</t>
  </si>
  <si>
    <t xml:space="preserve">Viral !, Aksi Perkelahian di Depan Toko Modern - balijani.id</t>
  </si>
  <si>
    <t xml:space="preserve">Singaraja, Balijani.id ~ Adegan perkelahian dalam rekaman video berdurasi 1.13 di depan sebuah toko modern menjadi viral di media sosial, meski demikian identitas para pelaku yang saling kejar tersebu</t>
  </si>
  <si>
    <t xml:space="preserve">https://polresta.surakarta.go.id/viral-di-medsos-polisi-pastikan-kasus-toko-emas-nusukan-bukan-aksi-perampokan/</t>
  </si>
  <si>
    <t xml:space="preserve">polresta.surakarta.go.id</t>
  </si>
  <si>
    <t xml:space="preserve">Viral di Medsos, Polisi Pastikan Kasus Toko Emas Nusukan Bukan Aksi Perampokan - polresta.surakarta.go.id</t>
  </si>
  <si>
    <t xml:space="preserve">Polresta Surakarta- Polda Jateng– Dugaan aksi pencurian terjadi di salah satu toko emas di ruas Jalan Pierre Tendean, Kelurahan Nusukan, Kecamatan Banjarsari, Rabu (10/6) sore. Peristiwa tersebut semp</t>
  </si>
  <si>
    <t xml:space="preserve">https://www.detik.com/jatim/berita/d-8595969/viral-kasir-toko-di-pare-kediri-dimaki-habis-pembeli-gegara-kacang</t>
  </si>
  <si>
    <t xml:space="preserve">Viral Kasir Toko di Pare Kediri Dimaki Habis Pembeli gegara Kacang - detikcom</t>
  </si>
  <si>
    <t xml:space="preserve">Sebuah video yang menampilkan seorang kasir sebuah toko dimaki habis-habisan pembeli emak-emak perempuan gegara salah input barang belanja viral di media sosial. Dalam keterangan video disebutkan keja</t>
  </si>
  <si>
    <t xml:space="preserve">https://news.detik.com/berita/d-8557894/viral-wanita-diduga-jual-emas-palsu-ke-toko-di-pamulang-tangsel</t>
  </si>
  <si>
    <t xml:space="preserve">Viral Wanita Diduga Jual Emas Palsu ke Toko di Pamulang Tangsel - detikNews</t>
  </si>
  <si>
    <t xml:space="preserve">Seorang wanita viral di media sosial (medsos) usai diduga menjual emas palsu ke salah satu toko emas di Pamulang, Tangerang Selatan (Tangsel), Banten. Aksi wanita ini diketahui setelah petugas mengece</t>
  </si>
  <si>
    <t xml:space="preserve">https://news.detik.com/berita/d-8505153/viral-pria-di-medan-bawa-kabur-emas-batang-150-gram-modus-pura-pura-beli</t>
  </si>
  <si>
    <t xml:space="preserve">Viral Pria di Medan Bawa Kabur Emas Batang 150 Gram, Modus Pura-pura Beli - detikNews</t>
  </si>
  <si>
    <t xml:space="preserve">Aksi seorang pria mencuri emas batangan di Toko Mas Agung, Jalan Brigjen Katamso, Kecamatan Medan Maimun, Kota Medan, terekam CCTV hingga viral di media sosial. Pelaku membawa kabur emas batangan ters</t>
  </si>
  <si>
    <t xml:space="preserve">https://www.detik.com/jatim/berita/d-8596094/tampang-pembeli-yang-maki-kasir-di-pare-kediri-hingga-dipecat-toko</t>
  </si>
  <si>
    <t xml:space="preserve">Tampang Pembeli yang Maki Kasir di Pare Kediri hingga Dipecat Toko - detikcom</t>
  </si>
  <si>
    <t xml:space="preserve">Kasir Toko Al Amin di Kampung Inggris, Pare, Kabupaten Kediri bernama Putri jadi sasaran makian pembeli bernama Wati. Penyebabnya hanya karena salah input barang belanja kacang seharga Rp 54 ribu. Vid</t>
  </si>
  <si>
    <t xml:space="preserve">https://www.detik.com/sumut/hukum-dan-kriminal/d-8450498/viral-wanita-ngamuk-bawa-parang-ke-toko-hp-di-medan-ternyata-korban-penipuan</t>
  </si>
  <si>
    <t xml:space="preserve">Viral Wanita Ngamuk Bawa Parang ke Toko HP di Medan, Ternyata Korban Penipuan - detikcom</t>
  </si>
  <si>
    <t xml:space="preserve">Sebuah video yang menampilkan seorang wanita di Medan mengancam karyawan toko handphone, PStore, dengan parang, viral di media sosial. Polisi sebut ternyata pelaku berbuat nekat lantaran menjadi korba</t>
  </si>
  <si>
    <t xml:space="preserve">https://www.cnnindonesia.com/nasional/20260729145935-12-1386222/viral-wna-di-ubud-terekam-cctv-curi-baju-di-toko-yoga</t>
  </si>
  <si>
    <t xml:space="preserve">Viral, WNA di Ubud Terekam CCTV Curi Baju di Toko Yoga - cnnindonesia.com</t>
  </si>
  <si>
    <t xml:space="preserve">Kepolisian Polres Gianyar, Bali , menyelidiki dugaan pencurian yang dilakukan oleh seorang perempuan warga negara asing (WNA) di sebuah toko pakaian yoga di kawasan Ubud, Kabupaten Gianyar. Hal itu di</t>
  </si>
  <si>
    <t xml:space="preserve">https://www.bloombergtechnoz.com/detail-news/109661/tanggapan-alfamart-amrt-usai-viral-belasan-toko-ditutup</t>
  </si>
  <si>
    <t xml:space="preserve">Tanggapan Alfamart (AMRT) Usai Viral Belasan Toko Ditutup - Bloomberg Technoz</t>
  </si>
  <si>
    <t xml:space="preserve">Bloomberg Technoz, Jakarta - Manajemen PT Sumber Alfaria Trijaya Tbk (AMRT) angkat bicara ihwal viral 18 gerainya yang ditutup Pemerintah Kabupaten Lombok Tengah. Dalam video yang beredar di media sos</t>
  </si>
  <si>
    <t xml:space="preserve">TRIBUNTRAVEL.COM - Bandung di Jawa Barat selalu punya cara untuk membuat wisatawan kembali lagi, terutama lewat kulinernya. Tidak hanya makanan berat, Bandung juga dikenal dengan berbagai oleh-oleh un</t>
  </si>
  <si>
    <t xml:space="preserve">TRIBUNTRAVEL.COM - Bandung, Jawa Barat punya pilihan oleh-oleh baru yang menarik untuk dicoba, salah satunya Sepotong Warisan . Toko kue yang berada di Jalan Purnawarman ini mengusung konsep tempo dul</t>
  </si>
  <si>
    <t xml:space="preserve">TRIBUNTRAVEL.COM - Bosan membawa pulang oleh-oleh Bandung , Jawa Barat yang itu-itu saja? Toko Roti Merak bisa menjadi pilihan bagi wisatawan yang ingin membawa pulang pastry dengan tampilan berbeda. </t>
  </si>
  <si>
    <t xml:space="preserve">https://travel.tribunnews.com/news/143034/5-toko-oleh-oleh-haji-di-jogja-tawarkan-produk-lengkap-dan-murah</t>
  </si>
  <si>
    <t xml:space="preserve">TRIBUNTRAVEL.COM - Berbelanja oleh-oleh haji di Jogja bisa menjadi pilihan praktis bagi jamaah yang ingin membawa buah tangan tanpa harus repot membawanya langsung dari Tanah Suci. Jogja dikenal memil</t>
  </si>
  <si>
    <t xml:space="preserve">https://travel.tribunnews.com/shopping/142915/5-toko-oleh-oleh-haji-di-bekasi-lengkap-dari-kurma-zamzam-hingga-mukena</t>
  </si>
  <si>
    <t xml:space="preserve">TRIBUNTRAVEL.COM - Momen pulang dari tanah suci Makkah memang selalu identik dengan berbagi kebahagiaan lewat buah tangan untuk keluarga dan kerabat. Tak heran jika banyak orang mulai berburu oleh-ole</t>
  </si>
  <si>
    <t xml:space="preserve">https://travel.tribunnews.com/shopping/142872/5-toko-oleh-oleh-haji-di-pasar-kliwon-solo-lengkap-ada-kurma-hingga-zamzam</t>
  </si>
  <si>
    <t xml:space="preserve">TRIBUNTRAVEL.COM - Berburu oleh-oleh haji memang selalu jadi momen seru, apalagi kalau bisa menemukan banyak pilihan dalam satu kawasan yang lengkap dan nyaman. Di Solo , tradisi membawa buah tangan s</t>
  </si>
  <si>
    <t xml:space="preserve">https://travel.tribunnews.com/news/142939/3-toko-oleh-oleh-haji-di-jakarta-pusat-yang-lengkap-dan-lokasinya-strategis</t>
  </si>
  <si>
    <t xml:space="preserve">TRIBUNTRAVEL.COM - Jalarta Pusat dikenal sebagai pusat grosir dan distribusi perlengkapan haji dan umrah, terutama di area Tanah Abang yang selalu ramai pengunjung. Traveler bisa menemukan berbagai pr</t>
  </si>
  <si>
    <t xml:space="preserve">https://travel.tribunnews.com/news/142907/5-tempat-belanja-oleh-oleh-haji-di-jakarta-selatan-tawarkan-produk-lengkap</t>
  </si>
  <si>
    <t xml:space="preserve">5 Tempat Belanja Oleh-oleh Haji di Jakarta Selatan, Tawarkan Produk Lengkap - Tribun Travel</t>
  </si>
  <si>
    <t xml:space="preserve">TRIBUNTRAVEL.COM - Sedang mencari tempat belanja oleh-oleh haji di Jakarta Selatan ? Tak perlu bingung, kini ada cukup banyak tempat belanja oleh-oleh haji di Jakarta Selatan yang menyediakan produk l</t>
  </si>
  <si>
    <t xml:space="preserve">https://travel.tribunnews.com/news/142856/5-spot-belanja-oleh-oleh-haji-di-solo-lokasi-dekat-pusat-kota</t>
  </si>
  <si>
    <t xml:space="preserve">5 Spot Belanja Oleh-oleh Haji di Solo, Lokasi Dekat Pusat Kota - Tribun Travel</t>
  </si>
  <si>
    <t xml:space="preserve">TRIBUNTRAVEL.COM - Berburu oleh-oleh haji di Solo kini menjadi semakin praktis karena banyak toko yang menyediakan beragam kebutuhan, mulai dari kurma, air zamzam, hingga perlengkapan ibadah. Kota Sol</t>
  </si>
  <si>
    <t xml:space="preserve">https://www.tripzilla.id/toko-store-bandung/26900</t>
  </si>
  <si>
    <t xml:space="preserve">12 Toko dan Store Gemas Penuh Warna di Bandung, Dari Fashion Hingga Tas - tripzilla.id</t>
  </si>
  <si>
    <t xml:space="preserve">Surga belanja dan seni penuh kreatifitas menjadi definisi yang tepat untuk menggambarkan kota Bandung. Kota Kembang ini telah dikenal sebagai pusat mode Indonesia karena industri lokal selalu bertumbu</t>
  </si>
  <si>
    <t xml:space="preserve">Kawasan Blok M kembali naik daun. Bukan cuma jadi tempat nongkrong anak muda, kawasan legendaris Jakarta Selatan itu kini berubah menjadi ladang cuan baru bagi para pelaku usaha kuliner , fesyen, hing</t>
  </si>
  <si>
    <t xml:space="preserve">https://pegadaian.co.id/artikel/wirausaha/cara-jualan-di-tiktok-shop</t>
  </si>
  <si>
    <t xml:space="preserve">Cara Jualan di TikTok Shop agar Cepat Laku untuk Pemula - Pegadaian</t>
  </si>
  <si>
    <t xml:space="preserve">Oleh Sahabat Pegadaian dalam Wirausaha Cara jualan di TikTok Shop kini jadi salah satu peluang bisnis paling menjanjikan buat kamu yang ingin mulai usaha online dengan modal minim. Platform ini memili</t>
  </si>
  <si>
    <t xml:space="preserve">Bukan Bandung jika tidak selalu punya aktivitas liburan yang seru dan menarik. Salah satunya kawasan Cihapit yang menjadi kawasan yang tengah naik daun bahkan viral di Bandung. Banyak warga lokal dan </t>
  </si>
  <si>
    <t xml:space="preserve">Berkunjung ke Jakarta Fair atau Pekan Raya Jakarta (PRJ) tak melulu soal berburu kuliner atau menikmati promo belanja. Di balik ratusan tenant yang meramaikan pameran tahunan ini, pengunjung juga bisa</t>
  </si>
  <si>
    <t xml:space="preserve">https://www.kompasiana.com/aiesecinusu/6a69a0da34777c0d5452a5b2/tren-gen-z-berani-memulai-bisnis-sejak-dini-saatnya-asah-mentality-dan-strategi-bisnis-nyata</t>
  </si>
  <si>
    <t xml:space="preserve">Tren Gen Z Berani Memulai Bisnis Sejak Dini : Saatnya Asah Mentality dan Strategi Bisnis Nyata - Kompasiana.com</t>
  </si>
  <si>
    <t xml:space="preserve">AIESEC in Universitas Sumatera Utara (AIESEC in USU) is part of the global AIESEC network that focuses on developing youth leadership. First established in 2013 and reactivated in 2019, AIESEC in USU </t>
  </si>
  <si>
    <t xml:space="preserve">Siapa yang tidak rindu dengan udara sejuk dan kemacetan syahdu Kota Bogor? Selain wisatanya yang ciamik, Kota Hujan ini adalah surganya kuliner. Membawa pulang oleh oleh khas Bogor bukan sekadar tradi</t>
  </si>
  <si>
    <t xml:space="preserve">TRIBUNTRAVEL.COM - Menikmati cheesecake di Jakarta Pusat bukan hanya tentang rasa, tetapi juga menghadirkan pengalaman kuliner yang memanjakan lidah. Jakarta Pusat menawarkan banyak pilihan dessert sh</t>
  </si>
  <si>
    <t xml:space="preserve">https://sport.detik.com/sepakbola/gila-bola/d-8605238/lagi-lagi-viral-messi-belanja-tanpa-pengawalan-seperti-warga-biasa</t>
  </si>
  <si>
    <t xml:space="preserve">sport.detik.com</t>
  </si>
  <si>
    <t xml:space="preserve">Lagi-lagi Viral Messi Belanja, Tanpa Pengawalan Seperti Warga Biasa Afif Farhan - detikSepakbola Lionel Messi menikmati betul hidupnya di Miami, AS. Messi sekali lagi kedapatan di tempat belanja, tanp</t>
  </si>
  <si>
    <t xml:space="preserve">TRIBUNTRAVEL.COM - Liburan ke Jogja rasanya belum lengkap tanpa berburu buah tangan khas yang bisa dibawa pulang untuk keluarga maupun teman. Beragam pilihan oleh-oleh tersedia di berbagai sudut kota,</t>
  </si>
  <si>
    <t xml:space="preserve">Wisatawan Indonesia Makin Sering Liburan ke "Hidden Gem", Mana Saja? KOMPAS.com - Tren perjalanan wisata di Indonesia terus mengalami perubahan. Jika sebelumnya kota-kota besar dan destinasi populer m</t>
  </si>
  <si>
    <t xml:space="preserve">https://www.cnnindonesia.com/gaya-hidup/20260608171729-269-1366741/pola-wisata-di-indonesia-bergeser-turis-berbondong-buru-hidden-gems</t>
  </si>
  <si>
    <t xml:space="preserve">Pola Wisata di Indonesia Bergeser, Turis Berbondong Buru 'Hidden Gems' - cnnindonesia.com</t>
  </si>
  <si>
    <t xml:space="preserve">Pola perjalanan turis di Indonesia mengalami pergeseran signifikan. Turis kini cenderung menghindari kota-kota besar dan lebih memilih menjelajahi destinasi alternatif demi memburu keindahan alam, pen</t>
  </si>
  <si>
    <t xml:space="preserve">Baca berita tanpa iklan. Gabung National Geographic+ Kamis, 11 Juni 2026 | 07:38 WIB Utomo Priyambodo, Mahandis Yoanata Thamrin Mahandis Yoanata Thamrin Para wisatawan menikmati matahari tenggelam di </t>
  </si>
  <si>
    <t xml:space="preserve">https://wartaekonomi.co.id/read634083/roselands-hidden-gem-rumah-tapak-di-sydney-yang-mulai-dilirik-investor-indonesia</t>
  </si>
  <si>
    <t xml:space="preserve">Roselands, Hidden Gem Rumah Tapak di Sydney yang Mulai Dilirik Investor Indonesia - Warta Ekonomi</t>
  </si>
  <si>
    <t xml:space="preserve">Keterbatasan lahan pengembangan rumah tapak di Sydney mendorong kawasan hunian baru bergeser ke wilayah suburban, terutama di bagian barat, barat daya, dan selatan kota. Perubahan ini membuka peluang </t>
  </si>
  <si>
    <t xml:space="preserve">https://www.bloombergtechnoz.com/detail-news/121027/bei-buka-gembok-saham-gocap-investor-ritel-bisa-dapat-hidden-gem</t>
  </si>
  <si>
    <t xml:space="preserve">BEI Buka Gembok Saham Gocap, Investor Ritel Bisa Dapat Hidden Gem - Bloomberg Technoz</t>
  </si>
  <si>
    <t xml:space="preserve">Bloomberg Technoz, Jakarta - Rencana Bursa Efek Indonesia (BEI) menghapus batas minimum harga Rp50/saham per akhir September membuka babak baru bagi investor ritel di pasar modal Indonesia. Apa saja u</t>
  </si>
  <si>
    <t xml:space="preserve">Rekomendasi destinasi wisata alam hidden gem di Indonesia--doc.istimewa HARIANBANYUASIN.COM - Di tengah padatnya pekerjaan, kemacetan, dan hiruk pikuk kehidupan sehari-hari, banyak orang mulai mencari</t>
  </si>
  <si>
    <t xml:space="preserve">https://pasardana.id/news/2026/6/10/hidden-gem-bursa-beraksi-mtdl-tebar-dividen-rp331-5-miliar-investor-dapat-rp27-per-saham</t>
  </si>
  <si>
    <t xml:space="preserve">pasardana.id</t>
  </si>
  <si>
    <t xml:space="preserve">Hidden Gem Bursa Beraksi! MTDL Tebar Dividen Rp331,5 Miliar! Investor Dapat Rp27 per Saham - pasardana.id</t>
  </si>
  <si>
    <t xml:space="preserve">28 September 2026, 16:47 28 September 2026, 16:00 28 September 2026, 15:53 28 September 2026, 15:45 28 September 2026, 15:32 28 September 2026, 15:02 Bagi Dividen | aksi korporasi | dividen tunai | PT</t>
  </si>
  <si>
    <t xml:space="preserve">https://beritakota.id/tren-baru-liburan-ke-wisata-antimainstream-makin-diburu/</t>
  </si>
  <si>
    <t xml:space="preserve">beritakota.id</t>
  </si>
  <si>
    <t xml:space="preserve">Target Wisata ke Kota Hidden Gem, Kampanye Visit Malaysia 2026 Gaet Commuter Line - VOI.ID</t>
  </si>
  <si>
    <t xml:space="preserve">Jakarta, Beritakota.id – Tidak semua wisatawan lagi mengejar destinasi yang ramai dikunjungi. Dalam beberapa tahun terakhir, muncul perubahan menarik pada perilaku pelancong Indonesia. Semakin banyak </t>
  </si>
  <si>
    <t xml:space="preserve">https://voi.id/lifestyle/587128/target-wisata-ke-kota-hidden-gem-kampanye-visit-malaysia-2026-gaet-commuter-line</t>
  </si>
  <si>
    <t xml:space="preserve">Tren Wisata Indonesia 2026: Bali Raih Predikat Terbaik Dunia hingga Munculnya Fenomena Hidden Gem Baru - Harapan Rakyat</t>
  </si>
  <si>
    <t xml:space="preserve">You must confirm your age to access this page. JAKARTA - Tourism Malaysia bekerja sama dengan PT. Kereta Commuter Indonesia (KAI Commuter) untuk menghadirkan kampanye Visit Malaysia 2026 secara masif.</t>
  </si>
  <si>
    <t xml:space="preserve">Dengan berbagai pilihan, dari petualangan alam hingga kedamaian tradisional, pastikan rencana perjalanan Anda tersusun secara matang agar selaras dengan tren wisata Indonesia 2026 demi mendapatkan pen</t>
  </si>
  <si>
    <t xml:space="preserve">Jakarta selama ini identik dengan Museum Nasional, Museum Fatahillah, atau Museum Bank Indonesia yang hampir selalu dipadati wisatawan . Padahal, di balik museum- museum populer tersebut, ibu kota mas</t>
  </si>
  <si>
    <t xml:space="preserve">RRI.CO.ID, Tual - Bair Island is a marine tourism destination offering striking natural scenery in Tual, Maluku. Located in eastern Indonesia, the island provides visitors with a peaceful setting to e</t>
  </si>
  <si>
    <t xml:space="preserve">Gresik – Tersembunyi di gang sempit Kelurahan Sidomoro, Kecamatan Kebomas, Kabupaten Gresik , Jawa Timur, Rujak Cingur Bu Is menjelma menjadi destinasi kuliner yang wajib dikunjungi. Warung sederhana </t>
  </si>
  <si>
    <t xml:space="preserve">Blok M dikenal sebagai salah satu ikon wisata Jakarta . Kawasan ini penuh dengan banyak destinasi yang bisa memanjakan siapa saja yang datang. Hampir semua tempat di Blok M selalu viral di media sosia</t>
  </si>
  <si>
    <t xml:space="preserve">https://daihatsu.co.id/tips-and-event/tips-sahabat/detail-content/jadwal-dan-lokasi-sim-keliling-cilegon/</t>
  </si>
  <si>
    <t xml:space="preserve">daihatsu.co.id</t>
  </si>
  <si>
    <t xml:space="preserve">Jadwal SIM Keliling Jakarta Timur dan Lokasi Terbaru April 2026 - Daihatsu</t>
  </si>
  <si>
    <t xml:space="preserve">Mengurus perpanjangan SIM sangatlah penting dan wajib dilakukan sebelum masa berlakunya habis. Jika sudah terlewat dari tenggat waktu, maka SIM Anda tidak bisa diperpanjang lagi. Untuk mengurusnya, An</t>
  </si>
  <si>
    <t xml:space="preserve">https://daihatsu.co.id/tips-and-event/tips-sahabat/detail-content/jadwal-sim-keliling-jakarta-timur-dan-lokasi-terbaru/</t>
  </si>
  <si>
    <t xml:space="preserve">10 Restoran Aceh di Jakarta, Obat Rindu Kampung Halaman - nibble.id</t>
  </si>
  <si>
    <t xml:space="preserve">Bagi warga Jakarta Timur yang ingin memperpanjang SIM tanpa antre lama di Satpas, layanan SIM Keliling bisa jadi solusi praktis. Cek jadwal dan lokasi terbarunya di sini agar tidak salah hari atau lok</t>
  </si>
  <si>
    <t xml:space="preserve">Photo source: @waroengacehkemang Makanan daerah selalu jadi pengobat rindu akan kampung halaman ketika belum sempat mudik. Begitu pula dengan restoran mie Aceh di Jakarta yang menyajikan berbagai maka</t>
  </si>
  <si>
    <t xml:space="preserve">Mie Aceh dikenal sebagai hidangan mie khas dengan cita rasa pedas dan rempah kuat. Di Jakarta, banyak kedai mie Aceh yang terkenal dengan kelezatannya. Sebagai salah satu makanan ikonik dari Aceh, mie</t>
  </si>
  <si>
    <t xml:space="preserve">Konon, warga Jakarta banyak yang hobi jalan-jalan di malam hari. Selain karena suhu udara terasa lebih adem, pesona Jakarta pun terasa berbeda kala malam tiba. Salah satu kegiatan yang menyenangkan un</t>
  </si>
  <si>
    <t xml:space="preserve">TRIBUNTRAVEL.COM - Mencari tempat makan malam dekat Stasiun Pasar Minggu , Jakarta Selatan , bukan hal sulit. Kawasan Stasiun Pasar Minggu dikenal punya banyak pilihan kuliner dengan harga terjangkau </t>
  </si>
  <si>
    <t xml:space="preserve">RRI.CO.ID, Banda Aceh – Asosiasi Travel Agent Indonesia (ASTINDO) menggelar Astindo Nagroe Aceh Travel Fair (ANAT Fair) 2026 di Suzuya Mall Banda Aceh, Jumat hingga Minggu, 25–27 September 2026. Pamer</t>
  </si>
  <si>
    <t xml:space="preserve">250 Foto Berbagai Wisata Aceh Dipamerkan di Kampus, Upaya Promosi Pariwisata LHOKSUKON, KOMPAS.com – Sebanyak 250 foto wisata dari sejumlah destinasi wisata Provinsi Aceh dipamerkan di halaman utama A</t>
  </si>
  <si>
    <t xml:space="preserve">Aceh Besar (Waspada Aceh) – Wisata Alam Seulawah RG mulai menjadi salah satu destinasi favorit warga Aceh Besar dan Banda Aceh sejak resmi dibuka pada 14 Maret 2026. Berada di kawasan pegunungan Desa </t>
  </si>
  <si>
    <t xml:space="preserve">ACEH UTARA — Di tengah hamparan alam pedalaman Kabupaten Aceh Utara, tersembunyi sebuah destinasi wisata baru yang mulai mencuri perhatian masyarakat. Tempat itu bernama Pante Biram, sebuah objek wisa</t>
  </si>
  <si>
    <t xml:space="preserve">MODUSACEH.CO, Aceh Besar | Seorang pengunjung kembali tenggelam di kawasan Pantai Lampuuk, Kabupaten Aceh Besar, Minggu, 13 September 2026. Untungnya korban selamat setelah ditolong warga dan para pes</t>
  </si>
  <si>
    <t xml:space="preserve">Takengon | Lintasgayo.com – Jiva Takengon merupakan destinasi wisata alam yang berdiri sejak tahun 2020 dan didirikan oleh seorang anak muda asal Gayo, Irsyad Firdaus Wahab, yang saat itu masih bersta</t>
  </si>
  <si>
    <t xml:space="preserve">Objek wisata Bukit Lamreh di Desa Lamreh, Kecamatan Mesjid Raya, Aceh Besar sempat ditutup setelah viral pungutan liar (pungli). Tempat itu dibuka kembali dengan pembenahan sistem pengelolaan. Pembuka</t>
  </si>
  <si>
    <t xml:space="preserve">BITHE.co – Satpol PP dan Wilayatul Hisbah (WH) Aceh Besar menyatakan gangguan ketertiban umum dan ketenteraman masyarakat (Trantibum) yang sempat terjadi di kawasan wisata Bukit Lamreh, Kecamatan Mesj</t>
  </si>
  <si>
    <t xml:space="preserve">https://rri.co.id/banda-aceh/wisata/2515270/generasi-muda-dorong-wisata-aceh-mendunia-lewat-konten-digital</t>
  </si>
  <si>
    <t xml:space="preserve">Menaklukkan Air Terjun Blang Kolam, Wisata Canyoneering 70 Meter yang Viral di Aceh - Kompas.com</t>
  </si>
  <si>
    <t xml:space="preserve">RRI.CO.ID, Banda Aceh – Generasi muda dinilai memiliki peran strategis dalam mempromosikan potensi pariwisata Aceh melalui berbagai platform digital. Tren pembuatan konten wisata yang berkembang di me</t>
  </si>
  <si>
    <t xml:space="preserve">Menaklukkan Air Terjun Blang Kolam, Wisata Canyoneering 70 Meter yang Viral di Aceh LHOKSUKON, KOMPAS.com - Deru air yang jatuh dari ketinggian 70 meter memecah kesunyian pagi di kawasan Air Terjun Bl</t>
  </si>
  <si>
    <t xml:space="preserve">MODUSACEH.CO, Aceh Besar | Kawasan wisata Bukit Lamreh di Kecamatan Mesjid Raya, Kabupaten Aceh Besar, kembali menjadi sorotan publik. Bukan karena panorama alamnya yang memukau, melainkan setelah mun</t>
  </si>
  <si>
    <t xml:space="preserve">https://rri.co.id/sabang/wisata/2735601/jaklom-dorong-regulasi-terpadu-untuk-pariwisata-digital-aceh</t>
  </si>
  <si>
    <t xml:space="preserve">RRI.CO.ID, Sabang - Pengembangan ekosistem pariwisata digital Aceh membutuhkan regulasi terintegrasi dan kolaborasi lintas sektor. Langkah tersebut diperlukan agar digitalisasi pariwisata mampu mening</t>
  </si>
  <si>
    <t xml:space="preserve">RRI.CO.ID,Aceh Besar - Wisata Alam Seulawah RG kini viral dan menjadi salah satu destinasi favorit warga Banda Aceh, Aceh Besar dan sekitarnya Objek wisata itu terletak di kawasan pegunungan Desa Peur</t>
  </si>
  <si>
    <t xml:space="preserve">RRI.CO.ID, Meulaboh - Suasana Jalan Lintas Aceh Jaya–Meulaboh yang mulus, sepi, dan berhadapan langsung dengan laut Samudra Hindia kini viral di TikTok dan Instagram. Minggu, 26 April 2026 Banyak warg</t>
  </si>
  <si>
    <t xml:space="preserve">RRI.CO.ID, Jakarta : Bupati Aceh Tengah Drs. Haili Yoga, M.Si melakukan pertemuan dan koordinasi dengan Menteri Pariwisata Republik Indonesia Widiyanti Putri Wardhana di Gedung Sapta Pesona Lantai 16,</t>
  </si>
  <si>
    <t xml:space="preserve">RRI.CO.ID, Aceh Singkil – Pesona alam Pulau Banyak, Kabupaten Aceh Singkil, terus memikat hati para wisatawan. Tidak terkecuali bagi pengusaha sukses sekaligus kreator konten ternama asal Aceh, Shella</t>
  </si>
  <si>
    <t xml:space="preserve">RRI.CO.ID,Takengon - Masjid Al-Munawwarah di Kampung Uning, Kecamatan Pegasing, Kabupaten Aceh Tengah, kini menjadi salah satu destinasi wisata religi, yang menarik perhatian masyarakat maupun wisataw</t>
  </si>
  <si>
    <t xml:space="preserve">BANDA ACEH - Pewarta Foto Indonesia (PFI) Aceh menggelar pameran potret berbagai peristiwa banjir bandang dan tanah longsor yang melanda Aceh pada penghujung 2025. Kegiatan bertajuk "Prahara Pulau Ema</t>
  </si>
  <si>
    <t xml:space="preserve">https://regional.kompas.com/read/2026/07/19/164642778/oknum-polisi-rampok-toko-emas-di-tapaktuan-pakai-senpi-polda-aceh-sebut</t>
  </si>
  <si>
    <t xml:space="preserve">Oknum Polisi Rampok Toko Emas di Tapaktuan Pakai Senpi, Polda Aceh Sebut Motif Tekanan Ekonomi ACEH SELATAN, KOMPAS.com – Seorang oknum anggota kepolisian berinisial MZ (28) nekat melakukan aksi peram</t>
  </si>
  <si>
    <t xml:space="preserve">https://rri.co.id/banda-aceh/hukum/kriminalitas/2639344/viral-di-medsos-pelaku-pencurian-beras-di-banda-aceh-dibekuk-polisi</t>
  </si>
  <si>
    <t xml:space="preserve">RRI.CO.ID, Banda Aceh – Pelaku pencurian tujuh karung beras di sebuah toko grosir di Gampong Lamdom, Kecamatan Lueng Bata, Banda Aceh, akhirnya ditangkap polisi setelah aksinya viral di media sosial. </t>
  </si>
  <si>
    <t xml:space="preserve">https://www.kompas.tv/regional/685670/viral-cctv-petugas-diduga-ambil-rokok-saat-razia-satpol-pp-aceh-utara-membantah-sapa-malam</t>
  </si>
  <si>
    <t xml:space="preserve">Polisi Nekat Rampok Toko Emas di Aceh dengan Senjata Laras Panjang - The Great Mischief</t>
  </si>
  <si>
    <t xml:space="preserve">The Great Mischief</t>
  </si>
  <si>
    <t xml:space="preserve">2026-08-16</t>
  </si>
  <si>
    <t xml:space="preserve">KOMPAS.TV – Satpol PP-WH Aceh Utara membantah anggotanya mengambil rokok milik pedagang saat razia rokok ilegal. Dugaan tersebut muncul setelah rekaman CCTV yang memperlihatkan aktivitas petugas saat </t>
  </si>
  <si>
    <t xml:space="preserve">https://www.upplan.sg/news/005e099994.html</t>
  </si>
  <si>
    <t xml:space="preserve">www.upplan.sg</t>
  </si>
  <si>
    <t xml:space="preserve">Seorang oknum anggota kepolisian berinisial MZ (28) ditangkap setelah diduga melakukan aksi perampokan di sebuah toko emas di Kecamatan Tapaktuan, Kabupaten Aceh Selatan, Sabtu (18/7/2026). Pelaku diamankan sekitar 11 jam setelah kejadian. Ber - facebook.com</t>
  </si>
  <si>
    <t xml:space="preserve">PMF , aliansi kelompok paramiliter yang sebelumnya berdiri sendiri dan kini terintegrasi ke dalam angkatan bersenjata, mengakhiri jeda singkat dalam pertempuran dengan melancarkan serangan terbaru. Se</t>
  </si>
  <si>
    <t xml:space="preserve">https://sumut.idntimes.com/news/sumatra-utara/perampok-bersenjata-laras-panjang-gasak-toko-emas-di-aceh-selatan-00-qynp2-3nzxvk</t>
  </si>
  <si>
    <t xml:space="preserve">Curhat Pelajar pada Bupati Aceh Timur, Diinjak di Wajah oleh Perempuan karena Dituduh Curi Rp 10.000 - Kompas.com</t>
  </si>
  <si>
    <t xml:space="preserve">Banda Aceh, IDN Times - Aksi perampokan bersenjata menggegerkan warga Tapaktuan, Kabupaten Aceh Selatan, Aceh, pada Sabtu (18/7/2026). Seorang pria yang diduga membawa senjata laras panjang merampok T</t>
  </si>
  <si>
    <t xml:space="preserve">https://regional.kompas.com/read/2026/07/10/222604278/curhat-pelajar-pada-bupati-aceh-timur-diinjak-di-wajah-oleh-perempuan?page=all</t>
  </si>
  <si>
    <t xml:space="preserve">Curhat Pelajar pada Bupati Aceh Timur, Diinjak di Wajah oleh Perempuan karena Dituduh Curi Rp 10.000 IDI, KOMPAS.com -  IR, pelajar SMP di Kabupaten Aceh Timur, Provinsi Aceh mengeluarkan curahan hati</t>
  </si>
  <si>
    <t xml:space="preserve">https://regional.kompas.com/read/2026/07/20/141508278/motif-polisi-rampok-toko-emas-di-aceh-selatan-tekanan-ekonomi</t>
  </si>
  <si>
    <t xml:space="preserve">3 Orang Diperiksa Terkait Seleb Aceh Besar Pamer Kelamin saat Live TikTok - detikcom</t>
  </si>
  <si>
    <t xml:space="preserve">Motif Polisi Rampok Toko Emas di Aceh Selatan: Tekanan Ekonomi ACEH SELATAN, KOMPAS.com - Polda Aceh mengungkap motif sementara di balik aksi perampokan toko emas yang dilakukan seorang oknum anggota </t>
  </si>
  <si>
    <t xml:space="preserve">https://www.detik.com/sumut/hukum-dan-kriminal/d-8582735/3-orang-diperiksa-terkait-seleb-aceh-besar-pamer-kelamin-saat-live-tiktok</t>
  </si>
  <si>
    <t xml:space="preserve">Pria Spesialis Pencuri Beras di Banda Aceh Ditangkap Polisi - detikcom</t>
  </si>
  <si>
    <t xml:space="preserve">Penyidik polisi syariah (Wilayatul Hisbah/WH) memeriksa dua perempuan dan satu pria terkait kasus pemilik akun TikTok 'Selep Aceh Besar' memamerkan kelamin saat siaran langsung (live). Belum ada yang </t>
  </si>
  <si>
    <t xml:space="preserve">https://www.detik.com/sumut/hukum-dan-kriminal/d-8611610/pria-spesialis-pencuri-beras-di-banda-aceh-ditangkap-polisi</t>
  </si>
  <si>
    <t xml:space="preserve">ANAT Fair 2026 Digelar, Banda Aceh Bidik Wisatawan Tinggal Lebih Lama dan Belanja Produk Lokal - distori.id</t>
  </si>
  <si>
    <t xml:space="preserve">Seorang pria asal Aceh Barat, RWN (34) ditangkap polisi karena diduga mencuri tujuh karung beras di toko UD Zaffira Gampong Lamdom, Banda Aceh. Aksinya terekam kamera CCTV dan viral di media sosial. "</t>
  </si>
  <si>
    <t xml:space="preserve">DISTORI.ID - Sekretaris Daerah Kota Banda Aceh Jalaluddin secara resmi membuka ASTINDO Nanggroe Aceh Travel Fair (ANAT Fair) 2026 di Suzuya Mall Banda Aceh, Jumat (25/9/2026). Mengusung tema “Jelajahi</t>
  </si>
  <si>
    <t xml:space="preserve">https://waspadaaceh.com/jelang-idul-adha-warga-banda-aceh-serbu-toko-kue-kering/</t>
  </si>
  <si>
    <t xml:space="preserve">Temuan BPK: Penatausahaan Belanja Jamuan Tamu Rp549,4 Juta di Sekretariat Daerah Tak Tertib - AJNN.net</t>
  </si>
  <si>
    <t xml:space="preserve">Banda Aceh (Waspada Aceh) – Ratusan warga terlihat menyerbu toko kue kering di berbagai tempat di Kota Banda Aceh, jelang Idul Adha 2026, untuk mengisi toples-toples di rumahnya. Tradisi ini terjadi d</t>
  </si>
  <si>
    <t xml:space="preserve">https://www.ajnn.net/news/temuan-bpk-penatausahaan-belanja-jamuan-tamu-rp549-4-juta-di-sekretariat-daerah-tak-terbib/index.html</t>
  </si>
  <si>
    <t xml:space="preserve">BPK Ungkap Belanja Ratusan Juta Tanpa Bukti Pertanggungjawaban di Tiga SKPK Pemko Subulussalam - AJNN.net</t>
  </si>
  <si>
    <t xml:space="preserve">LHOKSEUMAWE - Badan Pemeriksa Keuangan (BPK) Perwakilan Aceh menemukan pengadaan dan penatausahaan bukti pertanggungjawaban realisasi belanja makanan dan minuman jamuan jamu pada Sekretariat Daerah Ko</t>
  </si>
  <si>
    <t xml:space="preserve">https://www.ajnn.net/news/bpk-ungkap-belanja-ratusan-juta-tanpa-bukti-pertanggungjawaban-di-tiga-skpk-pemko-subulussalam/index.html</t>
  </si>
  <si>
    <t xml:space="preserve">Pasar Tani Aceh di Bireuen Raup Rp68,8 Juta, Harga Cabai dan Bawang Lebih Murah - POSKOTASUMATERA.COM</t>
  </si>
  <si>
    <t xml:space="preserve">POSKOTASUMATERA.COM</t>
  </si>
  <si>
    <t xml:space="preserve">SUBULUSSALAM – Badan Pemeriksa Keuangan (BPK) menemukan pembayaran Belanja Barang dan Jasa pada tiga Satuan Kerja Perangkat Kota (SKPK) Pemerintah Kota Subulussalam tidak sesuai ketentuan dengan nilai</t>
  </si>
  <si>
    <t xml:space="preserve">https://www.poskotasumatera.com/2026/09/pasar-tani-aceh-di-bireuen-raup-rp688.html</t>
  </si>
  <si>
    <t xml:space="preserve">www.poskotasumatera.com</t>
  </si>
  <si>
    <t xml:space="preserve">Keumamah Aceh Tembus Pasar Malaysia hingga Eropa - RRI.co.id</t>
  </si>
  <si>
    <t xml:space="preserve">POSKOTASUMATRA.COM | BIREUEN– Upaya menekan harga pangan sekaligus membuka akses pasar langsung bagi petani kembali digencarkan Pemerintah Aceh. Melalui Pasar Tani Aceh Road Show 2026, masyarakat Bire</t>
  </si>
  <si>
    <t xml:space="preserve">https://rri.co.id/lhokseumawe/ekonomi/umkm/2739290/keumamah-aceh-tembus-pasar-malaysia-hingga-eropa</t>
  </si>
  <si>
    <t xml:space="preserve">Dari Produk Lokal ke Pasar Lebih Luas, UMKM Aceh Tumbuh Bersama Rumah BUMN Pertamina - indodaily.co</t>
  </si>
  <si>
    <t xml:space="preserve">indodaily.co</t>
  </si>
  <si>
    <t xml:space="preserve">RRI.CO.ID, Banda Aceh – Keumamah, makanan khas Aceh berbahan dasar ikan, kini tidak hanya dikenal di pasar lokal. Produk olahan tersebut telah dipasarkan hingga Malaysia, Selandia Baru, dan sejumlah n</t>
  </si>
  <si>
    <t xml:space="preserve">https://indodaily.co/dari-produk-lokal-ke-pasar-lebih-luas-umkm-aceh-tumbuh-bersama-rumah-bumn-pertamina/</t>
  </si>
  <si>
    <t xml:space="preserve">Petani Dapat Akses Pasar, Warga Serbu Harga Murah: Road Show Pasar Tani Aceh 2026 Digelar di Aceh Barat - POSKOTASUMATERA.COM</t>
  </si>
  <si>
    <t xml:space="preserve">JAKARTA, INDODAILY.CO. – Pertamina terus memperkuat pemberdayaan ekonomi masyarakat di Aceh melalui Rumah BUMN Pertamina Aceh Tamiang dan Aceh Timur. Kehadiran Rumah BUMN menjadi wadah pembinaan bagi </t>
  </si>
  <si>
    <t xml:space="preserve">https://www.poskotasumatera.com/2026/09/petani-dapat-akses-pasar-warga-serbu.html</t>
  </si>
  <si>
    <t xml:space="preserve">POSKOTASUMATRA.COM | ACEH BARAT – Lapangan depan SMP Negeri 1 Meulaboh, Desa Suwak Indrapuri, Kecamatan Johan Pahlawan, mendadak ramai sejak pagi, Rabu (23/9/2026). Warga berbondong-bondong mendatangi</t>
  </si>
  <si>
    <t xml:space="preserve">https://www.matatelinga.com/berita-aceh/192414/harga-cabai-merah-di-aceh-selatan-tembus-rp60-ribu-dinas-pangan-pantau-pasar-setiap-hari/1/</t>
  </si>
  <si>
    <t xml:space="preserve">www.matatelinga.com</t>
  </si>
  <si>
    <t xml:space="preserve">Polisi Selidiki Dugaan Pelecehan di ST Kebayoran Lama, Pemulihan Aceh Capai 95% | Menyapa Indonesia - SinPo.id</t>
  </si>
  <si>
    <t xml:space="preserve">MATATELINGA , Tapaktuan : Dinas Pangan Kabupaten Aceh Selatan memperketat pemantauan harga dan ketersediaan bahan pangan di Pasar Inpres Tapaktuan. Pemantauan kini dilakukan setiap hari sebagai bagian</t>
  </si>
  <si>
    <t xml:space="preserve">https://tv.sinpo.id/detail/polisi-selidiki-dugaan-pelecehan-di-st-kebayoran-lama-pemulihan-aceh-capai-95-menyapa-indonesia</t>
  </si>
  <si>
    <t xml:space="preserve">Cut Salwa, TikToker Asal Aceh Mendadak Viral, Videonya Bikin Warganet Penasaran - Habadaily</t>
  </si>
  <si>
    <t xml:space="preserve">Habadaily</t>
  </si>
  <si>
    <t xml:space="preserve">SinPo.tv - Menyapa Indonesia Malam, 6 Mei 2026 1. Tebing Longsor Terjang Dramaga, 1 Pria Tertimbun 2. Roboh! Rumah 2 Lantai Timpa 2 Rumah Dan Mobil 3. Viral! Sopir Pick Up Ditikam Akibat Knalpot Bisin</t>
  </si>
  <si>
    <t xml:space="preserve">https://habadaily.com/2026/06/05/cut-salwa-tiktoker-asal-aceh-mendadak-viral-videonya-bikin-warganet-penasaran/</t>
  </si>
  <si>
    <t xml:space="preserve">habadaily.com</t>
  </si>
  <si>
    <t xml:space="preserve">Gedung AMANAH Kembali Beroperasi, Perkuat Ekosistem Kreatif Aceh - Viral24.co.id</t>
  </si>
  <si>
    <t xml:space="preserve">HABADAILY.COM - Nama Cut Salwa mendadak menjadi perbincangan hangat di berbagai platform media sosial dalam beberapa hari terakhir. Sejak awal Juni 2026, kata kunci "Cut Salwa" terpantau merajai kolom</t>
  </si>
  <si>
    <t xml:space="preserve">https://www.viral24.co.id/gedung-amanah-kembali-beroperasi-perkuat-ekosistem-kreatif-aceh/</t>
  </si>
  <si>
    <t xml:space="preserve">Festival Kuliner Serpong 2026, Menjelajah Nikmatnya Sambal Seruit Lampung hingga Mie Aceh Seulawah - investor.id</t>
  </si>
  <si>
    <t xml:space="preserve">VIRAL24.CO.ID – ACEH BESAR – Relaunching Gedung AMANAH di Aceh mendapat apresiasi dari berbagai pihak sebagai langkah strategis dalam memperkuat hilirisasi ekonomi kreatif yang sejalan dengan arah pem</t>
  </si>
  <si>
    <t xml:space="preserve">Untuk Masuk dan Daftar akan kami arahkan ke laman Subscribe Investor Daily JAKARTA, investor.id -  Festival Kuliner Serpong (FKS) 2026 sukses digelar di Summarecon Mall Serpong (SMS), Gading Serpong, </t>
  </si>
  <si>
    <t xml:space="preserve">SeputarAceh.id | Banda Aceh – Pemerintah Kota Banda Aceh melakukan peninjauan pengembangan Terminal Keudah dan penataan kawasan bersejarah Sentral Telepon dalam upaya menghidupkan kembali perekonomian</t>
  </si>
  <si>
    <t xml:space="preserve">Ada Festival Lhok Buloh di Aceh Utara, Bisa Nonton Tari dan Kulineran LHOKSUKON, KOMPAS.com - Sebanyak 31 kelompok tari jenjang sekolah dasar dari Kecamatan Kuta Makmur dan Kecamatan Simpang Keramat, </t>
  </si>
  <si>
    <t xml:space="preserve">RRI.CO.ID, Meulaboh - Universitas Teuku Umar (UTU) menampilkan berbagai karya mahasiswa dan dosen melalui stan gabungan UPA Bahasa, Program Studi Bahasa dan Kebudayaan Inggris, serta pusat riset liter</t>
  </si>
  <si>
    <t xml:space="preserve">22 Juli 2026 13:01 22 Jul 2026 13:01 Senior Manager PT Nafasindo, Malik Rosydi. (Foto: Zaelani Bako/Ketik.com) KETIK, ACEH SINGKIL – PT Nafasindo turut mendukung pelaksanaan Festival Sagu Singkel 2026</t>
  </si>
  <si>
    <t xml:space="preserve">Medan, IDN Times - Bagi para penikmat kuliner, pasti akan meluangkan waktu untuk berburu kuliner khas jika berkunjung ke suatu kota. Nah, jika berkunjung ke Sibolga, ada sejumlah tempat makan yang dap</t>
  </si>
  <si>
    <t xml:space="preserve">https://rri.co.id/sibolga/regional/2460988/tragis-truk-ugal-ugalan-hantam-rumah-makan-di-tapteng</t>
  </si>
  <si>
    <t xml:space="preserve">7 Rekomendasi BPK Paling Populer di Medan, Kuliner Non-Halal Wajib Dicoba - detikcom</t>
  </si>
  <si>
    <t xml:space="preserve">RRI.CO.ID, Tapanuli Tengah – Sebuah kecelakaan maut terekam kamera hingga viral di media sosial. Satu unit truk Colt Diesel hilang kendali dan menghantam sebuah rumah makan di Jalan Padangsidimpuan, K</t>
  </si>
  <si>
    <t xml:space="preserve">Jika Anda mengunjungi Medan, rasanya tidak lengkap tanpa mencoba Babi Panggang Karo (BPK). Hidangan tradisional dari suku Karo ini telah menjadi simbol kuliner yang terkenal di Sumatera Utara. Daging </t>
  </si>
  <si>
    <t xml:space="preserve">Kuliner di Medan memang selalu menarik untuk dijelajahi. Selain dikenal dengan beragam hidangan khas yang melegenda, kota ini juga memiliki banyak pilihan kuliner internasional yang terus berkembang m</t>
  </si>
  <si>
    <t xml:space="preserve">Binjai memang lekat dengan julukan Kota Rambutan. Namun, pesona kota yang berada di sebelah barat Medan ini tidak hanya berhenti pada buah khasnya. Binjai juga memiliki kekayaan kuliner yang siap mema</t>
  </si>
  <si>
    <t xml:space="preserve">Bobby Hapus Retribusi Masuk Wisata Air Panas Karo Usai Video Pungutan Berlapis Viral MEDAN, KOMPAS.com - Gubernur Sumatera Utara Bobby Nasution menegaskan tidak akan ada lagi biaya retribusi masuk ke </t>
  </si>
  <si>
    <t xml:space="preserve">Tugu Raja Sitanggang jadi salah satu spot wisata yang tidak boleh dilewatkan saat berlibur di Samosir. Dari lokasi ini, detikers dapat menikmati panorama perbukitan hijau dengan latar Danau Toba yang </t>
  </si>
  <si>
    <t xml:space="preserve">Dinas Pariwisata Sumut Sesalkan Kasus Pungli di Danau Toba, Pelaku Langsung Dibina MEDAN, KOMPAS.com - Kepala Dinas Budaya, Pariwisata, Ekonomi Kreatif (Disbudparekraf) Sumatera Utara, Yudha Pratiwi m</t>
  </si>
  <si>
    <t xml:space="preserve">Satu video yang memperlihatkan pengendara sepeda motor dicegat dan disuruh untuk membayar uang sebesar Rp 50 ribu saat hendak menuju lokasi wisata Danau Toba di Kabupaten Dairi, Sumatera Utara (Sumut)</t>
  </si>
  <si>
    <t xml:space="preserve">Jalan mulus yang membelah hamparan sawah menjadi pemandangan indah saat berkunjung ke Desa Singkam, Kecamatan Sianjur Mula Mula, Samosir, Sumatera Utara (Sumut). Bahkan, jalan tersebut dijuluki 'jalan</t>
  </si>
  <si>
    <t xml:space="preserve">Satu unggahan yang menarasikan akses menuju objek wisata pemandian air panas Sidebuk Debuk, Kabupaten Karo, Sumatera Utara (Sumut) diblokir warga, viral di media sosial. Polisi menyebut peristiwa itu </t>
  </si>
  <si>
    <t xml:space="preserve">Sejumlah wisatawan mengeluhkan soal pungutan liar (Pungli) di pintu masuk wisata pemandian air panas Sidebuk-debuk di Kabupaten Karo. Gubernur Sumatera Utara (Gubsu) Bobby Nasution memberikan ultimatu</t>
  </si>
  <si>
    <t xml:space="preserve">Kreator Konten Keluhkan Pungutan Berlapis Wisata Air Panas, Pemkab Karo Minta Maaf KARO, KOMPAS.com - Dugaan pungutan retribusi berlapis menuju lokasi wisata air panas, Doulu, Kabupaten Karo, Sumatera</t>
  </si>
  <si>
    <t xml:space="preserve">Perumahan bergaya Belanda di Deli Serdang ini mencuri perhatian karena tampil berbeda dari hunian pada umumnya. Bangunan yang disebut-sebut mirip kawasan arsitektur klasik di Belanda itu menjadi daya </t>
  </si>
  <si>
    <t xml:space="preserve">Museum Jamin Ginting di Kabupaten Karo memiliki arsitektur unik berbentuk kacang tanah. Di dalamnya tersimpan koleksi perjuangan Jamin Ginting dan budaya masyarakat Karo.</t>
  </si>
  <si>
    <t xml:space="preserve">https://www.hariansib.com/Marsipature-Hutanabe/447120/viral-dugaan-kdrt-terhadap-istri-terduga-pelaku-serahkan-diri-ke-polisi/all/</t>
  </si>
  <si>
    <t xml:space="preserve">Viral di media sosial terkait keluhan konsumen yang menemukan produk kue berjamur mendapat perhatian dari Dinas Perindustrian, Perdagangan, Energi dan Sumber Daya Mineral (Perindag ESDM) Sumatera Utara. Menindaklanjuti viralnya video tersebut, - facebook.com</t>
  </si>
  <si>
    <t xml:space="preserve">Pematangsiantar ( harianSIB.com ) Menindaklanjuti beredarnya video viral di media sosial Instagram yang diduga memperlihatkan adanya persoalan dalam sebuah rumah di Jalan Lobak, Kelurahan Tomuan, Keca</t>
  </si>
  <si>
    <t xml:space="preserve">https://sumutcyber.com/wajah-terduga-perampok-toko-emas-di-pasar-horas-viral-di-medsos/</t>
  </si>
  <si>
    <t xml:space="preserve">sumutcyber.com</t>
  </si>
  <si>
    <t xml:space="preserve">Yang Lagi Viral Toko SJ Shelly Pecah Belah Binjai Ternyata Banyak Beragam Hadiah Bagi Pelanggan Setia - PAB INDONESIA</t>
  </si>
  <si>
    <t xml:space="preserve">PAB INDONESIA</t>
  </si>
  <si>
    <t xml:space="preserve">Pematangsiantar – Rekaman kamera pengawas (CCTV) yang memperlihatkan aksi perampokan di salah satu toko emas di Pasar Horas, Kota Pematangsiantar, Sumatera Utara, viral di media sosial, Rabu (3/6/2026</t>
  </si>
  <si>
    <t xml:space="preserve">https://pab-indonesia.co.id/news/detail/29186/yang-lagi-viral-toko-sj-shelly-pecah-belah-binjai-ternyata-banyak-beragam-hadiah-bagi-pelanggan-setia</t>
  </si>
  <si>
    <t xml:space="preserve">pab-indonesia.co.id</t>
  </si>
  <si>
    <t xml:space="preserve">Selasa, 19 Mei 2026 - 09:33:36 WIB BINJAI, PAB | Siapa yang tidak kenal dengan Toko SJ Shelly Pecah Belah Binjai,  pusat toko grosir terlengkap dan termurah di kota Binjai ini, selain menjual produk t</t>
  </si>
  <si>
    <t xml:space="preserve">https://news.detik.com/berita/d-8549432/pura-pura-beli-pria-di-sumut-curi-emas-batangan-70-gram</t>
  </si>
  <si>
    <t xml:space="preserve">Viral Pria di Siantar Curi Emas Batangan, Awalnya Pura-pura Beli - detikcom</t>
  </si>
  <si>
    <t xml:space="preserve">Pria yang viral mencuri emas batangan dari salah satu toko emas di Pajak Horas Pematangsiantar, Sumatera Utara (Sumut) ditangkap. Pelaku berinisial LM (32). "Setelah dilakukan serangkaian penyelidikan</t>
  </si>
  <si>
    <t xml:space="preserve">https://www.detik.com/sumut/hukum-dan-kriminal/d-8517822/viral-pria-di-siantar-curi-emas-batangan-awalnya-pura-pura-beli</t>
  </si>
  <si>
    <t xml:space="preserve">Video seorang pria mencuri emas Batangan dari toko emas di Pajak Horas Pematangsiantar, viral di media sosial. Pelaku awalnya berpura-pura ingin membeli emas dati toko tersebut. Dilihat dari video yan</t>
  </si>
  <si>
    <t xml:space="preserve">https://www.detik.com/sumut/hukum-dan-kriminal/d-8504605/polisi-buru-pelaku-pencurian-150-gram-emas-batangan-di-toko-emas-medan</t>
  </si>
  <si>
    <t xml:space="preserve">Viral Aksi Nekat Wanita Sandera Karyawan Toko HP Pakai Golok di Medan, Ini Kronologinya - news.okezone.com</t>
  </si>
  <si>
    <t xml:space="preserve">Polisi menyelidiki kasus pencurian emas di Toko Mas Agung, Jalan Brigjen Katamso, Kecamatan Medan Maimun, Kota Medan, yang viral di media sosial. Saat ini pelaku masih dalam kejaran polisi. "Langsung </t>
  </si>
  <si>
    <t xml:space="preserve">https://news.okezone.com/read/2026/04/20/337/3213534/viral-aksi-nekat-wanita-sandera-karyawan-toko-hp-pakai-golok-di-medan-ini-kronologinya</t>
  </si>
  <si>
    <t xml:space="preserve">Polisi Datangi Bandar Narkoba yang Viral Digerebek Seorang Ibu - Tempo.co</t>
  </si>
  <si>
    <t xml:space="preserve">Tempo.co</t>
  </si>
  <si>
    <t xml:space="preserve">MEDAN – Seorang pekerja toko handphone di Kota Medan, Sumatera Utara, nyaris kehilangan nyawa setelah diancam dengan senjata tajam oleh seorang wanita yang diduga kesal karena tertipu iklan ponsel mur</t>
  </si>
  <si>
    <t xml:space="preserve">https://www.tempo.co/hukum/polisi-datangi-bandar-narkoba-yang-viral-digerebek-seorang-ibu-2272064</t>
  </si>
  <si>
    <t xml:space="preserve">www.tempo.co</t>
  </si>
  <si>
    <t xml:space="preserve">PERSONEL Kepolisian Resor Labuhanbatu, Sumatera Utara, menggerebek lokasi yang diduga menjadi tempat transaksi narkoba di Kampung Baru, Kelurahan Aek Kanopan Timur, Kabupaten Labuhanbatu Utara. Polisi</t>
  </si>
  <si>
    <t xml:space="preserve">https://wolipop.detik.com/foto-work-and-money/d-8530875/kisah-wanita-joki-tong-setan-dari-pasar-malam-sumut-kini-beraksi-di-inggris</t>
  </si>
  <si>
    <t xml:space="preserve">Setelah Berhenti Seminggu Karena Viral,Judi Togel Tandam Pasar 2 Titi Papan Beroperasi Kembali - Warta Keadilan</t>
  </si>
  <si>
    <t xml:space="preserve">Warta Keadilan</t>
  </si>
  <si>
    <t xml:space="preserve">Judydoll NEW Lip Cushion, Lip Cream Matte dengan Aplikator Unik Moonshot Jelly Moon Glow Tint, Lip Tint Dengan Hasil Glossy ala Eonnie Korea Kanebo Generating Essentials Treatment Lotion untuk Hidrasi</t>
  </si>
  <si>
    <t xml:space="preserve">https://warta-keadilan.com/setelah-berhenti-seminggu-karena-viraljudi-togel-tandam-pasar-2-titi-papan-beroperasi-kembali/</t>
  </si>
  <si>
    <t xml:space="preserve">warta-keadilan.com</t>
  </si>
  <si>
    <t xml:space="preserve">MEDAN DAILY. . Kabar gembira bagi warga Marelan dan sekitarnya, jalan rusak di kawasan Helvetia Pasar 9, Kabupaten Deliserdang, dipastikan segera diperbaiki. Gubernur Sumatera Utara (Sumut) Muhammad Bobby Afif Nasution memastikan perbaikan d - facebook.com</t>
  </si>
  <si>
    <t xml:space="preserve">Binjai,WK — Setelah berhenti beberapa hari di karenakan Viral di media sosial, judi togel yang berlokasi di pasar 2 Titi Papan, Gang Suka Ramai 23 A, Dusun III Suka Ramai, Desa Tandam Hulu 2, Kecamata</t>
  </si>
  <si>
    <t xml:space="preserve">https://www.facebook.com/medandailynews/videos/kabar-gembira-bagi-warga-marelan-dan-sekitarnya-jalan-rusak-di-kawasan-helvetia-/1631883915154519/</t>
  </si>
  <si>
    <t xml:space="preserve">Viral Pungli Parkir Wali Kota Cup Siantar Road Race, Dishub Beri Penjelasan - Kompas.com</t>
  </si>
  <si>
    <t xml:space="preserve">Kabar gembira bagi warga Marelan dan sekitarnya, jalan rusak di kawasan Helvetia Pasar 9, Kabupaten Deliserdang, dipastikan segera diperbaiki. Gubernur...</t>
  </si>
  <si>
    <t xml:space="preserve">https://medan.kompas.com/read/2026/09/14/183404278/viral-pungli-parkir-wali-kota-cup-siantar-road-race-dishub-beri-penjelasan?page=all</t>
  </si>
  <si>
    <t xml:space="preserve">Sisi Lain dari Event PRSU 2026, Hall Disdik Sumut Bikin Fenomenal Anak SLB - koran medan</t>
  </si>
  <si>
    <t xml:space="preserve">koran medan</t>
  </si>
  <si>
    <t xml:space="preserve">Viral Pungli Parkir Wali Kota Cup Siantar Road Race, Dishub Beri Penjelasan PEMATANGSIANTAR, KOMPAS.com - Biaya parkir kendaraan pada event Wali Kota Cup Siantar Road Race 2026 di Kota Pematangsiantar</t>
  </si>
  <si>
    <t xml:space="preserve">&lt;strong&gt;Sisi Lain dari Event PRSU 2026, Hall Disdik Sumut Bikin Fenomenal Anak SLB&lt;/strong&gt; MEDAN: &lt;em&gt;&lt;strong&gt;koranmedan.com.id&lt;/strong&gt;&lt;/em&gt; Bila biasanya ke arena Pekan Raya Sumatera Utara (PRSU) o</t>
  </si>
  <si>
    <t xml:space="preserve">https://medan.viva.co.id/olahraga/13640-kontes-burung-berkicau-bobby-nasution-pokoknya-event-nasional-kita-gelar-di-sumatera-utara</t>
  </si>
  <si>
    <t xml:space="preserve">Disbudparekraf Sumut Gelar Festival Kesenian Sumatera Utara - RRI.co.id</t>
  </si>
  <si>
    <t xml:space="preserve">Medan , VIVA Medan – Kontes burung berkicau dalam rangka Anniversary ke-4 Sedulur Kicau Mania Nusantara (SKMN). Dibuka secara resmi oleh Gubernur Sumatera Utara (Sumut), Muhammad Bobby Afif Nasution, </t>
  </si>
  <si>
    <t xml:space="preserve">RRI.CO.ID, Medan - Dinas Kebudayaan, Pariwisata, dan Ekonomi Kreatif kembali menggelar Festival Kesenian Sumatera Utara Tahun 2026. Kegiatan tahunan yang berlangsung pada 8 hingga 10 Mei 2026 di pelat</t>
  </si>
  <si>
    <t xml:space="preserve">MEDAN, kaldera.id – Gubernur Sumatera Utara (Sumut) Muhammad Bobby Afif Nasution mendorong penambahan fasilitas skatepark dan penyelenggaraan lebih banyak kompetisi skateboarding di berbagai kabupaten</t>
  </si>
  <si>
    <t xml:space="preserve">Viral Tiket PRSU Disebut Mahal hingga Event Sepi, Pengelola Buka Suara MEDAN, KOMPAS.com - Video yang menyebut harga tiket Pekan Raya Sumatera Utara (PRSU) 2026 mahal hingga membuat pengunjung sepi vi</t>
  </si>
  <si>
    <t xml:space="preserve">topmetro.news, Medan – Ketua Panitia Pelaksana ASEAN U-19 Championship 2026 di Sumatera Utara, Andi Atmoko Panggabean, memberikan klarifikasi terkait video viral yang memperlihatkan sekelompok orang s</t>
  </si>
  <si>
    <t xml:space="preserve">VIRAL24.CO.ID – MEDAN – Gubernur Sumatera Utara (Sumut), Muhammad Bobby Afif Nasution, mendorong pembangunan lebih banyak skatepark serta penyelenggaraan event skateboarding di berbagai kabupaten/kota</t>
  </si>
  <si>
    <t xml:space="preserve">MEDAN, kaldera.id – Gubernur Sumatera Utara Bobby Nasution mengapresiasi dukungan Komisi VII DPR RI agar Pekan Raya Sumatera Utara (PRSU) masuk dalam kalender event nasional Kementerian Pariwisata. Me</t>
  </si>
  <si>
    <t xml:space="preserve">https://www.viral24.co.id/buka-anniversary-skmn-bobby-siap-support-kontes-kicau-mania-nasional/</t>
  </si>
  <si>
    <t xml:space="preserve">Event Musik Sepanjang Mei 2026: Candlelight sampai Festival Rock - IDN Times Sumut</t>
  </si>
  <si>
    <t xml:space="preserve">VIRAL24.CO.ID – MEDAN – Gubernur Sumatera Utara (Sumut) Muhammad Bobby Afif Nasution secara resmi membuka kontes burung berkicau dalam rangka Anniversary ke-4 Sedulur Kicau Mania Nusantara (SKMN) di K</t>
  </si>
  <si>
    <t xml:space="preserve">Medan, IDN Times – Masuk bulan Mei 2026, skena musik Kota Medan akan mulai memanas. Meskipun, konser besar kebanyakan digelar di Jakarta.Namun, Kota Medan tetap memiliki agenda musik yang sayang dilew</t>
  </si>
  <si>
    <t xml:space="preserve">Di Pasar Tebet Barat ada banyak kuliner yang sudah eksis puluhan tahun. Ada mie ayam legendaris, jajanan Padang, hingga sop kambing yang ramai diburu. Pasar Tebet Barat tak hanya jadi tempat belanja k</t>
  </si>
  <si>
    <t xml:space="preserve">batampos – Kota Batam terus berkembang menjadi salah satu destinasi wisata dan kuliner favorit di Kepulauan Riau. Tidak hanya menghadirkan pusat perbelanjaan dan objek wisata baru, sejumlah kafe serta</t>
  </si>
  <si>
    <t xml:space="preserve">Padang (ANTARA) - Restoran seafood atau hidangan laut di Padang menjadi salah satu tujuan kuliner pengunjung karena menawarkan aneka hidangan laut segar dengan cita rasa khas pesisir Sumatera Barat. B</t>
  </si>
  <si>
    <t xml:space="preserve">Berita Seputar Sumatera Barat TVRI Sumatera Barat • Olahraga 13 Juni 2026 JAM 07:06:00 WIB PADANG – Euforia pesta sepak bola terbesar di dunia, Piala Dunia 2026, kini mulai merambah ranah Minang. Guna</t>
  </si>
  <si>
    <t xml:space="preserve">Restoran Padang kini mudah ditemukan di luar negeri, mulai dari Singapura hingga Belanda. Lauknya komplet dan racikannya autentik! Masakan Padang jadi salah satu kuliner Indonesia yang mudah ditemukan</t>
  </si>
  <si>
    <t xml:space="preserve">Surabaya jadi salah satu kota di Jawa Timur yang menyimpan keberagaman kuliner. Gak cuma makanan khas Jawa Timur, di Surabaya juga terdapat warung-warung makan khas daerah lain, misalnya Sumatera Bara</t>
  </si>
  <si>
    <t xml:space="preserve">Potongan video Menteri Pariwisata Widiyanti Putri Wardhana dinarasikan memakai sepatu di masjid Masjid Syekh Khatib Al Minangkabawi, Padang, Sumatera Barat (Sumbar), viral. Pemprov Sumbar memberikan p</t>
  </si>
  <si>
    <t xml:space="preserve">Scan this QR or download app from: BUKITTINGGI, iNEWSPadang.ID — Dua pengunjung Taman Margasatwa dan Budaya Kinantan (TMSBK) Kota Bukittinggi, Sumatera Barat, mendadak merasakan sensasi tak biasa saat</t>
  </si>
  <si>
    <t xml:space="preserve">Potongan video Menteri Pariwisata Widiyanti Putri Wardhana disebut memakai sepatu di masjid Masjid Syekh Khatib Al Minangkabawi, Padang, Sumatera Barat (Sumbar), viral. Pemerintah Provinsi Sumatera Ba</t>
  </si>
  <si>
    <t xml:space="preserve">Jembatan Siti Nurbaya-- Pantai Padang atau yang akrab disebut "Taplau" (Tapi Lauik) adalah pantai yang terletak tepat di jantung kota. Kawasan ini telah ditata dengan sangat rapi, dilengkapi dengan pe</t>
  </si>
  <si>
    <t xml:space="preserve">Viral di media sosial, dua pengunjung Taman Margasatwa dan Budaya Kinantan (TMSBK) atau Kebun Binatang Bukittinggi, Sumatera Barat terkunci di area akuarium raksasa saat kebun binatang itu masih buka.</t>
  </si>
  <si>
    <t xml:space="preserve">Beda dari lainnya dari 5 pameran seni lainnya yang ada di Museum MACAN, lorong karya ciptaan Riar Rizaldi tergolong gelap, sunyi, agak menakutkan, dan meresahkan bagi yang melihatnya. Riar mengatakan </t>
  </si>
  <si>
    <t xml:space="preserve">https://kumparan.com/kumparannews/3-bocah-bobol-5-toko-hp-di-padang-diburu-polisi-malah-masuk-markas-tni-283LnWw5P9P</t>
  </si>
  <si>
    <t xml:space="preserve">Tiga orang anak di bawah umur nekat melakukan aksi pencurian dengan membobol lima toko handphone di pusat perbelanjaan Plaza Andalas, Kota Padang, Sumatera Barat. Aksi bocah-bocah ini terekam CCTV dan</t>
  </si>
  <si>
    <t xml:space="preserve">https://regional.kompas.com/read/2026/07/14/120953778/dua-wna-kuras-uang-kasir-toko-di-padang-pariaman-polisi-selidiki-dugaan</t>
  </si>
  <si>
    <t xml:space="preserve">Dua WNA Kuras Uang Kasir Toko di Padang Pariaman, Polisi Selidiki Dugaan Hipnotis PADANG, KOMPAS.com — Rekaman kamera pengawas (CCTV) yang memperlihatkan aksi dua pria diduga warga negara asing (WNA) </t>
  </si>
  <si>
    <t xml:space="preserve">https://www.suara.com/news/2026/08/25/185415/bobol-5-toko-hp-3-anak-di-padang-pakai-uang-curian-untuk-beli-motor</t>
  </si>
  <si>
    <t xml:space="preserve">Polresta Padang menangkap tiga anak di bawah umur yang viral karena membobol 5 toko seluler di Plaza Andalas dengan kerugian Rp50 juta. Proses hukum ikuti peradilan anak.</t>
  </si>
  <si>
    <t xml:space="preserve">https://www.detik.com/sumut/hukum-dan-kriminal/d-8634532/3-bocah-terekam-cctv-bobol-5-toko-hp-di-mal-padang</t>
  </si>
  <si>
    <t xml:space="preserve">Ekonomi: Polemik penutupan izin Alfamart dan Indomaret di NTB hingga nasib toko kelontong - BBC</t>
  </si>
  <si>
    <t xml:space="preserve">Tiga anak di bawah umur diamankan polisi setelah diduga membobol lima toko elektronik di Plaza Andalas, Kota Padang, Sumatera Barat. Aksi pencurian tersebut terekam kamera CCTV dan videonya kemudian v</t>
  </si>
  <si>
    <t xml:space="preserve">https://www.bbc.com/indonesia/articles/c794gqx8zveo</t>
  </si>
  <si>
    <t xml:space="preserve">Kisah 3 Bocah Bobol 5 Toko HP di Padang - kumparan.com - Kumparan.com</t>
  </si>
  <si>
    <t xml:space="preserve">Sumber gambar, Shutterstock/Maharani Afifah/Kompas.com Penutupan puluhan retail modern yang sudah beroperasi belasan tahun di Kabupaten Lombok Tengah, Nusa Tenggara Barat (NTB), membuka masalah karut-</t>
  </si>
  <si>
    <t xml:space="preserve">https://kumparan.com/kumparannews/kisah-3-bocah-bobol-5-toko-hp-di-padang-2842U8xkAOt</t>
  </si>
  <si>
    <t xml:space="preserve">3 Bocah Pencuri Handphone Bobol 5 Toko di Plaza Andalas Ditangkap Saat Masuk ke Mako TNI AL - VOI.ID</t>
  </si>
  <si>
    <t xml:space="preserve">Tiga anak di bawah umur berinisial AD (13), MA (11), dan HB (14) ditangkap jajaran Polresta Padang setelah berulang kali membobol lima toko handphone di Plaza Andalas, Kota Padang. Pelarian mereka ber</t>
  </si>
  <si>
    <t xml:space="preserve">https://voi.id/berita/591174/3-bocah-pencuri-handphone-bobol-5-toko-di-plaza-andalas-ditangkap-saat-masuk-ke-mako-tni-al</t>
  </si>
  <si>
    <t xml:space="preserve">Rekaman CCTV memperlihatkan aksi pelaku perampokan toko emas di Pasar Horas Pematangsiantar, Rabu, 3 Juni 2026, pukul 12.39 WIB. - instagram.com</t>
  </si>
  <si>
    <t xml:space="preserve">You must confirm your age to access this page. PADANG — Kepolisian Resor Kota Padang, Sumatera Barat (Sumbar) menangkap pelaku pembobolan sejumlah toko di Plaza Andalas yang viral di sejumlah media so</t>
  </si>
  <si>
    <t xml:space="preserve">https://www.bbc.com/indonesia/articles/cly8e1lw79go</t>
  </si>
  <si>
    <t xml:space="preserve">Gubernur Mahyeldi: UMKM Sumbar Harus Naik Kelas dan Tembus Pasar Global - SigapNews</t>
  </si>
  <si>
    <t xml:space="preserve">SigapNews</t>
  </si>
  <si>
    <t xml:space="preserve">Sumber gambar, ANTARA FOTO Rencana pemindahan status kepegawaian guru dengan perjanjian kerja (PPPK) dari pemerintah daerah ke pemerintah pusat dinilai para guru hanya sebagai solusi jangka pendek kar</t>
  </si>
  <si>
    <t xml:space="preserve">Home &gt;&gt; Pemprov Sumbar Sabtu, 29 Agustus 2026 - 16:43:00 WIB Gubernur Provinsi Sumatera Barat Mahyeldi Ansharullah. SIGAPNEWS.CO.ID | PADANG — Dengan 740.357 unit pelaku usaha, UMKM bukan sekadar peno</t>
  </si>
  <si>
    <t xml:space="preserve">https://www.detik.com/sumbagsel/berita/d-8424019/viral-polisi-injak-kepala-pria-di-pasar-inpres-lubuklinggau</t>
  </si>
  <si>
    <t xml:space="preserve">Sebuah video viral di media sosial memperlihatkan beberapa anggota polisi tengah mencoba mengamankan seorang pria di Kota Lubuklinggau yang diduga melakukan tindakan pencabulan. Karena tidak kooperati</t>
  </si>
  <si>
    <t xml:space="preserve">https://wolipop.detik.com/worklife/d-8548815/viral-anak-kos-mulung-sayur-sisa-pasar-yang-layak-demi-hemat-pengeluaran</t>
  </si>
  <si>
    <t xml:space="preserve">Kuliner Halal Gang Senggol Jakarta Viral Hadir di Padang, Ini Daftar Tenantnya - Padang Ekspres</t>
  </si>
  <si>
    <t xml:space="preserve">Padang Ekspres</t>
  </si>
  <si>
    <t xml:space="preserve">Aksi kreatif dan hemat dua orang pria yang berstatus sebagai anak kos viral di media sosial setelah membagikan momen berburu sayuran sisa pasar. Melalui unggahan yang beredar di Instagram, mereka memb</t>
  </si>
  <si>
    <t xml:space="preserve">Terungkap, dari 16 unit rumah temuan Ombudsman RI, cuma tiga unit berstatus barang milik negara. GUBERNUR Sumatra Barat Mahyeldi Ansharullah menegaskan budaya tidak hanya menjadi warisan masa lalu, te</t>
  </si>
  <si>
    <t xml:space="preserve">https://www.kompas.id/artikel/director-of-criminal-investigation-of-west-sumatra-regional-police-suspected-of-hitting-a-car-driver-on-the-road</t>
  </si>
  <si>
    <t xml:space="preserve">The Director of Criminal Investigation at the West Sumatra Regional Police, Kombes Teddy Fanani, is suspected of hitting a car driver during a dispute on the road. The West Sumatra Regional Police are</t>
  </si>
  <si>
    <t xml:space="preserve">Sensasi Explore Wisata Sejarah, Bupati Ajak Rider Nusantara Ramaikan Event BerASA#2-Radar Utara / Abdul Gafur- ARGAMAKMUR, RADARUTARA.ID - Pemerintah Kabupaten Bengkulu Utara kembali menggelar event o</t>
  </si>
  <si>
    <t xml:space="preserve">Kaum ibu berbaris menyambut tamu pada Festival Minangkabau di Istano Basa Pagaruyuang, Tanah Datar, Sumatera Barat, Kamis (25/6/2026). Ajang yang masuk dalam Kharisma Event Nusantara (KEN) Kementerian</t>
  </si>
  <si>
    <t xml:space="preserve">Setelah sukses menggemparkan dunia lewat 'aura farming', Festival Pacu Jalur di Tepian Narosa kembali digelar hari ini. Peserta dari berbagai daerah tercatat sudah mendaftar untuk berpacu di Batang Ku</t>
  </si>
  <si>
    <t xml:space="preserve">batampos – Berlibur ke Batam belum lengkap tanpa mencicipi gonggong, kuliner khas Kepulauan Riau yang menjadi favorit wisatawan. Siput laut bercita rasa gurih dengan tekstur kenyal ini umumnya disajik</t>
  </si>
  <si>
    <t xml:space="preserve">batampos – Kawasan Nongsa tidak hanya dikenal dengan pantai dan kawasan wisata, tetapi juga memiliki beragam pilihan tempat sarapan yang cocok dikunjungi sebelum memulai aktivitas atau berwisata. Mula</t>
  </si>
  <si>
    <t xml:space="preserve">makanan blok m square – Di balik ramainya makanan Blok M Square , ada satu “dunia bawah tanah” yang selalu berhasil menggoda pencinta kuliner! Turun beberapa langkah saja, kamu langsung disambut loron</t>
  </si>
  <si>
    <t xml:space="preserve">Mencari tempat makan keluarga di Pekanbaru kadang nggak semudah yang dibayangkan. Soalnya, selera setiap anggota keluarga biasanya beda-beda. Ada yang maunya masakan tradisional, ada yang suka seafood</t>
  </si>
  <si>
    <t xml:space="preserve">batampos – Kota Batam kembali dengan surga kuliner yang terus berkembang. Sejumlah tempat makan viral ramai dibicarakan di media sosial konsep menu dan tempat yang menarik. Bagi pecinta kuliner, berbu</t>
  </si>
  <si>
    <t xml:space="preserve">https://www.cakaplah.com/berita/baca/140098/2026/09/12/wisatawan-riau-makin-selektif-pilih-perjalanan/</t>
  </si>
  <si>
    <t xml:space="preserve">PEKANBARU (CAKAPLAH) - Wisatawan di Riau kini semakin selektif dalam menentukan perjalanan di tengah kondisi ekonomi yang belum sepenuhnya pulih. Minat masyarakat untuk berwisata masih ada, namun pola</t>
  </si>
  <si>
    <t xml:space="preserve">PEKANBARU (CAKAPLAH) - Asosiasi Pelaku Pariwisata Indonesia (ASPPI) Provinsi Riau resmi menggelar opening ceremony Riau Travel Mart (RTM) ke-6 di Hotel Pangeran, Kota Pekanbaru, Jumat (7/5/2026) malam</t>
  </si>
  <si>
    <t xml:space="preserve">https://www.cakaplah.com/berita/baca/139333/2026/08/21/ritex-2026-buka-peluang-pasar-baru-bagi-pariwisata-riau</t>
  </si>
  <si>
    <t xml:space="preserve">Fungsi MuBI Tak Hanya Sekadar Museum, Jadi Ruang Tumbuhnya Gagasan dan Literasi Ekonomi - Haluan Riau - Haluan Riau</t>
  </si>
  <si>
    <t xml:space="preserve">Haluan Riau</t>
  </si>
  <si>
    <t xml:space="preserve">PEKANBARU (CAKAPLAH) - Riau memiliki peluang besar untuk memperluas pasar pariwisata hingga ke tingkat nasional dan internasional. Penguatan jaringan bisnis, pengemasan destinasi menjadi produk wisata</t>
  </si>
  <si>
    <t xml:space="preserve">HALUANRIAU.CO, JAKARTA - Museum Bank Indonesia (MuBI) tidak lagi hanya berfungsi sebagai tempat menyimpan dan memperkenalkan sejarah mata uang serta perjalanan bank sentral kepada masyarakat. Keberada</t>
  </si>
  <si>
    <t xml:space="preserve">https://www.datariau.com/detail/artikel/ini-dia-media-online-riau-dengan-pembaca-terbanyak-berdasarkan-data-trafik-terbaru/all</t>
  </si>
  <si>
    <t xml:space="preserve">www.datariau.com</t>
  </si>
  <si>
    <t xml:space="preserve">Toko Sparepart dan 1 Unit Mobil Jalan Riau Pekanbaru Ludes Terbakar - Viral Nasional</t>
  </si>
  <si>
    <t xml:space="preserve">Viral Nasional</t>
  </si>
  <si>
    <t xml:space="preserve">PEKANBARU, datariau.com  Industri media online di Provinsi Riau terus mengalami pertumbuhan pesat seiring meningkatnya konsumsi berita digital masyarakat. Berdasarkan berbagai data analisis trafik dar</t>
  </si>
  <si>
    <t xml:space="preserve">https://www.detik.com/sumut/hukum-dan-kriminal/d-8613955/polisi-geledah-toko-emas-di-kampar-ratusan-gram-hasil-tambang-ilegal-disita</t>
  </si>
  <si>
    <t xml:space="preserve">Heboh! Polda Riau Geledah Toko Emas di Pasar Syariah Ulul Albab - jpnn.com</t>
  </si>
  <si>
    <t xml:space="preserve">Direktorat Reskrimsus Polda Riau menggeledah Toko Emas Syafira di Pasar Syariah Ulul Albab Pasir Putih, Siak Hulu, Kampar. Ratusan gram emas diduga hasil tambang ilegal disita. Proses penggeledahan di</t>
  </si>
  <si>
    <t xml:space="preserve">https://www.jpnn.com/news/heboh-polda-riau-geledah-toko-emas-di-pasar-syariah-ulul-albab</t>
  </si>
  <si>
    <t xml:space="preserve">Polda Riau Geledah Toko Diduga Jual Hasil PETI, Ratusan Gram Emas Disita - detikNews</t>
  </si>
  <si>
    <t xml:space="preserve">jpnn.com - KAMPAR - Direktorat Reserse Kriminal Khusus atau Ditreskrimsus Polda Riau menggeledah sebuah toko emas yang berada di Pasar Syariah Ulul Albab, Jalan Pasir Putih, Kecamatan Siak Hulu, Kabup</t>
  </si>
  <si>
    <t xml:space="preserve">https://news.detik.com/berita/d-8613956/polda-riau-geledah-toko-diduga-jual-hasil-peti-ratusan-gram-emas-disita</t>
  </si>
  <si>
    <t xml:space="preserve">KKV Langsung Viral Sejak Pembukaan, Retail Lifestyle Baru yang Ramai Dikunjungi - jpnn.com</t>
  </si>
  <si>
    <t xml:space="preserve">Direktorat Reserse Kriminal Khusus (Ditreskrimsus) Polda Riau menggeledah Toko Emas Syafira di Pasar Syariah Ulul Albab, Jalan Pasir Putih, Kecamatan Siak Hulu, Kabupaten Kampar. Ratusan gram emas yan</t>
  </si>
  <si>
    <t xml:space="preserve">KKV ingin menghadirkan pengalaman belanja yang tidak hanya praktis, tetapi juga menyenangkan, visual, dan relevan dengan gaya hidup anak muda masa kini. Daya tarik utama KKV terletak pada perpaduan an</t>
  </si>
  <si>
    <t xml:space="preserve">Nagoya, Jepang (ANTARA) - Riuh rendah suara percakapan berpadu dengan langkah kaki pengunjung yang hilir mudik. Sebagian membawa kantong belanja, sementara sebagian lainnya rela mengantre di depan ked</t>
  </si>
  <si>
    <t xml:space="preserve">https://riau.harianhaluan.com/daerah/amp/1117681317/toko-harian-berbahan-papan-terbakar-damkar-berjibaku-selamatkan-rumah-warga</t>
  </si>
  <si>
    <t xml:space="preserve">HALUANRIAU.CO, PELALAWAN – Kebakaran menghanguskan sebuah toko harian berbahan papan di wilayah Desa Sari Mulya RT 009 RW 005 Jalur 5 Kecamatan Pangkalan Lesung, Kabupaten Pelalawan, Riau. Banyaknya b</t>
  </si>
  <si>
    <t xml:space="preserve">https://www.riauonline.co.id/riau/read/2026/07/28/modus-admin-toko-tiktok-sindikat-penipu-online-gasak-rp300-juta-dari-korban</t>
  </si>
  <si>
    <t xml:space="preserve">Viral! Emak Emak Grebek Lokasi Judi Gelper di Pekanbaru yang Hancurkan Rumah Tangganya - Berita Riau</t>
  </si>
  <si>
    <t xml:space="preserve">Berita Riau</t>
  </si>
  <si>
    <t xml:space="preserve">RIAU ONLINE , PEKANBARU - Tim Siber Satreskrim Polresta Pekanbaru mengungkap kasus dugaan penipuan online bermodus transaksi belanja melalui media sosial TikTok yang menyebabkan korban mengalami kerug</t>
  </si>
  <si>
    <t xml:space="preserve">https://www.beritariau.com/berita-50709-viral-emak-emak-grebek-lokasi-judi-gelper-di-pekanbaru-yang-hancurkan-rumah-tangganya.html</t>
  </si>
  <si>
    <t xml:space="preserve">www.beritariau.com</t>
  </si>
  <si>
    <t xml:space="preserve">Video Viral Seret Pejabat Batam, BKPSDM: Masih Proses Pemeriksaan - Jawa Pos</t>
  </si>
  <si>
    <t xml:space="preserve">Copyright © beritariau.com Hak Cipta Dilindungi Undang-Undang. By : Aditya Penampakan Arena Gelanggang Permainan (Gelper) yang Diduga Sebagai Lokasi Perjudian di Jalan Riau, Pekanbaru | Tangkapan Laya</t>
  </si>
  <si>
    <t xml:space="preserve">https://regional.kompas.com/read/2026/07/08/070000778/tpid-riau-gelar-pasar-murah-di-tiga-daerah-selama-sepekan-catat-lokasi-dan</t>
  </si>
  <si>
    <t xml:space="preserve">Mengapa Provinsi Riau Pesisir Dibutuhkan ? - Viral Nasional</t>
  </si>
  <si>
    <t xml:space="preserve">TPID Riau Gelar Pasar Murah di Tiga Daerah Selama Sepekan, Catat Lokasi dan Daftar Harganya PEKANBARU, KOMPAS.com - Tim Pengendalian Inflasi Daerah (TPID) Provinsi Riau bersama Badan Usaha Milik Daera</t>
  </si>
  <si>
    <t xml:space="preserve">RIAU ONLINE , PEKANBARU - Festival Kue Talam Durian yang digelar Pemerintah Kota (Pemko) Pekanbaru yang diklaim sepanjang 1 kilometer di Jalan Jenderal Sudirman, Minggu, 21 Juni 2026, menjadi perbinca</t>
  </si>
  <si>
    <t xml:space="preserve">PEKANBARU - Untuk kedua kalinya, Living World Pekanbaru dan gebyarkuliner.id menjalin kolaborasi strategis dalam menghadirkan festival kuliner bertaraf nasional di jantung Kota Pekanbaru. Gebyar Kulin</t>
  </si>
  <si>
    <t xml:space="preserve">https://lintaskepri.com/kalender-event-pariwisata-kepri-mei-2026-kolaborasi-budaya-sport-tourism-dan-promosi-global-tarik-wisatawan/</t>
  </si>
  <si>
    <t xml:space="preserve">Lintaskepri.com, Tanjungpinang – Pemerintah Provinsi Kepulauan Riau (Kepri) terus memperkuat sektor pariwisata melalui peluncuran kalender event Mei 2026 yang memadukan kekayaan budaya, kegiatan olahr</t>
  </si>
  <si>
    <t xml:space="preserve">batampos – Menghabiskan Minggu pagi tak lengkap tanpa menikmati sarapan bersama keluarga atau sahabat. Kawasan Tiban, Kecamatan Sekupang, Kota Batam, memiliki banyak pilihan kuliner pagi, mulai dari r</t>
  </si>
  <si>
    <t xml:space="preserve">batampos – Menikmati sarapan sebelum memulai aktivitas menjadi kebiasaan yang tak boleh dilewatkan. Selain menambah energi, sarapan juga menjadi momen tepat untuk menikmati beragam kuliner khas yang d</t>
  </si>
  <si>
    <t xml:space="preserve">batampos – Kawasan Bengkong menjadi salah satu destinasi kuliner favorit di Kota Batam, terutama saat pagi hari. Beragam pilihan menu tersedia, mulai dari lontong sayur, nasi khas rumahan, hingga mie </t>
  </si>
  <si>
    <t xml:space="preserve">https://metropolis.batampos.co.id/pacu-sektor-pariwisata-pemprov-kepri-benahi-pintu-masuk-wisatawan/</t>
  </si>
  <si>
    <t xml:space="preserve">batampos – Pemerintah Provinsi Kepulauan Riau memacu sektor pariwisata sebagai penopang ekonomi daerah di tengah tekanan geopolitik global dan perlambatan mobilitas wisatawan. Target ambisius dipasang</t>
  </si>
  <si>
    <t xml:space="preserve">PRESMEDIA.ID – Pemerintah Provinsi Kepulauan Riau (Kepri) menyatakan dukungan penuh terhadap penyelenggaraan Tour de Bintan 2026, ajang balap sepeda internasional yang menjadi salah satu kalender spor</t>
  </si>
  <si>
    <t xml:space="preserve">https://www.batamnews.co.id/berita-127839-lingga-dan-tanjungpinang-disiapkan-jadi-pusat-industri-pariwisata-kepri.html</t>
  </si>
  <si>
    <t xml:space="preserve">Komisi VII DPR Dorong Kepri Jadi Gerbang Wisata Asia Lewat Konsep Ekonomi Utara - batamtoday.com</t>
  </si>
  <si>
    <t xml:space="preserve">Copyright  2014 - batamnews.co.id All rights reserved Dikelola dan Dikembangkan Oleh : PT. Batam Media Siber Silaturahmi antara Wakil Bupati Lingga, Ir. H. Novrizal, S.T., M.IP, Tim Eksplore Lingga, K</t>
  </si>
  <si>
    <t xml:space="preserve">https://batamtoday.com/news/komisi-vii-dpr-dorong-kepri-jadi-gerbang-wisata-asia-lewat-konsep-ekonomi-utara</t>
  </si>
  <si>
    <t xml:space="preserve">Foto Baju Kurung di Situs Kemenpar Viral Dianggap Mirip Punya Brand Malaysia - detikTravel</t>
  </si>
  <si>
    <t xml:space="preserve">Lulus Verifikasi Dewan Pers No.126/DP-Terverifikasi/K/X/2017 BATAMTODAY.COM, Bintan - Anggota Komisi VII DPR RI, Tifatul Sembiring, mengusulkan konsep "ekonomi utara" sebagai strategi baru dalam penge</t>
  </si>
  <si>
    <t xml:space="preserve">https://travel.detik.com/travel-news/d-8598897/foto-baju-kurung-di-situs-kemenpar-viral-dianggap-mirip-punya-brand-malaysia</t>
  </si>
  <si>
    <t xml:space="preserve">Pemkot Batam Bangun Taman Budaya Nyat Kadir Rp 50 Miliar, Siap Jadi Ikon Wisata Baru - Kompas.com</t>
  </si>
  <si>
    <t xml:space="preserve">Foto baju kurung di situs resmi promosi pariwisata Indonesia, Indonesia.travel viral karena dianggap mirip dengan foto busana milik merek pakaian asal Malaysia. Sudah beberapa akun di Malaysia dan Ind</t>
  </si>
  <si>
    <t xml:space="preserve">Pemkot Batam Bangun Taman Budaya Nyat Kadir Rp 50 Miliar, Siap Jadi Ikon Wisata Baru BATAM, KOMPAS.com - Pemerintah Kota Batam, Kepulauan Riau, mengalokasikan anggaran sekitar Rp 50 miliar untuk memba</t>
  </si>
  <si>
    <t xml:space="preserve">SCROLL TO CONTINUE WITH CONTENT INIKEPRI - Publisher Minggu, 2 Agustus 2026 Masjid Sultan Riau di Penyengat. Foto: Istimewa INIKEPRI.COM – Pemerintah Provinsi Kepulauan Riau melalui Dinas Pariwisata (</t>
  </si>
  <si>
    <t xml:space="preserve">batampos – Pemerintah Provinsi Kepulauan Riau menyiapkan sembilan agenda wisata, budaya, olahraga, dan ekonomi kreatif sepanjang Agustus 2026. Rangkaian kegiatan tersebut digelar di Batam, Bintan, Tan</t>
  </si>
  <si>
    <t xml:space="preserve">https://wartakepri.co.id/2026/07/08/rakor-bidang-pariwisata-kadin-kepri-bahas-sejumlah-persoalan-strategis-pariwisata/</t>
  </si>
  <si>
    <t xml:space="preserve">Viral Pulau Katang di Lingga Dijual Rp65 Miliar di Media Sosial - Batamnews</t>
  </si>
  <si>
    <t xml:space="preserve">WARTAKEPRI.co.id, BATAM – Kamar Dagang dan Industri (Kadin) Provinsi Kepulauan Riau (Kepri) mulai mengakselerasi penguatan sektor pariwisata sebagai salah satu motor penggerak ekonomi daerah. Melalui </t>
  </si>
  <si>
    <t xml:space="preserve">Copyright  2014 - batamnews.co.id All rights reserved Dikelola dan Dikembangkan Oleh : PT. Batam Media Siber Pulau Katang di Lingga yang dijual di media sosial. (Foto: istimewa) Login untuk menyimpan </t>
  </si>
  <si>
    <t xml:space="preserve">https://presmedia.id/event-wisata-dengan-dana-apbd-terus-digelar-kunjungan-wisman-ke-kepri-maret-april-2026-turun/</t>
  </si>
  <si>
    <t xml:space="preserve">Kalender Event Juni 2026 Kepulauan Riau: Festival Budaya hingga Sport Tourism Internasional - lintaskepri.com</t>
  </si>
  <si>
    <t xml:space="preserve">PRESMEDIA.ID – Berbagai festival, hiburan, dan kegiatan pariwisata terus digelar menggunakan anggaran daerah. Panggung dibangun, seremoni berlangsung meriah dan panggung hiburan tak pernah sepi dari s</t>
  </si>
  <si>
    <t xml:space="preserve">Lintaskepri.com, Tanjungpinang – Provinsi Kepulauan Riau (Kepri) siap menghadirkan berbagai agenda wisata, budaya, olahraga, dan hiburan sepanjang Juni 2026. Berbagai event berskala regional hingga in</t>
  </si>
  <si>
    <t xml:space="preserve">https://presmedia.id/kunjungan-wisman-ke-kepri-naik-tajam-tapi-lama-menginap-di-hotel-justru-turun-ada-apa/</t>
  </si>
  <si>
    <t xml:space="preserve">Harga Tiket Naik, Konflik Global Mulai "Goyang" Wisata Kepri - Batamnews</t>
  </si>
  <si>
    <t xml:space="preserve">PRESMEDIA.ID – Angka kunjungan wisatawan ke Provinsi Kepulauan Riau pada Mei 2026 terlihat menggembirakan. Badan Pusat Statistik (BPS) Kepulauan Riau mencatat, baik wisatawan mancanegara (wisman) maup</t>
  </si>
  <si>
    <t xml:space="preserve">Copyright  2014 - batamnews.co.id All rights reserved Dikelola dan Dikembangkan Oleh : PT. Batam Media Siber Wakil Gubernur Kepulauan Riau Nyanyang Haris Pratamura bersama Para pengusaha usai menggela</t>
  </si>
  <si>
    <t xml:space="preserve">Bintan – Pembangunan ini disebut-sebut sebagai kebanggaan baru masyarakat Kepulauan Riau, sekaligus cara mengenalkan sejarah kepada generasi muda dengan gaya yang lebih hidup. Langkah besar itu dimula</t>
  </si>
  <si>
    <t xml:space="preserve">PRESMEDIA.ID – Menteri Dalam Negeri (Mendagri) Republik Indonesia, Muhammad Tito Karnavian, melakukan peletakan batu pertama (groundbreaking) pembangunan Museum dan Monumen Bahasa di Pulau Penyengat, </t>
  </si>
  <si>
    <t xml:space="preserve">WARTAKEPRI.co.id, TANJUNGPINANG – Menteri Dalam Negeri (Mendagri) Republik Indonesia Tito Karnavian bersama Gubernur Kepulauan Riau (Kepri) Ansar Ahmad dan Wakil Gubernur Kepri Nyanyang Haris Pratamur</t>
  </si>
  <si>
    <t xml:space="preserve">Klikwarta . com , Bintan - Salah satu tonggak sejarah baru bagi masyarakat Kepri segera dimulai. Tepatnya di Pulau Penyengat, Pembangunan Museum dan Monumen Bahasa Nasional resmi dimulai. Hal ini dita</t>
  </si>
  <si>
    <t xml:space="preserve">https://lintaskepri.com/24-tahun-kepri-gubernur-ansar-tegaskan-semangat-bersama-menuju-kepri-maju-berkelanjutan/</t>
  </si>
  <si>
    <t xml:space="preserve">Lintaskepri.com, Tanjungpinang – Genap berusia 24 tahun, Provinsi Kepulauan Riau terus meneguhkan komitmen untuk membangun daerah yang maju, makmur, dan merata dengan bertumpu pada kekuatan sejarah, b</t>
  </si>
  <si>
    <t xml:space="preserve">Pemerintah Provinsi Kepulauan Riau (Kepri) berencana membangun Museum dan Monumen Bahasa di Pulau Penyengat, Tanjungpinang. Anggaran yang digelontorkan untuk pembangunan museum dan monumen bahasa ters</t>
  </si>
  <si>
    <t xml:space="preserve">Klikwarta . com , Tanjungpinang - Menteri Dalam Negeri (Mendagri) Muhammad Tito Karnavian mengapresiasi pembangunan Museum dan Monumen Bahasa Nasional di Pulau Penyengat, Kota Tanjungpinang, Kepulauan</t>
  </si>
  <si>
    <t xml:space="preserve">PRESMEDIA.ID – Pemerintah Provinsi Kepulauan Riau (Kepri) terus mematangkan persiapan pembangunan Museum dan Monumen Bahasa Nasional di Pulau Penyengat, Kota Tanjungpinang. Proyek yang menelan anggara</t>
  </si>
  <si>
    <t xml:space="preserve">Klikwarta . com , Kepri - Jelang pelaksanaan groundbreaking Museum dan Monumen Bahasa, Gubernur Kepulauan Riau Ansar Ahmad bersama Sekretaris Daerah Misni berziarah ke Makam Raja Ali Haji di Pulau Pen</t>
  </si>
  <si>
    <t xml:space="preserve">SCROLL TO CONTINUE WITH CONTENT INIKEPRI - Publisher Sabtu, 11 April 2026 Rencana pembangunan Museum dan Monumen Tugu Bahasa di Pulau Penyengat. Foto: INIKEPRI.COM/KepriProv INIKEPRI.COM – Rencana pem</t>
  </si>
  <si>
    <t xml:space="preserve">AlurNews.com – Kepala Kantor Wilayah (Kakanwil) Imigrasi Provinsi Kepulauan Riau (Kepri) dan Kepala Kantor Imigrasi Kelas I TPI Batam dicopot dari jabatannya usai viralnya dugaan pungli terhadap WNA a</t>
  </si>
  <si>
    <t xml:space="preserve">PRIORITAS , 25/9/26 (Tanjungpinang): Menteri Dalam Negeri (Mendagri) Tito Karnavian secara resmi melakukan peletakan batu pertama ( groundbreaking ) pembangunan Museum dan Monumen Bahasa Nasional di P</t>
  </si>
  <si>
    <t xml:space="preserve">https://www.detik.com/sumut/hukum-dan-kriminal/d-8673825/pria-di-batam-ajak-2-anak-tak-dikenal-jajan-lalu-diduga-bawa-kabur-2-goni-beras</t>
  </si>
  <si>
    <t xml:space="preserve">Toko Emas Anggota DPRD Natuna Dibobol, Emas 2 Kg Senilai Rp 4 Miliar Belum Ditemukan - Kompas.com</t>
  </si>
  <si>
    <t xml:space="preserve">Aksi dugaan penipuan terjadi di kawasan Botania 1, Batam, Kepulauan Riau (Kepri) dengan modus menjaminkan anak di bawah umur viral di media sosial. Saat ini polisi tengah menyelidiki kasus tersebut. D</t>
  </si>
  <si>
    <t xml:space="preserve">https://regional.kompas.com/read/2026/04/03/122100378/toko-emas-anggota-dprd-natuna-dibobol-emas-2-kg-senilai-rp-4-miliar-belum</t>
  </si>
  <si>
    <t xml:space="preserve">Evaluasi Kopdes Merah Putih Tutup, DKUKM Kepri Sarankan Miliki Lini Bisnis Beragam - gotvnews.co.id</t>
  </si>
  <si>
    <t xml:space="preserve">Toko Emas Anggota DPRD Natuna Dibobol, Emas 2 Kg Senilai Rp 4 Miliar Belum Ditemukan NATUNA, KOMPAS.com – Kasus pembobolan Toko Mas Safari yang berlokasi di kawasan Pasar Lama, Jalan Datuk Kaya Wan Mo</t>
  </si>
  <si>
    <t xml:space="preserve">https://gotvnews.co.id/evaluasi-kopdes-merah-putih-tutup-dkukm-kepri-sarankan-miliki-lini-bisnis-beragam/</t>
  </si>
  <si>
    <t xml:space="preserve">Dua Pemuda Terekam CCTV Curi Empat Tabung Gas di Karimun, Polisi Terima Laporan - Aktualita.co</t>
  </si>
  <si>
    <t xml:space="preserve">GOTVNEWS , Tanjungpinang – Dinas Koperasi dan Usaha Kecil Menengah (DKUKM) Provinsi Kepulauan Riau (Kepri) menyoroti fenomena penutupan beberapa gerai koperasi di sejumlah wilayah di Kepri saat sudah </t>
  </si>
  <si>
    <t xml:space="preserve">https://aktualita.co/hukum-kriminal/dua-pemuda-terekam-cctv-curi-empat-tabung-gas-di-karimun-polisi-terima-laporan</t>
  </si>
  <si>
    <t xml:space="preserve">2 WNI, 1 Warga Tanjung Pinang Disekap di Myanmar Kondisi Tangan Diborgol - Viral Nasional</t>
  </si>
  <si>
    <t xml:space="preserve">Dua Pemuda Terekam CCTV Curi Empat Tabung Gas di Karimun, Polisi Terima Laporan Karimun , Aktualita.co — Aksi pencurian empat tabung gas kosong di sebuah toko di Jalan Bukit Senang , Kabupaten Karimun</t>
  </si>
  <si>
    <t xml:space="preserve">Identik dengan julukan kota industri dan destinasi belanja murah, Batam ternyata juga termasuk salah satu kota di Indonesia yang terkenal dengan sektor pariwisatanya. Kota terbesar di kepulauan Riau i</t>
  </si>
  <si>
    <t xml:space="preserve">https://gotvnews.co.id/international-business-forum-2026-digelar-di-batam-perluas-akses-pasar-pelaku-umkm-ke-pasar-global/</t>
  </si>
  <si>
    <t xml:space="preserve">Bazar MTQ XII Kepri 2026, Targetkan Produk UMKM Tembus Pasar Regional - Batamnews</t>
  </si>
  <si>
    <t xml:space="preserve">GOTVNEWS, Tanjungpinang – Wakil Gubernur Kepulauan Riau Nyanyang Haris Pratamura membuka secara resmi kegiatan Kepri International Business Forum Tahun 2026, yang dilaksanakan di Ballroom Hotel Harmon</t>
  </si>
  <si>
    <t xml:space="preserve">Copyright  2014 - batamnews.co.id All rights reserved Dikelola dan Dikembangkan Oleh : PT. Batam Media Siber Ketua TP PKK Kepri Dewi Kumalasari Ansar bersama Ketua TP PKK Tanjungpinang Yuniarni Pustok</t>
  </si>
  <si>
    <t xml:space="preserve">https://kumparan.com/kumparannews/gerindra-sanksi-teguran-tertulis-ke-ketua-dprd-kepri-kendarai-harley-tanpa-helm-27P5XYH7OoY</t>
  </si>
  <si>
    <t xml:space="preserve">Mahkamah Partai Gerindra menjatuhkan sanksi teguran tertulis kepada Ketua DPRD Kepri Iman Setiawan yang viral mengendarai Harley-Davidson tanpa helm. Putusan itu dibacakan dalam sidang terbuka Majelis</t>
  </si>
  <si>
    <t xml:space="preserve">Batamline.com , Batam – Polsek Lubuk Baja kembali mendapat apresiasi setelah berhasil mengungkap kasus-kasus viral dan menghebohkan masyarakat Batam. Diantaranya, kasus copet di Pasar Tos 3000 Batam. </t>
  </si>
  <si>
    <t xml:space="preserve">Copyright  2014 - batamnews.co.id All rights reserved Dikelola dan Dikembangkan Oleh : PT. Batam Media Siber Suasana perhelatan Lomba Perahu Naga (Dragon Boat Race) 2026 di perairan Pelantar 3, Tanjun</t>
  </si>
  <si>
    <t xml:space="preserve">Lulus Verifikasi Dewan Pers No.126/DP-Terverifikasi/K/X/2017 BATAMTODAY.COM , Tanjungpinang – Secangkir kopi mungkin terlihat sederhana. Namun di tangan sebuah festival, kopi dapat menjadi pintu masuk</t>
  </si>
  <si>
    <t xml:space="preserve">https://kepripedia.com/jalin-silaturahmi-mahasiswa-kkn-stain-sultan-abdurrahman-kepri-sambangi-ketua-pkk-bahas-program-kerja/</t>
  </si>
  <si>
    <t xml:space="preserve">BP Batam International Football Festival 2026 Gandeng Ramadhan Sananta untuk Motivasi Talenta Muda Kepri - WartaKepri.co.id</t>
  </si>
  <si>
    <t xml:space="preserve">Bintan – Mahasiswa Kuliah Kerja Nyata (KKN) Sekolah Tinggi Agama Islam Negeri (STAIN) Sultan Abdurrahman Kepulauan Riau yang ditempatkan di Desa Dendun melaksanakan kunjungan silaturahmi ke kediaman K</t>
  </si>
  <si>
    <t xml:space="preserve">Lulus Verifikasi Dewan Pers No.126/DP-Terverifikasi/K/X/2017 Pelestarian Budaya Khas Provinsi Kepri BATAMTODAY.COM, Tanjungpinang - Puncak Festival Kopi Merdeka (FKM) 2026 berlangsung meriah di Jalan </t>
  </si>
  <si>
    <t xml:space="preserve">https://kepripedia.com/bupati-bintan-pastikan-program-pembangunan-sinkron-dengan-provinsi-kepri/</t>
  </si>
  <si>
    <t xml:space="preserve">TANJUNGPINANG – Pemerintah Provinsi Kepulauan Riau menggelar Musyawarah Perencanaan Pembangunan (Musrenbang) Tahun 2026 untuk menyusun Rencana Kerja Pemerintah Daerah (RKPD) Tahun 2027. Acara berlangs</t>
  </si>
  <si>
    <t xml:space="preserve">https://www.batamnews.co.id/feed-128377-500-alumni-pgan-tanjungpinang-reuni-gubernur-ajak-alumni-perkuat-kontribusi-untuk-kepri.html</t>
  </si>
  <si>
    <t xml:space="preserve">28 Juni 2026 • 15:52 Tanjungpinang, Batamnews - Suasana hangat dan penuh kekeluargaan menyelimuti Ballroom Hotel CK Tanjungpinang, Sabtu malam 27 Juni 2026. Sekitar 500 orang yang merupakan alumni Pen</t>
  </si>
  <si>
    <t xml:space="preserve">https://jambiindependent.disway.id/hiburan/read/717365/bukan-food-vlogger-kenapa-rombongan-pns-justru-sering-jadi-patokan-cari-tempat-makan</t>
  </si>
  <si>
    <t xml:space="preserve">Teras Nyai: Sensasi Kuliner Hidden Gem Otentik khas Melayu Jambi - Kompasiana.com</t>
  </si>
  <si>
    <t xml:space="preserve">Rombongan PNS Bisa Jadi Rekomendasi Tempat Makan-ist/jambi-independent.co.id- JAMBI, JAMBI-INDEPENDENT.CO.ID - Kalau melihat rombongan orang datang ke sebuah warung makan , biasanya ada satu hal yang </t>
  </si>
  <si>
    <t xml:space="preserve">Tertarik pada bidang psikologi, pengembangan diri, wisata dan kuliner. Siapa yang tidak tergiur jika menemukan tempat makan tersembunyi dengan cita rasa masakan tradisional yang luar biasa di Kota Jam</t>
  </si>
  <si>
    <t xml:space="preserve">Wisata Kuliner Kota Tua ini teranyar di luncurkan Pemerintah Kota Jambi.  Wisata ini diharapkan dapat menggenjot kebangkitan kawasan bersejarah. -Finarman/jamb-independent.co.id - JAMBI, JAMBI-INDEPEN</t>
  </si>
  <si>
    <t xml:space="preserve">https://jambilink.id/post/10195/tantangan-industri-aviasi-dan-dampaknya-pada-sektor-pariwisata-di-provinsi-jambi</t>
  </si>
  <si>
    <t xml:space="preserve">jambilink.id</t>
  </si>
  <si>
    <t xml:space="preserve">Home Headline Politik Ngaji Politik Daerah Kriminal Ragam Opini Catatan Awin Cari Indek Oleh: Thamrin B. Bachri Beberapa penulis asing terkemuka yang secara khusus mendedikasikan karyanya untuk membah</t>
  </si>
  <si>
    <t xml:space="preserve">7 Rekomendasi Wisata Religi di Jambi yang Sarat Nilai Sejarah dan Spiritualitas-RERI ALFIAN-RERI ALFIAN Lahatpos.co - Jambi tidak hanya dikenal dengan kekayaan alam dan budayanya, tetapi juga memiliki</t>
  </si>
  <si>
    <t xml:space="preserve">7 Rekomendasi Wisata Jambi yang Wajib Masuk Daftar Liburan Anda-RERI ALFIAN-RERI ALFIAN Lahatpos.co - Provinsi Jambi menyimpan beragam destinasi wisata yang memadukan keindahan alam , sejarah, dan bud</t>
  </si>
  <si>
    <t xml:space="preserve">Kampung Batik Ulu Gedong Diproyeksikan Jadi Ikon Wisata Budaya Melayu di Kota Jambi-Kodri-Jambitv.co KOTAJAMBI, JAMBITV.CO – Sebagai Kota perdagangan dan Jasa, Pemerintah Kota (Pemkot) Jambi berkomitm</t>
  </si>
  <si>
    <t xml:space="preserve">Kota Tua Jambi Resmi Dibuka, Wali Kota Dorong Wisata Sejarah dan UMKM Terpadu-Kodri-Jambitv.co KOTAJAMBI, JAMBITV.CO — Pemerintah Kota Jambi resmi menggelar grand opening Kawasan Wisata Kota Tua yang </t>
  </si>
  <si>
    <t xml:space="preserve">RRI.CO.ID,Jambi - Bagi masyarakat umum yang ingin menikmati wisata sejarah dengan konsep kekinian. Museum Sriwijaya Dharmakirti Kawasan Cagar Budaya Nasional (KCBN) Muaro Jambi resmi dibuka untuk kunj</t>
  </si>
  <si>
    <t xml:space="preserve">&lt;strong&gt;&lt;a href="http://Museum Sriwijaya Dharmakirti Resmi Dibuka, Bupati BBS: Jadi Pusat Edukasi dan Kebanggaan Muaro Jambi"&gt;SEKATOJAMBI.COM&lt;/a&gt;&lt;/strong&gt;, MUARO JAMBI - Bupati Muaro Jambi, Dr. Bamban</t>
  </si>
  <si>
    <t xml:space="preserve">https://orasi.id/2026/04/video-diduga-staf-dprd-muaro-jambi-konsumsi-narkotika-viral-polisi-lakukan-penyelidikan/</t>
  </si>
  <si>
    <t xml:space="preserve">orasi.id</t>
  </si>
  <si>
    <t xml:space="preserve">Usai Gibran, Kini Giliran Fadli Zon yang Janji Tutup Stockpile Batubara di Sekitar Candi - https://jambiekspres.disway.id/ - Jambi Ekspres</t>
  </si>
  <si>
    <t xml:space="preserve">Jambi Ekspres</t>
  </si>
  <si>
    <t xml:space="preserve">MUARO JAMBI — Citra lembaga DPRD Kabupaten Muaro Jambi menjadi sorotan setelah beredarnya video yang diduga memperlihatkan oknum staf sekretariat tengah mengonsumsi narkotika jenis sabu. Rekaman berdu</t>
  </si>
  <si>
    <t xml:space="preserve">Mahasiswa kembali suarakan penutupan stockpile batubara di Sekitar Candi Muaro Jambi, giliran Fadli Zon yang didesak-Foto: Istimewa- JAMBI, JAMBIEKSPRES.DISWAY.ID – Kunjungan Menteri Kebudayaan Republ</t>
  </si>
  <si>
    <t xml:space="preserve">IMCNews.ID, Jambi - Gubernur Jambi Al Haris secara resmi membuka High Level Meeting (HLM) Tim Percepatan dan Perluasan Digitalisasi Daerah (TP2DD) Provinsi Jambi tahun 2026 di Museum Sriwijaya Dharmak</t>
  </si>
  <si>
    <t xml:space="preserve">https://www.jambikota.go.id/berita/dukung-tranformasi-tata-kelola-persampahan-di-kota-jambi-masyarakat-solok-sipin-hadirkan-opbm-solok-sipin-viral</t>
  </si>
  <si>
    <t xml:space="preserve">www.jambikota.go.id</t>
  </si>
  <si>
    <t xml:space="preserve">Penulis: Johanes Afrizal | Editor: Eko Oktavianus Jambi - Pemerintah Kota (Pemkot) Jambi terus memperkuat komitmennya dalam mewujudkan lingkungan bersih dan sehat melalui program prioritas Kampung Bah</t>
  </si>
  <si>
    <t xml:space="preserve">https://www.terasbatam.id/modus-belanja-di-minimarket-tiga-pria-gondol-hp-di-jalan-panglima-polim-jambi/</t>
  </si>
  <si>
    <t xml:space="preserve">www.terasbatam.id</t>
  </si>
  <si>
    <t xml:space="preserve">Viral Pamer Gaji ke-13 Buat Beli Mobil dan iPhone, 4 ASN Pemkot Jambi Terancam Sanksi Etik - wamanews.id</t>
  </si>
  <si>
    <t xml:space="preserve">TERASBATAM.ID – Aksi pencurian ponsel dengan modus berpura-pura berbelanja kembali terjadi di Kota Jambi. Sebuah toko yang buka 24 jam di Jalan Panglima Polim Rajawali (Kasang), Kecamatan Jambi Timur,</t>
  </si>
  <si>
    <t xml:space="preserve">https://wamanews.id/viral-pamer-gaji-ke-13-buat-beli-mobil-dan-iphone-4-asn-pemkot-jambi-terancam-sanksi-etik/</t>
  </si>
  <si>
    <t xml:space="preserve">Viral ASN Pemkot Jambi Pamer Rencana Belanja Gaji ke-13, Warganet Beri Kritik Pedas - Kabar Jambi Kito - Kabar Jambi Kito</t>
  </si>
  <si>
    <t xml:space="preserve">Kabar Jambi Kito</t>
  </si>
  <si>
    <t xml:space="preserve">Wamanews.id, 13 Juni 2026&amp;nbsp;- Jagat media sosial kembali dihebohkan oleh aksi pamer atau&amp;nbsp;flexing&amp;nbsp;yang diduga dilakukan oleh oknum pelayan publik. Kali ini, aksi empat orang perempuan yang</t>
  </si>
  <si>
    <t xml:space="preserve">https://www.kabarjambikito.id/peristiwa/59117236441/viral-asn-pemkot-jambi-pamer-rencana-belanja-gaji-ke-13-warganet-beri-kritik-pedas</t>
  </si>
  <si>
    <t xml:space="preserve">www.kabarjambikito.id</t>
  </si>
  <si>
    <t xml:space="preserve">Viral Video Diduga Perkelahian Remaja Putri di Tebo, Polisi Turun Tangan - jambiprima.com</t>
  </si>
  <si>
    <t xml:space="preserve">jambiprima.com</t>
  </si>
  <si>
    <t xml:space="preserve">Kabarjambikito.id - Sejumlah Aparatur Sipil Negara ( ASN ) perempuan di lingkungan Pemerintah Kota Jambi menjadi sorotan setelah mengunggah video mengenai rencana penggunaan gaji ke-13 yang baru merek</t>
  </si>
  <si>
    <t xml:space="preserve">https://jambiprima.com/read/2026/05/25/21420/viral-video-diduga-perkelahian-remaja-putri-di-tebo-polisi-turun-tangan/</t>
  </si>
  <si>
    <t xml:space="preserve">Terungkap! Ini Penjelasan Polisi soal Video Viral Remaja Bawa Sajam di Kota Jambi - https://jambiindependent.disway.id/ - Jambi Independent</t>
  </si>
  <si>
    <t xml:space="preserve">JAMBIPRIMA.COM, TEBO – Sebuah video yang diduga memperlihatkan aksi perkelahian antar remaja putri di kawasan Pasar Desa Aur Cino, Kecamatan VII Koto, Kabupaten Tebo, Provinsi Jambi, viral di media so</t>
  </si>
  <si>
    <t xml:space="preserve">https://jambiindependent.disway.id/hukum/read/715872/terungkap-ini-penjelasan-polisi-soal-video-viral-remaja-bawa-sajam-di-kota-jambi</t>
  </si>
  <si>
    <t xml:space="preserve">MX Asia Bupati Kerinci 2026 Heboh di Medsos, Hadiah Motor Juara Umum Diprotes Pembalap - JambiLINK.id</t>
  </si>
  <si>
    <t xml:space="preserve">Video yang berisi sekelompok remaja bawa senjata tajam di Kota Jambi.-ist/jambi-independent.co.id- KOTA JAMBI , JAMBI-INDEPENDENT.CO.ID – Video yang memperlihatkan sekelompok remaja membawa senjata ta</t>
  </si>
  <si>
    <t xml:space="preserve">https://jambilink.id/post/8696/mx-asia-bupati-kerinci-2026-heboh-di-medsos-hadiah-motor-juara-umum-diprotes-pembalap</t>
  </si>
  <si>
    <t xml:space="preserve">Home Headline Politik Ngaji Politik Daerah Kriminal Ragam Opini Catatan Awin Cari Indek Kerinci – Ajang Motocross MX Asia Bupati Kerinci Cup 2026 resmi berakhir pada Minggu, 31 Mei 2026, di kawasan Ka</t>
  </si>
  <si>
    <t xml:space="preserve">jambi kota sebrang mengadakan festival budaya--Jambitv.co KOTAJAMBI, JAMBITV.CO – Masyarakat Jambi Kota Seberang tengah bersiap menyambut perhelatan akbar Festival Budaya “Baselang Ka Umo” 2026 yang a</t>
  </si>
  <si>
    <t xml:space="preserve">IMCNews.ID, Jambi - Gubernur Jambi Dr. H. Al Haris, S.Sos, MH., resmi membuka Pekan Kebudayaan "Jambi Elok Nian Kota Jambi 2026" pada Kamis (23/7/2026) malam, di Anjungan Kota Jambi, Taman Mini Melayu</t>
  </si>
  <si>
    <t xml:space="preserve">https://regional.kompas.com/read/2026/06/15/144700778/video-gaji-ke-13-viral-wali-kota-jambi-ingatkan-asn-jaga-etika-dan-bijak?page=all</t>
  </si>
  <si>
    <t xml:space="preserve">Video Gaji ke-13 Viral, Wali Kota Jambi Ingatkan ASN Jaga Etika dan Bijak Bermedia Sosial JAMBI, KOMPAS.com - Pemerintah Kota Jambi mengingatkan aparatur sipil negara (ASN) untuk menjaga etika dalam b</t>
  </si>
  <si>
    <t xml:space="preserve">https://www.detik.com/sumbagsel/berita/d-8571352/viral-pengantin-di-jambi-adu-jotos-di-atas-panggung-ini-kisah-di-baliknya</t>
  </si>
  <si>
    <t xml:space="preserve">Pernikahan seringkali dipenuhi dengan momen-momen manis, khidmat, dan kebahagiaan. Namun di media sosial, heboh video pernikahan yang memperlihatkan momen sepasang pengantin memamerkan aksi anti-mains</t>
  </si>
  <si>
    <t xml:space="preserve">Karhutla Tahura Sultan Thaha Jambi Meluas, Satwa Berlindung di Hamparan yang Tersisa JAMBI, KOMPAS.com - Kebakaran hutan dan lahan (karhutla) di kawasan Taman Hutan Raya (Tahura) Sultan Thaha Jambi, K</t>
  </si>
  <si>
    <t xml:space="preserve">&lt;p class="w6asjq_TextBase _85PZeG_Text" data-d-component="text"&gt;&lt;strong&gt;PALEMBANG&lt;/strong&gt; bukan hanya dikenal sebagai Kota Pempek. Di balik megahnya Jembatan Ampera dan aliran Sungai Musi, tersimpan </t>
  </si>
  <si>
    <t xml:space="preserve">AKURAT.CO SUMSEL Menjelajahi kuliner di Palembang tidak harus selalu berujung pada sepiring pempek. Kota yang dikenal sebagai salah satu surga kuliner Sumatera Selatan ini juga memiliki beragam makana</t>
  </si>
  <si>
    <t xml:space="preserve">Setelah sempat ditutup dan memicu polemik luas, operasional Desa Wisata Gunung Dempo di Kota Pagar Alam akhirnya kembali dibuka mulai Rabu (13/5/2026). Namun, izin operasional itu masih bersifat semen</t>
  </si>
  <si>
    <t xml:space="preserve">LIFESTYLE &amp; KESEHATAN Objek Wisata Sawah Namang yang Didukung CSR Bank Sumsel Babel. --Foto Tri BABELPOS.ID, NAMANG - SENTUHAN Corporate Social Responsibility (CSR) Bank Sumsel Babel (BSB) sukses ment</t>
  </si>
  <si>
    <t xml:space="preserve">Hujan deras yang mengguyur Kabupaten Empat Lawang, Sumatera Selatan membuat aliran sungai Lintang meluap dan merusak objek wisata, bahkan merobohkan jembatan gantung. Debit air Sungai Lintang yang mel</t>
  </si>
  <si>
    <t xml:space="preserve">https://mitrapost.com/2026/09/21/viral-kekerasan-terhadap-balita-di-palembang-polisi-amankan-pelaku/</t>
  </si>
  <si>
    <t xml:space="preserve">Beli Emas Diduga Palsu Rp 27,1 Juta, Karyawan BUMN Malah Dilaporkan Penjual ke Polisi - Kompas.com</t>
  </si>
  <si>
    <t xml:space="preserve">Mitrapost.com – Viral di media sosial aksi dugaan kekerasan menimpa balita berinisial FR (2) di Kota Palembang, Sumatera Selatan. Personel Ditreskrim PPA dan PPO Polda Sumsel telah mengamankan satu pe</t>
  </si>
  <si>
    <t xml:space="preserve">https://regional.kompas.com/read/2026/08/09/140032478/beli-emas-diduga-palsu-rp-271-juta-karyawan-bumn-malah-dilaporkan-penjual?page=all</t>
  </si>
  <si>
    <t xml:space="preserve">Beli Emas Diduga Palsu Rp 27,1 Juta, Karyawan BUMN Malah Dilaporkan Penjual ke Polisi PALEMBANG, KOMPAS.com - Seorang karyawan BUMN bernama Maulana Yunus (27) melaporkan sebuah toko emas di Palembang </t>
  </si>
  <si>
    <t xml:space="preserve">Seorang wanita diduga menipu toko perhiasan di Baturaja dengan modus menukar cincin perak dengan cincin emas 24 karat pada Minggu (12/7) sekitar pukul 11.00 WIB. Peristiwa itu viral setelah videonya b</t>
  </si>
  <si>
    <t xml:space="preserve">https://www.aliansinews.id/baca/id/Kp0dXN/toko-emas-mustika-diamond-bantah-jual-emas-palsu-pilih-buktikan-persoalan-lewat-jalur-hukum</t>
  </si>
  <si>
    <t xml:space="preserve">www.aliansinews.id</t>
  </si>
  <si>
    <t xml:space="preserve">Ibu Berdaster Terekam Curi Tas di Toko Kosmetik Medan, Modus Jadi Pembeli - Kompas.com</t>
  </si>
  <si>
    <t xml:space="preserve">PALEMBANG, Aliansinews"— Persoalan transaksi emas batangan 10 gram di Toko Emas Mustika Diamond, PTC Mall Palembang, berujung pada laporan polisi. Pihak toko membantah tudingan menjual emas palsu dan </t>
  </si>
  <si>
    <t xml:space="preserve">https://medan.kompas.com/read/2026/05/05/224937578/ibu-berdaster-terekam-curi-tas-di-toko-kosmetik-medan-modus-jadi-pembeli</t>
  </si>
  <si>
    <t xml:space="preserve">Saat 2 Gajah Liar di Sumsel Tiba-tiba Masuk Pasar, Apa Kata BKSDA? - detikTravel</t>
  </si>
  <si>
    <t xml:space="preserve">Ibu Berdaster Terekam Curi Tas di Toko Kosmetik Medan, Modus Jadi Pembeli MEDAN, KOMPAS.com – Aksi seorang ibu berdaster mencuri tas milik pegawai toko kosmetik di Pasar Petisah, Kota Medan, terekam k</t>
  </si>
  <si>
    <t xml:space="preserve">Dua ekor gajah liar di Kabupaten Ogan Komering Ilir (OKI), Sumatera Selatan tiba-tiba masuk ke pasar. Beruntung, kondisi saat itu tidak ada orang. Video yang viral di media sosial memperlihatkan ada d</t>
  </si>
  <si>
    <t xml:space="preserve">Kuliner legendaris Pempek Tumpah di kawasan Pasar 16 Ilir, Palembang, menjadi perbincangan hangat di media sosial. Kritik mengenai dugaan kurang higienisnya penyajian pempek memicu kekhawatiran pedaga</t>
  </si>
  <si>
    <t xml:space="preserve">Video Viral, Dua Gajah Masuk Pasar Jukung OKI Sempat Bikin Warga Sempat Panik OKI, KOMPAS.com - Potongan video dua ekor gajah liar memasuki kawasan pasar di Kabupaten Ogan Komering Ilir (OKI), Sumater</t>
  </si>
  <si>
    <t xml:space="preserve">Video memperlihatkan dua ekor gajah liar berjenis kelamin laki-laki masuk ke pasar Kabupaten Ogan Komering Ilir (OKI), Sumatera Selatan, viral di media sosial. Gajah itu hanya melintas untuk mencari m</t>
  </si>
  <si>
    <t xml:space="preserve">Sepi Pembeli Usai Viral Isu Kebersihan Pempek Pasar 16 Ilir Palembang, Pedagang: Jangan Matikan Rezeki Kami PALEMBANG, KOMPAS.com - Pedagang pempek tumpah di Pasar 16 Ilir, Kota Palembang, Sumatera Se</t>
  </si>
  <si>
    <t xml:space="preserve">Palembang, SumselSatu.com Pemerintah Kota (Pemko) Palembang mulai menyiapkan langkah penataan kawasan kuliner pempek tumpah di Pasar 16 Ilir, menyusul viralnya kawasan tersebut di media sosial belakan</t>
  </si>
  <si>
    <t xml:space="preserve">Pengelola Pasar Buah Induk Jakabaring, Palembang, Sumatera Selatan, akhirnya angkat bicara mengenai kondisi infrastruktur pasar yang kian memprihatinkan. Pengelola mengakui perbaikan akses jalan yang </t>
  </si>
  <si>
    <t xml:space="preserve">Palembang (ANTARA) - Pemerintah Kota Palembang, Sumatera Selatan, untuk mendorong kawasan Pasar 26 Ilir menjadi destinasi wisata kuliner modern melalui pengembangan kawasan makanan halal, aman, dan se</t>
  </si>
  <si>
    <t xml:space="preserve">https://tv.sinpo.id/detail/melarikan-diri-minibus-tabrak-palang-parkir-pasar-inpres</t>
  </si>
  <si>
    <t xml:space="preserve">SinPo.tv - Viral, sebuah minibus menabrak palang parkir Pasar Inpres di Kabupaten Muara Enim, Sumatera Selatan, saat berusaha melarikan diri dari kejaran warga. Aksi nekat ini terjadi setelah pengemud</t>
  </si>
  <si>
    <t xml:space="preserve">https://www.detik.com/sumbagsel/hukum-dan-kriminal/d-8567995/heboh-sejoli-mesum-di-belakang-pasar-buah-jakabaring-palembang</t>
  </si>
  <si>
    <t xml:space="preserve">Revitalisasi Pasar Pempek 26 Ilir, Target Jadi Destinasi Kuliner Modern - detikcom</t>
  </si>
  <si>
    <t xml:space="preserve">Video memperlihatkan sejoli di Palembang, Sumatera Selatan, melakukan mesum di ruang terbuka viral di media sosial. Saat ini polisi masih menyelidiki terkait dengan kejadian. Peristiwa tersebut terjad</t>
  </si>
  <si>
    <t xml:space="preserve">Pemerintah Kota Palembang berkolaborasi dengan Bank Indonesia (BI) menata kawasan Pasar 26 Ilir atau Pasar Sentral Kampung Pempek. Penataan ini dilakukan di kawasan strategis pusat kota dengan tujuan </t>
  </si>
  <si>
    <t xml:space="preserve">Wagub Sumsel Cik Ujang Ajak Masyarakat Jadikan Festival Sriwijaya Momentum Kebangkitan Budaya Daerah-Foto:Istimewa- PALEMBANG , PALPOS.CO — Wakil Gubernur Sumatera Selatan (Sumsel) H. Cik Ujang mengaj</t>
  </si>
  <si>
    <t xml:space="preserve">Musionline.co.id, Palembang - Kota Palembang kembali menghadirkan destinasi wisata kuliner baru yang sayang untuk dilewatkan. Bertempat di Palembang Indah Mall (PIM), festival kuliner bertajuk “Festiv</t>
  </si>
  <si>
    <t xml:space="preserve">https://lingkaran.id/nasional/duta-gdi-hadiri-hive-invitation-event-perkuat-kolaborasi-kerelawanan-di-sumsel</t>
  </si>
  <si>
    <t xml:space="preserve">lingkaran.id</t>
  </si>
  <si>
    <t xml:space="preserve">Festival Jajanan Viral Jakarta Hadir di Palembang Indah Mall: Ratusan Menu Hits dari Berbagai Daerah - palpos.disway.id - Palpos</t>
  </si>
  <si>
    <t xml:space="preserve">Gubernur Herman Deru Serap Aspirasi Buruh Sumsel, Siap Tindak Lanjuti ke Pemerintah Pusat Acara ini menjadi wadah silaturahmi sekaligus ruang diskusi bagi para anggota HIVE di wilayah Sumatera Selatan</t>
  </si>
  <si>
    <t xml:space="preserve">Festival Jajanan Viral Jakarta hadir di Palembang Indah Mall : Pertama di Palembang, Ratusan Menu Hits Langsung dari Jakarta, Bali, Jawa, Medan, &amp; Kalimantan-Foto:dokumen palpos- PALPOS.CO - Palembang</t>
  </si>
  <si>
    <t xml:space="preserve">Ajang Sumsel Bhayangkara Run 2026 dipastikan mencatat sejarah sebagai event lomba lari dengan jumlah peserta terbanyak yang pernah digelar di Sumatera Selatan. Sebanyak 8.000 pelari dari berbagai daer</t>
  </si>
  <si>
    <t xml:space="preserve">&lt;strong&gt;KEINDAHAN&lt;/strong&gt; laut Pulau Belitung, dari pasir putihnya yang halus, air laut yang jernih berwarna tosca hingga formasi batu granit raksasa yang ikonik. Pantai Tanjung Tinggi terletak di De</t>
  </si>
  <si>
    <t xml:space="preserve">https://www.detik.com/sumbagsel/budaya/d-8541491/makanan-khas-bangka-selain-martabak-favorit-warga-lokal-hingga-jadi-oleh-oleh</t>
  </si>
  <si>
    <t xml:space="preserve">Kekayaan Alam Daerah Potensi Pariwisata Masa Depan - RRI.co.id</t>
  </si>
  <si>
    <t xml:space="preserve">Bila berbicara tentang Pulau Bangka, salah satu kuliner yang sering terlintas adalah martabak Bangka. Namun kenyataannya, pulau kaya adat ini menyimpan segudang makanan khas yang menjadi favorit warga</t>
  </si>
  <si>
    <t xml:space="preserve">https://rri.co.id/sungailiat/wisata/2751288/kekayaan-alam-daerah-potensi-pariwisata-masa-depan</t>
  </si>
  <si>
    <t xml:space="preserve">RRI.CO.ID, Sungailiat - Setiap daerah punya cerita tentang alamnya. Pantai yang membentang, hutan yang rindang, sungai yang mengalir, hingga tradisi yang hidup di sekitarnya. Kekayaan itu menunggu dik</t>
  </si>
  <si>
    <t xml:space="preserve">https://babel.tribunnews.com/lokal/18745/sambut-penerbangan-internasional-singapura-belitung-babel-usulkan-penyusunan-paket-wisata-terpadu</t>
  </si>
  <si>
    <t xml:space="preserve">babel.tribunnews.com</t>
  </si>
  <si>
    <t xml:space="preserve">Belum punya akun? Daftar Akun Download TribunX untuk Android &amp; iOS PANGKALPINANG, BABEL NEWS - Dinas Pariwisata, Kebudayaan, dan Kepemudaan Olahraga (Disparbudkepora) Provinsi Kepulauan Bangka Belitun</t>
  </si>
  <si>
    <t xml:space="preserve">RRI.CO.ID, Sungailiat - Musim durian menjadi magnet wisata di Provinsi Kepulauan Bangka Belitung. Desa Teruk, Kecamatan Sungaiselan, Kabupaten Bangka Tengah, ramai dikunjungi karena pengunjung bisa me</t>
  </si>
  <si>
    <t xml:space="preserve">Pesona wisata bahari di Belitung terus menarik perhatian wisatawan, terutama menjelang musim liburan 2026. Pulau ini dikenal dengan keindahan lautnya yang jernih, pasir putih yang bersih, serta dereta</t>
  </si>
  <si>
    <t xml:space="preserve">300 Orang Bikin 300 Kg Terasi di Bangka Selatan, Raih Rekor MURI BANGKA SELATAN, KOMPAS.com - Produksi massal belacan atau terasi di Toboali, Bangka Selatan, Kepulauan Bangka Belitung, mencatatkan rek</t>
  </si>
  <si>
    <t xml:space="preserve">https://www.beritasatu.com/nusantara/3007719/oknum-asn-basarnas-belitung-maling-di-6-tkp-demi-hedon-dengan-2-pacar</t>
  </si>
  <si>
    <t xml:space="preserve">www.beritasatu.com</t>
  </si>
  <si>
    <t xml:space="preserve">Mahasiswa di Bangka Belitung Mulai Bangun Aset, Uang Jajan untuk Beli Saham Demi Masa Depan - Bangkapos.com</t>
  </si>
  <si>
    <t xml:space="preserve">Bangkapos.com</t>
  </si>
  <si>
    <t xml:space="preserve">Pangkalpinang, Beritasatu.com – Seorang oknum aparatur sipil negara (ASN) di Basarnas Bangka Belitung berinisial AS (28) ditangkap polisi setelah diduga melakukan aksi pencurian di enam lokasi berbeda</t>
  </si>
  <si>
    <t xml:space="preserve">https://bangka.tribunnews.com/lokal/1686121/mahasiswa-di-bangka-belitung-mulai-bangun-aset-uang-jajan-untuk-beli-saham-demi-masa-depan</t>
  </si>
  <si>
    <t xml:space="preserve">bangka.tribunnews.com</t>
  </si>
  <si>
    <t xml:space="preserve">Kendaraan Plat Luar Tak Bisa Beli BBM Subsidi di Babel, Terpaksa Alih ke BBM Non Subsidi - Bangkapos.com</t>
  </si>
  <si>
    <t xml:space="preserve">Belum punya akun? Daftar Akun Download TribunX untuk Android &amp; iOS BANGKAPOS.COM, BANGKA - Tren investasi saham di kalangan generasi muda di Provinsi Kepulauan Bangka Belitung mulai tumbuh. Jika dahul</t>
  </si>
  <si>
    <t xml:space="preserve">https://bangka.tribunnews.com/lokal/1682272/kendaraan-plat-luar-tak-bisa-beli-bbm-subsidi-di-babel-terpaksa-alih-ke-bbm-non-subsidi</t>
  </si>
  <si>
    <t xml:space="preserve">Belum punya akun? Daftar Akun Download TribunX untuk Android &amp; iOS BANGKAPOS.COM, BANGKA - Kenaikan harga bahan bakar minyak (BBM) nonsubsidi mulai dirasakan langsung oleh masyarakat, terutama penggun</t>
  </si>
  <si>
    <t xml:space="preserve">https://babel.tribunnews.com/lokal/19571/bangka-belitung-perkuat-pengendalian-inflasi-gencarkan-operasi-pasar</t>
  </si>
  <si>
    <t xml:space="preserve">Dorong UMKM Tembus Pasar Ekspor, Bea Cukai Jalin Sinergi dengan Berbagai Instansi - jpnn.com</t>
  </si>
  <si>
    <t xml:space="preserve">Belum punya akun? Daftar Akun Download TribunX untuk Android &amp; iOS PANGKALPINANG, BABEL NEWS - Bank Indonesia menilai inflasi di Provinsi Kepulauan Bangka Belitung pada Juni 2026 masih terkendali di t</t>
  </si>
  <si>
    <t xml:space="preserve">jpnn.com , JAKARTA - Bea Cukai menjalin sinergi dengan berbagai instansi untuk mendorong pelaku usaha mikro, kecil, dan menengah ( UMKM ) menembus pasar ekspor. Upaya tersebut diwujudkan melalui eduka</t>
  </si>
  <si>
    <t xml:space="preserve">https://babel.tribunnews.com/lokal/20378/harga-ayam-potong-di-pasar-belitung-timur-melonjak?page=2</t>
  </si>
  <si>
    <t xml:space="preserve">Belum punya akun? Daftar Akun Download TribunX untuk Android &amp; iOS Jika pada kondisi normal ia mampu menjual hingga 100 kilogram ayam potong per hari, kini hanya berani menyetok sekitar 50 kilogram sa</t>
  </si>
  <si>
    <t xml:space="preserve">https://voi.id/berita/571788/polisi-tangkap-sopir-angkot-t19-ugal-ugalan-lawan-arah-hingga-pecahkan-kaca-mobil</t>
  </si>
  <si>
    <t xml:space="preserve">You must confirm your age to access this page. JAKARTA – Seorang sopir angkutan kota (angkot) T19 rute Depok–Kampung Rambutan ditangkap polisi setelah terlibat keributan di Jalan Tanah Merdeka, depan </t>
  </si>
  <si>
    <t xml:space="preserve">https://babel.tribunnews.com/lokal/19469/peringati-hari-bhayangkara-ke-80-kapolres-beltim-pimpin-bersih-bersih-pasar</t>
  </si>
  <si>
    <t xml:space="preserve">Belum punya akun? Daftar Akun Download TribunX untuk Android &amp; iOS MANGGAR, BABEL NEWS - Kepolisian Resor Belitung Timur menggelar gotong royong membersihkan Pasar Lipat Kajang, Desa Baru, Kecamatan M</t>
  </si>
  <si>
    <t xml:space="preserve">https://jatimnow.com/baca-83882-inovasi-drop-tank-ptp-dongkrak-arus-logistik-cpo-bangka-belitung</t>
  </si>
  <si>
    <t xml:space="preserve">jatimnow.com - Arus logistik komoditas sawit di Kepulauan Bangka Belitung menunjukkan tren penguatan signifikan di awal tahun 2026. PT Pelabuhan Tanjung Priok (PTP Nonpetikemas) Cabang Pangkal Balam b</t>
  </si>
  <si>
    <t xml:space="preserve">https://babel.tribunnews.com/lokal/18946/pemuda-18-tahun-di-pangkalpinang-curi-motor-di-4-tkp-modus-disebut-tergolong-unik</t>
  </si>
  <si>
    <t xml:space="preserve">Mahasiswa UNAIR Jadi Volunteer Langkah Asa Nusantara, Berbagi Ilmu di Pulau Gersik - Universitas Airlangga Official Website</t>
  </si>
  <si>
    <t xml:space="preserve">Universitas Airlangga Official Website</t>
  </si>
  <si>
    <t xml:space="preserve">Belum punya akun? Daftar Akun Download TribunX untuk Android &amp; iOS PANGKALPINANG, BABEL NEWS - Kepolisian Resor Kota Pangkalpinang berhasil mengungkap kasus pencurian sepeda motor di halaman Masjid Da</t>
  </si>
  <si>
    <t xml:space="preserve">https://www.radarbahtera.com/pemkab-basel-sosialisasi-logo-dan-mantapkan-persiapan-festival-junjung-besaoh-2026/</t>
  </si>
  <si>
    <t xml:space="preserve">www.radarbahtera.com</t>
  </si>
  <si>
    <t xml:space="preserve">Rp 1,3 Triliun DBH Sumber Daya Alam Bangka Belitung Belum Dibayar Pusat - Kompas.com</t>
  </si>
  <si>
    <t xml:space="preserve">TOBOALI, RBC – Pemerintah Kabupaten Bangka Selatan (Basel) menggelar rapat koordinasi lintas Organisasi Perangkat Daerah (OPD) dalam rangka menyosialisasikan logo resmi Hari Jadi Kota Toboali ke-318 T</t>
  </si>
  <si>
    <t xml:space="preserve">https://regional.kompas.com/read/2026/06/17/181822378/rp-13-triliun-dbh-sumber-daya-alam-bangka-belitung-belum-dibayar-pusat?page=all</t>
  </si>
  <si>
    <t xml:space="preserve">Himppera serahkan bantuan gazebo dukung pengembangan wisata Bengkulu - ANTARA News Bengkulu</t>
  </si>
  <si>
    <t xml:space="preserve">Rp 1,3 Triliun DBH Sumber Daya Alam Bangka Belitung Belum Dibayar Pusat BANGKA, KOMPAS.com - Pemerintah Provinsi Kepulauan Bangka Belitung kini kesulitan membiayai program pembangunan karena dana bagi</t>
  </si>
  <si>
    <t xml:space="preserve">Mukomuko (ANTARA) - Dewan Perwakilan Daerah (DPD) Himppera Provinsi Bengkulu menyerahkan bantuan sebanyak lima unit gazebo untuk tempat santai dan istirahat gratis bagi para wisatawan yang berkunjung </t>
  </si>
  <si>
    <t xml:space="preserve">Bengkulu, InfoPublik – Dinas Pariwisata (Dispar) Kota Bengkulu bergerak cepat merespon keresahan masyarakat terkait dugaan pungutan liar (pungli) di kawasan wisata. Tim Dispar melakukan inspeksi menda</t>
  </si>
  <si>
    <t xml:space="preserve">BENGKULU – Guna menjaga keamanan dan kenyamanan wisatawan, Subdit Wisata Direktorat Pengamanan Objek Vital (Ditpamobvit) Polda Bengkulu terus mengintensifkan patroli dialogis di kawasan wisata Pantai </t>
  </si>
  <si>
    <t xml:space="preserve">Ini 6 Wisata Bengkulu yang Bikin Kamu Betah dan Fresh-RERI ALFIAN-Reri Alfian Lahatpos.co - Bengkulu dikenal sebagai “Bumi Rafflesia” yang menyimpan banyak destinasi wisata menarik, mulai dari pantai </t>
  </si>
  <si>
    <t xml:space="preserve">RRI.CO.ID, Kepahiang - Fenomena wisata alam kembali ramai diperbincangkan di media social, kali ini, Danau Hijau di Kabupaten Kepahiang menjadi sorotan setelah sejumlah foto dan video dengan warna hij</t>
  </si>
  <si>
    <t xml:space="preserve">BENGKULU – Dalam rangka memberikan rasa aman dan nyaman kepada masyarakat yang beraktivitas di akhir pekan, Subdit Wisata Direktorat Pengamanan Objek Vital (Ditpamobvit) Polda Bengkulu melaksanakan pa</t>
  </si>
  <si>
    <t xml:space="preserve">Kota Bengkulu (ANTARA) - Sebuah destinasi wisata baru di wilayah Curup, Kabupaten Rejang Lebong, Bengkulu, tengah menjadi perbincangan di media sosial pada beberapa waktu terakhir. Tempat tersebut ada</t>
  </si>
  <si>
    <t xml:space="preserve">BENGKULU – Subdit Wisata Direktorat Pengamanan Objek Vital Polda Bengkulu melaksanakan kegiatan Patroli Dialogis di Kawasan Wisata Pantai Panjang, Sabtu 12 September 2026, pukul 07.00 WIB s.d 18.00 WI</t>
  </si>
  <si>
    <t xml:space="preserve">BENGKULU – Subdit Wisata Direktorat Pengamanan Objek Vital (Ditpamobvit) Polda Bengkulu melaksanakan Patroli Dialogis di sejumlah kawasan wisata dan pusat perbelanjaan Kota Bengkulu, Sabtu (11/7/2026)</t>
  </si>
  <si>
    <t xml:space="preserve">https://bengkulu.antaranews.com/berita/480235/pemprov-bengkulu-minta-asn-lengkapi-data-untuk-manajemen-talenta</t>
  </si>
  <si>
    <t xml:space="preserve">Heboh 3 Anjing Peliharaan Serang Pemotor di Bengkulu, Satpol PP Turun Tangan - detikcom</t>
  </si>
  <si>
    <t xml:space="preserve">Bengkulu (ANTARA) - Pemerintah Provinsi Bengkulu meminta aparatur sipil negara (ASN) melengkapi data dan rekam jejak karier untuk mendukung proses pemetaan dalam manajemen talenta ASN. "Kami menjelask</t>
  </si>
  <si>
    <t xml:space="preserve">https://www.detik.com/sumbagsel/berita/d-8574947/heboh-3-anjing-peliharaan-serang-pemotor-di-bengkulu-satpol-pp-turun-tangan</t>
  </si>
  <si>
    <t xml:space="preserve">Viral Toko Es Krim Pakai Daun Pisang Akibat Harga Plastik Melonjak, Hasilnya Lebih Estetik - Suara.com</t>
  </si>
  <si>
    <t xml:space="preserve">Video yang memperlihatkan tiga ekor anjing peliharaan menyerang pengendara motor di Jalan Museum, Kelurahan Tanah Patah, Kecamatan Ratu Agung, Kota Bengkulu, viral di media sosial. Insiden tersebut me</t>
  </si>
  <si>
    <t xml:space="preserve">https://www.suara.com/entertainment/2026/04/08/220000/viral-toko-es-krim-pakai-daun-pisang-akibat-harga-plastik-melonjak-hasilnya-lebih-estetik</t>
  </si>
  <si>
    <t xml:space="preserve">Menghadapi lonjakan harga plastik hingga 100 persen, toko es krim ini viral karena menggunakan daun pisang sebagai pembungkus unik yang estetik dan ramah lingkungan.</t>
  </si>
  <si>
    <t xml:space="preserve">https://infonegeri.id/2026/08/05/sekda-tindak-video-amoral-pejabat-pemprov-bengkulu/</t>
  </si>
  <si>
    <t xml:space="preserve">VIRAL! Seorang Menantu Diduga Gelapkan Uang Penjualan Kopi Mertua Hingga Rp4,7 Miliar - radarkepahiang.disway.id - radarkepahiang.disway.id</t>
  </si>
  <si>
    <t xml:space="preserve">radarkepahiang.disway.id</t>
  </si>
  <si>
    <t xml:space="preserve">Infonegeri, BENGKULU – Dugaan perilaku amoral yang diduga melibatkan seorang oknum pejabat di lingkungan Pemerintah Provinsi (Pemprov) Bengkulu akhirnya mendapat respons resmi. Menyusul beredarnya vid</t>
  </si>
  <si>
    <t xml:space="preserve">https://radarkepahiang.disway.id/headline/read/678407/viral-seorang-menantu-diduga-gelapkan-uang-penjualan-kopi-mertua-hingga-rp47-miliar</t>
  </si>
  <si>
    <t xml:space="preserve">Jalan Di Tempat 15 Bulan, Warga Pertanyakan Kelanjutan Pengusutan Korupsi Kas Desa Tanjung Sari - Viral Publik</t>
  </si>
  <si>
    <t xml:space="preserve">Menantu yang diduga menggelapkan uang penjualan kopi mertua terlihat sudah diamankan jajaran Polres Kepahiang--Facebook Radarkepahiang.id - Berhasil terungkap hingga mendadak viral di media sosial kar</t>
  </si>
  <si>
    <t xml:space="preserve">https://www.viralpublik.com/jalan-di-tempat-15-bulan-warga-pertanyakan-kelanjutan-pengusutan-korupsi-kas-desa-tanjung-sari</t>
  </si>
  <si>
    <t xml:space="preserve">Pria yang Ditangkap Belanja Pakai Upal di Pasar Bengkulu Ternyata Produksi Sendiri - detikcom</t>
  </si>
  <si>
    <t xml:space="preserve">Bengkulu Utara – Pengusutan kasus dugaan korupsi pengelolaan Kebun Kas Desa (KKD) dan Badan Usaha Milik Desa (BUMDes) Tanjung Sari, Kecamatan Ulok Kupai, Kabupaten Bengkulu Utara, dinilai jalan di tem</t>
  </si>
  <si>
    <t xml:space="preserve">https://www.detik.com/sumbagsel/hukum-dan-kriminal/d-8563264/pria-yang-ditangkap-belanja-pakai-upal-di-pasar-bengkulu-ternyata-produksi-sendiri</t>
  </si>
  <si>
    <t xml:space="preserve">Pria di Bengkulu, berinisial AR ditangkap polisi usai kedapatan mengedarkan uang palsu di pasar. Ternyata, uang palsu itu diproduksi sendiri oleh pelaku. Aksi pelaku terbongkar setelah seorang pedagan</t>
  </si>
  <si>
    <t xml:space="preserve">Infonegeri, BENGKULU – Gubernur Bengkulu Helmi Hasan melalui Asisten I Sekretariat Daerah Bidang Pemerintahan dan Kesejahteraan Rakyat, Khairil Anwar, tinjau langsung kondisi Jembatan Air Martan di De</t>
  </si>
  <si>
    <t xml:space="preserve">BENGKULU, – Alih-alih menjadi wajah baru pusat perdagangan, kondisi Pasar Baru Koto, Kota Bengkulu justru memunculkan tanda tanya besar. Bangunan yang baru direvitalisasi pada awal 2026 ini kini dikel</t>
  </si>
  <si>
    <t xml:space="preserve">https://www.viralpublik.com/jasa-raharja-bengkulu-gencarkan-sosialisasi-program-pemutihan-pajak-kendaraan-di-pasar-induk-pagar</t>
  </si>
  <si>
    <t xml:space="preserve">Bengkulu – Jasa Raharja Kantor Wilayah Bengkulu terus mengintensifkan upaya sosialisasi Program Pemutihan Pajak Kendaraan Bermotor kepada masyarakat. Salah satu kegiatan tersebut dilaksanakan pada Sen</t>
  </si>
  <si>
    <t xml:space="preserve">Kota Bengkulu (ANTARA) - Festival musik Riang &amp; Ceria: Pesta Musik Istimewa dipastikan bakal meramaikan Kota Bengkulu pada 15 Agustus 2026) mendatang. Acara ini akan digelar di Lapangan Sport Center, </t>
  </si>
  <si>
    <t xml:space="preserve">10 Hari Atraksi Budaya hingga Kuliner Khas, Festival Tabut 2026 Digelar di Bengkulu KOMPAS.com - Festival Tabut 2026 akan digelar pada 16-25 Juni 2026 di Lapangan Sport Centre, Kota Bengkulu, sebagai </t>
  </si>
  <si>
    <t xml:space="preserve">Bengkulu – Dalam rangka memastikan situasi keamanan dan ketertiban tetap kondusif selama pelaksanaan Festival Tabot 2026, personel Polda Bengkulu melaksanakan patroli serta pengamanan di area pembukaa</t>
  </si>
  <si>
    <t xml:space="preserve">Bengkulu – Kapolda Bengkulu Brigjen Pol. Yudhi Sulistianto Wahid, S.I.K., memimpin rapat kesiapan pengamanan Festival Tabut Tahun 2026 yang digelar di Aula Rupatama Awaloedin Djamin Polda Bengkulu, Ka</t>
  </si>
  <si>
    <t xml:space="preserve">https://www.viralpublik.com/sukseskan-hut-ke-67-bengkulu-utara-polres-bengkulu-utara-amankan-dan-ikuti-event-berasa</t>
  </si>
  <si>
    <t xml:space="preserve">Mengenal Festival Tabut 2026, Daya Tarik Wisata Budaya Bengkulu - women.okezone.com</t>
  </si>
  <si>
    <t xml:space="preserve">​ARGA MAKMUR – Kepolisian Resor (Polres) Bengkulu Utara mengerahkan personel pengamanan terbuka dan tertutup demi memastikan kelancaran dan kondusivitas jalannya event olahraga bergengsi "BerAsa Runni</t>
  </si>
  <si>
    <t xml:space="preserve">JAKARTA - Festival Tabut akan kembali digelar pada 16–25 Juni 2026 di Lapangan Sport Centre, Kota Bengkulu. Festival ini sebagai salah satu agenda budaya unggulan yang telah mengakar kuat dalam tradis</t>
  </si>
  <si>
    <t xml:space="preserve">BENGKULU - Kapolda Bengkulu Brigjen Pol. Yudhi Sulistianto Wahid, S.I.K., didampingi Wakapolda Bengkulu, Pejabat Utama Polda Bengkulu, Kapolresta Bengkulu, panitia penyelenggara serta instansi terkait</t>
  </si>
  <si>
    <t xml:space="preserve">https://www.viralpublik.com/kapolda-bengkulu-pimpin-apel-kesiapan-dan-lepas-peserta-kemala-run-2026</t>
  </si>
  <si>
    <t xml:space="preserve">Festival Tabut Bengkulu siap digelar, catat jadwal dan lokasinya! - ANTARA News Bengkulu</t>
  </si>
  <si>
    <t xml:space="preserve">Bengkulu – Kapolda Bengkulu Irjen Pol. Mardiyono, S.I.K., M.Si. memimpin langsung apel kesiapan dalam rangka menghadapi event Kemala Run 2026 yang akan digelar pada 19 April 2026 di Bali United Traini</t>
  </si>
  <si>
    <t xml:space="preserve">Kota Bengkulu (ANTARA) - Keluarga Kerukunan Tabut Bengkulu Bencoolen (KKTBencoolen) memastikan Festival Tabut 2026 kembali digelar di Kota Bengkulu pada 15-25 Juni 2026. Perayaan budaya tahunan yang d</t>
  </si>
  <si>
    <t xml:space="preserve">https://bengkulu.antaranews.com/amp/berita/480660/open-turnamen-domino-piala-panglima-tni-pecahkan-rekor-muri</t>
  </si>
  <si>
    <t xml:space="preserve">Minggu, 27 September 2026 23:37 WIB Open Turnamen Domino Piala Panglima TNI yang diikuti 26.000 peserta memecahkan rekor MURI sebagai turnamen domino dengan jumlah peserta terbanyak di Indonesia. Turn</t>
  </si>
  <si>
    <t xml:space="preserve">Cari tempat makan keluarga di Bandar Lampung itu sebenarnya nggak susah. Yang bikin bingung justru pilihannya banyak. Ada yang punya taman luas buat anak-anak lari-larian, ada restoran dengan konsep m</t>
  </si>
  <si>
    <t xml:space="preserve">Bandar Lampung, IDN Times - Memasuki musim durian, aroma khas buah berduri ini gampang ditemukan di berbagai sudut Lampung. Menariknya, Lampung punya banyak cara untuk menikmati durian. Ada tempat sed</t>
  </si>
  <si>
    <t xml:space="preserve">Provinsi Lampung merupakan provinsi yang terletak di ujung Selatan Pulau Sumatera. Provinsi ini memiliki beragam destinasi wisata menarik, mulai dari keindahan alam hingga kuliner khas yang menggugah </t>
  </si>
  <si>
    <t xml:space="preserve">Bandar Lampung, IDN Times - Kuliner pedas selalu punya tempat di hati pencinta makanan berbumbu kuat. Di Bandar Lampung, kini hadir pendatang baru langsung mencuri perhatian, yakni Ceker Kerang Pedas </t>
  </si>
  <si>
    <t xml:space="preserve">Bandar Lampung, IDN Times - Ingin healing sejenak dari hiruk-pikuk kota tanpa harus keluar dari Bandar Lampung? Deretan tempat wisata bernuansa alam ini bisa jadi pilihan kamu kunjungi.Bagi warga Band</t>
  </si>
  <si>
    <t xml:space="preserve">Kota Lampung dikenal sebagai salah satu destinasi wisata bahari terbaik di Indonesia. Daerah ini punya deretan pantai cantik dengan karakter berbeda, mulai dari yang cocok santai, snorkeling, hingga s</t>
  </si>
  <si>
    <t xml:space="preserve">Banyak yang Nggak Tau, Nih 5 Rekomendasi Wisata Bandar Lampung yang Wajib Dikunjungi-RERI ALFIAN-RERI ALFIAN Lahatpos.co - Bandar Lampung merupakan salah satu destinasi wisata unggulan di Pulau Sumate</t>
  </si>
  <si>
    <t xml:space="preserve">Lampung menyimpan beragam destinasi wisata yang menarik untuk dikunjungi, mulai dari pantai berpasir, taman alam, hingga kawasan konservasi satwa langka. Provinsi di ujung selatan Sumatera ini menawar</t>
  </si>
  <si>
    <t xml:space="preserve">https://jogja.disway.id/wisata/read/698488/daftar-destinasi-wisata-pantai-paling-populer-di-lampung-selatan</t>
  </si>
  <si>
    <t xml:space="preserve">Pantai Gigi Hiu Lampung: Daya Tarik, Harga Tiket hingga Lokasinya - detikcom</t>
  </si>
  <si>
    <t xml:space="preserve">diswayjogja.id – Provinsi Lampung, yang berdiri tegak di gerbang selatan Pulau Sumatera, kini telah memantapkan posisinya sebagai salah satu episentrum pariwisata yang paling diperhitungkan di Indones</t>
  </si>
  <si>
    <t xml:space="preserve">Lampung terkenal sebagai salah satu provinsi di Sumatera yang memiliki banyak destinasi wisata pantai. Setiap pantai memiliki daya tariknya tersendiri, termasuk Pantai Gigi Hiu. Sesuai dengan namanya,</t>
  </si>
  <si>
    <t xml:space="preserve">--&gt; Breaking News Home › BUDAYA › JOKO WIDODO › OPINI › PSI LAMPUNG Setelah Jokowi Dapat Gelar Adat dari 5 Kerajaan, Lalu Apa? Dibaca : 0 INILAMPUNG Kamis, 25 Juni 2026 Komentar Baca Juga Oleh: Helmi </t>
  </si>
  <si>
    <t xml:space="preserve">https://news.detik.com/berita/d-8430265/apa-itu-sampah-antariksa-benda-bercahaya-yang-lintasi-langit-lampung</t>
  </si>
  <si>
    <t xml:space="preserve">Benda bercahaya yang melintas di langit Lampung sempat menghebohkan warga dan ramai dibahas di media sosial. Badan Riset dan Inovasi Nasional ( BRIN ) menyebut benda langit misterius tersebut merupaka</t>
  </si>
  <si>
    <t xml:space="preserve">https://berita.liputan6.com/regional/read/7877620/aksinya-terekam-kamera-dan-viral-2-begal-serahkan-diri-ke-polisi</t>
  </si>
  <si>
    <t xml:space="preserve">berita.liputan6.com</t>
  </si>
  <si>
    <t xml:space="preserve">Krakatau Historical Corner, Ikon Baru Wisata Edukasi Lamsel? - IDN Times Lampung</t>
  </si>
  <si>
    <t xml:space="preserve">Liputan6.com, Jakarta - Dua pelaku pembegalan yang viral setelah aksinya terekam kamera dashboard (dashcam) milik warga di Kabupaten Lampung Timur, akhirnya menyerahkan diri. Kedua pelaku terlibat dal</t>
  </si>
  <si>
    <t xml:space="preserve">https://www.merahputih.com/post/read/hoaks-atau-fakta-toko-harian-yang-dekat-dengan-kopdes-merah-putih-dipaksa-ditutup</t>
  </si>
  <si>
    <t xml:space="preserve">Wanita di Lampung BAB di Depan Ruko Terekam CCTV, Pedagang Resah - detikcom</t>
  </si>
  <si>
    <t xml:space="preserve">MERAHPUTIH.COM - BEREDAR informasi di media sosial yang menyebut toko harian yang berada di dekat Koperasi Desa Merah Putih dipaksa untuk tutup. Penutupan ini dikabarkan dilakukan agar tak mengganggu </t>
  </si>
  <si>
    <t xml:space="preserve">Seorang wanita terekam kamera pengawas (CCTV) diduga buang air besar (BAB) di depan sebuah ruko di Plaza Bandar Jaya, Kabupaten Lampung Tengah. Aksi tersebut membuat resah para pedagang lantaran diseb</t>
  </si>
  <si>
    <t xml:space="preserve">https://sumbar.antaranews.com/berita/756029/itera-benda-angkasa-viral-lintasi-langit-lampung-sampah-antariksa</t>
  </si>
  <si>
    <t xml:space="preserve">Bandarlampung (ANTARA) - Kepala Pusat Observatorium Astronomi ITERA Lampung (OAIL) Dr. Annisa Novia Indra Putri menyampaikan bahwa benda angkasa yang melintasi langit Lampung pada Sabtu (4/4) kemungki</t>
  </si>
  <si>
    <t xml:space="preserve">https://kupastuntas.co/2026/05/12/video-viral-diduga-pelaku-penembakan-polisi-ditangkap-ini-kata-kapolda-lampung</t>
  </si>
  <si>
    <t xml:space="preserve">kupastuntas.co</t>
  </si>
  <si>
    <t xml:space="preserve">Viral Penggerebekan di Lampung Timur, Diduga Pelaku Penembak Bripka Arya Ditangkap - MetroTVNews.com</t>
  </si>
  <si>
    <t xml:space="preserve">Kapolda Lampung Irjen Pol Helfi Assegaf, saat diwawancarai di Mapolda Lampung, Selasa (12/5/2026). Foto: Yudi/kupastuntas.co Kupastuntas.co, Bandar Lampung - Kapolda Lampung Irjen Pol Helfi Assegaf me</t>
  </si>
  <si>
    <t xml:space="preserve">https://www.metrotvnews.com/play/KYVCeGRp-viral-penggerebekan-di-lampung-timur-diduga-pelaku-penembak-bripka-arya-ditangkap</t>
  </si>
  <si>
    <t xml:space="preserve">Bandar Lampung: Video penggerebekan yang diduga dilakukan tim khusus Polda Lampung viral di media sosial. Dalam video tersebut, aparat kepolisian dikabarkan berhasil menangkap salah satu pelaku pencur</t>
  </si>
  <si>
    <t xml:space="preserve">https://kupastuntas.co/2026/05/11/video-penggerebekan-viral-diduga-pelaku-penembakan-polisi-berhasil-ditangkap</t>
  </si>
  <si>
    <t xml:space="preserve">Video Penggerebekan Viral, Diduga Pelaku Penembakan Polisi Berhasil Ditangkap. Foto: Ist. Kupastuntas.co, Lampung Timur - Aparat kepolisian diduga berhasil menangkap salah satu pelaku begal yang terli</t>
  </si>
  <si>
    <t xml:space="preserve">https://tv.sinpo.id/detail/aksi-pencuri-bawa-payung-pink-saat-bobol-toko-di-tanggamus-lampung</t>
  </si>
  <si>
    <t xml:space="preserve">Viral, Puluhan Babi Lepas dan Berkubang di Jalan Rusak Usai Truk Terguling di Lampung - MetroTVNews.com</t>
  </si>
  <si>
    <t xml:space="preserve">SinPo.tv - Sebuah rekaman CCTV yang memperlihatkan aksi pencurian dengan modus tak lazim viral di media sosial. Pelaku terekam membawa payung merah muda yang terus dibuka saat membobol toko material d</t>
  </si>
  <si>
    <t xml:space="preserve">https://www.metrotvnews.com/play/NrWC8WzM-viral-puluhan-babi-lepas-dan-berkubang-di-jalan-rusak-usai-truk-terguling-di-lampung</t>
  </si>
  <si>
    <t xml:space="preserve">Dipergoki Kurir Paket, Empat Pencuri Gagal Gasak Motor di Sukarame Bandar Lampung - Kupas Tuntas</t>
  </si>
  <si>
    <t xml:space="preserve">Way Kanan: Sebuah video yang memperlihatkan puluhan ekor babi berkubang di jalan berlumpur di Kabupaten Way Kanan, Lampung, viral di media sosial. Setelah ditelusuri, hewan-hewan tersebut berasal dari</t>
  </si>
  <si>
    <t xml:space="preserve">https://kupastuntas.co/2026/04/13/dipergoki-kurir-paket-empat-pencuri-gagal-gasak-motor-di-sukarame-bandar-lampung</t>
  </si>
  <si>
    <t xml:space="preserve">Viral Pengadaan Penghapus Pensil Rp30 Juta, Ini Kata Pemkab Lambar - IDN Times Lampung</t>
  </si>
  <si>
    <t xml:space="preserve">Rekaman CCTV menunjukkan keempat pelaku saat mencoba melancarkan aksinya di sebuah toko di Sukarame Bandar Lampung. Foto: Ist Kupastuntas.co, Bandar Lampung - Aksi percobaan pencurian sepeda motor
(c</t>
  </si>
  <si>
    <t xml:space="preserve">https://lampung.idntimes.com/news/lampung/viral-pengadaan-penghapus-pensil-rp30-juta-ini-kata-pemkab-lambar-00-5h6fh-y1nk7p</t>
  </si>
  <si>
    <t xml:space="preserve">Sekolah Rakyat: Anggaran 'tidak wajar' memunculkan kecurigaan - BBC</t>
  </si>
  <si>
    <t xml:space="preserve">Lampung Barat, IDN Times - Temuan data anggaran pengadaan barang berupa penghapus pensil yang mencapai puluhan juta rupiah di lingkungan Pemerintah Kabupaten (Pemkab) Lampung Barat (Lambar) viral di m</t>
  </si>
  <si>
    <t xml:space="preserve">https://www.bbc.com/indonesia/articles/cjdp32pxgj0o</t>
  </si>
  <si>
    <t xml:space="preserve">Respon Cepat, Polisi Cek TKP Pencurian Rokok di Sukoharjo Pringsewu - Tribratanews Polda Lampung</t>
  </si>
  <si>
    <t xml:space="preserve">Tribratanews Polda Lampung</t>
  </si>
  <si>
    <t xml:space="preserve">Sumber gambar, ANTARA FOTO Dugaan penggelembungan anggaran pada program Sekolah Rakyat ramai diperbincangkan di media sosial, setelah terungkap bahwa ada perbedaan signifikan antara harga berbagai bar</t>
  </si>
  <si>
    <t xml:space="preserve">https://tribratanews.lampung.polri.go.id/detail-post/respon-cepat-polisi-cek-tkp-pencurian-rokok-di-sukoharjo-pringsewu</t>
  </si>
  <si>
    <t xml:space="preserve">tribratanews.lampung.polri.go.id</t>
  </si>
  <si>
    <t xml:space="preserve">tribratanews.lampung.polri.go.id. Pringsewu, Rabu 13 Mei 2026 - Aparat Polsek Sukoharjo bergerak cepat menindaklanjuti informasi warga terkait aksi pencurian di sebuah toko milik Dwi Setiowati di Peko</t>
  </si>
  <si>
    <t xml:space="preserve">https://lampung.idntimes.com/news/lampung/viral-flexing-menantu-dprd-lampung-tengah-klaim-postingan-sudah-lama-00-5h6fh-j5247j</t>
  </si>
  <si>
    <t xml:space="preserve">Bandar Lampung, IDN Times - Unggahan media sosial milik seorang perempuan bernama Dhea Adita Aprilia menjadi sorotan. Itu setelah beredar tangkapan layar memperlihatkan deretan barang bermerek hingga </t>
  </si>
  <si>
    <t xml:space="preserve">https://regional.kompas.com/read/2026/07/17/201744578/foto-tumpukan-uang-diduga-milik-kepala-sppg-di-pesisir-barat-kppg-lampung?page=all</t>
  </si>
  <si>
    <t xml:space="preserve">Foto Tumpukan Uang Diduga Milik Kepala SPPG di Pesisir Barat, KPPG Lampung Buka Suara PESISIR BARAT, KOMPAS.com - Foto yang memperlihatkan tumpukan uang tunai dalam jumlah besar diduga melibatkan Kepa</t>
  </si>
  <si>
    <t xml:space="preserve">https://bataviapos.id/wahyono/pisang-viral-pedagang-buah-di-lampung-ini-potensi-besar-cavendish-di-indonesia/</t>
  </si>
  <si>
    <t xml:space="preserve">JAKARTA -Kata “pisang” mendadak viral pada awal Agustus 2026. Bukan karena resep pisang goreng atau harga pasar, melainkan kisah seorang pedagang buah di Lampung yang nyaris merugi ratusan juta rupiah</t>
  </si>
  <si>
    <t xml:space="preserve">https://kupastuntas.co/2026/04/29/9-sppg-di-lampung-barat-belum-punya-slhs-dua-viral-jadi-sorotan</t>
  </si>
  <si>
    <t xml:space="preserve">9 SPPG di Lampung Barat Belum Punya SLHS, Dua Viral Jadi Sorotan. Foto: Ist. Kupastuntas.co, Lampung Barat - Sebanyak 9 dapur Satuan Pelayanan Pemenuhan Gizi (SPPG) di Kabupaten Lampung Barat diketahu</t>
  </si>
  <si>
    <t xml:space="preserve">Lampung Utara, Lampung – Pelarian Alviqi Duta Pratama, salah satu pelaku pencurian kendaraan bermotor ( Curanmor ) yang sempat viral karena melepaskan tembakan di wilayah Pasar Lama Kotabumi, Lampung </t>
  </si>
  <si>
    <t xml:space="preserve">https://lampung.rilis.id/Hukum/Berita/cari-mangsa-baru-buronan-curanmor-viral-di-Qq09</t>
  </si>
  <si>
    <t xml:space="preserve">Jalan Rusak di Pasar Talang Padang Disindir Warganet, Satir ‘Edit Biar Cepat’ Viral Jelang Expo 2026 - radartanggamus.disway.id - Radar Tanggamus</t>
  </si>
  <si>
    <t xml:space="preserve">Radar Tanggamus</t>
  </si>
  <si>
    <t xml:space="preserve">RILISID, Lampung Utara
                — Pelarian Alviqi Duta Pratama salah satu tersangka pencurian kendaraan bermotor (Curanmor) yang sempat viral karena melepaskan tembakan di Pasar Lama Kotabumi,</t>
  </si>
  <si>
    <t xml:space="preserve">RADARTANGGAMUS.CO.ID– Kondisi jalan rusak di kawasan Pasar Talang Padang kembali menjadi sorotan publik menjelang pelaksanaan Tanggamus Expo 2026. Warganet ramai menyindir lambannya perbaikan melalui </t>
  </si>
  <si>
    <t xml:space="preserve">Lampung Selatan — Semangat kebersamaan dan sinergitas lintas elemen masyarakat mewarnai pelaksanaan kegiatan Bazar, Pasar Rakyat, Olahraga Bersama, dan Bakti Sosial yang digelar Polda Lampung dalam ra</t>
  </si>
  <si>
    <t xml:space="preserve">https://kupastuntas.co/2026/07/18/viral-kepala-sppg-pesisir-barat-pamer-tumpukan-uang-kppg-lampung-minta-klarifikasi</t>
  </si>
  <si>
    <t xml:space="preserve">Pria di Bandar Lampung yang Curi Mobil Temannya Ditangkap, Pelaku Ditembak - detikcom</t>
  </si>
  <si>
    <t xml:space="preserve">Viral Kepala SPPG Pesisir Barat Pamer Tumpukan Uang, KPPG Lampung Minta Klarifikasi. Foto: Ist. Kupastuntas.co, Pesisir Barat - Foto yang memperlihatkan Kepala Satuan Pelayanan Pemenuhan Gizi (SPPG) d</t>
  </si>
  <si>
    <t xml:space="preserve">https://www.detik.com/sumbagsel/hukum-dan-kriminal/d-8535560/pria-di-bandar-lampung-yang-curi-mobil-temannya-ditangkap-pelaku-ditembak</t>
  </si>
  <si>
    <t xml:space="preserve">Pria di Bandar Lampung, berinisial MRP (25) yang mencuri mobil milik temannya ditangkap polisi. Saat hendak ditangkap pelaku melawan hingga ditembak petugas. Direktur Reserse Kriminal Umum Polda Lampu</t>
  </si>
  <si>
    <t xml:space="preserve">https://kupastuntas.co/2026/04/20/program-mbg-lampung-barat-kembali-tuai-keluhan-sppg-pasar-liwa-tak-jera-meski-sudah-dapat-sp1</t>
  </si>
  <si>
    <t xml:space="preserve">Lindungi Konsumen, Dinas Perdagangan Bandar Lampung Gencar Sidang Tera di Pasar Tradisional - radarlampung.disway.id - Radar Lampung</t>
  </si>
  <si>
    <t xml:space="preserve">Temuan ulat di Menu MBG dari SPPG Pasar Liwa. Foto: Ist Kupastuntas.co, Lampung Barat - Satgas MBG Lampung Barat
mengaku masih belum menerima laporan terkait keluhan penerima menu program MBG
yang d</t>
  </si>
  <si>
    <t xml:space="preserve">https://radarlampung.disway.id/bandar-lampung/read/729172/lindungi-konsumen-dinas-perdagangan-bandar-lampung-gencar-sidang-tera-di-pasar-tradisional</t>
  </si>
  <si>
    <t xml:space="preserve">ilustrasi pasar tradisional-Ai generated- RADARLAMPUNG.CO.ID— Dinas Perdagangan Kota Bandar Lampung terus menggencarkan kegiatan Sidang Tera dan Tera Ulang Alat Ukur, Takar, Timbang, dan Perlengkapann</t>
  </si>
  <si>
    <t xml:space="preserve">https://kupastuntas.co/2026/07/04/viral-keroyok-pengendara-motor-di-metro-lampung-tiga-terduga-anggota-gengster-ditangkap-polisi</t>
  </si>
  <si>
    <t xml:space="preserve">Viral Kasus MBG Lambar, SPPG Sumber Jaya Kena Teguran BGN, Pasar Liwa Terancam SP2 - Kupas Tuntas</t>
  </si>
  <si>
    <t xml:space="preserve">Tangkapan layar video viral aksi pengeroyokan yang diduga dilakukan oleh kelompok gangster di Metro. Foto: Ist. Kupastuntas.co, Metro - Aksi sekelompok pemuda yang diduga ingin tampil bak gangster jal</t>
  </si>
  <si>
    <t xml:space="preserve">https://kupastuntas.co/2026/04/23/viral-kasus-mbg-lambar-sppg-sumber-jaya-kena-teguran-bgn-pasar-liwa-terancam-sp2</t>
  </si>
  <si>
    <t xml:space="preserve">5 Event Lampung Bulan April 2026 yang Wajib Masuk Wishlist - IDN Times Lampung</t>
  </si>
  <si>
    <t xml:space="preserve">Kupastuntas.co, Lampung Barat - Buntut viralnya sejumlah
temuan dalam pelaksanaan program Makan Bergizi Gratis (MBG) di Kabupaten
Lampung Barat, Satuan Pelayanan Pemenuhan Gizi (SPPG) Sumber Jaya re</t>
  </si>
  <si>
    <t xml:space="preserve">Bandar Lampung, IDN Times - Event-event seru di Lampung kembali menggeliat dan siap meramaikan bulan April 2026. Setelah melewati bulan Ramadan dan merayakan Idul Fitri, kini berbagai festival, konser</t>
  </si>
  <si>
    <t xml:space="preserve">Bandar Lampung, IDN Times - Mei 2026, Provinsi Lampung dipenuhi beragam kegiatan menarik sayang untuk dilewatkan. Mulai dari festival kuliner dengan ratusan jajanan viral, event lari bergengsi, hingga</t>
  </si>
  <si>
    <t xml:space="preserve">RILISID, Bandarlampung
                — Saat acara Press Conference Festival Krakatau XXXV Tahun 2026, Wakil Gubernur Jihan Nurlela menegaskan komitmen Pemerintah Provinsi Lampung untuk memperkuat s</t>
  </si>
  <si>
    <t xml:space="preserve">Terungkap, dari 16 unit rumah temuan Ombudsman RI, cuma tiga unit berstatus barang milik negara. SEMANGAT penguatan ekonomi kerakyatan membuncah di Lapangan Bandar Sribhawono. Festival UMKM dan Pasar </t>
  </si>
  <si>
    <t xml:space="preserve">Kepala Dinas Pariwisata dan Ekonomi Kreatif Provinsi Lampung, Tony Ferdinansyah.---Foto: Prima Imansyah Permana/ Radarlampung.co.id.--- RADARLAMPUNG.CO.ID – Pemerintah Provinsi (Pemprov) Lampung menyi</t>
  </si>
  <si>
    <t xml:space="preserve">https://rri.co.id/en/trending/2312566/brin-bright-object-in-the-sky-over-lampung-and-banten-as-space-debris</t>
  </si>
  <si>
    <t xml:space="preserve">RRI.CO.ID, Jakarta - Recently, a bright streaking object seen moving across the skies in the Lampung and Banten regions of Indonesia caught the public's attention and went viral on social media. Senio</t>
  </si>
  <si>
    <t xml:space="preserve">https://regional.kompas.com/read/2026/09/21/080809478/tapir-kembali-ditemukan-di-mesuji-bksda-turun-tangan-antisipasi-kasus?page=all</t>
  </si>
  <si>
    <t xml:space="preserve">Viral Warga Kecewa Jokowi Batal Datang, Sembako dan ID Panitia Dibuang - IDN Times Lampung</t>
  </si>
  <si>
    <t xml:space="preserve">Tapir Kembali Ditemukan di Mesuji, BKSDA Turun Tangan Antisipasi Kasus Penyembelihan Viral Terulang LAMPUNG, KOMPAS.com - Seekor tapir kembali ditemukan di Kabupaten Mesuji, Lampung. Kemunculan satwa </t>
  </si>
  <si>
    <t xml:space="preserve">Lampung Timur, IDN Times - Rekaman video sejumlah warga meluapkan kekecewaan lantaran Presiden ke-7 RI, Joko "Jokowi" Widodo batal menghadiri Festival Budaya di Taman Wisata Randu Mas, Desa Pugung Rah</t>
  </si>
  <si>
    <t xml:space="preserve">https://infoekonomi.id/2026/08/jangan-lewatkan-ini-10-rekomendasi-makanan-khas-dki-jakarta-yang-punya-cita-rasa-autentik/</t>
  </si>
  <si>
    <t xml:space="preserve">6 Promo Makanan dan Minuman Spesial HUT DKI Jakarta, Ada Chatime Beli 1 Gratis 1 - Kompas.com</t>
  </si>
  <si>
    <t xml:space="preserve">Berkunjung ke DKI Jakarta tidak lengkap rasanya tanpa mencicipi beragam kuliner khas yang menjadi bagian dari identitas masyarakat Betawi. Di tengah perkembangan Jakarta sebagai kota metropolitan, mak</t>
  </si>
  <si>
    <t xml:space="preserve">HUT DKI Jakarta ke-499 dirayakan dengan berbagai aktivitas menarik. Beberapa restoran juga memberikan promo menarik berupa potongan harga atau makanan gratis. Jakarta telah menginjak usia ke-499 tahun</t>
  </si>
  <si>
    <t xml:space="preserve">Melalui Wonderful Indonesia Tourism Fair (WITF) 2026 mendorong Jakarta sebagai titik temu pasar pariwisata dunia dengan berbagai destinasi wisata di Indonesia. Dalam WITF 2026 yang diselenggarakan di </t>
  </si>
  <si>
    <t xml:space="preserve">JAKARTA -Wakil Gubernur DKI Jakarta, Rano Karno melakukan kunjungan kerja ke Pulau Tidung, Kabupaten Administrasi Kepulauan Seribu, Jumat (25/07/2026). Dalam kunjungan tersebut, Wagub Rano meninjau ke</t>
  </si>
  <si>
    <t xml:space="preserve">JAKARTA – Gelaran Wonderful Indonesia Tourism Fair (WITF) 2026 menjadi momentum bagi Jakarta untuk memperkuat perannya sebagai penghubung antara industri pariwisata Indonesia dan pasar internasional. </t>
  </si>
  <si>
    <t xml:space="preserve">WITF 2026 kembali digelar di Jakarta pada 15-17 Oktober. Pameran pariwisata B2B ini menargetkan 300 buyers internasional dari 35 negara. Ajang pameran pariwisata...</t>
  </si>
  <si>
    <t xml:space="preserve">https://www.antaranews.com/berita/5632876/pemprov-dki-gandeng-hotel-bidik-wisata-kebugaran</t>
  </si>
  <si>
    <t xml:space="preserve">Jakarta (ANTARA) - Dinas Pariwisata dan Ekonomi Kreatif (Disparekraf) DKI Jakarta berkolaborasi dengan industri perhotelan dan agen perjalanan mengadakan program wisata kebugaran dan kesehatan (wellne</t>
  </si>
  <si>
    <t xml:space="preserve">Khusus pemilik KTP atau Kartu Identitas Anak (KIA) Indonesia. Wajib melakukan reservasi melalui ancol.com paling lambat H-1. Satu KTP/KIA berlaku untuk satu tiket gratis. Perlu diperhatikan, program i</t>
  </si>
  <si>
    <t xml:space="preserve">Pemprov DKI Kaji Pengoperasian Trem Wisata untuk Keliling Kota Tua JAKARTA, KOMPAS.com - Pemerintah Provinsi (Pemprov) DKI Jakarta berencana menghidupkan kembali moda transportasi trem di kawasan Kota</t>
  </si>
  <si>
    <t xml:space="preserve">Jakarta , VIVA – Pemerintah Provinsi DKI Jakarta menggratiskan tiket masuk ke seluruh tempat wisata dan transportasi umum yang dikelola pada 22, 27 dan 28 Juni 2026 untuk warga Jakarta dan luar Jakart</t>
  </si>
  <si>
    <t xml:space="preserve">Patung Pancoran Jaksel | Afif Ramdhasuma/Pexels Liburan menjadi momen yang tepat untuk bepergian dan menikmati berbagai destinasi wisata. Di Indonesia, pilihan tempat liburan sangat beragam, mulai dar</t>
  </si>
  <si>
    <t xml:space="preserve">23 Mei 2026 · 02.00 WIB 23 Mei 2026 · 02.00 WIB Baru-baru ini viral di media sosial lokasi gorong-gorong yang pernah dimasuki Joko Widodo saat masih menjabat sebagai Gubernur DKI Jakarta 2012 lalu. Me</t>
  </si>
  <si>
    <t xml:space="preserve">MerahPutih.com - Gubernur DKI Jakarta, Pramono Anung, memastikan transportasi umum di Jakarta akan digratiskan selama lima hari dalam rangka perayaan Hari Ulang Tahun (HUT) ke-500 atau lima abad Jakar</t>
  </si>
  <si>
    <t xml:space="preserve">Wonderful Tourism Indonesia (WITF) 2026 akan terlaksana di Kota Jakarta pada 15-17 Oktober mendatang. Agenda ini menjadi semangat pertumbuhan pariwisata Indonesia di tengah situasi geopolitik saat ini</t>
  </si>
  <si>
    <t xml:space="preserve">https://www.cnnindonesia.com/ekonomi/20260529125541-92-1363381/phri-ingin-perkuat-branding-wisata-ri-usai-jakarta-unjuk-gigi-di-china</t>
  </si>
  <si>
    <t xml:space="preserve">Sanksi untuk ASN DKI Usai Ketahuan Pakai Mobil Dinas ke Puncak - detikNews</t>
  </si>
  <si>
    <t xml:space="preserve">Perhimpunan Hotel dan Restoran Indonesia ( PHRI ) mengapresiasi langkah strategis Dinas Pariwisata dan Ekonomi Kreatif Provinsi DKI Jakarta yang aktif melakukan promosi pariwisata Jakarta melalui sale</t>
  </si>
  <si>
    <t xml:space="preserve">https://news.detik.com/berita/d-8434045/sanksi-untuk-asn-dki-usai-ketahuan-pakai-mobil-dinas-ke-puncak</t>
  </si>
  <si>
    <t xml:space="preserve">Pramono Anung: Jakarta Tak Semata-mata Kota Bisnis, Kini Jadi Kota Wisata - detikTravel</t>
  </si>
  <si>
    <t xml:space="preserve">Perkara pelat merah mobil dinas diganti pelat sipil warna putih saat wisata di Puncak , Bogor, berbuntut panjang. Kini, sanksi menanti bagi ASN DKI Jakarta yang membawa kendaraan dinas tersebut. Perso</t>
  </si>
  <si>
    <t xml:space="preserve">https://travel.detik.com/travel-news/d-8452135/pramono-anung-jakarta-tak-semata-mata-kota-bisnis-kini-jadi-kota-wisata</t>
  </si>
  <si>
    <t xml:space="preserve">Gubernur DKI Jakarta Pramono Anung antusias menyambut rentetan konser penyanyi dan grup band internasional di ibu kota. Dia mengatakan agenda itu memperkuat posisi Jakarta sebagai salah satu destinasi</t>
  </si>
  <si>
    <t xml:space="preserve">Pemerintah Provinsi DKI Jakarta berambisi menjadikan Jakarta sebagai kota destinasi event dunia yang berkualitas. Mengutip data Global City Index (GCI), Jakarta menduduki posisi ke-74 sebagai kota yan</t>
  </si>
  <si>
    <t xml:space="preserve">Setelah seru-seruan main wake boarding, sselanjutnya selebriti mau bermain Flying Boarding. Mereka akan tandem dengan intruktur permainan Flying Board ini. Mereka senang bisa merasakan sensasi terbang</t>
  </si>
  <si>
    <t xml:space="preserve">Menjelajahi Jakarta di akhir pekan kini tidak lagi melulu soal pusat perbelanjaan yang padat. Ada banyak tempat yang bisa kamu jelajahi di akhir pekan. Sebagai kota yang terus bersolek, Jakarta tahun </t>
  </si>
  <si>
    <t xml:space="preserve">Salain di Pasar Tanah Abang, selebriti juga mau beli pakaian Di Mall Grand Indonesia. Mereka akan mencari pakaian yang khas Indonesia Banget. Disini kita bisa memilih-milih aneka batik nusantara dan p</t>
  </si>
  <si>
    <t xml:space="preserve">Rustic Market, atau Valley Market, merupakan salah satu destinasi wisata yang ramai diperbincangkan di media sosial. Warganet banyak menyebutnya “vibes pedesaan Eropa yang ada di Bogor”.</t>
  </si>
  <si>
    <t xml:space="preserve">MerahPutih.com - Kabar baik datang bagi warga Jakarta dan sekitarnya. Pemerintah Provinsi DKI Jakarta tengah mengkaji kemungkinan menggratiskan sejumlah destinasi wisata milik pemerintah daerah dalam </t>
  </si>
  <si>
    <t xml:space="preserve">https://www.metrotvnews.com/read/kewCj13B-parkir-liar-di-jakarta-masih-menjamur-meski-penertiban-terus-dilakukan</t>
  </si>
  <si>
    <t xml:space="preserve">Parkir liar. Foto: Metro TV/Muhammad Iqbal Sidiq. Muhammad Iqbal Sidiq •  3 May 2026 17:22 Jakarta: Pemerintah Provinsi ( Pemprov ) DKI Jakarta tengah gencar memberantas praktik parkir liar. Namun, pa</t>
  </si>
  <si>
    <t xml:space="preserve">https://mediaindonesia.com/megapolitan/906662/54-ton-sampah-viral-di-cakung-dibersihkan-dlh-dki-evaluasi-jadwal-angkut</t>
  </si>
  <si>
    <t xml:space="preserve">Blok M Versi Melambat Halaman 1 - Kompasiana.com</t>
  </si>
  <si>
    <t xml:space="preserve">Terungkap, dari 16 unit rumah temuan Ombudsman RI, cuma tiga unit berstatus barang milik negara. PEMERINTAH Provinsi DKI Jakarta memastikan tumpukan sampah yang sempat menggunung di Gang Swadaya Albo </t>
  </si>
  <si>
    <t xml:space="preserve">Best in Storytelling Kompasiana Awards 2025 | 
Storyteller | Book sniffer | irerosana.com | 
email : irerosana@gmail.com Judulnya sendiri sedikit kontradiktif. Orang biasa melambatkan waktu dengan m</t>
  </si>
  <si>
    <t xml:space="preserve">Ketua Umum Asosiasi Pengelola Pusat Belanja Indonesia (APPBI) Alphonzus Widjaja buka suara perihal ramai mal dan gedung memasang pagar tinggi di sejumlah daerah, termasuk di mal Kota Kasablanka, Jakar</t>
  </si>
  <si>
    <t xml:space="preserve">https://detak.co/kategori/nasional/viral-asap-hitam-menyembur-dari-dalam-tanah-di-pasar-baru-jakpus/</t>
  </si>
  <si>
    <t xml:space="preserve">detak.co</t>
  </si>
  <si>
    <t xml:space="preserve">JAKARTA - Kepulan asap pekat sempat muncul dari dalam tanah di depan sebuah ruko di kawasan Pasar Baru, Jakarta Pusat, Minggu (6/9). Fenomena tersebut terjadi akibat korsleting pada instalasi listrik </t>
  </si>
  <si>
    <t xml:space="preserve">https://www.rakyatpos.id/2026/09/viral-asap-tebal-muncul-dari-tanah-di-pasar-baru-jakarta-pusat-bpbd-ungkap-penyebabnya.html</t>
  </si>
  <si>
    <t xml:space="preserve">Harga Cabai Rawit Merah Melonjak di Pasar Tradisional DKI Jakarta - suaralandak.co.id</t>
  </si>
  <si>
    <t xml:space="preserve">suaralandak.co.id</t>
  </si>
  <si>
    <t xml:space="preserve">SCROLL TO CONTINUE WITH CONTENT Home / HEADLINE / RAKYATPOS / TNI/POLRI RakyatPos - Jurnalis Senin, 7 September 2026 -  12:04											 WIB RakyatPos.id -Viralasap pekat muncul dari dalam tanah di ka</t>
  </si>
  <si>
    <t xml:space="preserve">https://www.suaralandak.co.id/harga-cabai-rawit-merah-dki</t>
  </si>
  <si>
    <t xml:space="preserve">DKI kemarin, Alphard viral di HI lalu kebakaran di Jaksel - ANTARA News</t>
  </si>
  <si>
    <t xml:space="preserve">Dinamika harga sembako di pasar tradisional DKI Jakarta mengalami perubahan signifikan pada 12 September 2026, terutama pada cabai rawit merah yang mengalami kenaikan harga cukup tajam.Harga cabai raw</t>
  </si>
  <si>
    <t xml:space="preserve">https://www.antaranews.com/berita/5670239/dki-kemarin-alphard-viral-di-hi-lalu-kebakaran-di-jaksel</t>
  </si>
  <si>
    <t xml:space="preserve">Kronologi dan Penyebab Asap Hitam di Pasar Baru Jakarta, Polisi Pastikan Akibat Korsleting Listrik - Kronologi.id</t>
  </si>
  <si>
    <t xml:space="preserve">Jakarta (ANTARA) - Sejumlah peristiwa yang terjadi di Jakarta pada Selasa (28/7) antara lain pemilik Alphard viral di HI adalah warga sipil, bursa kerja di Jakarta Timur, dan kebakaran dekat Pasar Keb</t>
  </si>
  <si>
    <t xml:space="preserve">https://kronologi.id/kronologi-dan-penyebab-asap-hitam-di-pasar-baru-jakarta-polisi-pastikan-akibat-korsleting-listrik/</t>
  </si>
  <si>
    <t xml:space="preserve">Pram Soal Viral Laporan di JAKI Direspons AI: Siapkan Sanksi, Tak Boleh Terulang - kumparan.com - Kumparan.com</t>
  </si>
  <si>
    <t xml:space="preserve">Warga dan pedagang di kawasan pertokoan Pasar Baru, Sawah Besar, Jakarta Pusat sempat dikejutkan oleh kemunculan semburan asap hitam pekat dari bawah tanah pada Minggu (6/9/2026). Rekaman video inside</t>
  </si>
  <si>
    <t xml:space="preserve">https://kumparan.com/kumparannews/pram-soal-viral-laporan-di-jaki-direspons-ai-siapkan-sanksi-tak-boleh-terulang-279YhJTqeVS</t>
  </si>
  <si>
    <t xml:space="preserve">Gubernur DKI Jakarta, Pramono Anung, merespons keras temuan adanya oknum aparatur wilayah yang diduga menggunakan Artificial Intelligence (AI) untuk merekayasa tindak lanjut keluhan warga di aplikasi </t>
  </si>
  <si>
    <t xml:space="preserve">https://www.inilah.com/viral-petugas-ppsu-gunakan-ai-inspektorat-dki-jakarta-panggil-lurah-kalisari-jaktim</t>
  </si>
  <si>
    <t xml:space="preserve">Sempat Viral, Gunungan Sampah di Pasar Kramat Jati Telah Bersih - MetroTVNews.com</t>
  </si>
  <si>
    <t xml:space="preserve">Viral penggunaan kecerdasan buatan (AI) oleh petugas Penanganan Prasarana dan Sarana Umum (PPSU) Pasar Rebo, Jakarta Timur, dalam menanggapi laporan warga melalui aplikasi Jakarta Kini (JAKI). (Foto: </t>
  </si>
  <si>
    <t xml:space="preserve">Sinergitas Lintas Sektoral Kementerian HAM bersama Pemerintah Daerah, Masyarakat, Komunitas, dan Pelaku Usaha di The Papandayan Hotel, Kota Bandung, Selasa (28/7/2026). (Dokumentasi: Pemprov Jabar) Be</t>
  </si>
  <si>
    <t xml:space="preserve">Jakarta, CNBC Indonesia - Trans Studio Mall (TSM) Bandung yang berlokasi di Jalan Gatot Subroto Nomor 289, Kota Bandung, Provinsi Jawa Barat, secara resmi menghadirkan Nailoong, karakter viral yang me</t>
  </si>
  <si>
    <t xml:space="preserve">https://www.industry.co.id/read/150714/rekomendasi-tempat-makan-di-kek-tanjung-lesung</t>
  </si>
  <si>
    <t xml:space="preserve">www.industry.co.id</t>
  </si>
  <si>
    <t xml:space="preserve">Rekomendasi Rumah Makan Keluarga di Anyer: Enak, Nyaman &amp; View Pantai! - tripzilla.id</t>
  </si>
  <si>
    <t xml:space="preserve">.toc-list li{margin-bottom:8px}.toc-list a{text-decoration:none;color:#0073aa;transition:color 0.2s}.toc-list a:hover{color:#005177;text-decoration:underline}.artikel-content h2{color:#1f2937;font-siz</t>
  </si>
  <si>
    <t xml:space="preserve">Bagi warga Jakarta dan sekitarnya, kata "Anyer" sering kali menjadi mantra ajaib untuk mengusir stres. Bayangkan saja, hanya dengan berkendara sekitar 2 hingga 3 jam dari pusat kemacetan ibu kota, kam</t>
  </si>
  <si>
    <t xml:space="preserve">&lt;!-- wp:paragraph --&gt; &lt;p&gt;SERANG, RADARBANTEN.CO.ID - Rumah makan dengan sistem prasmanan menjadi favorit kebanyakan orang. Hamparan makanan dengan banyak pilihan menu, membuat orang semakin tergugah.&lt;</t>
  </si>
  <si>
    <t xml:space="preserve">https://www.radarbanten.co.id/2026/09/23/status-gunung-anak-krakatau-turun-jadi-waspada-pariwisata-banten-dapat-angin-segar/</t>
  </si>
  <si>
    <t xml:space="preserve">Pariwisata Banten Terdampak Erupsi Gunung Anak Krakatau, Pemprov Siapkan Strategi Pemulihan - radarbanten.co.id</t>
  </si>
  <si>
    <t xml:space="preserve">&lt;!-- wp:paragraph --&gt; &lt;p&gt;SERANG, RADARBANTEN.CO.ID – Sektor pariwisata Provinsi Banten mendapat angin segar setelah status Gunung Anak Krakatau (GAK) diturunkan dari Level III atau Siaga menjadi Level</t>
  </si>
  <si>
    <t xml:space="preserve">&lt;!-- wp:paragraph --&gt; &lt;p&gt;SERANG, RADARBANTEN.CO.ID—Pemerintah Provinsi Banten menyiapkan strategi pemulihan aktivitas pariwisata setelah erupsi Gunung Anak Krakatau berdampak terhadap kunjungan wisata</t>
  </si>
  <si>
    <t xml:space="preserve">SERANG | Terobosan besar hadir di sektor pariwisata Banten. Pemerintah Provinsi Banten resmi meluncurkan program transportasi murah berbasis digital, cukup bayar Rp1, masyarakat sudah bisa menuju kawa</t>
  </si>
  <si>
    <t xml:space="preserve">SERANG, EKBISBANTEN.COM – Wakil Gubernur Banten A Dimyati Natakusumah menilai Provinsi Banten memiliki potensi pariwisata yang tidak kalah dibandingkan Bali. Menurutnya, Banten memiliki sejumlah keung</t>
  </si>
  <si>
    <t xml:space="preserve">SERANG – Dinas Pariwisata Provinsi Banten menargetkan dua program prioritas pada tahun ini hingga empat tahun ke depan dalam rangka mendukung pencapaian target Rencana Pembangunan Jangka Menengah Daer</t>
  </si>
  <si>
    <t xml:space="preserve">&lt;!-- wp:paragraph --&gt; &lt;p&gt;SERANG, RADARBANTEN.CO.ID – Pemprov Banten kembali menggelar Exciting Banten Festival 2026 sebagai upaya memperkuat promosi pariwisata sekaligus mendorong pertumbuhan ekonomi </t>
  </si>
  <si>
    <t xml:space="preserve">https://gerbangpatriot.com/2026/09/24/pasien-darurat-yang-viral-karena-ambulans-terhalang-byd-meninggal-dunia/</t>
  </si>
  <si>
    <t xml:space="preserve">gerbangpatriot.com</t>
  </si>
  <si>
    <t xml:space="preserve">Terinspirasi Buku Bung Karno, Festival Mustika Rasa Hadirkan Kuliner Banten yang Mulai Langka - Kompas.com</t>
  </si>
  <si>
    <t xml:space="preserve">Kamis, 24 September 2026 Ambulans SABER yang membawa pasien lansia dari Blimbing, Sukoharjo, ke RSUD dr Moewardi sempat terhalang mobil BYD putih di Jalan Yos Sudarso, Solo. Pasien, Suparjo Rahmad, me</t>
  </si>
  <si>
    <t xml:space="preserve">Terinspirasi Buku Bung Karno, Festival Mustika Rasa Hadirkan Kuliner Banten yang Mulai Langka LEBAK, KOMPAS.com - Aneka penganan tradisional khas Banten yang mulai sulit ditemukan kembali hadir dalam </t>
  </si>
  <si>
    <t xml:space="preserve">https://rri.co.id/banten/regional/2420894/balai-pelestarian-kebudayaan-ajak-masyarakat-jaga-situs-bersejarah-di-banten</t>
  </si>
  <si>
    <t xml:space="preserve">Golok Ciomas Tak Lagi Sekadar Pusaka, Kini Jadi Wajah Banten di Panggung Nasional - Beritabanten.com</t>
  </si>
  <si>
    <t xml:space="preserve">Beritabanten.com</t>
  </si>
  <si>
    <t xml:space="preserve">RRI.CO.ID, Serang - Balai Pelestarian Kebudayaan Banten Lama mengajak masyarakat untuk lebih aktif menjaga dan melestarikan situs sejarah serta benda cagar budaya di lingkungan sekitar. Peran masyarak</t>
  </si>
  <si>
    <t xml:space="preserve">Beritabanten.com — Denting palu yang menempa besi di Kecamatan Ciomas, Kabupaten Serang, telah melahirkan lebih dari sekadar sebilah golok. Di tangan para empu, Golok Ciomas tumbuh menjadi simbol seja</t>
  </si>
  <si>
    <t xml:space="preserve">TRIBUNSTYLE.COM - Bosan dengan destinasi wisata yang itu-itu saja, Curug Cross di Kabupaten Serang bisa menjadi pilihan menarik untuk healing tipis-tipis sambil menikmati suasana alam yang masih asri.</t>
  </si>
  <si>
    <t xml:space="preserve">https://www.bantenekspose.id/news/23417633656/viral-dugaan-ritual-satanik-dalam-pertunjukan-karnaval-pemkab-pekalongan-tuntut-klarifikasi-panitia-sknc-2026</t>
  </si>
  <si>
    <t xml:space="preserve">www.bantenekspose.id</t>
  </si>
  <si>
    <t xml:space="preserve">Rustic Market Explore The Museum, Destinasi Wisata yang Bawa Pengunjung Nikmati Suasana Eropa - Banten Raya</t>
  </si>
  <si>
    <t xml:space="preserve">Banten Raya</t>
  </si>
  <si>
    <t xml:space="preserve">Bantenekspose.id - Video salah satu tim dalam karnaval Simbang Kulon Night Carnival (SKNC) 2026 di Pekalongan , Jawa Tengah, bikin heboh sebagian publik di medsos. Tak sedikit yang mengaitkan penampil</t>
  </si>
  <si>
    <t xml:space="preserve">Suasana di Rustic Market Explore The Museum yang terlihat seperti liburan di Eropa. (Dok: google review Faidz Syam untuk Rustic Market Explore The Museum) BANTENRAYA.COM – Destinasi wisata di Rustic M</t>
  </si>
  <si>
    <t xml:space="preserve">https://www.pandeglangnews.co.id/news/16316978490/gara-gara-bedak-dan-parfum-hilang-warga-di-lebak-dipaksa-sumpah-sambil-injak-al-quran</t>
  </si>
  <si>
    <t xml:space="preserve">www.pandeglangnews.co.id</t>
  </si>
  <si>
    <t xml:space="preserve">Kelakuan Wanita Tangsel Jual Emas Palsu, Setahun Beraksi Baru Ketahuan - detikNews</t>
  </si>
  <si>
    <t xml:space="preserve">PANDEGLANGNEWS.CO.ID , - Jagat media sosial di Kabupaten Lebak diguncang beredarnya sebuah video yang memperlihatkan dugaan tindakan tidak pantas terhadap simbol keagamaan. Dalam rekaman singkat terse</t>
  </si>
  <si>
    <t xml:space="preserve">https://news.detik.com/berita/d-8559235/kelakuan-wanita-tangsel-jual-emas-palsu-setahun-beraksi-baru-ketahuan</t>
  </si>
  <si>
    <t xml:space="preserve">Viral! Aksi Heroik Karyawan Gerai Makanan Gagalkan Curanmor di Pandeglang | BERUT - Kompas.tv</t>
  </si>
  <si>
    <t xml:space="preserve">Berakhir sudah aksi tipu-tipu perempuan berinisial HCTW (20) menjual emas palsu. Dia sudah puluhan kali dia menjual emas palsu dalam setahun. HCTW mengaku telah 20 kali menjual emas palsu di wilayah T</t>
  </si>
  <si>
    <t xml:space="preserve">https://www.kompas.tv/regional/672492/viral-aksi-heroik-karyawan-gerai-makanan-gagalkan-curanmor-di-pandeglang-berut</t>
  </si>
  <si>
    <t xml:space="preserve">PANDEGLANG, KOMPAS.TV - Seorang karyawan gerai makanan siap saji di Pandeglang, Banten menggagalkan pencurian sepeda motor. Aksi heroiknya beredar luas di media sosial. Pencuri sepeda motor di Pandegl</t>
  </si>
  <si>
    <t xml:space="preserve">https://www.radarbanten.co.id/2026/08/28/polres-serang-tangkap-kepala-toko-minimarket-diduga-cabuli-kasir/</t>
  </si>
  <si>
    <t xml:space="preserve">5 Rekomendasi Toko Alat Rumah Tangga di Kota Serang - Tribunnews.com</t>
  </si>
  <si>
    <t xml:space="preserve">&lt;!-- wp:paragraph --&gt; &lt;p&gt;SERANG, RADARBANTEN.CO.ID – AS (26), kepala toko minimarket di Desa Parigi, Kecamatan Kragilan, Kabupaten Serang, diamankan Unit Perlindungan Perempuan dan Anak (UPPA) Satresk</t>
  </si>
  <si>
    <t xml:space="preserve">https://shopping.tribunnews.com/2026/09/09/5-rekomendasi-toko-alat-rumah-tangga-di-kota-serang</t>
  </si>
  <si>
    <t xml:space="preserve">shopping.tribunnews.com</t>
  </si>
  <si>
    <t xml:space="preserve">Tayang: Rabu, 9 September 2026 10:04 WIB TRIBUNSHOPPING.COM - Kota Serang merupakan ibu kota Provinsi Banten yang terus berkembang sebagai pusat pemerintahan, perdagangan, dan jasa. Seiring pertumbuha</t>
  </si>
  <si>
    <t xml:space="preserve">https://news.detik.com/berita/d-8629953/viral-wanita-pura-pura-odgj-hendak-culik-bocah-di-serang-begini-faktanya</t>
  </si>
  <si>
    <t xml:space="preserve">Loker Berbayar di Pasar Minggu Viral, Polisi Mediasi Pengembalian Uang Pelamar - Beritabanten.com</t>
  </si>
  <si>
    <t xml:space="preserve">Video seorang perempuan pura-pura menjadi orang dengan gangguan jiwa ( ODGJ ) hendak menculik bocah SD di Bayongbong, Pontang, Serang, Banten, viral di media sosial (medsos). Polisi melakukan penelusu</t>
  </si>
  <si>
    <t xml:space="preserve">https://beritabanten.com/loker-berbayar-di-pasar-minggu-viral-polisi-mediasi-pengembalian-uang-pelamar/</t>
  </si>
  <si>
    <t xml:space="preserve">Viral! Pria di Pasar Kemis Tangerang Diduga Siram Air ke Tetangga - IDN Times Banten</t>
  </si>
  <si>
    <t xml:space="preserve">IDN Times Banten</t>
  </si>
  <si>
    <t xml:space="preserve">Beritabanten.com — Dugaan penipuan berkedok lowongan kerja (loker) mencuat di kawasan Pasar Minggu, Jakarta Selatan, setelah sejumlah pencari kerja mengaku diminta membayar uang sebelum mendapatkan pe</t>
  </si>
  <si>
    <t xml:space="preserve">https://banten.idntimes.com/news/banten/viral-pria-di-pasar-kemis-tangerang-diduga-siram-air-ke-tetangga-00-5f5kb-8xbtg0</t>
  </si>
  <si>
    <t xml:space="preserve">banten.idntimes.com</t>
  </si>
  <si>
    <t xml:space="preserve">Tangerang, IDN Times - Video viral di media sosial ada seorang pria dan wanita diduga membuang air ke arah jalan di bilangan Jalan Pepaya 2, Pondok Makmur, Kelurahan Kutabaru, Kecamatan Pasar Kemis.Da</t>
  </si>
  <si>
    <t xml:space="preserve">https://www.radarbanten.co.id/2026/08/22/viral-perempuan-paruh-baya-diduga-penculik-anak-di-pontang-polda-banten-ungkap-faktanya/</t>
  </si>
  <si>
    <t xml:space="preserve">Kebakaran Landa Pasar Ciputat Tangsel - news.okezone.com</t>
  </si>
  <si>
    <t xml:space="preserve">&lt;!-- wp:paragraph --&gt; &lt;p&gt;SERANG, RADARBANTEN.CO.ID – Polda Banten memberikan penjelasan terkait informasi di media sosial mengenai dugaan percobaan penculikan anak di depan SDN 1 Bayongbong, Kecamatan</t>
  </si>
  <si>
    <t xml:space="preserve">JAKARTA - Kebakaran melanda ruko yang berada di Pasar Ciputat, Tangerang Selatan, Banten. Peristiwa tersebut viral di media sosial. Kobaran api bahkan dapat disaksikan dari fly over Ciputat. Kapolsek </t>
  </si>
  <si>
    <t xml:space="preserve">https://www.suaralandak.co.id/harga-cabai-rawit-banten</t>
  </si>
  <si>
    <t xml:space="preserve">Dari Jembatan Bambu yang Bikin Was-Was Kini Menjadi Asa, Kisah Sukses Polri Bangun Jembatan Merah Putih - tangerangekspres.disway.id - Disway</t>
  </si>
  <si>
    <t xml:space="preserve">Harga cabai rawit merah mengalami kenaikan signifikan di pasar tradisional wilayah Banten pada 3 September 2026, disertai fluktuasi harga beberapa komoditas pangan pokok lainnya seperti bawang, beras,</t>
  </si>
  <si>
    <t xml:space="preserve">JEMBATAN MERAH PUTIH: Polda Banten membangun Jembatan Merah Putih Presisi di Pasar Kemis sebagai solusi akses warga sekaligus penggerak ekonomi lokal.-Zakky Adnan/Tangerang Ekspres- TANGERANGEKSPRES.I</t>
  </si>
  <si>
    <t xml:space="preserve">RRI.CO.ID, Serang – Kantor Perwakilan Bank Indonesia Provinsi Banten akan menggelar Shafara X Digiwara Festival 2026 pada 22 hingga 24 Mei 2026 di Bintaro Jaya Xchange . Festival tersebut juga menghad</t>
  </si>
  <si>
    <t xml:space="preserve">https://www.kompas.id/artikel/en-rafi-sudirman-terus-bereksplorasi</t>
  </si>
  <si>
    <t xml:space="preserve">BI Banten Gelar Shafara Festival dan Digiwara Festival 2026 - radarbanten.co.id</t>
  </si>
  <si>
    <t xml:space="preserve">Rafi believes that frequent social media appearances must be accompanied by quality work. This is the key to gaining public recognition as a musician. 01 Jun 2026 12:15 WIB · English By Laraswati Aria</t>
  </si>
  <si>
    <t xml:space="preserve">&lt;!-- wp:paragraph --&gt; &lt;p&gt;TANGERANG, RADARBANTEN.CO.ID – Bank Indonesia (BI) untuk pertama kalinya menggabungkan dua agenda besar, yakni Shafara Festival dan Digiwara Festival 2026. Langkah ini untuk m</t>
  </si>
  <si>
    <t xml:space="preserve">https://rri.co.id/banten/budaya/2419702/suara-nusantara-banten-hidupkan-kembali-cerita-rakyat-daerah</t>
  </si>
  <si>
    <t xml:space="preserve">Dari Rumah Jadi Viral, Bengkel Koewe Suguhkan Ice Cream Cake Unik di BSD - tangselpos.id</t>
  </si>
  <si>
    <t xml:space="preserve">RRI.CO.ID, Serang - Festival storytelling Suara Nusantara 2026 digelar di Aula Pendopo Gubernur Banten, KP3B Curug, Kota Serang, Minggu 17 Mei 2026. Kegiatan tersebut mengangkat tema “Menghidupkan Leg</t>
  </si>
  <si>
    <t xml:space="preserve">BSD — Di tengah menjamurnya bisnis kuliner modern, sebuah usaha rumahan di kawasan Kencana Loka, BSD, justru berhasil mencuri perhatian publik. Bengkel Koewe hadir dengan konsep berbeda: ice cream cak</t>
  </si>
  <si>
    <t xml:space="preserve">Purwokerto tidak pernah kehabisan cara untuk memanjakan lidah para pecinta kuliner, khususnya ayam goreng. Mulai dari sajian berbumbu serundeng melimpah, kremesan yang renyah, hingga sambal pedas yang</t>
  </si>
  <si>
    <t xml:space="preserve">Semarang termasuk salah satu kota yang punya beragam kuliner menarik. Di antaranya ada yang terkenal enak sejak dulu. Bahkan, usianya lebih tua dari Indonesia! Selain Jogja atau Solo, ada juga kota Se</t>
  </si>
  <si>
    <t xml:space="preserve">Kendal mungkin lebih sering dikenal sebagai kota yang dilalui para pemudik di jalur Pantura . Namun, siapa sangka kabupaten di pesisir utara Jawa Tengah ini juga memiliki beragam destinasi kuliner lez</t>
  </si>
  <si>
    <t xml:space="preserve">Solo selalu punya cara manis untuk memanggil kita kembali, dan salah satu alasan utamanya tentu saja adalah kuliner kulinernya yang tiada tanding. Berkeliling di kota ini rasanya belum lengkap kalau b</t>
  </si>
  <si>
    <t xml:space="preserve">https://jogja.disway.id/gaya-hidup/read/699683/wisata-kuliner-magelang-tempat-makan-hits-paling-wajib-dikunjungi-berikut-informasi-selengkapnya</t>
  </si>
  <si>
    <t xml:space="preserve">5 Kuliner Legendaris Surabaya Buat Makan Malam, Enak dan Murah - Tribun Travel</t>
  </si>
  <si>
    <t xml:space="preserve">diswayjogja.id - Sedang mencari tempat makan nyaman dengan view pegunungan di Magelang? Berikut adalah daftar restoran terbaik yang menawarkan pengalaman kuliner tak terlupakan bagi Anda dan keluarga.</t>
  </si>
  <si>
    <t xml:space="preserve">TRIBUNTRAVEL.COM - Mencari menu makan malam yang lezat di kota besar selalu jadi pengalaman seru, apalagi kalau pilihannya adalah kuliner legendaris yang sudah populer bertahun-tahun. Di Surabaya , wi</t>
  </si>
  <si>
    <t xml:space="preserve">Kawasan Cilandak, Jakarta Selatan, dikeliling dengan aneka kuliner menarik. Kalau akhir pekan berencana main ke Cilandak, bisa mampir makan di 7 tempat andalan ini! Cilandak mungkin lebih dikenal seba</t>
  </si>
  <si>
    <t xml:space="preserve">TRIBUNTRAVEL.COM - Serunya kulineran di Solo memang nggak pernah gagal bikin siapa pun jatuh hati dengan cita rasanya yang khas. Salah satu menu favorit yang selalu dicari adalah mie ayam dengan berba</t>
  </si>
  <si>
    <t xml:space="preserve">Magelang selama ini mungkin lebih sering dikenal karena kemegahan Candi Borobudur atau keindahan panorama alamnya yang dikelilingi pegunungan. Namun, tahukah kamu kalau kota sejuk ini juga menyimpan s</t>
  </si>
  <si>
    <t xml:space="preserve">Solo emang surganya buat detikers yang hobi jajan tapi nggak mau kantong jebol. Ada banyak banget pilihan makanan di Solo yang murah dan enak yang bisa dicari di tiap sudut kota. Rasanya juga otentik </t>
  </si>
  <si>
    <t xml:space="preserve">Memasuki tanggal tua, kulineran di warung makan bisa jadi pilihan hemat. Meski konsepnya warung, pilihan makanan di lima tempat makan ini beragam dan pastinya punya harga terjangkau! Jakarta punya ban</t>
  </si>
  <si>
    <t xml:space="preserve">Trend wisata kuliner di pasar kini juga terjadi di Semarang. Salah satu pasar tradisional paling populer di Semarang adalah Pasar Johar yang juga punya banyak kuliner tradisional menarik yang semakin </t>
  </si>
  <si>
    <t xml:space="preserve">Liburan long weekend kali ini bisa menikmati kuliner 'ndeso' di sekitar Tangerang. Mulai dari masakan Jawa sampai menu Betawi ada di sini! Di tengah menjamurnya restoran modern dan kafe kekinian, waru</t>
  </si>
  <si>
    <t xml:space="preserve">Lebih dari sekadar rumah bagi Candi Borobudur, Magelang kini tumbuh menjadi magnet baru bagi para pecinta kuliner dan tempat estetik. Kota sejuk ini seolah tak pernah kehabisan ide untuk memanjakan pe</t>
  </si>
  <si>
    <t xml:space="preserve">https://www.detik.com/jateng/kuliner/d-8455677/14-tempat-makan-babi-di-solo-dan-sukoharjo-rasanya-khas-juicy-dan-nendang</t>
  </si>
  <si>
    <t xml:space="preserve">Sederet Fakta soal Warung Babi yang Ditolak Warga di Sukoharjo - detikcom</t>
  </si>
  <si>
    <t xml:space="preserve">Solo memang dikenal sebagai surga kuliner yang tak pernah tidur. Bagi kamu yang mencari variasi hidangan non-halal, kota ini menyimpan banyak permata tersembunyi yang menggugah selera. Akan dirangkum </t>
  </si>
  <si>
    <t xml:space="preserve">Sebuah video yang menunjukkan akses jalan menuju warung makan di Sukoharjo viral di media sosial. Jalan yang mengarah ke tempat makan bernama Mie dan Babi Tepi Sawah itu tertutup dengan tumpukan tanah</t>
  </si>
  <si>
    <t xml:space="preserve">Bosan dengan Dieng tapi tetap butuh pelarian ke tempat yang dingin dan bikin adem pikiran? Tenang, Jawa Tengah punya banyak stok destinasi dataran tinggi yang hawanya mirip kulkas. Jawa Tengah menyimp</t>
  </si>
  <si>
    <t xml:space="preserve">Wisata Viral di Kebumen, Pemandangan Laut Lepas dari Ketinggian Bikin Betah KEBUMEN, KOMPAS.com – Momen libur selalu identik dengan kegiatan wisata bersama keluarga. Sejumlah tempat wisata alam pun ba</t>
  </si>
  <si>
    <t xml:space="preserve">Wisata Negeri Kahyangan Magelang-- diswayjogja.id - Kabupaten Magelang memang tidak pernah berhenti memberikan kejutan bagi para pecinta perjalanan alam. Di tengah kepopuleran Candi Borobudur, terseli</t>
  </si>
  <si>
    <t xml:space="preserve">TRIBUNTRAVEL.COM - Liburan ke Solo semakin seru dengan hadirnya destinasi wisata keluarga yang menawarkan pengalaman berbeda. Kota ini kini tidak hanya dikenal dengan budaya, tetapi juga memiliki temp</t>
  </si>
  <si>
    <t xml:space="preserve">Di media sosial viral video terkait pendakian sejumlah warga ke Gunung Merapi via Selo, Boyolali, saat kondisi gunung masih Siaga. Bagaimana duduk perkaranya? 03 Jul 2026 07:30 WIB · Nasional Kompas/F</t>
  </si>
  <si>
    <t xml:space="preserve">Surutnya Sungai Serayu di Desa Srowot lewat kearifan lokal dengan  pemanfaatan media sosial, dan jiwa adaptif warga, keterbatasan alam justru berhasil disulap menjadi peluang ekonomi kreatif dan desti</t>
  </si>
  <si>
    <t xml:space="preserve">TRIBUNTRAVEL.COM - Lagi liburan ke Klaten , ada tempat wisata baru yang menarik banget untuk dikunjungi. Destinasi ramah anak ini cocok banget dikunjungi saat libur sekolah 2026 bersama keluarga terci</t>
  </si>
  <si>
    <t xml:space="preserve">Surutnya aliran Sungai Serayu akibat kemarau panjang jadi berkah bagi sebagian warga Desa Srowot, Kecamatan Kalibagor, Banyumas. Di kawasan yang kini dikenal dengan nama Wadas Cinta Carik, warga membu</t>
  </si>
  <si>
    <t xml:space="preserve">Viral soal tarif parkir ngepruk kembali terjadi di Kota Solo. Kali ini laporan datang dari pengunjung Tahir Museum Solo yang mengaku dikepruk Rp 10 ribu. Keluhan pengunjung itu diunggah akun Instagram</t>
  </si>
  <si>
    <t xml:space="preserve">Oleh Pegadaian dalam Inspirasi Libur panjang sebentar lagi tiba! Jika mencari tempat wisata di Solo yang seru dan tidak membosankan, kota di Jawa Tengah ini adalah pilihan liburan yang sangat tepat. W</t>
  </si>
  <si>
    <t xml:space="preserve">TRIBUNTRAVEL.COM - Berburu buah tangan khas selalu jadi aktivitas seru saat menjelajahi kota seperti Semarang , apalagi pilihannya semakin beragam dan menggoda. Tak hanya wisata, kota ini juga dikenal</t>
  </si>
  <si>
    <t xml:space="preserve">TRIBUNTRAVEL.COM - Buat kamu pecinta kopi, berburu biji kopi berkualitas di Solo Jawa Tengah bisa jadi pengalaman seru. Solo punya banyak toko kopi yang menawarkan berbagai jenis beans, mulai dari lok</t>
  </si>
  <si>
    <t xml:space="preserve">Aksi seorang juru parkir (jukir) di Pasar Johar, Kota Semarang, yang mematok tarif ngepruk alias mahal menjadi viral di media sosial. Menurut Dinas Perhubungan (Dishub) Kota Semarang, jukir itu langsu</t>
  </si>
  <si>
    <t xml:space="preserve">Solo tidak hanya memikat hati melalui keramahtamahan warganya, tetapi juga melalui deretan kuliner tradisional yang melegenda. Salah satu destinasi yang wajib dikunjungi adalah Pasar Gede Hardjonagoro</t>
  </si>
  <si>
    <t xml:space="preserve">TRIBUNSTYLE.COM - Sejumlah agenda menarik akan berlangsung di berbagai daerah di Jawa Tengah pada Minggu (20/9/2026). Pilihan kegiatannya cukup beragam, mulai dari festival musik, seni dan budaya, pam</t>
  </si>
  <si>
    <t xml:space="preserve">AYOSEMARANG.COM -- Memasuki bulan Juli 2026 yang bertepatan dengan momen liburan tengah tahun dan sekolah, Kota Semarang menyajikan berbagai agenda atraktif. Mulai dari festival musik, bazar buku bers</t>
  </si>
  <si>
    <t xml:space="preserve">TRIBUNJATENG.COM - Sejumlah agenda menarik masih berlangsung di Jawa Tengah pada Rabu, 9 September 2026. Bagi masyarakat yang sedang mencari pilihan kegiatan untuk mengisi waktu luang, sejumlah agenda</t>
  </si>
  <si>
    <t xml:space="preserve">Rumah Makan Ayam Panggang 3 Berku-- diswayjogja.id - Kota Yogyakarta atau yang akrab disapa Jogja selalu memiliki daya tarik istimewa yang tidak pernah gagal memikat hati para pelancong dari berbagai </t>
  </si>
  <si>
    <t xml:space="preserve">Jogja memang tak pernah kehabisan cara buat bikin siapapun jatuh cinta, terutama lewat deretan sajian kuliner legendarisnya yang bikin kangen. Kalau kamu ingin lebih eksplor kuliner tanpa takut mengur</t>
  </si>
  <si>
    <t xml:space="preserve">Annyeonghaseyo Nibblers, kita bahas restoran Korea yang ada di Jogja yuk! Ternyata nggak sulit lho mencari deretan restoran khas Korea yang memuaskan rasa penasaran para K-lovers. Dari mulai makanan r</t>
  </si>
  <si>
    <t xml:space="preserve">Beberapa hari yang lalu, saya ngobrol cukup lama dengan teman statusnya juga lama. Hampir 3 jam kami ngobrol soal kuliner Jogja dan perdebatan status bahwa kota ini semakin mahal dan nggak asik untuk </t>
  </si>
  <si>
    <t xml:space="preserve">Terungkap, dari 16 unit rumah temuan Ombudsman RI, cuma tiga unit berstatus barang milik negara. KULINER hits adalah makanan atau tempat makan yang sedang populer dan banyak dibicarakan atau dikunjung</t>
  </si>
  <si>
    <t xml:space="preserve">diswayjogja.id - Sektor pariwisata di berbagai wilayah Daerah Istimewa Yogyakarta terus menunjukkan perkembangan yang sangat menggembirakan dari waktu ke waktu. Provinsi yang terkenal akan keindahan w</t>
  </si>
  <si>
    <t xml:space="preserve">RRI.CO.ID, Yogyakarta - Tren kuliner berbahan dasar mi terus berkembang di Yogyakarta, termasuk sajian misoa yang kini semakin banyak diminati masyarakat, terutama kalangan anak muda. Salah satu tempa</t>
  </si>
  <si>
    <t xml:space="preserve">Mau berburu restoran dengan menu Chinese food yang enak di Jogja, Nibble akan kasih rekomendasinya. Dari mulai Chinese food yang sudah disesuaikan dengan selera lidah masyarakat Jogja, sampai yang mas</t>
  </si>
  <si>
    <t xml:space="preserve">Siapa yang tak suka ayam goreng. Kuliner legendaris ini telah menjadi comfort food bagi banyak orang bahkan ketika liburan. Di Jogja kamu dapat dengan mudah menemukan tempat makan ayam goreng dari leg</t>
  </si>
  <si>
    <t xml:space="preserve">Kalau ada satu nama tempat makan yang hampir pasti muncul ketika wisatawan bertanya soal kuliner di Jogja, jawabannya adalah Kopi Klotok. Saya bahkan punya beberapa teman dari luar kota yang merasa ku</t>
  </si>
  <si>
    <t xml:space="preserve">Bagaimana rasanya menikmati secangkir kopi berkualitas tinggi di tempat yang juga menyediakan fasilitas yoga dan pilates? Tubbu Wellness di Jalan Samironobaru, Caturtunggal, Depok, Kabupaten Sleman, m</t>
  </si>
  <si>
    <t xml:space="preserve">Liburan ke Yogyakarta memang selalu punya cerita yang menyenangkan. Selain terkenal dengan wisata budaya, candi, dan tempat-tempat estetik, Jogja juga menjadi salah satu destinasi favorit untuk libura</t>
  </si>
  <si>
    <t xml:space="preserve">BACA JUGA: Surga Tempat Makan Murah Meriah Dekat Gembira Loka Zoo Jogja Dijamin Bikin Perut Kenyang Oseng-Oseng Mercon Bu Narti Bagi para pencinta tantangan kuliner pedas, warung Oseng-Oseng Mercon Bu</t>
  </si>
  <si>
    <t xml:space="preserve">MAHASISWA PENERIMA BEASISWA KIP KULIAH || IP TRISAKTI || S1 PARIWISATA 2023 Kalau berbicara tentang Yogyakarta, rasanya kurang lengkap jika belum menyebut Malioboro. Kawasan yang berada di jantung Kot</t>
  </si>
  <si>
    <t xml:space="preserve">JOGJA – Siapa bilang menikmati keindahan bawah laut harus pergi ke pantai atau menyelam di lautan? Di jantung Kota Yogyakarta , terdapat sebuah destinasi wisata edukasi yang menghadirkan pesona terumb</t>
  </si>
  <si>
    <t xml:space="preserve">Yogyakarta, DIY (ANTARA) - Pemerintah Kabupaten (Pemkab) Gunungkidul, DIY, melalui Dinas Pariwisata, Ekonomi Kreatif, Pemuda, dan Olahraga (Disparekrafpora), menyampaikan realisasi kunjungan wisatawan</t>
  </si>
  <si>
    <t xml:space="preserve">Yogyakarta memang identik dengan kawasan Malioboro yang selalu ramai wisatawan. Namun, pesona Kota Gudeg tidak hanya berhenti di pusat kota. Dalam beberapa tahun terakhir, banyak destinasi baru bermun</t>
  </si>
  <si>
    <t xml:space="preserve">diswayjogja.id - Mencari spot liburan yang Instagramable di Jogja? K'Ville Kaliurang menawarkan pengalaman unik bergaya Eropa di kaki gunung. Berikut adalah informasi harga tiket dan daya tarik utama </t>
  </si>
  <si>
    <t xml:space="preserve">Harianjogja.com, JOGJA Kunjungan wisata Jogja selama long weekend Mei 2026 diperkirakan meningkat hingga 25% dibanding hari biasa. Dinas Pariwisata Kota Jogja menyebut lonjakan wisatawan ini masih dal</t>
  </si>
  <si>
    <t xml:space="preserve">https://20.detik.com/spot-wisata/20260423-260423029/rasakan-keunikan-kopi-joss-viral-di-yogyakarta</t>
  </si>
  <si>
    <t xml:space="preserve">Salah satu yang khas dari Yogyakarta adalah kopi joss. Kopi ini menggunakan arang yang dimasukan ke dalam kopi. Rasanya sangat unik dan khas. Dok : Celebrity on Vacation Trans TV (Diki)</t>
  </si>
  <si>
    <t xml:space="preserve">SLEMAN – Di balik megahnya Gunung Merapi yang berdiri gagah di utara Yogyakarta, tersimpan kisah unik tentang sebuah batu besar yang menjadi saksi bisu dahsyatnya erupsi tahun 2010. Batu tersebut kini</t>
  </si>
  <si>
    <t xml:space="preserve">https://travel.detik.com/domestic-destination/d-8541622/panduan-liburan-3-hari-2-malam-ke-jogja-ramah-kantong-budget-mulai-rp-1-jutaan</t>
  </si>
  <si>
    <t xml:space="preserve">7 Fakta Unik ARTJOG yang Perlu Kamu Tahu - Kementerian Pariwisata</t>
  </si>
  <si>
    <t xml:space="preserve">Kementerian Pariwisata</t>
  </si>
  <si>
    <t xml:space="preserve">Siapa bilang liburan ke Yogyakarta harus mahal? Semua bisa, asal tahu triknya. Baca artikel ini supaya liburan hemat ke Jogja bisa terwujud. Dengan perencanaan yang matang dan disiplin tinggi, kamu bi</t>
  </si>
  <si>
    <t xml:space="preserve">ARTJOG bukan hanya sekedar ajang pameran karya seni, tetapi juga tempat bertemunya kreativitas, budaya, dan interaksi masyarakat. Di sini, hasil karya para seniman dinikmati sekaligus dipelajari oleh </t>
  </si>
  <si>
    <t xml:space="preserve">https://jogja.idntimes.com/travel/destination/6-museum-di-jogja-untuk-stamp-hunter-siapkan-bukumu-c1c2-01-5fz5v-nkxh6j</t>
  </si>
  <si>
    <t xml:space="preserve">Pasar Ngasem Yogyakarta, Surga Kuliner dan Sejarah yang Tetap Hidup - TIMES Jogja</t>
  </si>
  <si>
    <t xml:space="preserve">Belakangan ini tren museum stamp hunting ramai dilakukan di berbagai kota besar, termasuk di Jogja. Aktivitas berburu stempel museum ini berhasil mengubah cara pandang masyarakat terhadap tempat berse</t>
  </si>
  <si>
    <t xml:space="preserve">Pasar yang sudah berdiri sejak zaman dulu ini menawarkan pengalaman berbelanja yang sangat berbeda dengan mall modern. YOGYAKARTA – Terletak di Kawasan Jalan Kompleks Taman Budaya, Kelurahan Ngasem, K</t>
  </si>
  <si>
    <t xml:space="preserve">GenPI.co - Viral kebakaran melanda Toko Hamzah Batik di kawasan Malioboro Jogja, Senin (28/9) dini hari, api diduga muncul dari lantai 3. Peristiwa ini menjadi perhatian karena terjadi di salah satu k</t>
  </si>
  <si>
    <t xml:space="preserve">https://jogja.disway.id/gaya-hidup/read/698888/berburu-pastry-viral-ini-daftar-toko-croissant-terbaik-di-yogyakarta-untuk-pecinta-bakery-artisan</t>
  </si>
  <si>
    <t xml:space="preserve">10 Salt Bread Enak di Jogja, Ada Varian Unik - nibble.id</t>
  </si>
  <si>
    <t xml:space="preserve">diswayjogja.id - Yogyakarta selalu memiliki kemampuan ajaib untuk bertransformasi dan menyerap tren kuliner global tanpa kehilangan jati dirinya yang ramah. Kehadiran berbagai gerai artisan bakery yan</t>
  </si>
  <si>
    <t xml:space="preserve">Photo source: @bakeandbrookie Menemukan salt bread enak di Jogja cukup mudah. Selain kue tradisional seperti bakpia, sekarang makin banyak toko roti atau cafe yang menyediakan roti viral ini. Bahkan, </t>
  </si>
  <si>
    <t xml:space="preserve">Kebaya merupakan busana tradisional Indonesia yang hingga kini tetap digemari dan terus berkembang mengikuti tren zaman. Di Jogja, kebaya tidak hanya identik dengan gaya klasik dan adat, tetapi juga h</t>
  </si>
  <si>
    <t xml:space="preserve">Selalu ada alasan untuk kembali ke Jogja. Selain dari wisata dan kuliner legendarisnya, Jogja juga selalu punya tempat-tempat baru yang viral di media sosial. Mulai dari tempat wisata, pasar, kafe, hi</t>
  </si>
  <si>
    <t xml:space="preserve">Menutup petualangan di Kota Gudeg dengan mengeksplorasi setiap sudut tempat belanja oleh-oleh di Yogyakarta akan memberikan kepuasan tersendiri. Yogyakarta berhasil menjaga daya tariknya sebagai surga</t>
  </si>
  <si>
    <t xml:space="preserve">RRI.CO.ID, Yogyakarta - Jenang Yu Jumilah di Pasar Ngasem, Yogyakarta, menjadi salah satu kuliner tradisional yang ramai dikunjungi setelah banyak direkomendasikan di TikTok. Tak hanya viral di media </t>
  </si>
  <si>
    <t xml:space="preserve">Deretan pasar tradisional di Kota Yogyakarta menjadi destinasi kuliner favorit. Tak hanya Pasar Kranggan, Prawirotaman, atau Beringharjo, Pasar Pathuk juga menawarkan sajian variatif seperti Nasi Kuni</t>
  </si>
  <si>
    <t xml:space="preserve">Liburan ke Jogja rasanya belum lengkap tanpa berburu kuliner tradisional di Pasar Ngasem. Pasar yang berada di kawasan wisata Taman Sari ini dikenal sebagai surganya jajanan tradisional dengan cita ra</t>
  </si>
  <si>
    <t xml:space="preserve">https://jogja.suara.com/read/2026/06/30/145953/program-mbg-libur-harga-daging-di-pasar-jogja-turun-drastis-pembeli-bisa-menikmati-ayam-murah-lagi</t>
  </si>
  <si>
    <t xml:space="preserve">SuaraJogja.id - Liburnya program Makan Bergizi Gratis ( MBG ) selama libur sekolah hingga beberapa minggu kedepan berdampak langsung terhadap harga daging ayam di sejumlah pasar tradisional di Yogyaka</t>
  </si>
  <si>
    <t xml:space="preserve">Selalu ada hal menarik yang baru dan seru untuk dijelajahi di Jogja. Termasuk kuliner dengan kekayaan cita rasa bahkan dari dalam pasar tradisional. Salah satunya Pasar Ngasem yang kini menjadi surga </t>
  </si>
  <si>
    <t xml:space="preserve">https://www.detik.com/jogja/berita/d-8542397/duduk-perkara-danrem-pamungkas-cekcok-dengan-marshal-saat-ikut-maraton</t>
  </si>
  <si>
    <t xml:space="preserve">Kronologi Video Viral Ajudan Danrem Ditolak Masuk Mandiri Jogja Marathon, Diduga BIB Terjatuh Saat Lari - Kompas.com</t>
  </si>
  <si>
    <t xml:space="preserve">Cekcok Danrem 072/Pamungkas, Brigjen TNI Yuniar Dwi Hantono dengan marshal di salah satu event maraton di Jogja viral di media sosial. Cekcok berawal dari marshal yang menarik ajudan karena tidak meng</t>
  </si>
  <si>
    <t xml:space="preserve">https://yogyakarta.kompas.com/read/2026/06/22/130756478/kronologi-video-viral-ajudan-danrem-ditolak-masuk-mandiri-jogja-marathon?page=all</t>
  </si>
  <si>
    <t xml:space="preserve">yogyakarta.kompas.com</t>
  </si>
  <si>
    <t xml:space="preserve">Kronologi Video Viral Ajudan Danrem Ditolak Masuk Mandiri Jogja Marathon, Diduga BIB Terjatuh Saat Lari YOGYAKARTA, KOMPAS.com - Video yang memperlihatkan ajudan Danrem 072/Pamungkas Yogyakarta tidak </t>
  </si>
  <si>
    <t xml:space="preserve">https://www.grid.id/read/044389760/viral-video-ajudan-danrem-ditolak-masuk-area-jogja-marathon-korem-072pamungkas-beri-klarifikasi?page=all</t>
  </si>
  <si>
    <t xml:space="preserve">Grid.ID - Video ajudan Danrem 072/Pamungkas Yogyakarta yang tidak diperkenankan masuk oleh panitia event Jogja Marathon tengah viral di media sosial. Tampak ajudan Danrem 072/Pamungkas Yogyakarta tida</t>
  </si>
  <si>
    <t xml:space="preserve">https://megapolitan.antaranews.com/berita/528973/environesia-gelar-event-lari-berhadiah-umrah-di-yogyakarta</t>
  </si>
  <si>
    <t xml:space="preserve">megapolitan.antaranews.com</t>
  </si>
  <si>
    <t xml:space="preserve">Jakarta (ANTARA) - Seorang peserta asal Yogyakarta menjadi penerima doorprize Umrah dalam gelaran EnviRUNesia 2026 yang diselenggarakan Environesia di Jogja City Mall, Yogyakarta, Minggu. Momen terseb</t>
  </si>
  <si>
    <t xml:space="preserve">SuaraJogja.id - Efisiensi anggaran yang digulirkan pemerintah mulai 2026 ini mulai dirasakan dampaknya di sektor industri kreatif dan seni di Yogyakarta . Bilamana tidak, penurunan dana transfer ke Da</t>
  </si>
  <si>
    <t xml:space="preserve">https://www.cnnindonesia.com/nasional/20260622135016-20-1371814/korem-buka-suara-soal-viral-danrem-072-pamungkas-di-jogja-maraton</t>
  </si>
  <si>
    <t xml:space="preserve">Sebuah video viral menampilkan insiden ketegangan antara Komandan Korem (Danrem) 072/Pamungkas, Brigjen Yuniar Dwi Hantono dengan petugas lintasan (marshal) sebuah acara lomba maraton yang digelar di </t>
  </si>
  <si>
    <t xml:space="preserve">https://radarpurworejo.jawapos.com/jogjakarta/2606220004/brigjen-tni-yuniar-dwi-hantono-jadi-sorotan-usai-pengawalnya-diamankan-panitia-karena-tidak-kenakan-nomor-dada-dalam-event-mandiri-jogja-marathon</t>
  </si>
  <si>
    <t xml:space="preserve">Nama Yuniar Dwi Hantono menjadi sorotan jagat maya usai tragedi Mandiri Jogja Marathon yang diselenggarakan di kawasan obyek wisata Prambanan, Sleman, Yogyakarta, Minggu (21/6/2026).
Sebab ia memba</t>
  </si>
  <si>
    <t xml:space="preserve">https://rejogja.republika.co.id/berita/teimi8282/pelari-dipukul-otk-saat-event-lari-di-yogya-diselesaikan-kekeluargaan</t>
  </si>
  <si>
    <t xml:space="preserve">rejogja.republika.co.id</t>
  </si>
  <si>
    <t xml:space="preserve">Pelaku terlihat cekcok dengan seseorang di lokasi sekitar area lomba. REPUBLIKA.CO.ID, YOGYAKARTA -- Insiden kekerasan terjadi di tengah penyelenggaraan event lari di Kota Yogyakarta. Seorang peserta </t>
  </si>
  <si>
    <t xml:space="preserve">https://yogyakarta.kompas.com/read/2026/05/04/171050878/pelari-dipukul-saat-ikut-event-di-jogja-pelaku-ngamuk-dan-tantang-korban</t>
  </si>
  <si>
    <t xml:space="preserve">Pelari Dipukul Saat Ikut Event di Jogja, Pelaku Ngamuk dan Tantang Korban Berkelahi YOGYAKARTA, KOMPAS.com - Seorang peserta lomba lari di Yogyakarta berinisial YG (21) diduga menjadi korban penganiay</t>
  </si>
  <si>
    <t xml:space="preserve">https://yogyakarta.kompas.com/read/2026/06/22/122539278/penjelasan-korem-soal-ajudan-danrem-yang-ditolak-masuk-area-mandiri-jogja?page=all</t>
  </si>
  <si>
    <t xml:space="preserve">Penjelasan Korem soal Ajudan Danrem yang Ditolak Masuk Area Mandiri Jogja Marathon YOGYAKARTA, KOMPAS.com - Unggahan perihal ajudan Danrem 072/Pamungkas Yogyakarta yang tidak diperkenankan masuk oleh </t>
  </si>
  <si>
    <t xml:space="preserve">Wakil Wali Kota Yogyakarta, Wawan Harmawan, di Pakualaman, Kamis (16/4/2026), menyiapkan strategi menjadikan Jogja sebagai kota festival dengan 150 event untuk menarik wisatawan, terutama saat low sea</t>
  </si>
  <si>
    <t xml:space="preserve">https://yogyakarta.kompas.com/read/2026/05/04/174433478/kronologi-pelari-tiba-tiba-dipukul-saat-ikut-event-one-run-jogja-10k</t>
  </si>
  <si>
    <t xml:space="preserve">Jogja International Kite Festival 2026 Resmi Digelar, Satukan 17 Negara di Langit Parangkusumo - Si Jogja - Si Jogja</t>
  </si>
  <si>
    <t xml:space="preserve">Kronologi Pelari Tiba-tiba Dipukul Saat Ikut Event One Run Jogja 10K, Alami Nyeri di Kepala-Pundak YOGYAKARTA, KOMPAS.com - Seorang peserta lari berinisial YG (21) menjadi korban penganiayaan saat men</t>
  </si>
  <si>
    <t xml:space="preserve">SiJOGJA.COM : Langit Pantai Parangkusumo , Parangtritis, Bantul , kembali dipenuhi warna-warni layang-layang dari berbagai penjuru dunia dalam pembukaan Jogja International Kite Festival (JIKF) 2026, </t>
  </si>
  <si>
    <t xml:space="preserve">https://www.kompas.id/artikel/viral-insiden-ajudan-danrem-lari-tanpa-bib-di-jogja-marathon-tni-ad-salah-paham</t>
  </si>
  <si>
    <t xml:space="preserve">Jogja Run D-City, Event lari sekaligus berderma sukses digelar di Yogyakarta - ANTARA News Yogyakarta</t>
  </si>
  <si>
    <t xml:space="preserve">Keributan antara Danrem 072/Pamungkas dan petugas di Jogja Marathon dipicu kesalahpahaman soal nomor peserta ajudan. Insiden telah diklarifikasi dan diselesaikan. 22 Jun 2026 18:53 WIB · Politik &amp; Huk</t>
  </si>
  <si>
    <t xml:space="preserve">https://jogja.antaranews.com/berita/830757/jogja-run-d-city-event-lari-sekaligus-berderma-sukses-digelar-di-yogyakarta</t>
  </si>
  <si>
    <t xml:space="preserve">Ada yang Sejak 1980-an! Ini 7 Bakso Malang Enak di Jakarta - detikFood</t>
  </si>
  <si>
    <t xml:space="preserve">Yogyakarta (ANTARA) - Event lari Jogja Run D-City sukses digelar dengan melibatkan peserta lintas generasi di Kota Yogyakarta pada Minggu, di mana seluruh hasil penjualan tiketnya akan didonasikan unt</t>
  </si>
  <si>
    <t xml:space="preserve">Semangkuk bakso Malang komplet cocok dinikmati saat lapar. Di Jakarta, 7 tempat ini punya bakso Malang topping melimpah, kuah gurih, hingga gorengan renyah. Bakso Malang khas Jawa Timur, punya ciri kh</t>
  </si>
  <si>
    <t xml:space="preserve">TRIBUNTRAVEL.COM - Madiun tidak hanya dikenal sebagai kota transit, tetapi juga punya banyak pilihan kuliner yang cocok untuk mengisi waktu makan siang . Bagi kamu yang sedang mencari tempat makan sia</t>
  </si>
  <si>
    <t xml:space="preserve">Maia Estianty yang merupakan orang Surabaya mengungkap tempat makan khas Jawa Timur enak di Jakarta yang menunya terasa autentik. Ini daftarnya! Kuliner Jawa Timur terkenal menggunakan bumbu medok. Bi</t>
  </si>
  <si>
    <t xml:space="preserve">Mengelola sebuah bisnis kuliner bukanlah hal yang mudah. Ada banyak tantangan yang harus dihadapi, mulai dari mengurus operasional, manajemen keuangan, menghadapi persaingan, hingga mempertahankan cit</t>
  </si>
  <si>
    <t xml:space="preserve">Kawasan Kelapa Gading memang sudah lama dinobatkan sebagai "surga makanan yang tidak pernah tidur" di Jakarta Utara. Mulai dari jajanan tenda hingga restoran fine dining , area ini menawarkan petualan</t>
  </si>
  <si>
    <t xml:space="preserve">Mencari tempat makan murah di Malang sebenarnya nggak terlalu sulit. Kota yang dikenal sebagai kota pelajar ini memang punya banyak pilihan kuliner ramah kantong, mulai dari warung legendaris, ayam ge</t>
  </si>
  <si>
    <t xml:space="preserve">Saat berkunjung ke suatu daerah, salah satu yang harus kita coba pasti adalah kulinernya. Begitu pula saat berkunjung ke Pulau Madura, Jawa Timur. Berikut rekomendasi restoran di Bangkalan yang ciamik</t>
  </si>
  <si>
    <t xml:space="preserve">Ada kalanya kita ngerasa kalau kumpul keluarga di rumah saja nggak cukup. Entah itu dalam rangka merayakan pencapaian kecil, syukuran, atau sekadar pengin ganti suasana biar orang tua nggak bosan deng</t>
  </si>
  <si>
    <t xml:space="preserve">TRIBUNTRAVEL.COM - Setelah puas menjelajahi Mikutopia dengan berbagai wahana dan spot foto yang Instagramable, saatnya melanjutkan perjalanan dengan wisata kuliner legendaris di Kota Malang . Malang m</t>
  </si>
  <si>
    <t xml:space="preserve">Jika membahas tentang makanan Indonesia, nasi goreng adalah salah satu makanan yang paling sering disebut oleh wisatawan asing. Tampilannya yang sederhana serta rasanya yang gurih mudah diterima oleh </t>
  </si>
  <si>
    <t xml:space="preserve">TRIBUNTRAVEL.COM - Menjelang malam, suasana Surabaya terasa semakin hidup dengan deretan kuliner yang menggoda selera. Di wilayah Jawa Timur , kawasan Kota Lama Surabaya menjadi salah satu spot favori</t>
  </si>
  <si>
    <t xml:space="preserve">https://www.cnnindonesia.com/nasional/20260810144140-20-1390633/disbudpar-usut-finalis-duta-wisata-jatim-diduga-minta-pacar-aborsi</t>
  </si>
  <si>
    <t xml:space="preserve">Dugaan kasus yang menyeret salah satu anggota Raka-Raki Jawa Timur (Jatim) viral di media sosial. Seorang runner-up ajang Duta Wisata Jatim tersebut diduga meminta pacarnya menggugurkan kandungan atau</t>
  </si>
  <si>
    <t xml:space="preserve">Jatim Park Group buka suara soal viral di media sosial unggahan foto salah satu singa memiliki tubuh kurus di Batu Secrt Zoo, Jatim Park 2. Pihak Jatim Park menyatakan bahwa singa tersebut memiliki tu</t>
  </si>
  <si>
    <t xml:space="preserve">https://rri.co.id/surabaya/regional/2675389/strategi-media-sosial-pariwisata-jawa-timur-untuk-menaikkan-length-of-stay</t>
  </si>
  <si>
    <t xml:space="preserve">RRI.CO.ID, Surabaya — Maraknya destinasi wisata di Jawa Timur yang viral melalui Instagram dan TikTok menjadi peluang besar bagi pertumbuhan pariwisata daerah. Namun, popularitas di media sosial belum</t>
  </si>
  <si>
    <t xml:space="preserve">&lt;strong&gt;ADA&lt;/strong&gt; satu tempat wisata baru yang sedang naik daun di Kabupaten Pasuruan, Jawa Timur, yakni Bukit Premium. Tempat wisata ini viral di media sosial, terutama TikTok karena keindahan pad</t>
  </si>
  <si>
    <t xml:space="preserve">Selasa, 01 Sep 2026 10:33 WIB SURABAYAPAGI.com, Magetan - Siapa yang tidak tau wisata Telaga Sarangan yang berada di Magetan, Jawa Timur karena menyuguhkan spot foto dengan latar belakang bunga bugenv</t>
  </si>
  <si>
    <t xml:space="preserve">Hai traveler kesayangan TripZilla Indonesia! Lagi bingung cari ide liburan bareng keluarga atau rombongan teman kantor? Tenang, kawasan Pacet di Mojokerto punya segudang destinasi kece yang siap bikin</t>
  </si>
  <si>
    <t xml:space="preserve">Lingkaran.net – Nama Gunung Kawi di Kabupaten Malang, Jawa Timur, kembali menjadi perbincangan hangat di media sosial. Ketenaran Gunung Kawi dipakai untuk menyindir kondisi ekonomi yang terasa semakin</t>
  </si>
  <si>
    <t xml:space="preserve">Pengelola Tahura Raden Soerjo perketat patroli Jembatan Cangar pasca-insiden tragis. Upaya cegah "dark tourism" dan pengamanan infrastruktur diperkuat. INDONESIAONLINE - Kabut tipis sering kali menyel</t>
  </si>
  <si>
    <t xml:space="preserve">https://www.cnnindonesia.com/nasional/20260811160222-20-1391099/disbudpar-jatim-resmi-copot-duta-wisata-diduga-paksa-aborsi-pacar</t>
  </si>
  <si>
    <t xml:space="preserve">Siapa Tio Ferdian Rahmana? Runner-Up Raka Raki Jatim 2026 Viral Diduga Minta Kekasih Aborsi ke Singapura - VIVA.co.id</t>
  </si>
  <si>
    <t xml:space="preserve">Dinas Kebudayaan dan Pariwisata (Disbudpar) Provinsi Jawa Timur resmi memecat dan mencabut status Tio Ferdian Rahmana sebagai Duta Wisata atau Wakil 1 Raka Jawa Timur 2026. Keputusan itu diambil usai </t>
  </si>
  <si>
    <t xml:space="preserve">https://www.viva.co.id/berita/nasional/1920478-siapa-tio-ferdian-rahmana-runner-up-raka-raki-jatim-2026-viral-diduga-minta-kekasih-aborsi-ke-singapura</t>
  </si>
  <si>
    <t xml:space="preserve">Fakta-fakta Skandal Aborsi Raka Jatim Tio Ferdian Berujung Gelar Dicopot - detikcom</t>
  </si>
  <si>
    <t xml:space="preserve">VIVA – Publik tengah dihebohkan dengan tudingan seorang duta Wisata bernama Tio Ferdian Rahmana atas kasus dugaan kekerasan seksual yang meminta kekasihnya untuk menggugurkan atau aborsi kandungan di </t>
  </si>
  <si>
    <t xml:space="preserve">https://www.detik.com/jatim/berita/d-8619546/fakta-fakta-skandal-aborsi-raka-jatim-tio-ferdian-berujung-gelar-dicopot</t>
  </si>
  <si>
    <t xml:space="preserve">Pengakuan Tio Duta Wisata Jawa Timur Disidang Minta Kekasih Aborsi - beritajatim.com</t>
  </si>
  <si>
    <t xml:space="preserve">Nama Tio Ferdian Rahmana menjadi perbincangan hangat publik dalam beberapa hari terakhir. Buntut beredarnya tangkapan layar percakapan WhatsApp yang berisi dugaan permintaan aborsi kepada seorang wani</t>
  </si>
  <si>
    <t xml:space="preserve">https://beritajatim.com/pengakuan-tio-duta-wisata-jawa-timur-disidang-minta-kekasih-aborsi</t>
  </si>
  <si>
    <t xml:space="preserve">7 Fakta Baru Tio Raka Jatim Terseret Skandal Aborsi Pacar - detikcom</t>
  </si>
  <si>
    <t xml:space="preserve">Surabaya (beritajatim.com) – ​Tio Ferdian Rahmana, anggota duta wisata Raka Raki Jawa Timur sekaligus Paguyuban Cak dan Ning Surabaya, mengakui memiliki hubungan dengan seorang gadis yang viral dimint</t>
  </si>
  <si>
    <t xml:space="preserve">https://www.detik.com/jatim/hukum-dan-kriminal/d-8614779/7-fakta-baru-tio-raka-jatim-terseret-skandal-aborsi-pacar</t>
  </si>
  <si>
    <t xml:space="preserve">Karier Tio Ferdian Rahmana sebagai salah satu duta wisata Jawa Timur dan Surabaya kini berada di ujung tanduk setelah namanya terseret dugaan persoalan pribadi yang viral di media sosial. Tio yang seb</t>
  </si>
  <si>
    <t xml:space="preserve">https://news.detik.com/berita/d-8611826/viral-runner-up-raka-jatim-2026-minta-pacar-aborsi-terancam-disanksi</t>
  </si>
  <si>
    <t xml:space="preserve">Dari Majapahit hingga Robot AI, Jatim Park Satukan Dua Dunia di Batu - TIMES Indonesia</t>
  </si>
  <si>
    <t xml:space="preserve">Viral runner up duta wisata Raka Raki Jawa Timur 2026 inisial TFR diduga meminta pacarnya melakukan aborsi kandungan ke Singapura. Ia akan menjalani sidang dan terancam sanksi dari Disbudpar terkait i</t>
  </si>
  <si>
    <t xml:space="preserve">BATU – Jatim Park Group belum berhenti mengembangkan Museum Mega Science Center dan Budaya meski sudah memasuki tahap trial opening. Pengelola masih menyiapkan sejumlah pembaruan agar pusat edukasi ya</t>
  </si>
  <si>
    <t xml:space="preserve">Sumber gambar, Arif Firmansyah/Antara Foto Presiden Prabowo Subianto, dalam pidatonya pada peringatan Hari Buruh, Jumat (01/05), mengungkit lagi status pahlawan bagi aktivis buruh Marsinah. Dia juga b</t>
  </si>
  <si>
    <t xml:space="preserve">Museum baru Mega Science Center &amp;amp; Budaya di Jatim Park 1, Kota Batu, menggelar trial opening pada Rabu (16/09/2026) dengan menghadirkan beragam zona sains, teknologi, kebencanaan, robotik, hingga </t>
  </si>
  <si>
    <t xml:space="preserve">Sumber gambar, ANTARA FOTO/Bayu Pratama S Pernyataan Presiden Prabowo Subianto bahwa masyarakat di pedesaan tidak menggunakan mata uang asing dalam kehidupan sehari-hari ketika menanggapi pelemahan ru</t>
  </si>
  <si>
    <t xml:space="preserve">SURABAYA – Cleaning Service Toko Emas UBS di Pasar Atom Surabaya yang diduga mencuri sejumlah perhiasan emas akhirnya berhasil ditangkap setelah sempat melarikan diri hingga ke Halmahera, Maluku Utara</t>
  </si>
  <si>
    <t xml:space="preserve">https://beritakeadilan.com/viral-bobol-ruko-di-wonokusumo-surabaya-polsek-semampir-tangkap-residivis/</t>
  </si>
  <si>
    <t xml:space="preserve">beritakeadilan.com</t>
  </si>
  <si>
    <t xml:space="preserve">Dari Skincare hingga Makeup, Ini Toko Kosmetik Terlengkap Favorit Warga Malang - indiekraf.com</t>
  </si>
  <si>
    <t xml:space="preserve">SURABAYA, JAWA TIMUR – Aksi pembobolan rumah toko (ruko) yang sempat viral di kawasan Jalan Wonokusumo Wetan, Surabaya, akhirnya berhasil diungkap jajaran kepolisian. Unit Reskrim Polsek Semampir mena</t>
  </si>
  <si>
    <t xml:space="preserve">Indiekraf.com – Tren skincare dan makeup terus berkembang setiap tahun. Hal itu membuat kebutuhan masyarakat terhadap toko kosmetik yang lengkap, terpercaya, dan menawarkan harga menarik juga semakin </t>
  </si>
  <si>
    <t xml:space="preserve">Kalau kamu pikir pasar tradisional itu biasa aja, siap-siap berubah pikiran. Di Jawa Timur, ada pasar-pasar jadul yang justru viral karena pengalaman uniknya. Rasanya kayak dilempar ke era Jawa kuno .</t>
  </si>
  <si>
    <t xml:space="preserve">Scan this QR or download app from: TUBAN , iNewsBojonagoro.id - Aktivitas perdagangan di Pasar Wage, Kecamatan Grabagan, Kabupaten Tuban, Jawa Timur, dihebohkan oleh peristiwa warga menangkap seorang </t>
  </si>
  <si>
    <t xml:space="preserve">https://www.kompas.id/artikel/kontroversi-kdkmp-sepi-dan-omzet-minim-pemerintah-perlu-buka-evaluasi-desa-yang-siap-pasar</t>
  </si>
  <si>
    <t xml:space="preserve">Pasca Lebaran 2026: Harga Plastik Melonjak 100 Persen, UMKM-Pedagang di Lamongan Menjerit - surabayapagi.com</t>
  </si>
  <si>
    <t xml:space="preserve">Riset BRIN mengungkapkan aktivitas transaksi koperasi berkorelasi negatif dengan tingkat kemiskinan daerah. 12 Jul 2026 15:33 WIB · Ekonomi &amp; Bisnis Oleh Caecilia Mediana JAKARTA, KOMPAS — Polemik Kop</t>
  </si>
  <si>
    <t xml:space="preserve">https://surabayapagi.com/news-266977-pasca-lebaran-2026-harga-plastik-melonjak-100-persen-umkm-pedagang-di-lamongan-menjerit</t>
  </si>
  <si>
    <t xml:space="preserve">Pasar Turen Terbakar, Api Diduga dari Tempat Sampah - MalangTIMES</t>
  </si>
  <si>
    <t xml:space="preserve">Minggu, 12 Apr 2026 14:37 WIB SURABAYAPAGI.com, Lamongan - Baru-baru ini viral di berbagai daerah, tak terkecuali di Lamongan, Jawa Timur, dimana harga plastik di pasar tradisional melonjak ugal-ugala</t>
  </si>
  <si>
    <t xml:space="preserve">JATIMTIMES - Kebakaran terjadi di Pasar Turen, Kabupaten Malang, Jawa Timur, pada Senin 13 Juli 2026 malam. Saat berita ini disusun, personel gabungan yang melibatkan Pemadam Kebakaran (Damkar) Kabupa</t>
  </si>
  <si>
    <t xml:space="preserve">https://afu.id/hukum-kriminal/kronologi-wanita-mabuk-berat-ugalugalan-di-surabaya-hingga-tewaskan-kru-event</t>
  </si>
  <si>
    <t xml:space="preserve">Nikmati fitur lengkap distribusi bias, newsletter, pemberitahuan berita Penulis: Putri Nadhila Insiden kecelakaan maut terjadi di Surabaya saat seorang wanita berinisial ENR (32) mengemudikan mobil da</t>
  </si>
  <si>
    <t xml:space="preserve">Surabaya (ANTARA) - Dinas Kebudayaan dan Pariwisata (Disbudpar) Provinsi Jawa Timur bersama Dewan Perwakilan Rakyat Daerah (DPRD) Jatim memperkuat ekonomi kreatif melalui Festival Inovasi Produk Daya </t>
  </si>
  <si>
    <t xml:space="preserve">prass prasetyo Lifestyle , Kamis, 23 Jul 2026 20:00 WIB MERAHPUTIH I SURABAYA – Suasana halaman Gedung Internatio, kawasan Kota Lama Surabaya, dipenuhi ratusan pengunjung yang antusias menghadiri Fest</t>
  </si>
  <si>
    <t xml:space="preserve">RADAR GRESIK – Untuk pertama kalinya, festival kuliner skala nasional Jangkrik Kuliner menyapa masyarakat Kabupaten Gresik.  Mengusung tema “Festival Kuliner Warisan Rasa Asia”, gelaran ini resmi berl</t>
  </si>
  <si>
    <t xml:space="preserve">Mengisi liburan sekolah kini semakin mudah bersama Jawa Timur Park Group. Melalui beragam destinasi wisata dan program spesial yang tersebar di Kota Batu hingga Surabaya, seluruh anggota keluarga dapa</t>
  </si>
  <si>
    <t xml:space="preserve">prass prasetyo Ekbis , Sabtu, 11 Jul 2026 04:00 WIB MERAHPUTIH I SURABAYA – Upaya memperluas pasar produk unggulan Jawa Timur terus dilakukan melalui Festival Inovasi Produk Daya Tarik Wisata dalam ra</t>
  </si>
  <si>
    <t xml:space="preserve">https://jogja.disway.id/amp/702017/menikmati-kelezatan-dim-sum-autentik-klasik-tionghoa-restoran-china-terbaik-di-bali</t>
  </si>
  <si>
    <t xml:space="preserve">diswayjogja.id - Pulau Bali sejak lama tidak hanya terkenal karena keindahan pantai tropis dan warisan budayanya yang memukau, melainkan juga telah bertransformasi menjadi pusat gastronomi global yang</t>
  </si>
  <si>
    <t xml:space="preserve">diswayjogja.id - Pulau Dewata Bali selalu menjadi destinasi pelesiran impian yang tidak pernah kehabisan cara untuk memanjakan para pelancong dari berbagai penjuru dunia. Selain keindahan pantai tropi</t>
  </si>
  <si>
    <t xml:space="preserve">6 Rekomendasi Kuliner Viral dan Kekinian di Bali yang Wajib Dicoba Devie Vyatri Permata Cahyadi - detikBali Pulau Bali tidak hanya menawarkan keindahan alam, tetapi juga ragam kuliner yang unik, mulai</t>
  </si>
  <si>
    <t xml:space="preserve">6 Spot Kuliner Murah di Denpasar, Harga Mulai Rp 6.000 dan Bikin Ketagihan Trimina Klara - detikBali Bukan hanya terkenal dengan pusat pemerintahan Bali, Denpasar juga surga bagi pecinta kuliner denga</t>
  </si>
  <si>
    <t xml:space="preserve">Bulan baru sudah saatnya update lagi restoran baru di Bali per Juli 2026. Selalu ada yang baru dalam dunia kuliner di Bali untuk dijelajahi dengan beragam jenis cita rasa. Dari mulai restoran fancy, k</t>
  </si>
  <si>
    <t xml:space="preserve">Bali identik dengan kuliner non halal, umumnya karena mengandung babi. Bila kamu termasuk wisatawan yang gemar berwisata kuliner non halal, datang ke Bali sepertinya tidak cukup hanya sekali. Hampir s</t>
  </si>
  <si>
    <t xml:space="preserve">Selalu ada pilihan tempat kuliner dan restoran baru di Bali pada Mei 2026 ini. Dari mulai kedai makan yang humble, coffee shop yang cozy, sampai resto fancy akan mewarnai perjalanan rasa dan kulineran</t>
  </si>
  <si>
    <t xml:space="preserve">Saya dan suami berencana untuk jalan-jalan ke Bali dalam waktu relatif dekat. Rencananya, kami secara khusus akan menjelajah Ubud di momen liburan berikutnya. Namun, dengan semua hal mengalami kenaika</t>
  </si>
  <si>
    <t xml:space="preserve">Nasi Bali dengan lauk pauk yang beragam cocok menjadi pilihan menu makan siang lezat. Perpaduan lauknya yang berempah juga bisa dinikmati dalam versi halal. Kalau bosan makan siang yang itu-itu saja, </t>
  </si>
  <si>
    <t xml:space="preserve">Photo source: @mataberawa Selalu ada restoran baru di Bali April 2026 yang menarik perhatian. Bahkan, lokasi restoran berikut tak cuma berpusat di kawasan ramai turis. Maka, buat kamu yang mau hunting</t>
  </si>
  <si>
    <t xml:space="preserve">Punya agenda liburan dan menjelajahi restoran serta kuliner yang ada di sana bulan ini? Ini dia rekomendasi restoran baru di Bali Juni 2026. Makin fresh, penuh ragam cita-rasa baru, dan semakin mengun</t>
  </si>
  <si>
    <t xml:space="preserve">Nggak Cuma Jimbaran, Ini 5 Rekomendasi Tempat Makan Seafood di Bali Devie Vyatri Permata Cahyadi - detikBali Berkunjung ke Bali belum lengkap rasanya tanpa mencicipi kuliner seafood bakar yang menjadi</t>
  </si>
  <si>
    <t xml:space="preserve">Cari tempat makan enak di kawasan Ampera Raya, Jakarta Selatan? Ini rekomendasi restoran dengan menu andalan, mulai dari nasi Bali hingga seafood segar. Ampera Raya tak hanya dikenal sebagai kawasan p</t>
  </si>
  <si>
    <t xml:space="preserve">Viral rumah makan nasi jinggo khas Bali yang berada di area perumahan. Pemiliknya yang asli Gianyar membawa cita rasa autentik. Nasi jinggo khas Bali biasanya ditawarkan dalam porsi kecil. Namun, berb</t>
  </si>
  <si>
    <t xml:space="preserve">https://www.kompas.id/artikel/selalu-ada-alasan-untuk-kembali-ke-bali</t>
  </si>
  <si>
    <t xml:space="preserve">Heboh Ratusan Hotel di Bali Dijual di Pasar Online - detikcom</t>
  </si>
  <si>
    <t xml:space="preserve">Dalam laporan Agoda, Bali berada di peringkat ketiga sebagai daerah favorit yang dikunjungi lagi oleh para wisatawan. Posisinya tepat di bawah Tokyo dan Bangkok. 26 Sep 2026 15:22 WIB · Ekonomi &amp; Bisn</t>
  </si>
  <si>
    <t xml:space="preserve">https://www.detik.com/jabar/wisata/d-8681002/heboh-ratusan-hotel-di-bali-dijual-di-pasar-online</t>
  </si>
  <si>
    <t xml:space="preserve">Dispar Bali optimalkan pemahaman ASN terkait Pungutan Wisatawan Asing (PWA) - ANTARA News Bali</t>
  </si>
  <si>
    <t xml:space="preserve">Ratusan hotel di Bali dijual online, namun Gubernur Koster menegaskan pariwisata tetap stabil. Penjualan terkait dinamika bisnis, bukan lesunya sektor.</t>
  </si>
  <si>
    <t xml:space="preserve">https://bali.antaranews.com/berita/414007/dispar-bali-optimalkan-pemahaman-asn-terkait-pungutan-wisatawan-asing-pwa</t>
  </si>
  <si>
    <t xml:space="preserve">Ramai Hotel Dijual Online, Gubernur Bali: Pariwisata Bali Tetap Sehat - Radar Badung</t>
  </si>
  <si>
    <t xml:space="preserve">Denpasar (ANTARA) - Dinas Pariwisata (Dispar) Bali memperkuat pemahaman aparatur sipil negara (ASN) di tingkat kabupaten/kota di Provinsi Bali mengenai tujuan, mekanisme, hingga pemanfaatan Pungutan W</t>
  </si>
  <si>
    <t xml:space="preserve">https://radarbadung.jawapos.com/pariwisata-budaya/2609230007/ramai-hotel-dijual-online-gubernur-bali-pariwisata-bali-tetap-sehat</t>
  </si>
  <si>
    <t xml:space="preserve">Bukan Sekadar Buku Wisata, “A Leaf of Bali” Buka Jalan Destinasi Tersembunyi Bali ke Mata Dunia - BaliNews.id</t>
  </si>
  <si>
    <t xml:space="preserve">Ramainya iklan hotel dijual di berbagai platform online memicu kekhawatiran kondisi pariwisata Bali. Gubernur Bali Wayan Koster menampik isu tersebut, menegaskan sektor pariwisata tetap stabil dan seh</t>
  </si>
  <si>
    <t xml:space="preserve">https://balinews.id/bukan-sekadar-buku-wisata-a-leaf-of-bali-buka-jalan-destinasi-tersembunyi-bali-ke-mata-dunia/</t>
  </si>
  <si>
    <t xml:space="preserve">Wisata Bali Ingin Bergeser dari Mengejar Kuantitas ke Kualitas - detikTravel</t>
  </si>
  <si>
    <t xml:space="preserve">19 September 2026 pukul 21.04 WITA · 3 menit baca BADUNG, BALINEWS.ID - Bali selama ini dikenal dunia melalui Ubud, Kuta, hingga sejumlah destinasi ikonik lainnya. Namun, masih banyak sudut Pulau Dewa</t>
  </si>
  <si>
    <t xml:space="preserve">https://travel.detik.com/travel-news/d-8677958/wisata-mice-bali-ingin-bergeser-dari-mengejar-kuantitas-ke-kualitas</t>
  </si>
  <si>
    <t xml:space="preserve">Bali Trending Hari Ini 2026: 7 Aktivitas Wisata yang Sedang Digemari Wisatawan - Gentra News</t>
  </si>
  <si>
    <t xml:space="preserve">Gentra News</t>
  </si>
  <si>
    <t xml:space="preserve">Sektor wisata MICE di Bali kini sedang berusaha untuk bergeser dari mengejar kuantitas menuju ke wisatawan yang lebih berkualitas. Bergesernya tren itu akan memberikan manfaat bagi masyarakat Bali di </t>
  </si>
  <si>
    <t xml:space="preserve">https://gentra.co.id/2026/08/31/bali-trending-hari-ini-2026-7-aktivitas-wisata-yang-sedang-digemari-wisatawan/</t>
  </si>
  <si>
    <t xml:space="preserve">gentra.co.id</t>
  </si>
  <si>
    <t xml:space="preserve">Bukan Cuma Bali, 5 Destinasi di Indonesia Ini Favorit Selebriti Dunia - cnnindonesia.com</t>
  </si>
  <si>
    <t xml:space="preserve">rossa • Agu 31 2026 • 89 Dilihat Bali Trending Hari Ini 2026 kembali menjadi perhatian wisatawan seiring semakin beragamnya pilihan aktivitas yang dapat dilakukan di Pulau Dewata. Tidak hanya menawark</t>
  </si>
  <si>
    <t xml:space="preserve">Bali merupakan salah satu destinasi wisata di Indonesia yang populer di kalangan selebriti dunia. Namun, destinasi indah di Indonesia bukan cuma Bali. Popularitas Indonesia di kalangan pesohor dunia t</t>
  </si>
  <si>
    <t xml:space="preserve">https://bali.antaranews.com/berita/412060/dispar-wisatawan-macanegara-yang-hendak-ke-bali-tak-perlu-khawatirkan-virus-zika</t>
  </si>
  <si>
    <t xml:space="preserve">Geger Ratusan Hotel di Bali Dijual Lewat Situs Online - detikTravel</t>
  </si>
  <si>
    <t xml:space="preserve">Denpasar, Bali (ANTARA) - Dinas Pariwisata (Dispar) Bali meminta wisatawan mancanegara (wisman) tidak perlu takut atau khawatir berlebihan untuk berwisata ke Pulau Dewata menyusul adanya peringatan ke</t>
  </si>
  <si>
    <t xml:space="preserve">https://travel.detik.com/travel-news/d-8677013/geger-ratusan-hotel-di-bali-dijual-lewat-situs-online</t>
  </si>
  <si>
    <t xml:space="preserve">Bikin Ulah, 17 Turis Dideportasi dari Bali, Kebanyakan dari Aussie - detikTravel</t>
  </si>
  <si>
    <t xml:space="preserve">Ratusan hotel di Bali dijual lewat situs online. Persatuan Hotel dan Restoran Indonesia (PHRI) Bali pun buka suara terkait fenomena itu. Hotel-hotel yang dijual itu tersebar di sejumlah daerah, mulai </t>
  </si>
  <si>
    <t xml:space="preserve">https://travel.detik.com/travel-news/d-8679137/bikin-ulah-17-turis-dideportasi-dari-bali-kebanyakan-dari-aussie</t>
  </si>
  <si>
    <t xml:space="preserve">Menelusuri Sejarah Sanur Lewat Jalan Kaki, dari Prasasti Blanjong-Pantai Hyatt - detikcom</t>
  </si>
  <si>
    <t xml:space="preserve">Total ada 17 warga negara asing (WNA) yang telah dideportasi oleh Kantor Imigrasi Ngurah Rai dari 8-18 September 2026. Kebanyakan dari mereka berasal dari Australia. "Dari total 17 WNA yang kami depor</t>
  </si>
  <si>
    <t xml:space="preserve">Menelusuri Sejarah Sanur Lewat Jalan Kaki, dari Prasasti Blanjong-Pantai Hyatt Fabiola Dianira - detikBali Berbicara mengenai Sanur, orang tentu akan mengingatnya sebagai salah satu kawasan pariwisata</t>
  </si>
  <si>
    <t xml:space="preserve">Cegah Kebakaran Akomodasi Wisata, Pemkab Badung Kaji Ulang SOP Atap Ilalang Agus Eka - detikBali Pemerintah Kabupaten (Pemkab) Badung bakal mengkaji ulang standar operasional prosedur (SOP) penggunaan</t>
  </si>
  <si>
    <t xml:space="preserve">https://bali.antaranews.com/berita/413569/keberlanjutan-industri-pariwisata-butuh-kolaborasi-lintas-sektor</t>
  </si>
  <si>
    <t xml:space="preserve">Jakarta (ANTARA) - Keberlanjutan dan daya saing industri pariwisata masa depan membutuhkan penguatan kolaborasi yang erat lintas sektor, mulai dari pemerintah, pelaku industri, dunia pendidikan, hingg</t>
  </si>
  <si>
    <t xml:space="preserve">https://www.detik.com/bali/hukum-dan-kriminal/d-8673321/terungkap-20-video-mesum-a-day-in-my-life-2-pria-gay-viral</t>
  </si>
  <si>
    <t xml:space="preserve">Terungkap 20 Video Mesum 'A Day in My Life' 2 Pria Gay Viral Muchamad Sholihin - detikBali Video mesum 'A day in my life' yang viral ternyata cuma satu dari 20 konten yang diproduksi dua pria di Bogor</t>
  </si>
  <si>
    <t xml:space="preserve">Viral Sampah Menumpuk dan Meluber di Pasar Minggu Palimanan Cirebon, DLH Terjunkan Tujuh Truk CIREBON, KOMPAS.com - Tumpukan sampah yang menggunung hingga meluber ke badan jalan di belakang Pasar Ming</t>
  </si>
  <si>
    <t xml:space="preserve">Viral Dugaan Pungli di Pasar Baleendah, Disperdagin Bandung: Tidak Ada Dasar Hukum KOMPAS.com - Dugaan pungutan liar atau pungli terhadap pedagang di Pasar Baleendah, Kabupaten Bandung, Jawa Barat, te</t>
  </si>
  <si>
    <t xml:space="preserve">SATUMEDIA.ID – Sejumlah agenda wisata dan hiburan berskala nasional hingga internasional akan mewarnai berbagai daerah di Jawa Barat sepanjang Agustus 2026. Mulai dari kompetisi olahraga, festival mus</t>
  </si>
  <si>
    <t xml:space="preserve">BANDUNG - Penyelenggaraan event di Jawa Barat sepanjang bulan Maret 2026 menunjukkan kontribusi positif terhadap penguatan sektor pariwisata, kebudayaan, dan ekonomi kreatif. Berdasarkan hasil analisi</t>
  </si>
  <si>
    <t xml:space="preserve">https://detikperkara.com/polda-banten/soal-viral-penyiraman-air-polsek-pasar-kemis-klarifikasi-terduga-penyiram/</t>
  </si>
  <si>
    <t xml:space="preserve">detikperkara.com</t>
  </si>
  <si>
    <t xml:space="preserve">Detikperkara.com – Aparat Polsek Pasar Kemis melakukan pemeriksaan klarifikasi terhadap terduga penyiram air ke jalan di Jalan Pepaya II, Pondok Makmur, Kelurahan Kutabaru, Kecamatan Pasar Kemis, yakn</t>
  </si>
  <si>
    <t xml:space="preserve">https://denpasar.kompas.com/read/2026/07/28/200724178/viral-video-wna-curi-baju-di-toko-ubud-bali-terekam-cctv</t>
  </si>
  <si>
    <t xml:space="preserve">denpasar.kompas.com</t>
  </si>
  <si>
    <t xml:space="preserve">Viral Video WNA Curi Baju di Toko Ubud Bali Terekam CCTV GIANYAR, KOMPAS.com – Polres Gianyar menyelidiki dugaan pencurian yang dilakukan seorang warga negara asing (WNA) di sebuah toko pakaian yoga d</t>
  </si>
  <si>
    <t xml:space="preserve">Viral Pria Tepergok Belanja Pakai Uang Palsu di Pasar Mengwi Agus Eka - detikBali Pria berinisial PN (53) terpergok berbelanja menggunakan puluhan lembar uang palsu (upal) di Pasar Desa Mengwi, Kecama</t>
  </si>
  <si>
    <t xml:space="preserve">Scroll atau gunakan tombol
                                        [ ]
                                        [ ] serta klik panah di sisi kanan untuk menjelajahi feed video. Minimarket di kawasan </t>
  </si>
  <si>
    <t xml:space="preserve">https://www.balinetizen.com/viral-aksi-bule-wanita-diduga-curi-4-pakaian-senilai-25-juta-di-ubud-terekam-cctv/</t>
  </si>
  <si>
    <t xml:space="preserve">Balinetizen.com, Gianyar Sebuah video yang memperlihatkan seorang perempuan warga negara asing (WNA) diduga mencuri pakaian di sebuah toko yoga di kawasan Ubud, Bali, viral di media sosial. Rekaman ka</t>
  </si>
  <si>
    <t xml:space="preserve">https://www.detik.com/bali/hukum-dan-kriminal/d-8611216/pura-pura-belanja-pria-bawa-kabur-6-karung-beras-dari-toko-di-denpasar</t>
  </si>
  <si>
    <t xml:space="preserve">Pura-pura Belanja, Pria Bawa Kabur 6 Karung Beras dari Toko di Denpasar Sui Suadnyana, Putu Yonata Udawananda - detikBali Seorang pria terekam closed-circuit television (CCTV) tengah mencuri enam karu</t>
  </si>
  <si>
    <t xml:space="preserve">https://balinews.id/244-hotel-dan-vila-bali-masuk-pasar-jual-beli-koster-klaim-5-000-vila-urus-izin/</t>
  </si>
  <si>
    <t xml:space="preserve">Oleh Fery Fadli · null 22 September 2026 pukul 17.45 WITA · 4 menit baca DENPASAR, BALINEWS.ID — Sebanyak 244 hotel dan vila di Bali terpantau ditawarkan untuk dijual melalui platform jual-beli proper</t>
  </si>
  <si>
    <t xml:space="preserve">https://www.grid.id/read/044373540/siswi-sd-lompat-dari-lantai-3-pasar-di-bali-saat-buat-video-joget-sebut-ingin-beri-surprise?page=all</t>
  </si>
  <si>
    <t xml:space="preserve">Grid.ID - Heboh siswi SD lompat dari lantai 3 pasar di Bali saat buat video joget. Sebelum melompat, siswi tersebut menyebut ingin beri surprise kepada teman-temannya. Baru-baru ini beredar video yang</t>
  </si>
  <si>
    <t xml:space="preserve">https://bali.antaranews.com/berita/403189/bi-dampingi-umkm-adopsi-digital-untuk-perluas-akses-pasar</t>
  </si>
  <si>
    <t xml:space="preserve">Denpasar, Bali (ANTARA) - Kantor Perwakilan Bank Indonesia (BI) Provinsi Bali mendampingi pelaku usaha mikro kecil dan menengah (UMKM) di Pulau Dewata mengadopsi teknologi digital guna memperluas akse</t>
  </si>
  <si>
    <t xml:space="preserve">https://www.baliviralnews.com/inisiatif-reformasi-pasar-modal-indonesia-dapat-pengakuan-dalam-asesmen-msci/</t>
  </si>
  <si>
    <t xml:space="preserve">Ketua Dewan Komisioner OJK Friderica Widyasari Dewi. JAKARTA (BALIVIRALNEWS) – Otoritas Jasa Keuangan (OJK) menyambut baik pengumuman mengenai Update on Free Float Assessment of Indonesian Securities </t>
  </si>
  <si>
    <t xml:space="preserve">Ket foto : Sekretaris I TP PKK Kota Denpasar, Ny. Ayu Kristi Arya Wibawa saat menghadiri Pasar Rakyat “Berbelanja dan Berbagi” yang digelar TP. PKK Provinsi Bali di Taman Budaya Kapten A.A. Made Karan</t>
  </si>
  <si>
    <t xml:space="preserve">https://news.detik.com/berita/d-8588827/2-bule-yang-bikin-event-lari-diskriminasi-wni-di-bali-sudah-di-luar-negeri</t>
  </si>
  <si>
    <t xml:space="preserve">Dua warga negara asing (WNA) penyelenggara komunitas lari Entourage Run diduga mendiskriminasi WNI di Canggu, Bali. Kedua WNA itu telah berada di luar wilayah Indonesia. "Saat ini WNA terkait diketahu</t>
  </si>
  <si>
    <t xml:space="preserve">https://afu.id/nasional/bali-viral-lagi-garagara-event-lari-digital-nomad-istimewakan-bule-diskriminasi-wni</t>
  </si>
  <si>
    <t xml:space="preserve">Nikmati fitur lengkap distribusi bias, newsletter, pemberitahuan berita Penulis: Agung Riyadi Bali kembali menjadi sorotan setelah sebuah komunitas lari bernama Entourage diduga melakukan diskriminasi</t>
  </si>
  <si>
    <t xml:space="preserve">https://www.metrotvnews.com/read/kewCjAXB-silent-disco-run-di-bali-jadi-polemik-intip-perkembangan-tren-lari-rasa-party</t>
  </si>
  <si>
    <t xml:space="preserve">Viral Toko Jualan Miras di Jalan Maramis Probolinggo, DPRD-MUI Desak Pemkot Menutup - Radar Bromo</t>
  </si>
  <si>
    <t xml:space="preserve">Radar Bromo</t>
  </si>
  <si>
    <t xml:space="preserve">Disco Silent Run di Bali. Tangkapan layar instagram @entourage.runclub Muhamad Marup • 24 July 2026 18:34 Jakarta: Silent Disco Run di Bali kembali menjadi sorotan. Usai viral ketika pertama digelar, </t>
  </si>
  <si>
    <t xml:space="preserve">https://mediaindonesia.com/nusantara/914411/event-bali-silent-disco-larang-wni-ikut-polres-badung-selidiki-izin</t>
  </si>
  <si>
    <t xml:space="preserve">Terungkap, dari 16 unit rumah temuan Ombudsman RI, cuma tiga unit berstatus barang milik negara. SEBUAH acara bertajuk Bali Silent Disco di wilayah Canggu, Bali, mendadak viral dan memicu kontroversi </t>
  </si>
  <si>
    <t xml:space="preserve">https://www.balinetizen.com/tak-berizin-dan-viral-event-silent-disco-run-ini-kata-dpr-ri-dan-gubernur-bali/</t>
  </si>
  <si>
    <t xml:space="preserve">Balinetizen.com, Badung Kegiatan fun run Bali silent disco yang melibatkan warga negara asing (WNA) di kawasan Badung, Bali, mendadak menjadi perhatian publik. Acara yang viral di media sosial tersebu</t>
  </si>
  <si>
    <t xml:space="preserve">https://www.suara.com/news/2026/07/25/160208/viral-diskriminasi-wni-di-bali-imigrasi-larang-2-wna-penyelenggara-event-lari-masuk-indonesia-lagi</t>
  </si>
  <si>
    <t xml:space="preserve">Sebuah video yang memperlihatkan seorang wanita mengancam karyawan toko handphone di Kota Medan viral di media sosial. Peristiwa tersebut terjadi di sebuah toko ponsel di Jalan Selamat, Kecamatan Medan Amplas, pada Jumat (17/4/2026) siang. Dal - facebook.com</t>
  </si>
  <si>
    <t xml:space="preserve">WNA hanya dapat berperan sebagai kru atau tim resmi dalam kegiatan yang melibatkan artis maupun performer internasional, bukan bertindak sebagai event organizer.</t>
  </si>
  <si>
    <t xml:space="preserve">https://kumparan.com/kumparannews/polemik-klub-lari-di-bali-larang-wni-ikut-event-27r0txFthlI</t>
  </si>
  <si>
    <t xml:space="preserve">Komunitas lari di Canggu, Kabupaten Badung, Bali, disorot usai hanya memperbolehkan Warga Negara Asing (WNA) mengikuti kegiatan lari tersebut. Sementara itu, warga lokal yang ingin berpartisipasi dito</t>
  </si>
  <si>
    <t xml:space="preserve">https://surabaya.kompas.com/read/2026/07/25/071132978/imigrasi-cekal-2-wn-belanda-penyelenggara-event-lari-di-canggu-bali-yang?page=all</t>
  </si>
  <si>
    <t xml:space="preserve">Imigrasi Cekal 2 WN Belanda Penyelenggara Event Lari di Canggu Bali yang Diskriminasi WNI DENPASAR, KOMPAS.com – Direktorat Jenderal Imigrasi mencekal dua warga negara (WN) Belanda yang diduga menjadi</t>
  </si>
  <si>
    <t xml:space="preserve">https://www.detik.com/bali/berita/d-8589064/entourage-bali-minta-maaf-soal-event-lari-yang-dituding-diskriminatif</t>
  </si>
  <si>
    <t xml:space="preserve">Entourage Bali Minta Maaf soal Event Lari yang Dituding Diskriminatif Agus Eka Purna Negara - detikBali Komunitas digital nomad Entourage Bali meminta maaf dan menghentikan sementara seluruh kegiatann</t>
  </si>
  <si>
    <t xml:space="preserve">https://denpasar.kompas.com/read/2026/07/25/133144178/2-wna-penyelenggara-event-lari-diduga-diskriminasi-wni-di-bali-punya-izin?page=all</t>
  </si>
  <si>
    <t xml:space="preserve">2 WNA Penyelenggara Event Lari Diduga Diskriminasi WNI di Bali, Punya Izin Kerja Terbatas DENPASAR, KOMPAS.com – Direktorat Jenderal Imigrasi menjatuhkan sanksi penangkalan terhadap dua warga negara B</t>
  </si>
  <si>
    <t xml:space="preserve">https://news.detik.com/berita/d-8588813/event-lari-diskriminasi-wni-di-bali-imigrasi-wna-dilarang-jadi-penyelenggara</t>
  </si>
  <si>
    <t xml:space="preserve">Dua warga negara Belanda penyelenggara komunitas lari Entourage Run di Canggu, Bali, kini ditangkal untuk masuk RI. Pihak Imigrasi menegaskan bahwa WNA dilarang menjadi penyelenggara acara di Indonesi</t>
  </si>
  <si>
    <t xml:space="preserve">https://news.detik.com/berita/d-8589314/4-hal-soal-bule-bikin-event-lari-diskriminasi-wni-di-bali</t>
  </si>
  <si>
    <t xml:space="preserve">Viral komunitas lari yang beranggotakan warga negara asing (WNA) diduga melakukan diskriminasi terhadap warga negara Indonesia (WNI) di kawasan Canggu, Kuta Utara, Badung, Bali. Kegiatan yang diduga d</t>
  </si>
  <si>
    <t xml:space="preserve">https://www.viva.co.id/berita/nasional/1916214-heboh-event-entourage-run-bali-imigrasi-tegaskan-wna-tak-boleh-jadi-penyelenggara-acara-di-indonesia</t>
  </si>
  <si>
    <t xml:space="preserve">Jakarta, VIVA – Direktur Jenderal Imigrasi Hendarsam Marantoko menegaskan warga negara asing ( WNA ) dilarang menjadi penyelenggara acara di Indonesia karena aktivitas tersebut tidak sesuai dengan ket</t>
  </si>
  <si>
    <t xml:space="preserve">Lagi bingung mau makan apa di Praya? Tenang, kawasan sekitar Masjid Agung dan Lapangan Muhajirin bisa jadi pilihan yang tepat, terutama buat kamu yang sedang merantau atau ngekos di Kabupaten Lombok T</t>
  </si>
  <si>
    <t xml:space="preserve">Rela Antre 1,5 Jam demi Nasi Briyani Viral di Mataram, 300 Porsi Ludes Tiap Hari Nathea Citra - detikBali Kuliner nasi briyani khas Timur Tengah di kawasan Jalan Sriwijaya, Cilinaya, Kota Mataram, Nus</t>
  </si>
  <si>
    <t xml:space="preserve">tempat makan di sentul – Lagi pengen makan enak tapi sekalian kabur sebentar dari hiruk-pikuk kota? Sentul bisa menjadi “tombol escape” paling dekat yang nggak hanya menyuguhkan makanan, tapi juga pem</t>
  </si>
  <si>
    <t xml:space="preserve">Viral Tiket Masuk Taman Labuhan Haji Rp 20 Ribu, Dispar: Tak Sesuai Aturan Sanusi Ardy W - detikBali Tiket masuk Taman Labuhan Haji, Lombok Timur, Nusa Tenggara Barat (NTB), viral di media sosial. Dal</t>
  </si>
  <si>
    <t xml:space="preserve">Pengelola Taman Labuhan Haji Kini Turunkan Tiket Jadi Rp 15 Ribu gegara Viral Sanusi Ardy W - detikBali Pengelola Taman Wisata Labuhan Haji, Lombok Timur, Nusa Tenggara Barat (NTB), buka suara soal ta</t>
  </si>
  <si>
    <t xml:space="preserve">RRI.CO.ID, Mataram - Video cekcok antara sopir taksi Bluebird dan sopir travel lokal di kawasan Mandalika, Lombok Tengah, Nusa Tenggara Barat (NTB), kembali viral. Perselisihan itu dipicu perebutan pe</t>
  </si>
  <si>
    <t xml:space="preserve">Mataram (Ekbis NTB) – PT PLN Energi Primer Indonesia (PLN EPI) terus menunjukkan komitmennya dalam pelestarian lingkungan dan pemberdayaan masyarakat di Nusa Tenggara Barat (NTB). Melalui program Tang</t>
  </si>
  <si>
    <t xml:space="preserve">https://radarbadung.jawapos.com/nasional/2608210010/tingkatkan-keselamatan-wisatawan-kemnaker-perkuat-kompetensi-pemandu-wisata-gunung-di-ntb</t>
  </si>
  <si>
    <t xml:space="preserve">Kementerian Ketenagakerjaan (Kemnaker) berupaya menyiapkan tenaga kerja pariwisata yang kompeten dan profesional melalui pelatihan Tailor Made Training (TMT) bagi pemandu wisata gunung di Nusa Tenggar</t>
  </si>
  <si>
    <t xml:space="preserve">https://rri.co.id/mataram/wisata/2698985/ntb-bidik-kapal-pesiar-dari-singapura</t>
  </si>
  <si>
    <t xml:space="preserve">RRI.CO.ID, Mataram - Pemerintah Provinsi Nusa Tenggara Barat (NTB) memperkuat strategi pengembangan wisata kapal pesiar atau cruise tourism dengan membidik pasar kapal pesiar yang berangkat dari Singa</t>
  </si>
  <si>
    <t xml:space="preserve">https://www.detik.com/bali/nusra/d-8667570/langkah-pemprov-ntb-seusai-sopir-bluebird-travel-lokal-cekcok-di-mandalika</t>
  </si>
  <si>
    <t xml:space="preserve">Langkah Pemprov NTB Seusai Sopir Bluebird-Travel Lokal Cekcok di Mandalika Sui Suadnyana, Ahmad Viqi - detikBali Pemerintah Provinsi (Pemprov) Nusa Tenggara Barat (NTB) mempersiapkan langkah sebagai r</t>
  </si>
  <si>
    <t xml:space="preserve">https://rri.co.id/mataram/wisata/2563045/gubernur-iqbal-quality-tourism-jadi-fokus-pengembangan-pariwisata-ntb</t>
  </si>
  <si>
    <t xml:space="preserve">RRI.CO.ID, Mataram - Pemerintah Provinsi Nusa Tenggara Barat (NTB) menjadikan quality tourism sebagai arah baru pengembangan pariwisata. Gubernur NTB Lalu Muhamad Iqbal mengatakan, keberhasilan sektor</t>
  </si>
  <si>
    <t xml:space="preserve">https://news.detik.com/berita/d-8424489/viral-mobil-mbg-di-lombok-dipakai-jemput-penumpang-wisata-bgn-selidiki</t>
  </si>
  <si>
    <t xml:space="preserve">Dua mobil Satuan Pelayanan Pemenuhan Gizi (SPPG) untuk program Makan Bergizi Gratis ( MBG ) di Nusa Tenggara Barat (NTB) diduga disalahgunakan. Mobil tersebut disebut dipakai menjemput penumpang di Ba</t>
  </si>
  <si>
    <t xml:space="preserve">Di Lombok Timur sedang viral destinasi baru serupa padang pasir ala Timur Tengah. Ternyata, tempat itu dulunya adalah bekas tambang pasir besi. Bekas tambang pasir besi di Dusun Dedalpak, Desa Pohgadi</t>
  </si>
  <si>
    <t xml:space="preserve">https://health.detik.com/berita-detikhealth/d-8428885/pemilik-mobil-mbg-yang-viral-dipakai-wisata-jemput-penumpang-buka-suara</t>
  </si>
  <si>
    <t xml:space="preserve">health.detik.com</t>
  </si>
  <si>
    <t xml:space="preserve">Viral di media sosial dua mobil dengan stiker Satuan Pelayanan Pemenuhan Gizi (SPPG) untuk program Makan Bergizi Gratis (MBG) di Nusa Tenggara Barat (NTB) diduga disalahgunakan. Dalam video yang bered</t>
  </si>
  <si>
    <t xml:space="preserve">https://health.detik.com/berita-detikhealth/d-8427785/viral-mobil-mbg-di-lombok-dipakai-jemput-penumpang-wisata-bgn-buka-suara</t>
  </si>
  <si>
    <t xml:space="preserve">Viral di media sosial memperlihatkan dua mobil SPPG untuk program MBG di Nusa Tenggara Barat (NTB) diduga disalahgunakan. Mobil ini diduga dipakai untuk menjemput penumpang di Bandara Internasional Lo</t>
  </si>
  <si>
    <t xml:space="preserve">https://jatim.antaranews.com/berita/1067993/warga-temukan-perabotan-kuno-saat-bongkar-makam-di-lombok-barat</t>
  </si>
  <si>
    <t xml:space="preserve">Sempat Viral, Diskumperindag Sidak Toko Kripik Buah, Pastikan Keamanan Konsumen - Radar Batu</t>
  </si>
  <si>
    <t xml:space="preserve">Mataram (ANTARA) - Sejumlah warga menemukan perabotan kuno berupa gerabah dan puluhan mangkuk keramik saat membongkar makam di Dusun Kebon Orong, Desa Dasan Baru, Kecamatan Kediri, Kabupaten Lombok Ba</t>
  </si>
  <si>
    <t xml:space="preserve">Konsep Museum Sade Disusun, Ceritakan Kehidupan Warga dari Sebelum hingga Usai Kebakaran MATARAM, KOMPAS.com - Museum Negeri Nusa Tenggara Barat (NTB) mulai menyusun konsep tata ruang dan tata pamer u</t>
  </si>
  <si>
    <t xml:space="preserve">Viral Nasi Bejek di Mataram, Warga Rela Antre Sebelum Lapak Buka Nathea Citra - detikBali Kuliner nasi bejek di Jalan Panji Tilar Negara, Kekalik Jaya, Ampenan, Kota Mataram, tengah viral di media sos</t>
  </si>
  <si>
    <t xml:space="preserve">https://suarantb.com/2026/05/26/warga-menduga-benda-kuno-di-lombok-barat-peninggalan-masa-perang/</t>
  </si>
  <si>
    <t xml:space="preserve">Giri Menang (Suara NTB) – Puluhan benda kuno yang ditemukan secara tidak sengaja saat menggali kuburan Dusun Kebon Orong, Desa Dasan Baru, Kecamatan Kediri, Kabupaten Lombok Barat (Lobar) pada Jumat (</t>
  </si>
  <si>
    <t xml:space="preserve">https://www.antaranews.com/berita/5698587/pemprov-ntb-kirim-tim-periksa-dugaan-pencemaran-tambak-di-lombok-utara</t>
  </si>
  <si>
    <t xml:space="preserve">Mataram (ANTARA) - Pemerintah Provinsi Nusa Tenggara Barat (NTB) mengirim tim gabungan DLHK dan Dinas Kelautan Perikanan untuk memeriksa dugaan pencemaran perairan laut akibat aktivitas tambak udang d</t>
  </si>
  <si>
    <t xml:space="preserve">https://investortrust.id/business/104350/mendag-sebut-penutupan-belasan-alfamart-di-lombok-karena-masalah-perizinan</t>
  </si>
  <si>
    <t xml:space="preserve">investortrust.id</t>
  </si>
  <si>
    <t xml:space="preserve">JAKARTA, investortrust.id - Menteri Perdagangan (Mendag) Budi Santoso menanggapi penutupan belasan gerai PT Sumber Alfaria Trijaya Tbk (AMRT) atau Alfamart di Lombok, Nusa Tenggara Barat (NTB) yang vi</t>
  </si>
  <si>
    <t xml:space="preserve">https://beritajatim.com/dua-pelaku-pencurian-di-toko-emas-jakarta-pamekasan-ditangkap-polisi-di-ntb</t>
  </si>
  <si>
    <t xml:space="preserve">Pamekasan (beritajatim.com) – Dua pelaku pencurian gelang emas di Toko Emas ‘Jakarta’ Pamekasan, berinisial AL (24) dan UN (51) asal Pontianak Timur, Kalimantan Barat, diringkus personil Polres Pameka</t>
  </si>
  <si>
    <t xml:space="preserve">https://www.bloombergtechnoz.com/detail-news/109905/aturan-soal-ritel-modern-usai-viral-alfamart-ditutup-massal</t>
  </si>
  <si>
    <t xml:space="preserve">Bloomberg Technoz, Jakarta - Pemerintah mengatur pedoman pengembangan, penataan, hingga pembinaan pusat perbelanjaan dan toko swalayan melalui Peraturan Menteri Perdagangan (Permendag) Nomor 23 Tahun </t>
  </si>
  <si>
    <t xml:space="preserve">https://www.cnbcindonesia.com/news/20260525142227-4-737838/viral-puluhan-gerai-alfamart-di-lombok-tutup-mendag-angkat-bicara</t>
  </si>
  <si>
    <t xml:space="preserve">Jakarta, CNBC Indonesia - Menteri Perdagangan (Mendag) Budi Santoso buka suara terkait ramainya kabar penutupan puluhan gerai Alfamart di Kabupaten Lombok Tengah, Nusa Tenggara Barat (NTB). Menurut di</t>
  </si>
  <si>
    <t xml:space="preserve">https://fajarbali.com/dua-karyawan-pangkalan-gasak-tabung-gas-terekam-kamera-dan-viral/</t>
  </si>
  <si>
    <t xml:space="preserve">fajarbali.com</t>
  </si>
  <si>
    <t xml:space="preserve">Dua Karyawan Pangkalan Gasak Tabung Gas, Terekam Kamera dan Viral - FAJAR BALI Dua Karyawan Pangkalan Gasak Tabung Gas, Terekam Kamera dan Viral Hence 2026-06-12 7:47 pm DENPASAR -fajarbali.com |Dua k</t>
  </si>
  <si>
    <t xml:space="preserve">https://surabaya.kompas.com/read/2026/05/20/230842478/ibu-dan-anak-curi-emas-demi-bayar-utang-keliling-provinsi-ditangkap-di-ntb</t>
  </si>
  <si>
    <t xml:space="preserve">Ibu dan Anak Curi Emas demi Bayar Utang, Keliling Provinsi Ditangkap di NTB PAMEKASAN, KOMPAS.com - Ibu dan anak kandung yang mencuri emas di Kabupaten Pamekasan, Jawa Timur, demi membayar utang ditan</t>
  </si>
  <si>
    <t xml:space="preserve">https://www.cnbcindonesia.com/news/20260526093225-4-738024/heboh-banyak-alfamart-di-lombok-tengah-tutup-ini-penjelasan-bos-ritel</t>
  </si>
  <si>
    <t xml:space="preserve">Tren Baru Liburan Ke Wisata Antimainstream Makin Diburu - beritakota.id</t>
  </si>
  <si>
    <t xml:space="preserve">Jakarta, CNBC Indonesia - Ketua Umum Asosiasi Pengusaha Ritel Indonesia (Aprindo) Solihin buka suara terkait ramainya kabar penutupan puluhan gerai Alfamart di Kabupaten Lombok Tengah, Nusa Tenggara B</t>
  </si>
  <si>
    <t xml:space="preserve">https://mataram.antaranews.com/berita/572281/polresta-mataram-pantau-harga-dan-mutu-pangan-agar-tetap-sesuai-het</t>
  </si>
  <si>
    <t xml:space="preserve">Mataram, NTB (ANTARA) - Kepolisian Resor Kota Mataram, Nusa Tenggara Barat (NTB) melakukan pemantauan harga, ketersediaan, dan mutu pangan, khususnya beras dan telur di sejumlah pasar tradisional dan </t>
  </si>
  <si>
    <t xml:space="preserve">https://www.detik.com/bali/hukum-dan-kriminal/d-8512102/pembobol-toko-di-lombok-utara-ditangkap-saat-sembunyi-di-semak</t>
  </si>
  <si>
    <t xml:space="preserve">Pembobol Toko di Lombok Utara Ditangkap Saat Sembunyi di Semak Abdurrasyid Efendi - detikBali Kepolisian Resor (Polres) Lombok Utara meringkus pria inisial WAS alias Gerot (32) lantaran diduga membobo</t>
  </si>
  <si>
    <t xml:space="preserve">https://www.detik.com/bali/nusra/d-8440835/dikira-rampok-pria-di-lombok-timur-hampir-diamuk-massa-saat-mau-beli-bakso</t>
  </si>
  <si>
    <t xml:space="preserve">Dikira Rampok, Pria di Lombok Timur Hampir Diamuk Massa Saat Mau Beli Bakso Sui Suadnyana, Sanusi Ardi W - detikBali Seorang pria di Desa Lenek, Lombok Timur, Nusa Tenggara Barat (NTB), nyaris diamuk </t>
  </si>
  <si>
    <t xml:space="preserve">https://www.detik.com/bali/nusra/d-8574308/pendapatan-pemprov-ntb-2027-diproyeksi-rp-6-2-triliun</t>
  </si>
  <si>
    <t xml:space="preserve">Pendapatan Pemprov NTB 2027 Diproyeksi Rp 6,2 Triliun Ahmad Viqi - detikBali Besaran dana transfer dari pemerintah pusat ke Pemerintah Provinsi (Pemprov) Nusa Tenggara Barat (Pemprov NTB) naik 20,01 p</t>
  </si>
  <si>
    <t xml:space="preserve">https://www.bbc.com/indonesia/articles/cy07ez0dq0qo</t>
  </si>
  <si>
    <t xml:space="preserve">Sumber gambar, ANTARA FOTO/Hendra Nurdiyansyah Pemerintah Indonesia menolak bantuan kemanusiaan dari negara asing seperti China dan Iran dalam penanganan korban terdampak bencana gempa bumi yang mengg</t>
  </si>
  <si>
    <t xml:space="preserve">Pemprov NTB Gelontorkan Rp 400 Juta untuk Revitalisasi Pasar Kuta Mandalika Ahmad Viqi - detikBali Pemerintah Provinsi (Pemprov) Nusa Tenggara Barat (NTB) menggelontorkan anggaran Rp 400 juta untuk re</t>
  </si>
  <si>
    <t xml:space="preserve">Mataram (Inside Lombok) – Gubernur Nusa Tenggara Barat (NTB), Lalu Muhamad Iqbal, menyiapkan revitalisasi Pasar Seni Senggigi, Kabupaten Lombok Barat, dengan konsep kawasan wisata modern yang terinspi</t>
  </si>
  <si>
    <t xml:space="preserve">Bima (Suara NTB) – Tumpukan sampah di kawasan Pasar Tente, Kecamatan Woha, meresahkan pedagang dan warga sekitar. Selain menimbulkan bau menyengat, sampah yang menumpuk di menutupi badan jalan hingga </t>
  </si>
  <si>
    <t xml:space="preserve">https://radarlombok.co.id/dari-tambak-ke-pasar-dunia-masa-depan-hilirisasi-udang-ntb.html</t>
  </si>
  <si>
    <t xml:space="preserve">radarlombok.co.id</t>
  </si>
  <si>
    <t xml:space="preserve">Di tengah geliat pembangunan ekonomi nasional yang semakin menekankan pentingnya hilirisasi sumber daya alam, Nusa Tenggara Barat sesungguhnya memiliki satu peluang besar yang belum sepenuhnya dimanfa</t>
  </si>
  <si>
    <t xml:space="preserve">https://m.jpnn.com/news/percepat-pembangunan-infrastruktur-kemendagri-dorong-pemprov-ntb-perkuat-kpdbu?page=2</t>
  </si>
  <si>
    <t xml:space="preserve">Sementara itu, Anggota Komisi II DPR RI dari Daerah Pemilihan NTB II Fauzan Khalid menyampaikan KPDBU dapat menjadi salah satu opsi untuk mendukung penyediaan infrastruktur sekaligus mengoptimalkan po</t>
  </si>
  <si>
    <t xml:space="preserve">https://insidelombok.id/mataram/jaga-stabilitas-harga-penyaluran-minyakita-di-ntb-capai-16-juta-liter/</t>
  </si>
  <si>
    <t xml:space="preserve">Mataram (Inside Lombok) – Perum Bulog Kantor Wilayah Nusa Tenggara Barat (NTB) mencatat penyaluran minyak goreng program pemerintah, Minyakita, telah mencapai 1.674.108 liter hingga pertengahan April </t>
  </si>
  <si>
    <t xml:space="preserve">https://www.detik.com/bali/nusra/d-8466967/pasar-pringgabaya-terbakar-pedagang-dapat-lapak-sementara</t>
  </si>
  <si>
    <t xml:space="preserve">7 Kedai Mie Aceh Favorit di Jakarta, Rasanya Nendang! - detikFood</t>
  </si>
  <si>
    <t xml:space="preserve">Pasar Pringgabaya Terbakar, Pedagang Dapat Lapak Sementara Sanusi Ardi - detikBali Para pedagang di Pasar Umum Pringgabaya, Lombok Timur, Nusa Tenggara Barat (NTB), akan dibangunkan lapak sementara da</t>
  </si>
  <si>
    <t xml:space="preserve">https://insidelombok.id/mataram/daya-beli-melemah-pengembang-properti-di-ntb-pilih-menahan-proyek-baru/</t>
  </si>
  <si>
    <t xml:space="preserve">Mataram (Inside Lombok) – Pelemahan daya beli masyarakat di tengah tren kenaikan suku bunga acuan (BI Rate) mulai berdampak pada industri properti di Nusa Tenggara Barat (NTB). Kondisi tersebut, ditam</t>
  </si>
  <si>
    <t xml:space="preserve">Mataram (ANTARA) - Pemerintah Provinsi Nusa Tenggara Barat (NTB) memberikan tantangan kepada para pelaku industri kopi untuk meracik kopi khas daerah yang mencampurkan arabika Lombok dan robusta Sumba</t>
  </si>
  <si>
    <t xml:space="preserve">https://www.detik.com/bali/nusra/d-8604598/pasar-ikan-bintaro-berpotensi-jadi-titik-parkir-resmi-baru-di-mataram</t>
  </si>
  <si>
    <t xml:space="preserve">Pasar Ikan Bintaro Berpotensi Jadi Titik Parkir Resmi Baru di Mataram Sui Suadnyana, Nathea Citra - detikBali Kawasan Pasar Ikan Bintaro di Kelurahan Ampenan Utara, Kecamatan Ampenan, Mataram, Nusa Te</t>
  </si>
  <si>
    <t xml:space="preserve">https://www.detik.com/bali/bisnis/d-8430635/atasi-kelangkaan-pertamina-gelontorkan-27-ribu-lpg-melon-ke-lombok-timur</t>
  </si>
  <si>
    <t xml:space="preserve">Atasi Kelangkaan, Pertamina Gelontorkan 27 Ribu LPG Melon ke Lombok Timur Sanusi Ardi W - detikBali PT Pertamina Patra Niaga menggelontorkan pasokan 27 ribu tabung gas LPG 3 kilogram (kg) di Lombok Ti</t>
  </si>
  <si>
    <t xml:space="preserve">https://www.detik.com/bali/nusra/d-8492977/pria-meninggal-mendadak-saat-jualan-bareng-anak-istri-di-pasar-oefitis-kupang</t>
  </si>
  <si>
    <t xml:space="preserve">Pria Meninggal Mendadak Saat Jualan Bareng Anak-Istri di Pasar Oefitis Kupang Yufengki Bria - detikBali Seorang pria bernama Mesak, dilaporkan meninggal secara tiba-tiba saat sedang berjualan di Pasar</t>
  </si>
  <si>
    <t xml:space="preserve">https://www.detik.com/bali/nusra/d-8467818/viral-poster-pemuda-sambelia-tolak-ajang-lari-ekstrem-rinjani-100</t>
  </si>
  <si>
    <t xml:space="preserve">Viral Poster Pemuda Sambelia Tolak Ajang Lari Ekstrem Rinjani 100 Sanusi Ardi W - detikBali Viral di media sosial (medsos) poster yang mengatasnamakan Aliansi Pemuda Sambelia, Lombok Timur, Nusa Tengg</t>
  </si>
  <si>
    <t xml:space="preserve">https://www.bbc.com/indonesia/articles/cddl0zg2p9mo</t>
  </si>
  <si>
    <t xml:space="preserve">Sumber gambar, ANTARA FOTO/Sulthony Hasanuddin Tanpa evaluasi secara menyeluruh, pergantian pimpinan di Badan Gizi Nasional (BGN) hanya akan meneruskan kegagalan program dan korupsi sistematis, kata p</t>
  </si>
  <si>
    <t xml:space="preserve">https://kalteng.antaranews.com/berita/819321/viral-kasus-roti-mbg-brbelatung-di-lombok-tengah-kini-dihentikan</t>
  </si>
  <si>
    <t xml:space="preserve">Mataram (ANTARA) - Kepolisian Resor Lombok Tengah, Nusa Tenggara Barat menghentikan penanganan kasus dugaan pelanggaran Undang-Undang Informasi dan Transaksi Elektronik (ITE) unggahan foto dan video p</t>
  </si>
  <si>
    <t xml:space="preserve">https://www.jpnn.com/news/ribuan-sukarelawan-sppg-datangi-kantor-gubernur-ntb-minta-program-mbg-tetap-berlanjut</t>
  </si>
  <si>
    <t xml:space="preserve">jpnn.com , JAKARTA - Ribuan sukarelawan Satuan Pelayanan Pemenuhan Gizi ( SPPG ) dari berbagai daerah di Nusa Tenggara Barat (NTB) menggelar aksi di Kantor Gubernur NTB, Senin (22/6). Mereka menyuarak</t>
  </si>
  <si>
    <t xml:space="preserve">https://www.detik.com/bali/hukum-dan-kriminal/d-8587989/dugaan-korupsi-penyelenggaraan-mxgp-2023-masuk-tahap-penyidikan</t>
  </si>
  <si>
    <t xml:space="preserve">Dugaan Korupsi Penyelenggaraan MXGP 2023 Masuk Tahap Penyidikan Abdurrasyid Efendi - detikBali Kejaksaan Tinggi (Kejati) Nusa Tenggara Barat (NTB), meningkatkan status penanganan kasus dugaan korupsi </t>
  </si>
  <si>
    <t xml:space="preserve">https://www.detik.com/bali/hukum-dan-kriminal/d-8584076/kejati-periksa-pelaksana-event-lombok-sumbawa-motocross-2023</t>
  </si>
  <si>
    <t xml:space="preserve">Kejati Periksa Pelaksana Event Lombok Sumbawa Motocross 2023 Abdurrasyid Efendi - detikBali Kejaksaan Tinggi (Kejati) Nusa Tenggara Barat (NTB) memeriksa dua orang bernama Chandra dan Bahrul terkait k</t>
  </si>
  <si>
    <t xml:space="preserve">https://www.detik.com/bali/nusra/d-8425795/respons-itdc-soal-temuan-bpk-motogp-mandalika-rugi-rp-347-miliar</t>
  </si>
  <si>
    <t xml:space="preserve">Respons ITDC soal Temuan BPK MotoGP Mandalika Rugi Rp 347 Miliar Ahmad Viqi - detikBali Penyelenggaraan MotoGP di Sirkuit Mandalika di Lombok Tengah, Nusa Tenggara Barat (NTB), selama tiga musim 2022-</t>
  </si>
  <si>
    <t xml:space="preserve">https://nasional.kompas.com/read/2026/08/25/20440581/viral-pejabat-bnpb-wawancara-dari-rumah-makan-di-ntt-ini-klarifikasinya</t>
  </si>
  <si>
    <t xml:space="preserve">nasional.kompas.com</t>
  </si>
  <si>
    <t xml:space="preserve">Viral, Pejabat BNPB Wawancara dari Rumah Makan di NTT, Ini Klarifikasinya JAKARTA, KOMPAS.com - Video yang menampilkan diduga seorang pejabat Badan Nasional Penanggulangan Bencana (BNPB) melakukan waw</t>
  </si>
  <si>
    <t xml:space="preserve">https://tirto.id/bnpb-klarifikasi-video-viral-bertugas-di-tempat-makan-hBP6</t>
  </si>
  <si>
    <t xml:space="preserve">tirto.id - Plt Kepala Pusat Data, Informasi, dan Komunikasi Kebencanaan BNPB, Berton S.P. Panjaitan, mengklarifikasi video yang memperlihatkan dirinya tengah berada di tempat makan di sekitar Bandara </t>
  </si>
  <si>
    <t xml:space="preserve">Jakarta, VIVA – Badan Nasional Penanggulangan Bencana ( BNPB ) melaporkan sejumlah destinasi wisata unggulan Pulau Flores di Nusa Tenggara Timur ( NTT ) ditutup untuk sementara demi memastikan keselam</t>
  </si>
  <si>
    <t xml:space="preserve">https://rri.co.id/nasional/2464545/rupiah-melemah-asita-sebut-wisata-ntt-tidak-otomatis-meningkat</t>
  </si>
  <si>
    <t xml:space="preserve">RRI.CO.ID, Jakarta - Ketua Dewan Pengurus Daerah Asosiasi Perusahaan Perjalanan Wisata Indonesia Nusa Tenggara Timur (DPD ASITA NTT) Abed Frans mengatakan pelemahan nilai tukar rupiah tidak otomatis m</t>
  </si>
  <si>
    <t xml:space="preserve">Nikmati fitur lengkap distribusi bias, newsletter, pemberitahuan berita Penulis: Fadhlan Robbani Â· Reporter: Fadhlan Robbani Kawasan wisata Danau Kelimutu di Kabupaten Ende, Nusa Tenggara Timur, kemb</t>
  </si>
  <si>
    <t xml:space="preserve">https://20.detik.com/spot-wisata/20260819-260819061/rasakan-uniknya-sisir-dari-tulang-sapi-di-nusa-tenggara-timur</t>
  </si>
  <si>
    <t xml:space="preserve">Setelah keramas, biasanya laki-laki yang berambut panjang akan diikat rambutnya. Suku Boti juga punya sisir unik yang terbuat dari bahan yang tak biasa. Sisir itu biasanya terbuat dari Tulang atau Tan</t>
  </si>
  <si>
    <t xml:space="preserve">RRI.CO.ID, Alor - Pekan Wisma Raya II dan Festival Aladin Kabupaten Alor Tahun 2026 resmi dibuka di Lapangan Mini Kalabahi, Kabupaten Alor, Rabu, 9 September 2026. Kegiatan yang berlangsung hingga 14 </t>
  </si>
  <si>
    <t xml:space="preserve">VIVA – Aktris Jessica Mila tengah menjadi sorotan setelah membagikan momen liburannya bersama suami, Yakup Hasibuan , dan putri mereka di kawasan Taman Nasional Komodo , Nusa Tenggara Timur. Unggahan </t>
  </si>
  <si>
    <t xml:space="preserve">https://20.detik.com/spot-wisata/20260716-260716218/bersiap-melompat-dengan-penuh-semangat-dari-batu-danda-di-nusa-tenggara-timur</t>
  </si>
  <si>
    <t xml:space="preserve">Setelah berhasil mendaki bukit batu, akhirnya para selebriti sampai di puncak batu danda, mereka akan segera bersiap untuk melompat dari puncak batu danda Dok : Tanah Air Beta Trans TV (Diki)</t>
  </si>
  <si>
    <t xml:space="preserve">Sebuah video yang memperlihatkan turis China diomelin turis lain gegara buang sampah sembarangan di Pos 4 Pulau Padar viral di media sosial. Si pengunggah video Gordianus Jai menjelaskan etika berwisa</t>
  </si>
  <si>
    <t xml:space="preserve">Akhirnya kita sampai di air terjun mataru. Dan benar saja, air terjun ini sangat indah dan menggetarkan hati. Rasa lelah hilang seketika melihat keindahan air terjun ini. Dok : My Trip My Adventure Tr</t>
  </si>
  <si>
    <t xml:space="preserve">https://20.detik.com/spot-wisata/20260531-260531037/menginap-seru-di-ume-kbubu-bersama-warga-nusa-tenggara-timur</t>
  </si>
  <si>
    <t xml:space="preserve">Pada malam hari kali ini para selebriti akan mencoba bermalam di ume kbubu bersama warga setempat, mereka senang bisa beristirahat di bangunan tradisional yang multifungsi ini Dok : Tanah Air Beta Tra</t>
  </si>
  <si>
    <t xml:space="preserve">https://20.detik.com/spot-wisata/20260716-260716118/memetik-bunga-asa-mbunge-untuk-perawatan-kulit-di-nusa-tenggara-timur</t>
  </si>
  <si>
    <t xml:space="preserve">Tak hanya memetik daun wunu runu saja, para selebriti bersama warga setempat juga memetik bunga asa mbunge, bunga hutan yang satu ini mengandung beberapa kandungan zat yang dapat merawat kulit, dan bi</t>
  </si>
  <si>
    <t xml:space="preserve">https://jateng.disway.id/disway-solo/read/720977/jokowi-dijadwalkan-kembali-turun-ke-daerah-ntt-jadi-tujuan-safari-politik-psi</t>
  </si>
  <si>
    <t xml:space="preserve">Perampok Bersenjata Laras Panjang Gasak Toko Emas di Aceh Selatan - IDN Times Sumut</t>
  </si>
  <si>
    <t xml:space="preserve">PSI) tengah mempersiapkan agenda safari politik ke Provinsi Nusa Tenggara Timur (NTT) bersama Presiden ke-7 RI Joko Widodo (Jokowi). -Istimewa- SOLO, diswayjateng.id – Partai Solidaritas Indonesia ( P</t>
  </si>
  <si>
    <t xml:space="preserve">https://news.okezone.com/read/2026/07/04/340/3228245/polda-ntt-perkuat-kesehatan-mental-anggota-polri-lewat-terapi-useft</t>
  </si>
  <si>
    <t xml:space="preserve">JAKARTA – Sebanyak 11.663 anggota Polri dan masyarakat di Nusa Tenggara Timur mengikuti terapi kesehatan mental yang digelar Polda NTT sejak pertengahan Juni 2026. Program berbasis metode Ultimate The</t>
  </si>
  <si>
    <t xml:space="preserve">Balinetizen.com, Denpasar Untuk membantu korban gempa bumi NTT, museum mobil klasik “Kebon Vintage Cars Bali” mnggelar konser amal. Konser amal ini akan menghadirkan musisi reggae legendaris Tony Q Ra</t>
  </si>
  <si>
    <t xml:space="preserve">https://achmadnurhidayat.id/bank-indonesia-salurkan-bantuan-gempa-ntt</t>
  </si>
  <si>
    <t xml:space="preserve">Bank Indonesia mengirimkan total 32,5 ton bantuan kemanusiaan secara bertahap guna membantu proses pemulihan masyarakat terdampak bencana gempa bumi di Nusa Tenggara Timur, sebagaimana dilansir dari D</t>
  </si>
  <si>
    <t xml:space="preserve">https://wartaekonomi.co.id/read630275/gubernur-ntt-persilakan-warga-terdampak-gempa-ambil-kebutuhan-di-toko-nanti-pemprov-yang-bayar</t>
  </si>
  <si>
    <t xml:space="preserve">Pemerintah Provinsi Nusa Tenggara Timur (NTT) mengambil langkah taktis dengan mengizinkan warga terdampak gempa di Pulau Flores untuk mengambil kebutuhan logistik darurat langsung dari kios atau toko </t>
  </si>
  <si>
    <t xml:space="preserve">https://www.kompas.com/cekfakta/read/2026/08/24/111100382/-klarifikasi-gubernur-ntt-minta-warga-utang-dulu-untuk-pangan?page=all</t>
  </si>
  <si>
    <t xml:space="preserve">[KLARIFIKASI] Gubernur NTT Minta Warga Utang Dulu untuk Pangan, Pemerintah yang Bayar Berdasarkan verifikasi Kompas.com sejauh ini, ada yang perlu diluruskan terkait informasi ini. KOMPAS.com - Setela</t>
  </si>
  <si>
    <t xml:space="preserve">Pemilik Toko Maci Mart di NTT paksakan gerainya tetap buka untuk bantu warga terdampak gempa. (Threads @kak_iman) INDOZONE.ID - Di tengah masa tanggap darurat pascagempa tektonik bermagnitudo 7,7 yang</t>
  </si>
  <si>
    <t xml:space="preserve">https://rri.co.id/madiun/regional/2640386/gegara-orang-ketiga-sebuah-toko-di-ponorogo-dibongkar-gunakan-alat-berat</t>
  </si>
  <si>
    <t xml:space="preserve">RRI.CO.ID, Ponorogo – Sebuah bangunan toko di Dusun Gulun, Desa Watubonang, Kecamatan Badegan, Ponorogo dibongkar paksa menggunakan alat berat hingga viral di media sosial (medsos). Ketua RT setempat,</t>
  </si>
  <si>
    <t xml:space="preserve">https://www.katantt.com/artikel/53156/dua-tersangka-kasus-pembunuhan-lucky-sanu--delfi-foes-dilimpahkan-ke-jaksa-/</t>
  </si>
  <si>
    <t xml:space="preserve">www.katantt.com</t>
  </si>
  <si>
    <t xml:space="preserve">KATANTT.COM-- Penyidik Direktorat Reserse Kriminal Umum (Ditreskrimum) Polda Nusa Tenggara Timur (NTT) menuntaskan kasus pembunuhan berencana terhadap korban Lucky Sanu dan Delfi Foes. Rabu (1/3/2026)</t>
  </si>
  <si>
    <t xml:space="preserve">https://www.detik.com/bali/nusra/d-8522522/motor-tabrak-pagar-tiang-di-kupang-mahasiswa-tewas</t>
  </si>
  <si>
    <t xml:space="preserve">Motor Tabrak Pagar-Tiang di Kupang, Mahasiswa Tewas Yufengki Bria - detikBali Seorang mahasiswa bernama Jefentri Asbanu (25) tewas setelah motor yang dikendarainya menabrak tembok pagar dan tiang prov</t>
  </si>
  <si>
    <t xml:space="preserve">https://www.detik.com/hikmah/khazanah/d-8468764/bantu-umkm-lppom-garap-toko-percontohan-bahan-baku-halal-di-3-provinsi</t>
  </si>
  <si>
    <t xml:space="preserve">Lembaga Pengkajian Pangan, Obat-obatan, dan Kosmetika (LPPOM) terus memperkuat ekosistem halal di Indonesia. Kali ini, LPPOM berencana mengembangkan pilot project atau proyek percontohan toko bahan ba</t>
  </si>
  <si>
    <t xml:space="preserve">https://www.detik.com/bali/nusra/d-8537933/sentil-kdmp-gusur-sd-di-ende-gibran-makanya-pak-kades-perhatikan-benar</t>
  </si>
  <si>
    <t xml:space="preserve">Sentil KDMP Gusur SD di Ende, Gibran: Makanya Pak Kades, Perhatikan Benar Yurgo Purab - detikBali Wakil Presiden (Wapres) Gibran Rakabuming Raka mengunjungi dua sekolah di Kabupaten Ende, Nusa Tenggar</t>
  </si>
  <si>
    <t xml:space="preserve">Sira Village Grand Outlet Bali, destinasi outlet shopping pertama di Bali yang berlokasi di kawasan tersebut, yang mulai memperluas perannya — bukan hanya sebagai tempat berbelanja, juga ruang bagi ko</t>
  </si>
  <si>
    <t xml:space="preserve">https://www.bbc.com/indonesia/articles/c5y9eexrq9zo</t>
  </si>
  <si>
    <t xml:space="preserve">Harga Cabai Merah di Aceh Selatan Tembus Rp60 Ribu, Dinas Pangan Pantau Pasar Setiap Hari - MataTelinga</t>
  </si>
  <si>
    <t xml:space="preserve">MataTelinga</t>
  </si>
  <si>
    <t xml:space="preserve">Sumber gambar, ANTARA FOTO Nilai tukar rupiah terhadap dollar AS mencetak rekor paling lemah terbaru. Per Jumat (15/05) kurs dolar menyentuh Rp17.600. Masyarakat makin bersiap mengencangkan ikat pingg</t>
  </si>
  <si>
    <t xml:space="preserve">https://www.owrite.id/hype/2026/07/07/viral-video-tim-agrinas-sebut-kopdes-bisa-hasilkan-omzet-rp400-juta-per-bulan-netizen-auto-nyinyir/</t>
  </si>
  <si>
    <t xml:space="preserve">7 Juli 2026 · 19.27 WIB 7 Jul 2026 · 19.27 WIB Beredar sebuah video seorang pria yang diduga tim Agrinas tengah memberikan pendampingan kepada pengurus Koperasi Desa Merah Putih (Kopdes) di Nusa Tengg</t>
  </si>
  <si>
    <t xml:space="preserve">https://lingkar.co/berita/pengamat20isu20beli20bbm20subsidi20wajib20lunas20pajak20kendaraan20kebijaka</t>
  </si>
  <si>
    <t xml:space="preserve">lingkar.co</t>
  </si>
  <si>
    <t xml:space="preserve">Lingkar.co - Isu pembelian BBM bersubsidi harus dibarengi dengan status pajak kendaraan bermotor yang lunas kembali ramai diperbincangkan. Video pengumuman… Lingkar .co Isu pembelian BBM bersubsidi ha</t>
  </si>
  <si>
    <t xml:space="preserve">https://www.bbc.com/indonesia/articles/ce85mmz83qjo</t>
  </si>
  <si>
    <t xml:space="preserve">Sumber gambar, ANTARA FOTO/Johanes Viandinando Jumlah korban tewas akibat gempa di Pulau Flores, Nusa Tenggara Timur (NTT), bertambah menjadi 103 orang per Selasa (25/08) sore, menurut data Badan Nasi</t>
  </si>
  <si>
    <t xml:space="preserve">https://wartaekonomi.co.id/read628940/pemprov-ntt-tetapkan-status-tanggap-darurat-gempa-bumi-selama-14-hari</t>
  </si>
  <si>
    <t xml:space="preserve">Pemerintah Provinsi Nusa Tenggara Timur (Pemprov NTT) menetapkan Status Tanggap Darurat Bencana Gempa Bumi di Provinsi NTT selama 14 hari, terhitung mulai 15 hingga 28 Agustus 2026. Penetapan tersebut</t>
  </si>
  <si>
    <t xml:space="preserve">Kupang, NTT (ANTARA) - Kantor Wilayah Direktorat Jenderal Pemasyarakatan Nusa Tenggara Timur (Ditjenpas NTT) mendorong produk unggulan warga binaan masuk pasar UMKM melalui Bazar Hari Bhayangkara ke-8</t>
  </si>
  <si>
    <t xml:space="preserve">https://www.detik.com/bali/berita/d-8493459/pedagang-tewas-mendadak-di-pasar-kupang-diduga-serangan-jantung</t>
  </si>
  <si>
    <t xml:space="preserve">Pedagang Tewas Mendadak di Pasar Kupang Diduga Serangan Jantung Yufengki Bria - detikBali Polisi mengungkap penyebab kematian pria bernama Mesak Oemanu (56) di Pasar Oefitis, Desa Oelfatu, Kecamatan A</t>
  </si>
  <si>
    <t xml:space="preserve">https://www.merahputih.com/post/read/pasar-ruteng-ntt-rusak-mendag-datangkan-bahan-pokok-dari-jatim-dan-ntb</t>
  </si>
  <si>
    <t xml:space="preserve">MERAHPUTIH.COM - MENTERI Perdagangan (Mendag) Budi Santoso menegaskan terdapat kerusakan satu pasar akibat gempa bumi NTT. Pasar tersebut yakni Pasar Inpres Ruteng NTT. Pemerintah telah meminta agar p</t>
  </si>
  <si>
    <t xml:space="preserve">https://news.detik.com/berita/d-8624121/mendag-serahkan-bantuan-rp-250-juta-untuk-korban-gempa-ntt</t>
  </si>
  <si>
    <t xml:space="preserve">Menteri Perdagangan Budi Santoso (Busan) menyerahkan bantuan 'Kemendag Peduli' senilai Rp250 juta untuk masyarakat terdampak gempa bumi di Nusa Tenggara Timur (NTT). Bantuan diserahkan secara simbolis</t>
  </si>
  <si>
    <t xml:space="preserve">https://www.detik.com/bali/nusra/d-8495433/viral-warga-estafet-gotong-peti-jenazah-gegara-jembatan-putus-di-amfoang-ntt</t>
  </si>
  <si>
    <t xml:space="preserve">Viral Warga Estafet Gotong Peti Jenazah gegara Jembatan Putus di Amfoang NTT Yufengki Bria - detikBali Sejumlah warga menggotong peti jenazah secara estafet melewati sungai lantaran jembatan di Desa M</t>
  </si>
  <si>
    <t xml:space="preserve">https://www.detik.com/bali/nusra/d-8529267/gelar-demo-aliansi-ntt-menggugat-kritik-program-mbg-hingga-kopdes-merah-putih</t>
  </si>
  <si>
    <t xml:space="preserve">Tragis! Truk Ugal-ugalan Hantam Rumah Makan di Tapteng - RRI.co.id</t>
  </si>
  <si>
    <t xml:space="preserve">Gelar Demo, Aliansi NTT Menggugat Kritik Program MBG hingga Kopdes Merah Putih Simon Selly - detikBali Aliansi NTT Menggugat menggelar aksi demonstrasi di Kota Kupang, Nusa Tenggara Timur (NTT), siang</t>
  </si>
  <si>
    <t xml:space="preserve">https://www.kompas.id/artikel/sekolah-dihancurkan-demi-koperasi-merah-putih-pdip-angkat-bicara</t>
  </si>
  <si>
    <t xml:space="preserve">Penghancuran sebagian bangunan SDN Wolomoni demi proyek Koperasi Desa Merah Putih memicu kecaman DPR, warga, dan tokoh adat. 08 Jun 2026 19:50 WIB · Politik &amp; Hukum Oleh Frans Pati Herin KUPANG, KOMPA</t>
  </si>
  <si>
    <t xml:space="preserve">KUPANG, KOMPAS.TV - Wapres Gibran Rakabuming Raka membuka Festival Paskah yang digelar di Kota Kupang, Nusa Tenggara Timur. Wapres Gibran mengapresiasi gelaran festival ini membawa pesan damai dan tol</t>
  </si>
  <si>
    <t xml:space="preserve">https://www.kompas.com/cekfakta/read/2026/04/08/100100082/-hoaks-gibran-umumkan-program-dana-hibah-dari-arab-saudi</t>
  </si>
  <si>
    <t xml:space="preserve">[HOAKS] Gibran Umumkan Program Dana Hibah dari Arab Saudi Berdasarkan verifikasi Kompas.com sejauh ini, informasi ini tidak benar. KOMPAS.com - Wakil Presiden Gibran Rakabuming Raka diklaim mengumumka</t>
  </si>
  <si>
    <t xml:space="preserve">https://nasional.kompas.com/read/2026/06/18/17170541/ini-daftar-5-mahasiswa-yang-diajak-gibran-ke-ntt-dari-ui-unsoed-hingga-uph</t>
  </si>
  <si>
    <t xml:space="preserve">Ini Daftar 5 Mahasiswa yang Diajak Gibran ke NTT: Dari UI, Unsoed, hingga UPH JAKARTA, KOMPAS.com - Wakil Presiden (Wapres) Gibran Rakabuming Raka mengajak lima mahasiswa dalam kunjungan kerjanya ke D</t>
  </si>
  <si>
    <t xml:space="preserve">https://news.detik.com/berita/d-8511579/lansia-bernyanyi-bersama-gubernur-ntt-di-puncak-hlun-2026</t>
  </si>
  <si>
    <t xml:space="preserve">Usai jalan sehat, ribuan Lansia bersenandung bersama di puncak peringatan Hari Lanjut Usia Nasional (HLUN) 2026 di Alun-Alun Rumah Dinas Gubernur Nusa Tenggara Timur (NTT), Sabtu (30/5/2026). Suasana </t>
  </si>
  <si>
    <t xml:space="preserve">https://nasional.kompas.com/read/2026/08/26/11062881/bawa-bantuan-ke-ntt-menteri-pppa-kami-bawa-pampers-bubur-bayi-dan-susu</t>
  </si>
  <si>
    <t xml:space="preserve">Tugu Raja Sitanggang di Samosir, Spot Nikmati Panorama Pusuk Buhit-Danau Toba - detikcom</t>
  </si>
  <si>
    <t xml:space="preserve">Bawa Bantuan ke NTT, Menteri PPPA: Kami Bawa Pampers, Bubur Bayi dan Susu JAKARTA, KOMPAS.com - Menteri Pemberdayaan Perempuan dan Perlindungan Anak (PPPA), Arifah Fauzi menjamin bahwa kebutuhan masya</t>
  </si>
  <si>
    <t xml:space="preserve">TRIBUNTRAVEL.COM - Pontianak memiliki banyak pilihan kuliner yang cocok untuk mengisi waktu makan siang, mulai dari seafood hingga masakan tradisional. Bagi wisatawan yang sedang berada di Kota Khatul</t>
  </si>
  <si>
    <t xml:space="preserve">Belum punya akun? Daftar Akun Download TribunX untuk Android &amp; iOS TRIBUNPONTIANAK.CO.ID-  Pontianak tidak hanya dikenal sebagai Kota Khatulistiwa, tetapi juga menjadi surga kuliner yang selalu berhas</t>
  </si>
  <si>
    <t xml:space="preserve">Belum punya akun? Daftar Akun Download TribunX untuk Android &amp; iOS TRIBUNPONTIANAK.CO.ID, KAYONG UTARA – Sukadana, ibu kota Kabupaten Kayong Utara , ternyata menyimpan banyak tempat makan enak yang wa</t>
  </si>
  <si>
    <t xml:space="preserve">Belum punya akun? Daftar Akun Download TribunX untuk Android &amp; iOS TRIBNPONTIANAK.CO.ID - Ini daftar rumah makan padang di Melawi yang bisa menjadi rekomendasi bagi seluruh masyarakat atau siapapun ya</t>
  </si>
  <si>
    <t xml:space="preserve">https://www.detik.com/kalimantan/wisata/d-8628493/danau-di-manis-mata-ketapang-mengering-jadi-rumput-hijau-dan-objek-wisata</t>
  </si>
  <si>
    <t xml:space="preserve">Ada fenomena unik di Kalimantan. Danau mengering berubah jadi hamparan rumput hijau, menarik perhatian wisatawan. Fenomena ini baru viral di media sosial.</t>
  </si>
  <si>
    <t xml:space="preserve">KALBARTIME.COM destinasi wisata alam di Kalimantan Barat kembali menarik perhatian. goa Kumpe menjadi salah satu lokasi petualangan yang mulai dikenal luas sejak viral pada awal 2024. goa ini terletak</t>
  </si>
  <si>
    <t xml:space="preserve">Belum punya akun? Daftar Akun Download TribunX untuk Android &amp; iOS TRIBUNPONTIANAK.CO.ID - Keindahan pesisir Kalimantan Barat memang tak pernah habis untuk dijelajahi. Salah satu destinasi yang menyim</t>
  </si>
  <si>
    <t xml:space="preserve">https://www.edisi.co.id/berita/9717116889/viral-skandal-juri-arogan-di-final-lomba-cerdas-cermat-mpr-di-kalbar-jawaban-sama-tapi-nilai-berat-sebelah</t>
  </si>
  <si>
    <t xml:space="preserve">Edisi.co.id - Sebagian publik di media sosial tengah ramai menyoroti insiden penilaian juri yang diduga berat sebelah dalam ajang final Lomba Cerdas Cermat (LCC) Empat Pilar MPR RI 2026 di Kalimantan </t>
  </si>
  <si>
    <t xml:space="preserve">https://kalbar.antaranews.com/berita/701813/polisi-ungkap-toko-obat-ilegal-berkedok-warung-sembako-di-jagakarsa</t>
  </si>
  <si>
    <t xml:space="preserve">kalbar.antaranews.com</t>
  </si>
  <si>
    <t xml:space="preserve">Jakarta (ANTARA) - Direktorat Reserse Narkoba Polda Metro Jaya mengungkap peredaran obat-obatan berbahaya yang dijual secara ilegal dari warung sembako di kawasan Jagakarsa, Jakarta Selatan. Kanit 2 S</t>
  </si>
  <si>
    <t xml:space="preserve">https://www.owrite.id/nasional/2026/09/25/kepala-bnpb-suharyanto-dirujak-netizen-usai-sebut-hidup-warga-kalimantan-tetap-normal/</t>
  </si>
  <si>
    <t xml:space="preserve">25 September 2026 · 14.22 WIB 25 Sep 2026 · 14.22 WIB Kepala Badan Nasional Penanggulangan Bencana ( BNPB ) Suharyanto jadi bahan julid netizen. Omongan Suharyanto viral di media sosial terkait kondis</t>
  </si>
  <si>
    <t xml:space="preserve">https://www.detik.com/kalimantan/berita/d-8532083/sinopsis-film-backrooms-yang-lagi-viral-dan-jadwal-tayang-di-kalimantan</t>
  </si>
  <si>
    <t xml:space="preserve">Pura-pura Beli, Pria di Sumut Curi Emas Batangan 70 Gram - detikNews</t>
  </si>
  <si>
    <t xml:space="preserve">Film Backrooms, horor sci-fi yang viral, mengisahkan Clark dan Mary yang terjebak dalam dimensi aneh. Saksikan jadwal tayangnya di bioskop Kalimantan!</t>
  </si>
  <si>
    <t xml:space="preserve">Ramai soal Sampah Menggunung di Pasar Flamboyan Pontianak, DLH: Sebagai Efek Jera PONTIANAK, KOMPAS.com – Video tumpukan sampah yang menggunung di Tempat Penampungan Sementara (TPS) Pasar Flamboyan, K</t>
  </si>
  <si>
    <t xml:space="preserve">https://pontianak.suarakalbar.co.id/2026/04/viral-video-dugaan-pelecehan-di-warung.html</t>
  </si>
  <si>
    <t xml:space="preserve">pontianak.suarakalbar.co.id</t>
  </si>
  <si>
    <t xml:space="preserve">Tangkapan layar video aksi pencabulan di warung makan bikin heboh Mempawah dan netizen media sosial.SUARAPONTIANAK/SK Mempawah (Suara Pontianak) – Sebuah warung makan di Kabupaten Mempawah, Kalimantan</t>
  </si>
  <si>
    <t xml:space="preserve">[KLARIFIKASI] Ini Bukan Video Kebakaran Hutan, tapi Pasar Sungai Duri Berdasarkan verifikasi Kompas.com sejauh ini, ada yang perlu diluruskan terkait informasi ini. KOMPAS.com - Di media sosial bereda</t>
  </si>
  <si>
    <t xml:space="preserve">https://www.suaranusantara.co.id/2026/04/viral-video-dugaan-pelecehan-di.html</t>
  </si>
  <si>
    <t xml:space="preserve">www.suaranusantara.co.id</t>
  </si>
  <si>
    <t xml:space="preserve">Tangkapan layar video aksi pencabulan di warung makan bikin heboh Mempawah dan netizen media sosial.SUARANUSANTARA/SK Mempawah, Kalbar (Suara Nusantara) – Viralnya video dugaan pelecehan seksual yang </t>
  </si>
  <si>
    <t xml:space="preserve">https://kalbaronline.com/2026/09/22/bulog-kalbar-perkuat-stok-beras-premium-sesuai-het-antisipasi-beras-oplosan</t>
  </si>
  <si>
    <t xml:space="preserve">kalbaronline.com</t>
  </si>
  <si>
    <t xml:space="preserve">You have not yet added any article to your bookmarks! Have no account yet? Sign up Already have an account? Log in Remember your password? Log in Terms of use dolor sit amet consectetur, adipisicing e</t>
  </si>
  <si>
    <t xml:space="preserve">https://rri.co.id/pontianak/regional/2421116/kapolda-kalbar-avc-2026-di-pontianak-bukti-daerah-mampu-selenggarakan-event-dunia</t>
  </si>
  <si>
    <t xml:space="preserve">RRI.CO.ID, Pontianak - Kapolda Kalimantan Barat sekaligus Manajer Tim Voli Jakarta Bhayangkara Presisi, Pipit Rismanto, menyampaikan apresiasi atas suksesnya penyelenggaraan AVC Men’s Volleyball Champ</t>
  </si>
  <si>
    <t xml:space="preserve">https://www.suarapemredkalbar.com/read/ponticity/16072026/pontianak-dragon-boat-race-2026-siap-jadi-magnet-sport-tourism-dan-penggerak-ekonomi-kreatif-kalbar-sporta-indonesia-rancang-event-spektakuler-di-sungai-kapuas</t>
  </si>
  <si>
    <t xml:space="preserve">www.suarapemredkalbar.com</t>
  </si>
  <si>
    <t xml:space="preserve">PONTIANAK, SP - Semangat sport tourism kembali menggema di Kota Pontianak melalui penyelenggaraan Pontianak Dragon Boat Race 2026 yang akan berlangsung pada 28-30 Agustus 2026 di kawasan Taman Alun-Al</t>
  </si>
  <si>
    <t xml:space="preserve">https://www.suaranusantara.co.id/2026/07/dpd-mabm-mempawah-siap-gelar-rakerda-vi.html</t>
  </si>
  <si>
    <t xml:space="preserve">Jajaran pengurus DPD MABM Mempawah foto bersama usai pelantikan beberapa waktu lalu. SUARANUSANTARA/SK Mempawah, Kalbar (Suara Nusantara) – Dewan Pengurus Daerah (DPD) Majelis Adat Budaya Melayu (MABM</t>
  </si>
  <si>
    <t xml:space="preserve">https://www.suarakalbar.co.id/2026/05/kapolda-kalbar-bangga-pontianak-jadi-tuan-rumah-avc-2026-targetkan-bhayangkara-tembus-kejuaraan-dunia/</t>
  </si>
  <si>
    <t xml:space="preserve">www.suarakalbar.co.id</t>
  </si>
  <si>
    <t xml:space="preserve">Pontianak (Suara Kalbar) – Kapolda Kalimantan Barat (Kalbar) sekaligus Manajer Tim Voli Jakarta Bhayangkara Presisi, Irjen Pol Pipit Rismanto, mengapresiasi seluruh pihak yang terlibat dalam penyeleng</t>
  </si>
  <si>
    <t xml:space="preserve">https://arusbawah.co/rekomendasi-10-warung-sate-di-samarinda-yang-wajib-dicoba-favorit-untuk-kuliner-malam?page=full</t>
  </si>
  <si>
    <t xml:space="preserve">arusbawah.co</t>
  </si>
  <si>
    <t xml:space="preserve">ARUSBAWAH.CO&amp;nbsp;-&amp;nbsp;Samarinda memiliki banyak pilihan tempat makan sate yang bisa menjadi tujuan kuliner bagi pencinta makanan berbahan dasar dag...</t>
  </si>
  <si>
    <t xml:space="preserve">PALANGKA RAYA – Pemerintah Provinsi Kalimantan Tengah mulai mematangkan rencana pengoperasian empat unit kapal susur sungai sebagai langkah memperkuat sektor pariwisata sekaligus mengoptimalkan pemanf</t>
  </si>
  <si>
    <t xml:space="preserve">https://viralkaltim.com/rancang-museum-budaya/</t>
  </si>
  <si>
    <t xml:space="preserve">viralkaltim.com</t>
  </si>
  <si>
    <t xml:space="preserve">&lt;span style="font-size: 17px;"&gt;&lt;strong&gt;VIRALKALTIM&lt;/strong&gt; – Dinas Pendidikan dan Kebudayaan (Disdikbud) Kabupaten Kutai Timur (Kutim) terus mendorong pengembangan pusat kebudayaan sebagai ruang eduk</t>
  </si>
  <si>
    <t xml:space="preserve">TRIBUNSTYLE.COM - Yogyakarta dikenal sebagai kota budaya yang menyimpan banyak destinasi edukatif, salah satunya Museum Sonobudoyo. Kini, museum yang telah lama menjadi ikon wisata sejarah tersebut ha</t>
  </si>
  <si>
    <t xml:space="preserve">https://sumsel.tribunnews.com/lifestyle/1015903/lirik-p-p-apa-pian-sungguh-mempesona-viral-di-tiktok-lagu-gadis-manis-kalimantan</t>
  </si>
  <si>
    <t xml:space="preserve">sumsel.tribunnews.com</t>
  </si>
  <si>
    <t xml:space="preserve">Belum punya akun? Daftar Akun Download TribunX untuk Android &amp; iOS TRIBUNSUMSEL.COM - Lagu berjudul "Gadis Manis Kalimantan" belakangan ini tengah viral di berbagai media sosial, terutama TikTok. Lagu</t>
  </si>
  <si>
    <t xml:space="preserve">https://www.tabengan.co.id/bacaberita/143869/viral-retribusi-parkir-rp300-ribu-plt-kadishub-dan-satpol-pp-datangi-kios-sembako-g-obos-vii/</t>
  </si>
  <si>
    <t xml:space="preserve">www.tabengan.co.id</t>
  </si>
  <si>
    <t xml:space="preserve">PALANGKA RAYA/TABENGAN.CO.ID – Polemik retribusi parkir sebesar Rp300 ribu per bulan yang dipersoalkan pemilik usaha kios sembako G Obos VII, Kota Palangka Raya, berujung pada kunjungan Dinas Perhubun</t>
  </si>
  <si>
    <t xml:space="preserve">https://www.rakyatkalteng.com/dua-wanita-tertangkap-kamera-cctv-diduga-mencuri-di-toko-emas-puruk-cahu/</t>
  </si>
  <si>
    <t xml:space="preserve">www.rakyatkalteng.com</t>
  </si>
  <si>
    <t xml:space="preserve">PURUK CAHU, RAKYATKALTENG.com – Jagat maya, khususnya jagat media sosial Facebook di wilayah Kabupaten Murung Raya, dihebohkan dengan beredarnya sebuah video rekaman CCTV yang menunjukkan dugaan aksi </t>
  </si>
  <si>
    <t xml:space="preserve">https://www.kapanlagi.com/foto/berita-foto/indonesia/dari-penjaga-toko-jadi-viral-syahriyadi-sukses-guncang-tiktok-lewat-lagu-p-p-apa.html</t>
  </si>
  <si>
    <t xml:space="preserve">www.kapanlagi.com</t>
  </si>
  <si>
    <t xml:space="preserve">Jagat media sosial TikTok belakangan ini tengah digemparkan oleh sebuah lagu dengan lirik unik 'P P Apa'. Lagu bertajuk Gadis Manis Kalimantan tersebut sukses menjadi pendar tren baru yang menghiasi r</t>
  </si>
  <si>
    <t xml:space="preserve">https://mediaindonesia.com/nusantara/899422/viral-perampokan-di-ikn-pemilik-toko-dipukul-balok-dan-gelang-emas-dirampas</t>
  </si>
  <si>
    <t xml:space="preserve">Terungkap, dari 16 unit rumah temuan Ombudsman RI, cuma tiga unit berstatus barang milik negara. SEORANG perempuan pemilik toko di wilayah Ibu Kota Nusantara (IKN), tepatnya di Desa Bumi Harapan (Sepa</t>
  </si>
  <si>
    <t xml:space="preserve">https://www.sijogja.com/news/18417680142/ramai-unggahan-situasi-kalimantan-yang-masih-dikepung-kabut-asap-dan-aktivitas-normal-ada-apa</t>
  </si>
  <si>
    <t xml:space="preserve">SiJOGJA.COM : Media sosial ramai dengan unggahan kabut asap yang masih mengepung sejumlah wilayah di Pulau Kalimantan. Salah satunya, kabut asap pekat di Palangka Raya, Kalimantan Tengah pada Kamis, 2</t>
  </si>
  <si>
    <t xml:space="preserve">https://www.detik.com/kalimantan/hukum-dan-kriminal/d-8537559/viral-ibu-di-gunung-mas-curhat-anaknya-dicabuli-ayah-tiri-polisi-selidiki</t>
  </si>
  <si>
    <t xml:space="preserve">Kasus dugaan kekerasan seksual terhadap anak 12 tahun di Gunung Mas, Kalimantan Tengah. Polisi bergerak cepat untuk memberikan perlindungan dan penegakan hukum.</t>
  </si>
  <si>
    <t xml:space="preserve">https://mentayanet.com/ojk-dan-bei-kalteng-dorong-mahasiswa-antakusuma-cerdas-berinvestasi-di-pasar-modal/</t>
  </si>
  <si>
    <t xml:space="preserve">mentayanet.com</t>
  </si>
  <si>
    <t xml:space="preserve">Kegiatan ini merupakan bagian dari rangkaian Road to Sosialisasi dan Edukasi Pasar Modal Terpadu (SEPMT) Tahun 2026 yang mengintegrasikan aspek literasi dan inklusi keuangan melalui edukasi investasi </t>
  </si>
  <si>
    <t xml:space="preserve">https://wartaekonomi.co.id/read630354/gubernur-ajak-shalat-istisqa-kalteng-diguyur-hujan-di-beberapa-lokasi</t>
  </si>
  <si>
    <t xml:space="preserve">Gubernur Kalimantan Tengah (Kalteng) Agustiar Sabran mengajak masyarakat meningkatkan ikhtiar lahir dan batin untuk menghadapi musim kemarau yang berpotensi memperparah kekeringan dan kebakaran hutan </t>
  </si>
  <si>
    <t xml:space="preserve">https://depok.tribunnews.com/news/51663/viral-suasana-mencekam-kalimantan-tertutup-kabut-asap-akibat-kebakaran-hutan</t>
  </si>
  <si>
    <t xml:space="preserve">Belum punya akun? Daftar Akun Download TribunX untuk Android &amp; iOS TRIBUNDEPOK -Viral video suasana Kalimantan Selatan yang mencekam karena sepenuhnya tertutup kabut asap akibat kebakaran hutan. Dari </t>
  </si>
  <si>
    <t xml:space="preserve">https://arusbawah.co/rekomendasi-8-rumah-makan-banjar-di-samarinda-sajikan-kuliner-khas-dengan-cita-rasa-autentik</t>
  </si>
  <si>
    <t xml:space="preserve">Viral Menpar Disebut Pakai Sepatu di Masjid Raya Sumbar, Begini Klarifikasinya - detikTravel</t>
  </si>
  <si>
    <t xml:space="preserve">ARUSBAWAH.CO&amp;nbsp;-&amp;nbsp;Samarinda menjadi salah satu kota di Kalimantan yang memiliki kekayaan kuliner dengan cita rasa khas Banjar.&amp;nbsp;Pengaruh bu...</t>
  </si>
  <si>
    <t xml:space="preserve">https://arusbawah.co/rekomendasi-15-soto-banjar-favorit-di-samarinda-kuah-kaya-rempah-yang-menggugah-selera?page=full</t>
  </si>
  <si>
    <t xml:space="preserve">ARUSBAWAH.CO&amp;nbsp;-&amp;nbsp;Soto Banjar merupakan salah satu kuliner khas Kalimantan Selatan yang telah lama menjadi favorit masyarakat, termasuk di Sama...</t>
  </si>
  <si>
    <t xml:space="preserve">https://arusbawah.co/rekomendasi-15-soto-banjar-favorit-di-samarinda-kuah-kaya-rempah-yang-menggugah-selera</t>
  </si>
  <si>
    <t xml:space="preserve">TRIBUNTRAVEL.COM - Banjarmasin memiliki beragam pilihan kuliner yang cocok untuk makan siang, mulai dari masakan khas Banjar hingga hidangan Nusantara yang menggugah selera. Bagi wisatawan maupun warg</t>
  </si>
  <si>
    <t xml:space="preserve">Jika Anda menyukai cerita ini, bagikan dengan orang lain. Sejak viral di media sosial, wisata Danau Biru di Desa Tambak Padi, Kecamatan Beruntung Baru, Kabupaten Banjar, Kalimantan Selatan (Kalsel), b</t>
  </si>
  <si>
    <t xml:space="preserve">Belum punya akun? Daftar Akun Download TribunX untuk Android &amp; iOS BANJARMASINPOST.CO.ID - Pada beberapa waktu terakhir, viral sebuah tempat di kawasan wisata Bukit Batu, Kabupaten Banjar, Kalimantan </t>
  </si>
  <si>
    <t xml:space="preserve">Banjarbaru, KP – Museum Lambung Mangkurat saat ini kategori grade B. Pihak museum bersama Dinas Pendidikan dan Kebudayaan (Disdikbud) Kalsel, berupaya meningkatkan ke grade A. Direktorat Jenderal Oton</t>
  </si>
  <si>
    <t xml:space="preserve">Rumah Bubungan Tinggi, rumah adat Banjar yang ada di kawasan Banua Anyar. Rumah itu kini dialihfungsikan sebagai Museum Wasaka.-Guruh D.N.-Harian Disway Di tepi Sungai Martapura, berdiri Museum Wasaka</t>
  </si>
  <si>
    <t xml:space="preserve">https://www.halodoc.com/artikel/waspada-super-flu-kenali-gejala-dan-cara-menanganinya</t>
  </si>
  <si>
    <t xml:space="preserve">www.halodoc.com</t>
  </si>
  <si>
    <t xml:space="preserve">Super flu adalah varian influenza A H3N2 subclade K yang mudah menular dan menimbulkan gejala lebih berat. Super flu adalah varian baru virus influenza yang belakangan ini dilaporkan telah masuk ke In</t>
  </si>
  <si>
    <t xml:space="preserve">https://news.detik.com/berita/d-8557907/wanita-di-tangsel-tergetkan-toko-ramai-pengunjung-buat-jual-emas-palsu</t>
  </si>
  <si>
    <t xml:space="preserve">Polisi menangkap HCTW (20), wanita penjual emas palsu di toko emas Pamulang, Tangerang Selatan. Polisi mengungkap, HCTW kerap beraksi di sejumlah toko emas yang sedang dalam kondisi ramai pengunjung. </t>
  </si>
  <si>
    <t xml:space="preserve">https://rri.co.id/banjarmasin/ekonomi/keuangan/2759298/ojk-kalsel-perkuat-edukasi-keuangan-lewat-sanak-cermat-banua</t>
  </si>
  <si>
    <t xml:space="preserve">RRI.CO.ID, Banjarmasin - Otoritas Jasa Keuangan (OJK) Kalimantan Selatan bersama Komunitas Sanak Cermat Banua terus menggalakkan edukasi keuangan untuk meningkatkan literasi masyarakat. Program kolabo</t>
  </si>
  <si>
    <t xml:space="preserve">https://rri.co.id/banjarmasin/regional/2407278/videonya-viral-khalikin-minta-maaf-ke-publik-siap-introspeksi-diri</t>
  </si>
  <si>
    <t xml:space="preserve">Guru PPPK dialihkan ke pemerintah pusat – Apa maknanya? - BBC</t>
  </si>
  <si>
    <t xml:space="preserve">RRI.CO.ID, Banjarmasin - Sosok pria dalam video viral yang beredar di media sosial Instagram melalui akun @infocerewet_kalsel, Khalikin Noor akhirnya buka suara. Ia menyampaikan permohonan maaf kepada</t>
  </si>
  <si>
    <t xml:space="preserve">https://diskominfomc.kalselprov.go.id/2026/09/25/kadin-kalsel-dorong-hilirisasi-komoditas-umkm-naik-kelas-hingga-tembus-pasar-global/</t>
  </si>
  <si>
    <t xml:space="preserve">diskominfomc.kalselprov.go.id</t>
  </si>
  <si>
    <t xml:space="preserve">Kamar Dagang dan Industri (KADIN) Provinsi Kalimantan Selatan menegaskan komitmennya memperkuat perekonomian daerah melalui hilirisasi komoditas unggulan dan pendampingan pelaku Usaha Mikro, Kecil, da</t>
  </si>
  <si>
    <t xml:space="preserve">Sungai di Kalsel masih hidup dengan tradisi jual belinya. Pasar terapung terkenal di Kalsel adalah Pasar Terapung Lok Baintan dan Pasar Terapung Muara Kuin.</t>
  </si>
  <si>
    <t xml:space="preserve">https://news.detik.com/berita/d-8441616/viral-dapur-sppg-di-kalsel-rumah-mewah-bak-istana-begini-ceritanya</t>
  </si>
  <si>
    <t xml:space="preserve">Viral sebuah bangunan mewah di Sungai Pandan, Kabupaten Hulu Sungai Utara, Kalimantan Selatan (Kalsel), jadi Satuan Pelayanan Pemenuhan Gizi (SPPG). Ada tulisan SPPG milik Yayasan Cahaya Bumi Borneo d</t>
  </si>
  <si>
    <t xml:space="preserve">https://arusbawah.co/6-rekomendasi-sate-taichan-di-samarinda-yang-enak-sajikan-sambal-pedas-dan-menu-beragam?page=full</t>
  </si>
  <si>
    <t xml:space="preserve">Festival Minangkabau 2026 Dibuka, Mahyeldi: Budaya Kekuatan Masa Depan Sumbar - Media Indonesia</t>
  </si>
  <si>
    <t xml:space="preserve">ARUSBAWAH.CO&amp;nbsp;-&amp;nbsp;Sate taichan menjadi salah satu kuliner favorit yang semakin mudah ditemukan di Samarinda.Berbeda dengan sate ayam pada umumn...</t>
  </si>
  <si>
    <t xml:space="preserve">Bakso menjadi salah satu kuliner yang sulit ditolak. Bola-bola daging yang disajikan bersama mi, tahu, dan kuah kaldu gurih ini bisa ditemukan hampir di setiap sudut Kota Balikpapan.Mulai dari warung </t>
  </si>
  <si>
    <t xml:space="preserve">Warung Nasi Bekepor Ibu Hj. Juwairiyah-- diswayjogja.id - Mencari tempat makan yang menyajikan perpaduan antara kesegaran hasil laut dan keautentikan bumbu tradisional Kalimantan Timur? Samarinda adal</t>
  </si>
  <si>
    <t xml:space="preserve">INDONESIAONLINE - Perkembangan tren kuliner yang bergerak cepat di era digital menjadi tantangan tersendiri bagi pelaku usaha bakery. Selain menjaga kualitas produk, pelaku usaha juga dituntut mampu m</t>
  </si>
  <si>
    <t xml:space="preserve">Jalan Jenderal Sudirman di Balikpapan dikenal sebagai salah satu kawasan strategis yang tak hanya ramai, tetapi juga menjadi surga kuliner. Di sepanjang jalan ini, berjejer berbagai tempat makan yang </t>
  </si>
  <si>
    <t xml:space="preserve">https://arusbawah.co/rekomendasi-10-tempat-sarapan-enak-di-samarinda-ada-nasi-kuning-hingga-bubur-ayam?page=full</t>
  </si>
  <si>
    <t xml:space="preserve">ARUSBAWAH.CO&amp;nbsp;-&amp;nbsp;Sarapan menjadi waktu makan yang penting untuk mengisi energi sebelum memulai aktivitas.Di Samarinda, pilihan tempat sarapan...</t>
  </si>
  <si>
    <t xml:space="preserve">https://arusbawah.co/8-rekomendasi-sate-buka-siang-di-samarinda-ada-pilihan-sate-kambing-hingga-ayam</t>
  </si>
  <si>
    <t xml:space="preserve">ARUSBAWAH.CO&amp;nbsp;-&amp;nbsp;Samarinda memiliki banyak pilihan kuliner yang bisa menjadi tujuan untuk makan siang.&amp;nbsp;Bagi pencinta sate, tidak perlu me...</t>
  </si>
  <si>
    <t xml:space="preserve">https://arusbawah.co/rekomendasi-8-rumah-makan-banjar-di-samarinda-sajikan-kuliner-khas-dengan-cita-rasa-autentik?page=2</t>
  </si>
  <si>
    <t xml:space="preserve">Rumah makan ini juga dikenal memiliki banyak pelanggan tetap dan menjadi salah satu kuliner legendaris di kawasan Pasar Pagi.Alamat: Jalan KH Abul Has...</t>
  </si>
  <si>
    <t xml:space="preserve">https://arusbawah.co/rekomendasi-7-rawon-enak-di-samarinda-yang-siap-menghangatkan-harimu-kuah-pekatnya-bikin-nagih</t>
  </si>
  <si>
    <t xml:space="preserve">ARUSBAWAH.CO&amp;nbsp;-&amp;nbsp;Rawon menjadi salah satu hidangan khas Jawa Timur yang memiliki banyak penggemar di berbagai daerah, termasuk Samarinda.Ciri...</t>
  </si>
  <si>
    <t xml:space="preserve">https://arusbawah.co/7-rekomendasi-warung-nasi-pecel-di-samarinda-favorit-untuk-sarapan-dan-makan-siang?page=full</t>
  </si>
  <si>
    <t xml:space="preserve">ARUSBAWAH.CO&amp;nbsp;-&amp;nbsp;Bagi pencinta kuliner tradisional, nasi pecel menjadi salah satu menu yang selalu menggugah selera.&amp;nbsp;Perpaduan aneka sayu...</t>
  </si>
  <si>
    <t xml:space="preserve">https://viralkaltim.com/siap-mengudara-di-kutim-mtma-dapat-dukungan-bupati-akbar-wadah-memperkenalkan-pariwisata/</t>
  </si>
  <si>
    <t xml:space="preserve">&lt;strong&gt;VIRALKALTIM&lt;/strong&gt; – Program petualangan nasional My Trip My Adventure (MTMA) siap mengudara di Kabupaten Kutai Timur (Kutim). Ini mendapat dukungan penuh dari Bupati Kutim Ardiansyah Sulaim</t>
  </si>
  <si>
    <t xml:space="preserve">RRI.CO.ID, Bukittinggi - Indonesia kembali menunjukkan pesona baharinya yang memukau melalui sebuah pulau berbentuk tapal kuda di Kabupaten Berau, Kalimantan Timur. Pulau Maratua, yang merupakan bagia</t>
  </si>
  <si>
    <t xml:space="preserve">https://ibukotakini.com/read/ririn-sari-dewi-tinggalkan-dinas-pariwisata-resmi-pimpin-diskominfo-kaltim</t>
  </si>
  <si>
    <t xml:space="preserve">ibukotakini.com</t>
  </si>
  <si>
    <t xml:space="preserve">Ririn Sari Dewi resmi meninggalkan jabatan Kepala Dinas Pariwisata dan kini memimpin Diskominfo Kaltim. Muhammad Faisal beralih menjadi Kadis Pariwisata.</t>
  </si>
  <si>
    <t xml:space="preserve">https://www.detik.com/kalimantan/berita/d-8432744/heboh-pelat-merah-mobil-dinas-diganti-pelat-putih-untuk-dipakai-wisata</t>
  </si>
  <si>
    <t xml:space="preserve">Video viral menunjukkan mobil dinas mengganti pelat merah menjadi putih untuk berwisata. Polisi menyita pelat palsu dan mengingatkan penggunaan kendaraan dinas.</t>
  </si>
  <si>
    <t xml:space="preserve">https://viralkaltim.com/dpd-demokrat-kaltim-kirim-5-kader-ke-dikpolnas-2026-raih-peserta-terbaik-teraktif/</t>
  </si>
  <si>
    <t xml:space="preserve">&lt;strong&gt;VIRALKALTIM, PACITAN&lt;/strong&gt;– DPD Partai Demokrat Kalimantan Timur mengirim 5 perwakilan kader untuk mengikuti Pendidikan Politik Nasional (Dikpolnas) 2026 yang digelar di Museum dan Galeri S</t>
  </si>
  <si>
    <t xml:space="preserve">https://www.detik.com/kalimantan/hukum-dan-kriminal/d-8630382/duh-64-jenis-obat-ilegal-beredar-di-balikpapan-bisa-picu-jantung-gagal-ginjal</t>
  </si>
  <si>
    <t xml:space="preserve">Polisi Geledah Toko Emas di Kampar, Ratusan Gram Hasil Tambang Ilegal Disita - detikcom</t>
  </si>
  <si>
    <t xml:space="preserve">12 sarana toko jamu di Balikpapan, Kaltim diawasi peredaran obat bahan alamnya. 10 di antaranya menjual 64 jenis obat bahan alam mengandung bahan kimia obat.</t>
  </si>
  <si>
    <t xml:space="preserve">https://kaltim.akurat.co/news/854311/viral-rp25-m-untuk-rehab-rumah-dinas-gubernur-pemprov-kaltim-sibuk-klarifikasi</t>
  </si>
  <si>
    <t xml:space="preserve">kaltim.akurat.co</t>
  </si>
  <si>
    <t xml:space="preserve">AKURAT KALTIM - Rencana belanja rehabilitasi rumah dinas atau rumah jabatan gubernur Provinsi Kalimantan Timur senilai Rp25 miliar ramai diperbincangkan warganet. Pemprov pun sibuk meluruskan isu ters</t>
  </si>
  <si>
    <t xml:space="preserve">https://kaltim.idntimes.com/news/kalimantan-timur/viral-rp25-miliar-renovasi-rumah-gubernur-ini-klarifikasi-kaltim-00-jjm39-3kc21t</t>
  </si>
  <si>
    <t xml:space="preserve">Samarinda, IDN Times - Pemerintah Provinsi Kalimantan Timur meluruskan isu terkait rencana anggaran rehabilitasi rumah jabatan gubernur senilai Rp25 miliar yang ramai diperbincangkan di media sosial.P</t>
  </si>
  <si>
    <t xml:space="preserve">https://www.merahputih.com/post/read/otorita-ingin-perluas-pembanguan-ikn-ke-9-wilayah-kalimantan-timur</t>
  </si>
  <si>
    <t xml:space="preserve">MerahPutih.com - Otorita Ibu Kota Nusantara (IKN) mengklaim pembangunan IKN tidak hanya dibangun sebagai pusat pemerintahan, Tetapi juga sebagai pusat pertumbuhan baru yang terhubung dengan sejumlah w</t>
  </si>
  <si>
    <t xml:space="preserve">https://nomorsatukaltim.disway.id/ekonomi/read/79563/obu-vii-siapkan-pelaku-usaha-kaltim-tembus-pasar-ekspor-lewat-logistik-digital</t>
  </si>
  <si>
    <t xml:space="preserve">Adv Diskominfo Kukar Adv Diskominfo Kutim Adv Diskominfo Kukar Adv Diskominfo Kutim Kepala OBU Wilayah VII, Ferdinan Nurdin saat mengikuti rapat secara daring.-(Foto/ Istimewa)- BALIKPAPAN, NOMORSATUK</t>
  </si>
  <si>
    <t xml:space="preserve">https://tirto.id/bahlil-soal-gubernur-kaltim-rudy-masud-kita-viral-kita-top-hwuE</t>
  </si>
  <si>
    <t xml:space="preserve">tirto.id - Ketua Umum Partai Golkar, Bahlil Lahadalia, mengaku tidak merasa risau lantaran Gubernur Kalimantan Timur (Kaltim) Rudy Mas'ud, selaku kader partai berlambang pohon beringin itu, viral bela</t>
  </si>
  <si>
    <t xml:space="preserve">Sekuriti Pasar Pagi Umpat "Media Busuk" ke Wartawati, Wali Kota Samarinda Minta Maaf SAMARINDA, KOMPAS.com – Video yang memperlihatkan perseteruan antara seorang wartawati dan sekuriti di kawasan Pasa</t>
  </si>
  <si>
    <t xml:space="preserve">https://kaltim.idntimes.com/food/dining-guide/klepon-hingga-cenil-5-jajanan-jadul-yang-kini-jadi-favorit-gen-z-01-1n9jq-7fdmdr</t>
  </si>
  <si>
    <t xml:space="preserve">Tren kuliner terus berkembang dan media sosial punya peran besar dalam membuat sebuah makanan mendadak viral. Menariknya, bukan hanya makanan kekinian yang mencuri perhatian. Berbagai jajanan pasar tr</t>
  </si>
  <si>
    <t xml:space="preserve">https://korankaltim.com/read/patroli/92239/viral-terduga-pencuri-diikat-di-pasar-segiri-polisi-jangan-main-hakim-sendiri</t>
  </si>
  <si>
    <t xml:space="preserve">korankaltim.com</t>
  </si>
  <si>
    <t xml:space="preserve">Kapolsek Samarinda Ulu AKP Asriadi. (Foto: Adnan Abdul/Korankaltim.com) Grup Telegram Koran Kaltim Kapolsek Samarinda Ulu AKP Asriadi. (Foto: Adnan Abdul/Korankaltim.com) Penulis: Adnan Abdul KORANKAL</t>
  </si>
  <si>
    <t xml:space="preserve">https://www.eksposkaltim.com/berita-16874-harga-bbm-nonsubsidi-melonjak-bahli-kita-ikut-harga-pasar-.html</t>
  </si>
  <si>
    <t xml:space="preserve">TPID Riau Gelar Pasar Murah di Tiga Daerah Selama Sepekan, Catat Lokasi dan Daftar Harganya - Kompas.com</t>
  </si>
  <si>
    <t xml:space="preserve">Bahlil buka suara mengenai kenaikan harga BBM nonsubsidi di Indonesia, termasuk di Kalimantan Timur. Sebagai dampak langsung dari mekanisme pasar global yang diatur regulasi. EKSPOSKALTIM, Balikpapan </t>
  </si>
  <si>
    <t xml:space="preserve">https://www.detik.com/kalimantan/berita/d-8470254/kursi-pijat-rp-125-juta-jadi-polemik-pemprov-kaltim-sesuai-harga-pasar</t>
  </si>
  <si>
    <t xml:space="preserve">Pengadaan kursi pijat seharga Rp 125 juta di rumah dinas Gubernur Kaltim menuai polemik. Pemprov Kaltim menyebut pengadaan tersebut sudah sesuai prosedur.</t>
  </si>
  <si>
    <t xml:space="preserve">https://setda.samarindakota.go.id/berita/audensi-bersama-tirtonegoro-foundation-wawali-buka-pintu-dukungan-untuk-event-nostalgia-kala-fest-2026</t>
  </si>
  <si>
    <t xml:space="preserve">setda.samarindakota.go.id</t>
  </si>
  <si>
    <t xml:space="preserve">Belasan Ribu Kapal Bersandar di Pelabuhan Dumai, Riau Dapat apa? - Viral Nasional</t>
  </si>
  <si>
    <t xml:space="preserve">Sumber Foto: Diskominfo kota Samarinda Gedung Balaikota  Jl. Kesuma Bangsa, No. 82 Samarinda Telp: 0541-731489   
                    Email: setda@samarindakota.go.id Website: https://setda.samarinda</t>
  </si>
  <si>
    <t xml:space="preserve">https://regional.kompas.com/read/2026/08/04/192245178/kurang-bayar-dana-transfer-capai-rp-2-triliun-program-prioritas-di-kaltim?page=all</t>
  </si>
  <si>
    <t xml:space="preserve">Festival Talam Durian 1 KM di Pekanbaru Dikritik Warganet: Yang Panjang Mejanya - RiauOnline</t>
  </si>
  <si>
    <t xml:space="preserve">Kurang Bayar Dana Transfer Capai Rp 2 Triliun, Program Prioritas di Kaltim Mulai Dikoreksi SAMARINDA, KOMPAS.com – Tekanan fiskal yang dialami pemerintah daerah di Kalimantan Timur mulai berdampak ter</t>
  </si>
  <si>
    <t xml:space="preserve">kaltimkece.id Pedas Puas Festival (PPF) 2026 kembali membuktikan sebagai salah satu festival kuliner yang dinanti masyarakat Kalimantan Timur. Memasuki hari ketiga pelaksanaan, festival yang digelar d</t>
  </si>
  <si>
    <t xml:space="preserve">https://korankaltim.com/read/olahraga-daerah/88889/kaltim-harus-lebih-banyak-event-untuk-asah-potensi-atlet-taekwondo</t>
  </si>
  <si>
    <t xml:space="preserve">Kejuaraan taekwondo harus sering digelar di Kaltim untuk mendapatkan potensi atlet menuju ajang nasional hingga internasional. (dokkoremasn) Grup Telegram Koran Kaltim Kejuaraan taekwondo harus sering</t>
  </si>
  <si>
    <t xml:space="preserve">RRI.CO.ID, Sintang - Festival Kuliner Viral dari Jakarta yang digelar oleh Go Market berkolaborasi dengan My Home Group sukses menarik perhatian masyarakat Kabupaten Sintang. Kegiatan yang berlangsung</t>
  </si>
  <si>
    <t xml:space="preserve">https://regional.kompas.com/read/2026/07/20/140645678/program-seragam-gratis-kaltim-belum-terealisasi-siswa-smk-di-samarinda?page=all</t>
  </si>
  <si>
    <t xml:space="preserve">Nikmati Kuliner Pagi di Batam, 5 Tempat Sarapan Favorit untuk Awali Hari - Jawa Pos</t>
  </si>
  <si>
    <t xml:space="preserve">Program Seragam Gratis Kaltim Belum Terealisasi, Siswa SMK di Samarinda Sekolah Pakai Baju SMP SAMARINDA, KOMPAS.com – Program pembagian seragam sekolah gratis dari Pemerintah Provinsi Kalimantan Timu</t>
  </si>
  <si>
    <t xml:space="preserve">https://borneoflash.com/2026/09/25/global-fund-belum-pasti-kaltim-siapkan-apbd-untuk-program-hivaids</t>
  </si>
  <si>
    <t xml:space="preserve">borneoflash.com</t>
  </si>
  <si>
    <t xml:space="preserve">Rekomendasi 4 Tempat Sarapan Minggu Pagi di Tiban yang Enak, Murah, dan Wajib Dicoba - Batam Pos</t>
  </si>
  <si>
    <t xml:space="preserve">BorneoFlash.com , SAMARINDA — Pemerintah Provinsi (Pemprov) Kalimantan Timur (Kaltim) mulai menyusun langkah antisipatif menghadapi kemungkinan perubahan skema pembiayaan program penanggulangan HIV/AI</t>
  </si>
  <si>
    <t xml:space="preserve">INDONESIAONLINE – Perhelatan Erau Adat Kutai 2026 tidak hanya menjadi panggung tradisi, tetapi juga momentum penting untuk mendorong keterlibatan generasi muda dalam merawat kebudayaan daerah. Gubernu</t>
  </si>
  <si>
    <t xml:space="preserve">https://ayokaltim.com/maratua-run-5k-dan-10-k-di-januari-2025-target-400-pelari-hingga-mancanegara/</t>
  </si>
  <si>
    <t xml:space="preserve">ayokaltim.com</t>
  </si>
  <si>
    <t xml:space="preserve">MARATUA, AYOKALTIM.com — Event Maratua Run 5K dan 10 K yang dijadwal digelar Januari 2025 semakin dekat. Event itu juga diharapkan membawa dampak positif bagi perkembangan pariwisata Maratua, dan Kalt</t>
  </si>
  <si>
    <t xml:space="preserve">https://kaltimfaktual.co/kadin-kaltim-siapkan-program-besar-fokus-cetak-sdm-unggul-dan-perkuat-umkm/</t>
  </si>
  <si>
    <t xml:space="preserve">kaltimfaktual.co</t>
  </si>
  <si>
    <t xml:space="preserve">Kepengurusan baru Kamar Dagang dan Industri (KADIN) Kalimantan Timur mulai bergerak menyusun arah organisasi dengan menggelar rapat kerja perdana bersama seluruh jajaran pengurus. Forum tersebut menja</t>
  </si>
  <si>
    <t xml:space="preserve">RILISKALIMANTAN.COM , KALTIM- Upaya memperkuat ekosistem usaha mikro terus dilakukan melalui penyelenggaraan Festival Kemudahan dan Perlindungan Usaha Mikro, rabu (17/6/2026) di Balikpapan, Provinsi K</t>
  </si>
  <si>
    <t xml:space="preserve">https://arusbawah.co/rekomendasi-10-tempat-sarapan-enak-di-samarinda-ada-nasi-kuning-hingga-bubur-ayam</t>
  </si>
  <si>
    <t xml:space="preserve">https://jurnalborneo.com/gubernur-kaltara-diskusi-santai-dengan-mahasiswa-di-tarakan-bahas-beasiswa-hingga-sekretariat-bem/</t>
  </si>
  <si>
    <t xml:space="preserve">TARAKAN – Gubernur Kalimantan Utara, Zainal A. Paliwang, menggelar diskusi santai bersama mahasiswa dalam suasana makan malam di Rumah Makan B21 Tarakan, Jumat (10/4/2026) malam. Pertemuan tersebut di</t>
  </si>
  <si>
    <t xml:space="preserve">https://www.detik.com/kalimantan/kuliner/d-8471384/pria-malaysia-dibuat-kaget-saat-makan-tauge-lebih-mahal-dari-lauk</t>
  </si>
  <si>
    <t xml:space="preserve">Warga Malaysia bernama Hamdzaini, terkejut saat niatnya ingin diet malah harus keluar uang lebih banyak dari yang dikira. Seporsi tauge harganya Rp 38 ribu.</t>
  </si>
  <si>
    <t xml:space="preserve">https://www.detik.com/kalimantan/bisnis/d-8431508/fenomena-anak-muda-lebih-pilih-tinggal-di-hotel-daripada-sewa-rumah</t>
  </si>
  <si>
    <t xml:space="preserve">Anak muda di China kini lebih memilih tinggal di hotel daripada menyewa rumah karena biaya sewa yang tinggi. Hotel menawarkan kenyamanan dan fleksibilitas.</t>
  </si>
  <si>
    <t xml:space="preserve">Kepala Perwakilan Bank Indonesia Kaltara Memberikan Penghargaan Kepada Pelaku UMKM di Kaltara (Hn) KALTARA — Produk lokal Kalimantan Utara memiliki peluang untuk berkembang lebih jauh. Tidak hanya dik</t>
  </si>
  <si>
    <t xml:space="preserve">https://mantranews.id/2026/08/jawab-tantangan-pasar-global-komoditas-ekspor-kaltara-didorong-penuhi-standar-dan-hilirisasi/</t>
  </si>
  <si>
    <t xml:space="preserve">mantranews.id</t>
  </si>
  <si>
    <t xml:space="preserve">Kepala Barantin Abdul Kadir Karding menghadiri kegiatan NGOBRAS KALTARA (Ngobrol Bersama Karantina dan Pelaku Usaha) di Tarakan, Minggu (30/8/2026). TARAKAN, Mantranews.id — Pemenuhan standar pasar in</t>
  </si>
  <si>
    <t xml:space="preserve">https://benuanta.co.id/ekonomi/200292/70-persen-ikan-kaltara-dijual-keluar-alasan-harga-ikan-lokal-tetap-mahal/</t>
  </si>
  <si>
    <t xml:space="preserve">benuanta.co.id, TARAKAN – Di tengah melimpahnya hasil laut Kalimantan Utara (Kaltara), masyarakat ternyata belum tentu bisa menikmati ikan premium dengan harga murah. Sebagian besar hasil tangkapan ne</t>
  </si>
  <si>
    <t xml:space="preserve">Kepala Karantina Kaltara (kanan) Tinjau Pasar Ikan Higienis Tengkayu II Tarakan (MA) KALTARA  – Kepala Karantina Kalimantan Utara, Ichi Langlang Buana Machmud, menegaskan dukungan terhadap operasional</t>
  </si>
  <si>
    <t xml:space="preserve">https://kaltara.indozone.id/news/2486702572/kelapa-pandan-wangi-nunukan-dibidik-tembus-pasar-ekspor</t>
  </si>
  <si>
    <t xml:space="preserve">Bupati Nunukan, H.Iwan Sabri menikmati Kelapa Pandan Wangi (MA) KALTARA – Kelapa pandan wangi khas Kabupaten Nunukan, Kalimantan Utara, kini tak hanya dikenal karena cita rasanya yang unik, tetapi jug</t>
  </si>
  <si>
    <t xml:space="preserve">https://kaltara.indozone.id/news/2486715795/polda-kaltara-jadi-lokasi-riset-puslitbang-polri-bahas-strategi-antikorupsi-dan-dukungan-program-gizi-nasional</t>
  </si>
  <si>
    <t xml:space="preserve">Wakapolda Kaltara Bersama Tim Puslitbang Polri Bahas Tantangan Kewilayahan (hms) KALTARA  – Polda Kalimantan Utara menjadi salah satu wilayah yang menjadi perhatian dalam penelitian strategis Pusat Pe</t>
  </si>
  <si>
    <t xml:space="preserve">https://www.mondes.co.id/cerita-haru-peserta-seleksi-magang-jepang-2026-di-jateng-demi-sekolah-adik-dan-ubah-nasib/</t>
  </si>
  <si>
    <t xml:space="preserve">www.mondes.co.id</t>
  </si>
  <si>
    <t xml:space="preserve">SEMARANG – Mondes.co.id | Ratusan peserta dari berbagai daerah di Indonesia  mengikuti seleksi Program Magang ke Jepang 2026 di Kantor Dinas Ketenagakerjaan dan Transmigrasi Provinsi Jawa Tengah, baru</t>
  </si>
  <si>
    <t xml:space="preserve">https://regional.kompas.com/read/2026/04/20/144209878/senyum-hasan-di-balik-program-bedah-rumah-pemkot-pontianak?page=all</t>
  </si>
  <si>
    <t xml:space="preserve">Senyum Hasan di Balik Program Bedah Rumah Pemkot Pontianak PONTIANAK, KOMPAS.com – Di sebuah gang sempit di Kelurahan Siantan Hilir, Kecamatan Pontianak Utara, Kota Pontianak, Kalimantan Barat (Kalbar</t>
  </si>
  <si>
    <t xml:space="preserve">https://barta1.com/2026/05/11/viral-foto-kajati-sulut-tonsu-pasca-penetapan-tersangka-bupati-sitaro-ini-kata-asintel/</t>
  </si>
  <si>
    <t xml:space="preserve">barta1.com</t>
  </si>
  <si>
    <t xml:space="preserve">"&lt;strong&gt;Manado, Barta1.com&lt;\/strong&gt; \u2013 Babak baru penanganan kasus dugaan korupsi dana stimulan bencana Gunung Ruang dengan ditetapkannya Bupati Sitaro Chyntia Kalangit sebagai tersangka oleh Ke</t>
  </si>
  <si>
    <t xml:space="preserve">Liputan6.com, Jakarta Udara sejuk khas pegunungan, aroma kopi yang mengepul dari cangkir, dan latar Gunung Lokon yang gagah di kejauhan; itulah sambutan pertama saat berburu tempat makan di Tomohon . </t>
  </si>
  <si>
    <t xml:space="preserve">Masakan Manado dikenal dengan cita rasa pedas, kaya rempah, dan menggugah selera. Tak heran jika banyak orang mencari restoran Manado di Jakarta Utara untuk menikmati hidangan khas seperti olahan ikan</t>
  </si>
  <si>
    <t xml:space="preserve">Liputan6.com, Jakarta - Bandung tidak hanya dikenal sebagai surganya kuliner khas Sunda, tetapi juga menjadi destinasi favorit bagi pencinta seafood yang mencari menu unik dengan cita rasa berbeda dar</t>
  </si>
  <si>
    <t xml:space="preserve">Manado, IDN Times – Sulawesi Utara dikenal dengan keindahan alamnya. Memiliki topografi yang beragam, membuat Sulut memiliki pilihan destinasi wisata alam mulai dari pegunungan hingga pantai.Meski beg</t>
  </si>
  <si>
    <t xml:space="preserve">https://www.balipuspanews.com/wagub-giri-prasta-ajak-sulawesi-utara-perkuat-kolaborasi-majukan-pariwisata-nasional.html</t>
  </si>
  <si>
    <t xml:space="preserve">www.balipuspanews.com</t>
  </si>
  <si>
    <t xml:space="preserve">DENPASAR, balipuspanews.com – Wakil Gubernur Bali I Nyoman Giri Prasta menerima kunjungan Wakil Gubernur Sulawesi Utara Dr. Johannes Victor Mailangkay beserta jajaran Pemerintah Provinsi Sulawesi Utar</t>
  </si>
  <si>
    <t xml:space="preserve">Ada momen menarik saat Gubernur Sulawesi Utara ( Sulut ) Yulius Selvanus mendatangi gedung bekas Minahasa Raad di Kota Manado. Yulius memergoki seorang pria tertidur di dalam etalase museum . Dilansir</t>
  </si>
  <si>
    <t xml:space="preserve">Menteri Kebudayaan RI, Fadli Zon meresmikan pembangunan dan revitalisasi Museum Negeri Provinsi Sulawesi Utara di Manado. Upaya peningkatan museum ini merupakan bentuk peran pemerintah provinsi terhad</t>
  </si>
  <si>
    <t xml:space="preserve">https://www.edisi.co.id/berita/9717229767/dahsyatnya-guncangan-gempa-di-manado-bikin-pria-paruh-baya-ini-ngacir-dari-kamar-mandi-meski-badan-penuh-sabun</t>
  </si>
  <si>
    <t xml:space="preserve">EDISI.co.id - Sebagian publik di media sosial dibuat terperangah dengan insiden tak terduga saat gempa besar mengguncang wilayah Manado , Sulawesi Utara (Sulut), pada Senin, 8 Juni 2026. Sebelumnya, g</t>
  </si>
  <si>
    <t xml:space="preserve">Belum punya akun? Daftar Akun Download TribunX untuk Android &amp; iOS TRIBUNMANADO.CO.ID - Museum daerah Sulut ramai dikunjungi di masa liburan pada akhir Juni 2026. Pengunjung mencapai 100 orang lebih p</t>
  </si>
  <si>
    <t xml:space="preserve">Belum punya akun? Daftar Akun Download TribunX untuk Android &amp; iOS TRIBUNMANADO.CO.ID - Sejarah masuknya agama Kristen ke Sulawesi Utara dapat dilacak melalui Museum Daerah Sulut. Museum tersebut terl</t>
  </si>
  <si>
    <t xml:space="preserve">https://www.detik.com/sulsel/berita/d-8576870/viral-mobil-antre-solar-di-spbu-manado-dikempesi-petugas-dishub-satpol-pp</t>
  </si>
  <si>
    <t xml:space="preserve">Viral di media sosial penertiban mobil yang mengantre solar di SPBU Politeknik, Kota Manado, Sulawesi Utara (Sulut). Ban mobil yang antre tersebut dikempesi oleh petugas gabungan Dinas Perhubungan (Di</t>
  </si>
  <si>
    <t xml:space="preserve">https://www.bbc.com/indonesia/articles/c93elrd3167o</t>
  </si>
  <si>
    <t xml:space="preserve">Sumber gambar, ANTARA FOTO/Andri Saputra Gempa bumi magnitudo 7,6 yang berpusat di perairan Bitung, Sulawesi Utara dan Maluku Utara, pukul 06.48 Wita (atau 05.48 WIB ) , Kamis (02/04), guncangannya di</t>
  </si>
  <si>
    <t xml:space="preserve">https://makassar.tribunnews.com/pangkep/1852233/semen-tonasa-temui-pemilik-toko-di-maluku-utara-sulut-kelangkaan-jadi-perhatian</t>
  </si>
  <si>
    <t xml:space="preserve">Belum punya akun? Daftar Akun Download TribunX untuk Android &amp; iOS TRIBUN-TIMUR.COM, PANGKEP - Manajemen PT Semen Tonasa turun langsung menemui pelanggan di Maluku Utara dan Sulawesi Utara pada 22-25 </t>
  </si>
  <si>
    <t xml:space="preserve">https://www.jatimnetwork.com/trending/4317667354/hari-jadi-sulut-twibbon-dan-3-ucapan-hut-provinsi-sulawesi-utara-ke-62-tahun-2026-berdesain-paling-bagus?page=2</t>
  </si>
  <si>
    <t xml:space="preserve">1. Dirgahayu Sulawesi Utara ke-62! SULUT MELAJU, 'Maju, sejahtera, dan berkelanjutan'! 2. Selamat HUT Sulut ke-62! Semoga selalu menjadi yang terbaik, terus berinovasi untuk kemajuan daerah tercinta. </t>
  </si>
  <si>
    <t xml:space="preserve">https://mediaindonesia.com/nusantara/922978/polda-riau-ungkap-jaringan-peti-rp15-miliar-pemodal-dan-pemilik-toko-emas-ditangkap</t>
  </si>
  <si>
    <t xml:space="preserve">Pengalaman Baru Menginap di Fox Hotel Nagoya Batam - Jawa Pos</t>
  </si>
  <si>
    <t xml:space="preserve">Terungkap, dari 16 unit rumah temuan Ombudsman RI, cuma tiga unit berstatus barang milik negara. DIREKTORAT Reserse Kriminal Khusus (Ditreskrimsus) Polda Riau membongkar mata rantai perdagangan emas h</t>
  </si>
  <si>
    <t xml:space="preserve">Belum punya akun? Daftar Akun Download TribunX untuk Android &amp; iOS TRIBUNMANADO.CO.ID - Beredar video kericuhan yang diduga terjadi di Mal Manado Town Square (Mantos), Jalan Piere Tendean, Kecamatan S</t>
  </si>
  <si>
    <t xml:space="preserve">Belum punya akun? Daftar Akun Download TribunX untuk Android &amp; iOS TRIBUNMANADO.CO.ID - MANADO - Seorang penjaga toko pakaian di area Manado Town Square (Mantos), Kota Manado, Sulawesi Utara, mengaku </t>
  </si>
  <si>
    <t xml:space="preserve">https://sulsel.idntimes.com/news/sulawesi-selatan/kerap-jadi-korban-kebijakan-pedagang-pasar-bersehati-manado-demo-00-dgmbm-fsgjzg</t>
  </si>
  <si>
    <t xml:space="preserve">Manado, IDNTimes - Pedagang Pasar Bersehati Manado yang menamakan diri sebagai Forum Persatuan Persaudaraan Pasar Tradisional (FP3T) Bersehati menggelar demo di sejumlah titik di Kota Manado, Sulawesi</t>
  </si>
  <si>
    <t xml:space="preserve">https://bolmora.com/06/2026/89634/viral-postingan-singgung-gubernur-ysk-lucky-senduk-tempuh-jalur-hukum-jangan-catut-nama-saya/</t>
  </si>
  <si>
    <t xml:space="preserve">BOLMORA.COM,SULUT - Direktur Utama PD Pasar Manado, Lucky Senduk, angkat bicara terkait beredarnya unggahan di media sosial yang mencatut namanya dan menyeret nama Gubernur Sulawesi Utara, Yulius Selv</t>
  </si>
  <si>
    <t xml:space="preserve">Viral Video Perkelahian Tiga Emak-emak di Pasar Sentral Sinjai, Berujung Saling Lapor Polisi SINJAI, KOMPAS.com - Polres Sinjai menyelidiki kasus perkelahian yang melibatkan tiga emak-emak di Pasar Se</t>
  </si>
  <si>
    <t xml:space="preserve">https://otomotif.kompas.com/read/2026/08/10/113019815/viral-video-drag-race-kotamobagu-mobil-hilang-kendali-tabrak-penonton</t>
  </si>
  <si>
    <t xml:space="preserve">otomotif.kompas.com</t>
  </si>
  <si>
    <t xml:space="preserve">Kapolsek Lubuk Baja Kompol Deni Langie Terima Penghargaan dari Kapolda Kepri - Batamline.com</t>
  </si>
  <si>
    <t xml:space="preserve">Batamline.com</t>
  </si>
  <si>
    <t xml:space="preserve">Viral Video Drag Race Kotamobagu, Mobil Hilang Kendali Tabrak Penonton JAKARTA, KOMPAS.com - Video kecelakaan dalam ajang drag race di Kelurahan Upai, Kotamobagu, Sulawesi Utara, viral di media sosial</t>
  </si>
  <si>
    <t xml:space="preserve">https://afu.id/nasional/tragedi-drag-race-kotamobagu-panitia-dan-pemberi-izin-dalam-ancaman-pidana</t>
  </si>
  <si>
    <t xml:space="preserve">Nikmati fitur lengkap distribusi bias, newsletter, pemberitahuan berita Penulis: Mujib Rahman Kecelakaan tragis terjadi di ajang Drag Race di Kotamobagu, Sulawesi Utara, yang mengakibatkan tujuh orang</t>
  </si>
  <si>
    <t xml:space="preserve">https://detotabuan.com/bolaang-mongondow-raya/kotamobagu/imi-sulut-ungkap-batas-kewenangan-di-drag-race-kotamobagu-teknis-di-rc-penonton-di-panitia/</t>
  </si>
  <si>
    <t xml:space="preserve">Tiga Hari Perlombaan, Dragon Boat Race 2026 Siap Jadi Event Internasional Kepulauan Riau - Batamnews</t>
  </si>
  <si>
    <t xml:space="preserve">Detotabuan.com, MANADO – Pengurus Provinsi Ikatan Motor Indonesia (IMI) Sulawesi Utara buka suara soal posisi dan kewenangannya dalam penyelenggaraan event balap, menyusul kecelakaan maut Drag Race Ko</t>
  </si>
  <si>
    <t xml:space="preserve">https://regional.kompas.com/read/2026/08/11/091727678/kapolda-sebut-pebalap-drag-race-kotamobagu-berpotensi-jadi-tersangka-8?page=all</t>
  </si>
  <si>
    <t xml:space="preserve">Kapolda Sebut Pebalap Drag Race Kotamobagu Berpotensi Jadi Tersangka, 8 Orang Tewas KOTAMOBAGU, KOMPAS.com - Kapolda Sulawesi Utara (Sulut) menyebut pebalap drag race yang terlibat dalam kecelakaan ma</t>
  </si>
  <si>
    <t xml:space="preserve">TRIBUNSTYLE.COM - Pulau Sulawesi kembali menghadirkan beragam agenda menarik yang bisa menjadi pilihan masyarakat pada Kamis, 10 September 2026. Berdasarkan penelusuran TribunStyle.com, setidaknya ada</t>
  </si>
  <si>
    <t xml:space="preserve">https://www.tribunnews.com/nasional/7867399/pakar-setuju-dengan-kapolda-sulut-soal-tian-ngantung-bisa-tersangka-imbas-drag-race-maut-kotamobagu</t>
  </si>
  <si>
    <t xml:space="preserve">www.tribunnews.com</t>
  </si>
  <si>
    <t xml:space="preserve">Belum punya akun? Daftar Akun Download TribunX untuk Android &amp; iOS TRIBUNNEWS.COM - Pakar hukum pidana dari Universitas Trisakti, Abdul Fickar Hadjar, setuju dengan pernyataan Kapolda Sulawesi Utara (</t>
  </si>
  <si>
    <t xml:space="preserve">RRI.CO.ID, Gorontalo - Kebakaran hebat melanda Rumah Makan Saung Telaga di Desa Pantungo, Kecamatan Telaga Biru, Kabupaten Gorontalo, Sabtu 25 April 2026 dini hari. Api diduga bermula dari ruang arsip</t>
  </si>
  <si>
    <t xml:space="preserve">Penulis: Admin - Rabu, 29 Juli 2026 GORONTALO – Pilihan kuliner di Kota Gorontalo kembali bertambah. Warteg Kharisma Bahari resmi hadir membawa konsep warung tegal (warteg) yang lebih modern dengan me</t>
  </si>
  <si>
    <t xml:space="preserve">GORONTALO (19 Juni): Anggota DPR RI dari Fraksi Partai NasDem Rachmat Gobel, persembahkan tiga destinasi wisata sekaligus dalam rangka menyambut penyelenggaraan Pekan Nasional (Penas) Petani Nelayan X</t>
  </si>
  <si>
    <t xml:space="preserve">Provinsi Gorontalo terus menarik perhatian wisatawan sebagai salah satu destinasi unggulan di kawasan Indonesia Timur. Dikenal dengan keindahan laut, pulau-pulau eksotis, hingga wisata sejarah yang ka</t>
  </si>
  <si>
    <t xml:space="preserve">https://jogja.disway.id/wisata/read/700283/surga-tersembunyi-wisata-gorontalo-sulawesi-jadi-destinasi-yang-memikat-hati</t>
  </si>
  <si>
    <t xml:space="preserve">diswayjogja.id - Masih mencari destinasi liburan yang jauh dari keramaian namun memanjakan mata dan jiwa? Gorontalo hadir dengan tujuh destinasi wisata unggulan yang siap membuat Anda jatuh cinta pada</t>
  </si>
  <si>
    <t xml:space="preserve">LIMBOTO, DISKOMINFO – Pentadio Resort kembali menghadirkan inovasi baru untuk menarik minat wisatawan. Destinasi wisata andalan Kabupaten Gorontalo itu kini memiliki replika kucing raksasa interaktif </t>
  </si>
  <si>
    <t xml:space="preserve">https://60dtk.com/terjaring-razia-dinsos-pm-kota-gorontalo-lakukan-pendataan-dan-pembinaan-terhadap-19-ppks/</t>
  </si>
  <si>
    <t xml:space="preserve">60DTK.COM – Dinas Sosial dan Pemberdayaan Masyarakat (Dinsos-PM) Kota Gorontalo melakukan pendataan dan pembinaan terhadap 19 Pemerlu Pelayanan Kesejahteraan Sosial (PPKS) yang terjaring razia penerti</t>
  </si>
  <si>
    <t xml:space="preserve">&lt;p&gt;Headline.co.id, Kota Gorontalo ~ Dinas Pendidikan dan Kebudayaan (Dikbud) Provinsi Gorontalo melalui Unit Pelaksana Teknis Daerah (UPTD) Museum Purbakala menyelenggarakan program Belajar Bersama di</t>
  </si>
  <si>
    <t xml:space="preserve">https://www.poskota.co.id/2026/09/12/viral-video-meteor-jatuh-di-gorontalo-asli-atau-ai-timbulkan-dentuman-misterius-di-langit</t>
  </si>
  <si>
    <t xml:space="preserve">www.poskota.co.id</t>
  </si>
  <si>
    <t xml:space="preserve">POSKOTA.CO.ID - Sejumlah warganet di media sosial dihebohkan oleh video viral penampakan meteor jatuh di Gorontalo. Dalam rekaman video yang beredar luas di media sosial, nampak kilatan cahaya yang sa</t>
  </si>
  <si>
    <t xml:space="preserve">https://gorontalo.pikiran-rakyat.com/daerah/pr-19610416501/realisasi-serapan-apbn-triwulan-ii-provinsi-gorontalo-capai-5105-persen</t>
  </si>
  <si>
    <t xml:space="preserve">gorontalo.pikiran-rakyat.com</t>
  </si>
  <si>
    <t xml:space="preserve">TERAS Gorontalo - Anggaran Pendapatan Belanja Negara ( Gorontalo .pikiran-rakyat.com/tag/apbn"&gt;APBN) di Provinsi Gorontalo tahun 2026 dari total pagu sebesar Rp.9,6 triliun menunjukan tren positif. Te</t>
  </si>
  <si>
    <t xml:space="preserve">https://gorontalo.tribunnews.com/bone-bolango/83794/pemkab-bone-bolango-gorontalo-klarifikasi-isu-pengadaan-gorden-di-rumah-dinas</t>
  </si>
  <si>
    <t xml:space="preserve">Belum punya akun? Daftar Akun Download TribunX untuk Android &amp; iOS TRIBUNGORONTALO.COM – Pemerintah Kabupaten Bone Bolango , Provinsi Gorontalo melalui Kepala Bagian Umum Setda Bone Bolango, Endang Go</t>
  </si>
  <si>
    <t xml:space="preserve">https://tintanusantara.co.id/tanggapi-isu-polis-viral-bri-life-gorontalo-tegaskan-perbedaan-produk-davestera-dan-agency/</t>
  </si>
  <si>
    <t xml:space="preserve">Tinta nusantara,co,id.Gorontalo – Menanggapi isu yang ramai diperbincangkan di media sosial terkait keluhan terhadap produk asuransi BRI Life, Agency Direktur PT BRI Life Gorontalo, Hanna Pandelaki, S</t>
  </si>
  <si>
    <t xml:space="preserve">https://aktualita.co/ekonomi/harga-cabai-rawit-di-sejumlah-daerah-gorontalo-utara-tembus-rp200-ribu-per-kg</t>
  </si>
  <si>
    <t xml:space="preserve">Harga Cabai Rawit di Sejumlah Daerah, Gorontalo Utara Tembus Rp200 Ribu per Kg Jakarta, Aktualita.co — Harga cabai rawit di sejumlah wilayah Indonesia masih bergerak tinggi dan menunjukkan selisih yan</t>
  </si>
  <si>
    <t xml:space="preserve">https://rri.co.id/gorontalo/ekonomi/umkm/2314403/umkm-gorontalo-didorong-perkuat-branding-dan-digitalisasi</t>
  </si>
  <si>
    <t xml:space="preserve">RRI.CO.ID, Gorontalo - Upaya mendorong masyarakat untuk lebih mencintai produk lokal terus dilakukan oleh pelaku Usaha Mikro, Kecil, dan Menengah (UMKM) di Kabupaten Gorontalo. Berbagai inovasi pun di</t>
  </si>
  <si>
    <t xml:space="preserve">https://www.hulondalo.id/news/96417557196/buka-peluang-pasar-digital-kadis-pppa-pmd-dorong-kemandirian-ekonomi-anggota-dwp-gorontalo</t>
  </si>
  <si>
    <t xml:space="preserve">www.hulondalo.id</t>
  </si>
  <si>
    <t xml:space="preserve">Hulondalo.id - Kepala Dinas PPPA PMD Provinsi Gorontalo, Yana Yanti Suleman , mendorong perempuan untuk semakin berdaya dan mandiri secara ekonomi melalui penguatan kapasitas dalam mengembangkan usaha</t>
  </si>
  <si>
    <t xml:space="preserve">https://www.hulondalo.id/news/96417665651/dprd-gorontalo-utara-tindak-lanjuti-aduan-lahan-kampung-nelayan-program-pemerintah-tetap-berjalan</t>
  </si>
  <si>
    <t xml:space="preserve">Hulondalo.id — Pimpinan DPRD Kabupaten Gorontalo Utara bersama Komisi I menindaklanjuti aduan masyarakat terkait penguasaan sertifikat hak pakai atas lahan yang menjadi lokasi pembangunan Kampung Nela</t>
  </si>
  <si>
    <t xml:space="preserve">GORONTALO, NEWSREAL.ID – Bank Indonesia Provinsi Gorontalo bekerjasama dengan Pemprov Gorontalo dan Dewan Kerajinan Nasional Daerah Provinsi Gorontalo menyelenggarakan Festival Kuliner dalam rangkaian</t>
  </si>
  <si>
    <t xml:space="preserve">https://berita.gorontaloprov.go.id/2026/04/22/cegah-risiko-wagub-gorontalo-minta-makanan-mbg-tidak-dibawa-pulang/</t>
  </si>
  <si>
    <t xml:space="preserve">berita.gorontaloprov.go.id</t>
  </si>
  <si>
    <t xml:space="preserve">Bone Bolango, Kominfotik – Ketua Satgas MBG  yang juga Wakil Gubernur Gorontalo Idah Syahidah Rusli Habibie menegaskan pentingnya konsumsi Program Makan Bergizi Gratis (MBG) dilakukan langsung di seko</t>
  </si>
  <si>
    <t xml:space="preserve">https://koran-jakarta.com/2026-09-09/lapas-gorontalo-mempererat-silaturahim-wbp-lewat-festival-walima</t>
  </si>
  <si>
    <t xml:space="preserve">koran-jakarta.com</t>
  </si>
  <si>
    <t xml:space="preserve">Gorontalo - Lembaga Pemasyarakatan (Lapas) Kelas IIA Gorontalo mempererat silaturahim warga binaan pemasyarakatan (WBP) melalui Festival Walima dalam rangka memperingati Maulid Nabi Muhammad SAW. Kepa</t>
  </si>
  <si>
    <t xml:space="preserve">https://minangsatu.com/prof-reda-dorong-abpednas-jadi-rumah-besar-bpd-dan-lpmk-gorontalo-kawal-program-desa-dan-kelurahan-hingga-nasional_44608</t>
  </si>
  <si>
    <t xml:space="preserve">minangsatu.com</t>
  </si>
  <si>
    <t xml:space="preserve">Jakarta (Minangsatu) — Penguatan kelembagaan desa dan kelurahan mendapat momentum penting melalui pelantikan anggota Asosiasi Badan Permusyawaratan Desa dan LPMK Nasional (ABPEDNAS) di Provinsi Goront</t>
  </si>
  <si>
    <t xml:space="preserve">https://berita.gorontaloprov.go.id/2026/04/20/dari-kritik-hingga-klarifikasi-polemik-mbg-di-bone-pesisir-jadi-evaluasi-bersama/</t>
  </si>
  <si>
    <t xml:space="preserve">Kota Gorontalo, Kominfotik – Polemik terkait Program Makan Bergizi Gratis (MBG) di wilayah Bone Pesisir menjadi perhatian serius berbagai pihak. Mulai dari kritik mahasiswa hingga klarifikasi penyelen</t>
  </si>
  <si>
    <t xml:space="preserve">https://kronologi.id/federasi-olahraga-domino-kabupaten-gorontalo-gelar-event-untuk-atlet-kejurnas/</t>
  </si>
  <si>
    <t xml:space="preserve">Kronologi, Gorontalo- Pengurus Cabang Olahraga Domino (Orado) Kabupaten Gorontalo menggelar event domino dalam rangka penjaringan atlet untuk Tingkat Kejuaraan Nasional 1. Acara ini mengusung Tema “Da</t>
  </si>
  <si>
    <t xml:space="preserve">Kronologi, Gorontalo – Turnamen bola basket bertajuk Perbasi Fest 2026 sukses mencatatkan sejarah baru. Kompetisi basket kategori 3on3 (tiga lawan tiga) ini resmi menjadi event pertama di Indonesia ya</t>
  </si>
  <si>
    <t xml:space="preserve">https://berita.gorontaloprov.go.id/2026/04/22/wagub-idah-gerak-cepat-luruskan-kasus-sppg-tihu-yang-sempat-viral/</t>
  </si>
  <si>
    <t xml:space="preserve">Bone Bolango, Kominfotik – Polemik Program Makan Bergizi Gratis (MBG) di wilayah Bone Pesisir, Kabupaten Bone Bolango, langsung direspons cepat oleh Wakil Gubernur Gorontalo, Idah Syahidah Rusli Habib</t>
  </si>
  <si>
    <t xml:space="preserve">JURNALACEH.COM - Sedang melakukan perjalanan dinas atau berwisata di sekitar kawasan Balai Kota Surabaya dan bingung memilih menu makan siang? Anda berada di area yang tepat. Pusat pemerintahan Kota P</t>
  </si>
  <si>
    <t xml:space="preserve">Belum punya akun? Daftar Akun Download TribunX untuk Android &amp; iOS TRIBUNGORONTALO.COM, Boalemo – Kabupaten Boalemo menjadi salah satu daerah strategis di Provinsi Gorontalo yang sering dilintasi peng</t>
  </si>
  <si>
    <t xml:space="preserve">JURNALACEH.COM - Menghabiskan waktu di hari weekend terasa kurang lengkap tanpa agenda berburu kuliner lezat di Kota Batam . JurnalAceh.com akan mengulas lengkap rekomendasi tempat makan yang cocok un</t>
  </si>
  <si>
    <t xml:space="preserve">Tahukah kalian jika ada sebuah danau yang sempat viral di berbagai media sosial karena keindahan alamnya yaitu danau Paisu Pok, dengan pemandangan hijau serta jernihnya air tak heran jika danau yang s</t>
  </si>
  <si>
    <t xml:space="preserve">RRI.CO.ID, Tolitoli - Pesona keindahan alam pesisir kembali menjadi daya tarik wisata, salah satunya di objek wisata Pantai Katayan Desa Laulalang Kecamatan Tolitoli Utara yang saat ini sedang viral d</t>
  </si>
  <si>
    <t xml:space="preserve">RRI.CO.ID, Bukittinggi - Indonesia bagian timur selalu menyimpan rahasia keindahan yang belum terjamah sepenuhnya. Jauh di Kabupaten Morowali, Sulawesi Tengah, terdapat sebuah surga tropis yang sering</t>
  </si>
  <si>
    <t xml:space="preserve">RRI.CO.ID, Palu - Kawasan Padang Kuda di Danau Lindu kini tengah menjadi perbincangan hangat di media sosial. Pemandangan hamparan padang rumput luas dengan kuda-kuda yang merumput bebas menarik perha</t>
  </si>
  <si>
    <t xml:space="preserve">https://www.dw.com/id/cek-fakta-pemerintah-akan-tutup-toko-swasta-demi-kopdes/a-78068408</t>
  </si>
  <si>
    <t xml:space="preserve">Sebuah video TikTok yang viral pada awal Juli 2026 mengeklaim pemerintah akan menutup semua toko swasta agar Koperasi Desa Merah Putih (KDMP) "bisa berjalan maksimal tanpa pesaing dan untung banyak." </t>
  </si>
  <si>
    <t xml:space="preserve">Toko Daging Nusantara resmi membuka gerai ke-40 sebagai bagian dari ekspansi jaringan ritelnya di Indonesia. Penambahan gerai ini memperluas jangkauan perusahaan yang kini menghadirkan berbagai kebutu</t>
  </si>
  <si>
    <t xml:space="preserve">https://sulsel.suara.com/read/2026/04/18/190024/china-mulai-jatuh-hati-pada-durian-sulawesi-borong-ratusan-ton</t>
  </si>
  <si>
    <t xml:space="preserve">SuaraSulsel.id - Badan Karantina Indonesia (Barantin) bersama Pemerintah Provinsi Sulawesi Tengah melepas ekspor 459 ton durian beku ke China senilai Rp42,5 miliar dari Palu, Sulawesi Tengah. Kepala B</t>
  </si>
  <si>
    <t xml:space="preserve">https://kaidah.id/headline/read/22378/sulteng-bidik-jadi-raja-durian-dunia-ekspor-ke-china-capai-7-344-ton/</t>
  </si>
  <si>
    <t xml:space="preserve">kaidah.id</t>
  </si>
  <si>
    <t xml:space="preserve">Selama Januari hingga Mei 2026 terjadi ekspor sebanyak 6.615 ton, lalu terus meningkat dan tercatat Januari hingga Juli 2026, ekspor durian beku ke China mencapai 7.344 ton PALU, KAIDAH.ID – Gubernur </t>
  </si>
  <si>
    <t xml:space="preserve">https://lutimterkini.com/cekcok-pedagang-pasar-bahodopi-berujung-tikaman-di-leher/</t>
  </si>
  <si>
    <t xml:space="preserve">lutimterkini.com</t>
  </si>
  <si>
    <t xml:space="preserve">&lt;p&gt;Lutimterkini- Morowali — Seorang pedagang berinisial AJ harus menjalani perawatan medis setelah mengalami luka tikaman di bagian leher. Insiden tersebut terjadi di Pasar Rakyat Bahodopi, Desa Bahod</t>
  </si>
  <si>
    <t xml:space="preserve">https://kaidah.id/headline/read/22005/dari-hainan-untuk-sulawesi-tengah-belajar-membangun-pertanian-masa-depan/</t>
  </si>
  <si>
    <t xml:space="preserve">Dengan potensi sumber daya alam yang dimiliki, Sulawesi Tengah memiliki peluang besar untuk menjadikan pertanian modern sebagai salah satu motor pertumbuhan ekonomi baru. Dimulai dari komoditas sepert</t>
  </si>
  <si>
    <t xml:space="preserve">https://www.kompas.com/cekfakta/read/2026/05/05/084800582/-hoaks-undian-berhadian-bank-sulteng-periode-april-mei-2026?page=all</t>
  </si>
  <si>
    <t xml:space="preserve">[HOAKS] Undian Berhadian Bank Sulteng Periode April-Mei 2026 Berdasarkan verifikasi Kompas.com sejauh ini, informasi ini tidak benar. KOMPAS.com - Di media sosial bermunculan akun yang mengatasnamakan</t>
  </si>
  <si>
    <t xml:space="preserve">https://kabarselebes.id/berita/2026/05/18/sulteng-darurat-pinjol-wali-kota-palu-dukung-gerakan-literasi-keuangan-anak-muda/</t>
  </si>
  <si>
    <t xml:space="preserve">kabarselebes.id</t>
  </si>
  <si>
    <t xml:space="preserve">PALU, Kabar Selebes – Wali Kota Palu, H. Hadianto Rasyid, SE, menerima kunjungan jajaran manajemen Hanna Asa Indonesia di Rumah Jabatan Wali Kota Palu, Senin (18/5/2026). Pertemuan ini membahas langka</t>
  </si>
  <si>
    <t xml:space="preserve">TRIBUNSTYLE.COM - Sulawesi tidak hanya menawarkan pesona alam yang memukau serta kekayaan budaya yang begitu beragam. Pulau ini juga menyimpan sederet agenda menarik yang dapat menjadi pilihan bagi ma</t>
  </si>
  <si>
    <t xml:space="preserve">TRIBUNSTYLE.COM - Pulau Sulawesi tak pernah kehabisan pilihan kegiatan menarik untuk dinikmati masyarakat maupun wisatawan. Besok Selasa, 15 September 2026, sejumlah agenda telah disiapkan di berbagai</t>
  </si>
  <si>
    <t xml:space="preserve">TRIBUNSTYLE.COM - Pulau Sulawesi kembali menghadirkan beragam agenda menarik yang bisa menjadi pilihan masyarakat untuk mengisi waktu luang pada Sabtu, 12 September 2026. Sejumlah acara digelar di ber</t>
  </si>
  <si>
    <t xml:space="preserve">SULBARONLINE.COM, Mamuju – Jagat media sosial dihebohkan oleh rekaman video yang memperlihatkan aksi perkelahian brutal menggunakan senjata tajam (sajam) tradisional jenis badik. Peristiwa mencekam in</t>
  </si>
  <si>
    <t xml:space="preserve">https://www.detik.com/sulsel/hukum-dan-kriminal/d-8668682/emak-emak-curi-4-jeriken-minyak-goreng-di-toko-polman</t>
  </si>
  <si>
    <t xml:space="preserve">Seorang emak-emak terekam kamera pengawas atau CCTV mencuri 4 jeriken minyak goreng kemasan lima liter di toko kelontong Kabupaten Polewali Mandar (Polman), Sulawesi Barat (Sulbar). Video aksi pencuri</t>
  </si>
  <si>
    <t xml:space="preserve">https://www.detik.com/sulsel/hukum-dan-kriminal/d-8449356/wanita-terekam-cctv-curi-perhiasan-senilai-rp-52-juta-di-toko-emas-polman</t>
  </si>
  <si>
    <t xml:space="preserve">Seorang wanita tertangkap CCTV mencuri perhiasan emas dengan berat 18 gram di toko emas di Kabupaten Polewali Mandar (Polman), Sulawesi Barat (Sulbar). Korban mengalami kerugian sekitar Rp 52 juta. "T</t>
  </si>
  <si>
    <t xml:space="preserve">https://sulbar.tribunnews.com/polman/83278/viral-emak-emak-curi-4-jeriken-minyak-goreng-di-toko-wonomulyo-aksinya-terekam-cctv</t>
  </si>
  <si>
    <t xml:space="preserve">sulbar.tribunnews.com</t>
  </si>
  <si>
    <t xml:space="preserve">Belum punya akun? Daftar Akun Download TribunX untuk Android &amp; iOS TRIBUN-SULBAR.COM, POLMAN - Aksi pencurian empat jeriken minyak goreng di sebuah toko kawasan Kompleks Pasar Induk Kecamatan Wonomuly</t>
  </si>
  <si>
    <t xml:space="preserve">JatimNetwork.com - Ketika sedang berada di Jember, Jawa Timur, ada sebuah destinasi kuliner yang kita harus kunjungi. Apakah itu? Nah, destinasi kuliner yang dimaksudkan penulis melalui pernyataan yan</t>
  </si>
  <si>
    <t xml:space="preserve">https://sulbar.tribunnews.com/polman/82708/pemilik-toko-jualan-di-polman-diserang-otk-korban-lansia-dicekik-sempat-diseret</t>
  </si>
  <si>
    <t xml:space="preserve">Belum punya akun? Daftar Akun Download TribunX untuk Android &amp; iOS TRIBUN-SULBAR.COM, POLMAN- Seorang ibu Lanjut Usia (Lansia) bernama Mahawa (60) menjadi korban penyerangan Orang Tak Dikenal (OTK) di</t>
  </si>
  <si>
    <t xml:space="preserve">Dari informasi yang telah ada sebelumnya, rasa dari kue di toko yang satu ini sangatlah beda dengan kue yang ada sekarang. Kue-kue yang dijual di toko ini diketahui lebih padat dan teksturnya buttery </t>
  </si>
  <si>
    <t xml:space="preserve">https://www.detik.com/sulsel/bisnis/d-8657019/bank-sulselbar-perkuat-peran-sebagai-bank-devisa-buka-akses-ke-pasar-global</t>
  </si>
  <si>
    <t xml:space="preserve">PT Bank Pembangunan Daerah Sulawesi Selatan dan Sulawesi Barat (Bank Sulselbar) terus memperkuat perannya sebagai Bank Devisa dalam mendukung aktivitas perdagangan internasional. Bank Sulselbar turut </t>
  </si>
  <si>
    <t xml:space="preserve">https://regional.kompas.com/read/2026/09/16/163827078/beras-lokal-rp-16000-per-kg-beras-malaysia-kuasai-pasar-nunukan</t>
  </si>
  <si>
    <t xml:space="preserve">Beras Lokal Rp 16.000 Per Kg, Beras Malaysia Kuasai Pasar Nunukan NUNUKAN, KOMPAS.com – Beras Malaysia mulai mendominasi pasar-pasar tradisional di Kabupaten Nunukan, Kalimantan Utara, pasca-kenaikan </t>
  </si>
  <si>
    <t xml:space="preserve">https://sulsel.suara.com/read/2026/06/04/161649/gubernur-sulbar-ancam-cabut-izin-13-perusahaan-sawit</t>
  </si>
  <si>
    <t xml:space="preserve">SuaraSulsel.id - Gubernur Sulawesi Barat Suhardi Duka memanggil perwakilan 13 perusahaan Pabrik Kelapa Sawit (PKS) yang beroperasi di daerah itu, membahas anjloknya harga Tandan Buah Segar (TBS) sawit</t>
  </si>
  <si>
    <t xml:space="preserve">TRIBUNSTYLE.COM - Sulawesi tak hanya dikenal karena pesona alam dan kekayaan budayanya. Pulau ini juga memiliki berbagai agenda menarik yang bisa menjadi pilihan untuk mengisi waktu luang. Pilihan keg</t>
  </si>
  <si>
    <t xml:space="preserve">Polman, Katasulsel.com — Talenta muda asal Kabupaten Sidrap, Ratu Nurhilma Thalita, kembali menorehkan prestasi membanggakan di dunia catwalk. Gadis muda berbakat tersebut sukses bersinar di ajang Cul</t>
  </si>
  <si>
    <t xml:space="preserve">https://www.liputan6.com/regional/read/8253765/viral-bule-bikin-event-lari-di-bali-dan-wni-dilarang-ikut-satpol-pp-sebut-tak-ada-izin</t>
  </si>
  <si>
    <t xml:space="preserve">Liputan6.com, Jakarta - Viral di media sosial event lari yang diduga mendiskriminasi warga negara Indonesia (WNI). Event yang diikuti oleh sejumlah warga negara asing (WNA) itu digelar komunitas di ka</t>
  </si>
  <si>
    <t xml:space="preserve">https://www.radarbandung.id/2026/05/21/maxi-yamaha-day-2026-pecah-ribuan-riders-sulawesi-tumpah-ruah-rayakan-spirit-more-than-ride-di-kota-bone/</t>
  </si>
  <si>
    <t xml:space="preserve">www.radarbandung.id</t>
  </si>
  <si>
    <t xml:space="preserve">RADARBANDUNG.id, BONE– Yamaha kembali menghadirkan event akbar tahunan MAXi Yamaha Day sebagai bentuk komitmen perusahaan dalam memfasilitasi passion berkendara, memperkuat solidaritas komunitas, seka</t>
  </si>
  <si>
    <t xml:space="preserve">https://sulbar.tribunnews.com/mamuju/80974/190-pelajar-se-sulbar-ikuti-manakarra-taekwondo-festival-iv-di-mamuju-ajang-pembinaan-atlet-muda</t>
  </si>
  <si>
    <t xml:space="preserve">Belum punya akun? Daftar Akun Download TribunX untuk Android &amp; iOS TRIBUN-SULBAR.COM, MAMUJU – Sebanyak 190 pelajar dari berbagai daerah di Sulawesi Barat mengikuti Manakarra Taekwondo Festival IV di </t>
  </si>
  <si>
    <t xml:space="preserve">https://katasulsel.com/da8-angkat-nama-sidrap-syaharuddin-terima-kasih-indosiar/</t>
  </si>
  <si>
    <t xml:space="preserve">Sidrap, katasulsel.com — Ada satu hal yang terasa jelas di pagi itu: Sidrap tidak lagi sekadar daerah. Ia berubah menjadi panggung. Audisi Dangdut Academy 8 resmi dibuka langsung oleh Syaharuddin Alri</t>
  </si>
  <si>
    <t xml:space="preserve">Mulai dari kuliner legendaris yang telah bertahan puluhan tahun hingga hidden gem dengan suasana nyaman dan menu menggugah selera. Bagi banyak orang, perjalanan ke Makassar bukan hanya tentang menikma</t>
  </si>
  <si>
    <t xml:space="preserve">https://arusbawah.co/rekomendasi-10-coto-makassar-enak-di-samarinda-yang-wajib-dicoba-kuahnya-gurih-kaya-rempah?page=full</t>
  </si>
  <si>
    <t xml:space="preserve">ARUSBAWAH.CO - Bagi pencinta kuliner khas Sulawesi Selatan, coto Makassar menjadi salah satu hidangan yang wajib dicoba.Sajian berkuah yang terbuat da...</t>
  </si>
  <si>
    <t xml:space="preserve">Biasanya, orang yang berlibur merasa tak lengkap jika aktivitas atau pose dirinya tak diabadikan di media sosial. Makanya, sebagian orang mengincar destinasi yang dianggap Instagramable alias menarik </t>
  </si>
  <si>
    <t xml:space="preserve">Tim SAR gabungan berhasil menemukan gadis bernama Elmi Febrianti (17) yang dilaporkan hilang usai tenggelam di kawasan wisata Apparalang, Kabupaten Bulukumba, Sulawesi Selatan (Sulsel). Korban ditemuk</t>
  </si>
  <si>
    <t xml:space="preserve">SuaraSulsel.id - Liburan keluarga yang diharapkan menjadi momen menyenangkan berakhir tragis di kawasan wisata Apparalang, Kabupaten Bulukumba , Sulawesi Selatan. Seorang remaja perempuan bernama Elmi</t>
  </si>
  <si>
    <t xml:space="preserve">Viral gadis ABG bernama Elmi Febrianti (17) ditemukan tewas di kawasan wisata Apparalang, Kabupaten Bulukumba, Sulawesi Selatan (Sulsel). Elmi terjatuh saat berfoto di pinggir tebing Apparalang. Peris</t>
  </si>
  <si>
    <t xml:space="preserve">Keluarga gadis ABG bernama Elmi Febrianti (17) telah melaporkan insiden maut yang dialami korban di kawasan wisata Apparalang, Kabupaten Bulukumba, Sulawesi Selatan (Sulsel). Polisi yang melakukan pen</t>
  </si>
  <si>
    <t xml:space="preserve">https://palopopos.fajar.co.id/2026/07/09/pemprov-sulsel-canangkan-rekor-muri-gerakan-minum-multiple-micronutrient-supplement-serentak-bagi-54-000-ibu-hamil/</t>
  </si>
  <si>
    <t xml:space="preserve">palopopos.fajar.co.id</t>
  </si>
  <si>
    <t xml:space="preserve">PALOPOPOS.CO.ID, MAKASSAR – Pemerintah Provinsi Sulawesi Selatan melalui Dinas Kesehatan Provinsi Sulawesi Selatan bekerja sama dengan Tim Penggerak PKK Provinsi Sulawesi Selatan mencanangkan Gerakan </t>
  </si>
  <si>
    <t xml:space="preserve">https://www.jatimnetwork.com/trending/4317281222/3-arti-need-a-buddy-artinya-apa-inilah-pekerjaan-jolina-di-sinetron-asmara-gen-z-episode-579-yang-viral-di-medsos</t>
  </si>
  <si>
    <t xml:space="preserve">Pemkab Basel Sosialisasi Logo dan Mantapkan Persiapan Festival Junjung Besaoh 2026 - Radar Bahtera</t>
  </si>
  <si>
    <t xml:space="preserve">Radar Bahtera</t>
  </si>
  <si>
    <t xml:space="preserve">JatimNetwork.com – Mungkin banyak yang tak tahu apa itu need a buddy . Kali ini para penggemar sinetron Asmara Gen Z dibuat penasaran akan arti dari need a buddy . Hal ini setelah back story dari Joli</t>
  </si>
  <si>
    <t xml:space="preserve">https://www.detik.com/sulsel/makassar/d-8499919/toko-kelontong-di-makassar-disatroni-perampok-pemilik-diancam-sajam</t>
  </si>
  <si>
    <t xml:space="preserve">Sebuah toko kelontong di Kota Makassar , Sulawesi Selatan (Sulsel), dirampok orang tak dikenal (OTK). Pelaku yang terekam CCTV merampas uang hasil jualan sambil mengancam penjual menggunakan senjata t</t>
  </si>
  <si>
    <t xml:space="preserve">https://www.detik.com/sulsel/hukum-dan-kriminal/d-8565421/diancam-pakai-pisau-polisi-lepaskan-tembakan-saat-tangkap-maling-di-takalar</t>
  </si>
  <si>
    <t xml:space="preserve">Pria berinisial F (24), pelaku pembobolan dan pencurian toko kelontong di Kabupaten Takalar , Sulawesi Selatan (Sulsel), ditangkap polisi. Pelaku sempat mengancam aparat menggunakan pisau saat hendak </t>
  </si>
  <si>
    <t xml:space="preserve">Makassar (ANTARA) - Polisi masih melakukan serangkaian penyelidikan serta memburu dua pelaku pembobolan toko penjualan produk kuliner ayam krispi yang terekam kamera pengawas atau CCTV usai melancarka</t>
  </si>
  <si>
    <t xml:space="preserve">https://www.detik.com/sulsel/makassar/d-8503464/remaja-bersajam-rampok-toko-kelontong-di-tamalate-makassar-ditangkap</t>
  </si>
  <si>
    <t xml:space="preserve">Sebuah toko kelontong di Kota Makassar, Sulawesi Selatan (Sulsel), yang sempat dirampok orang tidak dikenal (OTK) menggunakan senjata tajam (sajam) akhirnya terungkap. Pelaku berinisial MAA (16) ditan</t>
  </si>
  <si>
    <t xml:space="preserve">https://www.detik.com/sulsel/makassar/d-8455952/heboh-sopir-taksi-online-di-makassar-diamuk-massa-hingga-mobil-dirusak</t>
  </si>
  <si>
    <t xml:space="preserve">Heboh di media sosial seorang sopir taksi online diamuk massa usai dituding menyerempet motor di Kota Makassar , Sulawesi Selatan (Sulsel). Pria yang belum diketahui identitasnya itu sampai luka-luka </t>
  </si>
  <si>
    <t xml:space="preserve">https://m.rctiplus.com/news/detail/nasional/5391086/kecanduan-judol--remaja-terekam-cctv-nekat-rampok-toko-kelontong-di-makassar</t>
  </si>
  <si>
    <t xml:space="preserve">m.rctiplus.com</t>
  </si>
  <si>
    <t xml:space="preserve">MAKASSAR, iNews.id – Aksi remaja yang viral di media sosial merampok toko kelontong di Jalan Daeng Tata Raya, Kota Makassar, Sulawesi Selatan akhirnya ditangkap...</t>
  </si>
  <si>
    <t xml:space="preserve">https://www.detik.com/sulsel/makassar/d-8445715/sekelompok-pemotor-kejar-remaja-pakai-busur-panah-di-toko-kelontong-makassar</t>
  </si>
  <si>
    <t xml:space="preserve">Heboh di media sosial sekelompok pengendara motor mengejar seorang remaja menggunakan busur panah di Makassar , Sulawesi Selatan (Sulsel). Remaja yang diduga hendak bersembunyi itu sampai masuk ke sal</t>
  </si>
  <si>
    <t xml:space="preserve">https://www.detik.com/sulsel/hukum-dan-kriminal/d-8607125/pedagang-emak-emak-berkelahi-di-pasar-sinjai-saling-lapor-dugaan-penganiayaan</t>
  </si>
  <si>
    <t xml:space="preserve">Pedagang wanita berinisial JM terlibat perkelahian dengan wanita inisial JR dan anaknya di Pasar Sentral Kabupaten Sinjai, Sulawesi Selatan (Sulsel). JM kemudian melaporkan JR ke polisi atas dugaan pe</t>
  </si>
  <si>
    <t xml:space="preserve">https://www.bbc.com/indonesia/articles/cly0z028d5xo</t>
  </si>
  <si>
    <t xml:space="preserve">Sumber gambar, Ikbal Asra Sebagian pedagang kecil di Indonesia terpaksa memangkas keuntungan karena kenaikan harga plastik yang pasokan bahan bakunya terganggu konflik di Timur Tengah. Mereka mengaku </t>
  </si>
  <si>
    <t xml:space="preserve">https://pelakita.id/2026/04/25/serbuan-produk-china-saat-sulawesi-selatan-diuji-di-tengah-gelombang-impor/</t>
  </si>
  <si>
    <t xml:space="preserve">pelakita.id</t>
  </si>
  <si>
    <t xml:space="preserve">Generasi muda Indonesia secara perlahan mengadopsi tren tersebut tanpa selalu menyadari kompleksitas sejarah hubungan kedua negara. Ini menandai satu hal penting: persepsi publik terhadap China sedang</t>
  </si>
  <si>
    <t xml:space="preserve">https://makassar.antaranews.com/berita/631056/polisi-tangkap-lima-remaja-terduga-pelaku-kejahatan-jalanan-di-makassar</t>
  </si>
  <si>
    <t xml:space="preserve">Makassar (ANTARA) - Kepolisian sektor (Polsek) Makassar menangkap lima remaja terduga pelaku kejahatan jalanan di Jalan Maccini Pasar Malam Makassar, Sulawesi Selatan. "Kami mendatangi rumah remaja in</t>
  </si>
  <si>
    <t xml:space="preserve">https://www.bbc.com/indonesia/articles/c20l89ydpy2o</t>
  </si>
  <si>
    <t xml:space="preserve">Sumber gambar, Muhammad Aidil/BBC News Indonesia Kelangkaan Bahan Bakar Minyak (BBM) terjadi di hampir semua Stasiun Pengisian Bahan Bakar Umum (SPBU) di Makassar, Sulawesi Selatan, selama seminggu te</t>
  </si>
  <si>
    <t xml:space="preserve">Kebakaran melanda Pasar Agro Sumillan di Kabupaten Enrekang, Sulawesi Selatan (Sulsel). Sebanyak 9 kios semi permanen milik pedagang hangus terbakar dengan total kerugian ditaksir mencapai Rp 450 juta</t>
  </si>
  <si>
    <t xml:space="preserve">https://www.detik.com/sulsel/makassar/d-8586378/119-kios-di-pasar-sawah-makassar-disegel-gegara-nunggak-sewa-rp-569-juta</t>
  </si>
  <si>
    <t xml:space="preserve">Sebanyak 119 kios di Pasar Sawah, Kota Makassar, Sulawesi Selatan (Sulsel), disegel gegara pedagang tidak membayar sewa sejak 2024-2026. Perumda Pasar Makassar Raya mencatat total tunggakan mencapai R</t>
  </si>
  <si>
    <t xml:space="preserve">https://www.detik.com/sulsel/makassar/d-8620743/geng-motor-serang-warga-pasar-senggol-makassar-5-pelaku-ditangkap</t>
  </si>
  <si>
    <t xml:space="preserve">Geng motor melakukan penyerangan terhadap warga di kawasan Pasar Senggol, Kota Makassar, Sulawesi Selatan (Sulsel). Polisi yang turun tangan mengamankan lima remaja yang diduga geng motor dan satu uni</t>
  </si>
  <si>
    <t xml:space="preserve">https://www.detik.com/sulsel/makassar/d-8503433/viral-geng-motor-bawa-sajam-serang-warga-di-makassar-5-remaja-ditangkap</t>
  </si>
  <si>
    <t xml:space="preserve">Video geng motor membawa senjata tajam (sajam) di Kota Makassar, Sulawesi Selatan (Sulsel), viral di media sosial. Polisi mengamankan lima orang remaja dalam aksi itu yang diduga melakukan penyerangan</t>
  </si>
  <si>
    <t xml:space="preserve">Wamanews.id, 24 September 2026 - Festival Danau Tempe 2026 resmi dibuka di Lapangan Merdeka Sengkang, Kabupaten Wajo, Sulawesi Selatan, Rabu malam, 23 September 2026. Pembukaan festival ditandai denga</t>
  </si>
  <si>
    <t xml:space="preserve">Festival Durian di Kabupaten Enrekang, Sulawesi Selatan (Sulsel) berakhir ricuh gegara warga tidak kebagian buah meski sudah membeli karcis. Pemkab Enrekang selaku penyelenggara meminta maaf dan menge</t>
  </si>
  <si>
    <t xml:space="preserve">Parkiran di depan Mal Phinisi Point (Pipo), Makassar, Sulawesi Selatan (Sulsel), menuai sorotan saat ada event atau acara musik karena kerap menimbulkan kemacetan. Perumda (PD) Parkir Makassar Raya me</t>
  </si>
  <si>
    <t xml:space="preserve">Makassar, IDN Times - Datang ke festival literasi seperti Makassar International Writers Festival 2026 bukan cuma soal menyusun jadwal sesi diskusi atau berburu tanda tangan penulis favorit. Persiapan</t>
  </si>
  <si>
    <t xml:space="preserve">https://makassar.kompas.com/read/2026/07/10/004916778/kejati-sultra-geledah-rumah-mantan-sekda-dan-rumah-makan-terkait-dugaan</t>
  </si>
  <si>
    <t xml:space="preserve">Kejati Sultra Geledah Rumah Mantan Sekda dan Rumah Makan Terkait Dugaan Korupsi Anggaran Makan Minun Rp 31 Miliar KENDARI, KOMPAS. com - Tim pidana khusus Kejaksaan Tinggi Sulawesi Tenggara (Kejati Su</t>
  </si>
  <si>
    <t xml:space="preserve">https://www.viva.co.id/berita/nasional/1892373-napi-korupsi-jalan-jalan-ke-tempat-makan-usai-sidang-begini-respons-kementerian-imipas</t>
  </si>
  <si>
    <t xml:space="preserve">Jakarta, VIVA – Viral di media sosial, sebuah video yang memperlihatkan seorang narapidana korupsi dari Rutan Kendari, Sulawesi Tenggara diduga sedang berjalan-jalan mampir ke sebuah tempat makan usai</t>
  </si>
  <si>
    <t xml:space="preserve">https://www.kompasiana.com/jhonrivelpurba0122/6a317c66ed641574251b5d42/sopulut-kuliner-khas-tonsawang-dari-tombatu-minahasa-tenggara</t>
  </si>
  <si>
    <t xml:space="preserve">Hidup sederhana dan merdeka Kuliner daerah bukan hanya soal rasa. Di balik setiap hidangan tersebut tersimpan cerita tentang sejarah, lingkungan, tradisi, dan cara hidup masyarakat yang menciptakannya</t>
  </si>
  <si>
    <t xml:space="preserve">https://www.suara.com/bisnis/2026/05/25/191945/viral-pantai-kartika-di-konawe-selatan-hancur-digempur-tambang-ini-perusahaan-pemilik-konsesinya</t>
  </si>
  <si>
    <t xml:space="preserve">Kawasan pesisir yang dulu dikenal sebagai surga wisata eksotis dengan panorama karst bak Raja Ampat mini kini berubah menjadi lanskap gersang akibat taambang.</t>
  </si>
  <si>
    <t xml:space="preserve">https://www.detik.com/sulsel/hukum-dan-kriminal/d-8585565/sekelompok-pria-di-kendari-serang-kios-pakai-sajam-gegara-utang-rokok-ditolak</t>
  </si>
  <si>
    <t xml:space="preserve">Sekelompok pria tak dikenal menyerang sebuah kios menggunakan senjata tajam hingga batu di Kendari , Sulawesi Tenggara (Sultra). Para pelaku diduga kesal setelah niatnya untuk mengutang rokok ditolak </t>
  </si>
  <si>
    <t xml:space="preserve">https://sultra.tribunnews.com/muna/92042/pria-di-muna-curi-kotak-amal-apotek-demi-beli-sabu-dan-judi-online-ditangkap-polisi-di-rumahnya</t>
  </si>
  <si>
    <t xml:space="preserve">sultra.tribunnews.com</t>
  </si>
  <si>
    <t xml:space="preserve">Belum punya akun? Daftar Akun Download TribunX untuk Android &amp; iOS TRIBUNNEWSSULTRA.COM, KENDARI - Tim Unit Reaksi Cepat (URC) Bharakati Polres Muna , Sulawesi Tenggara , menangkap seorang pria berini</t>
  </si>
  <si>
    <t xml:space="preserve">https://sultra.tribunnews.com/kendari/91711/lowongan-kerja-kendari-khalisa-kreasi-dan-toko-akka-buka-loker-untuk-wanita-cek-kualifikasinya</t>
  </si>
  <si>
    <t xml:space="preserve">Belum punya akun? Daftar Akun Download TribunX untuk Android &amp; iOS TRIBUNNEWSSULTRA.COM, KENDARI - Simak informasi lowongan kerja (loker) di Kota Kendari , Sulawesi Tenggara (Sultra), Minggu (13/9/202</t>
  </si>
  <si>
    <t xml:space="preserve">https://www.lajur.co/bulog-sultra-imbau-pedagang-jual-minyakita-sesuai-het-rp15-700-per-liter/</t>
  </si>
  <si>
    <t xml:space="preserve">LAJUR.CO, KENDARI – Perum Bulog Kantor Wilayah Sulawesi Tenggara (Sultra) memastikan harga minyak goreng rakyat Minyakita di wilayahnya masih stabil dan belum mengalami kenaikan di tengah munculnya is</t>
  </si>
  <si>
    <t xml:space="preserve">RRI.CO.ID, Kendari - Kuliner tradisional khas Sulawesi Tenggara, Tuli-Tuli, kini semakin populer dan menjadi favorit di kalangan pecinta kuliner. Fenomena tersebut dibahas dalam program Pabbalu UMKM P</t>
  </si>
  <si>
    <t xml:space="preserve">Pedagang Pasar Baruga Kendari Resah, Empat Lembar Uang Rp100 Ribu Diduga Palsu Beredar SUARASULTRA.COM | KENDARI – Seorang pedagang di Pasar Baruga, Kota Kendari, Sulawesi Tenggara, dikejutkan dengan </t>
  </si>
  <si>
    <t xml:space="preserve">https://beritakotakendari.fajar.co.id/2026/07/31/pemkot-kendari-gelar-gemarikan-dan-pasar-murah-untuk-tekan-inflasi/</t>
  </si>
  <si>
    <t xml:space="preserve">beritakotakendari.fajar.co.id</t>
  </si>
  <si>
    <t xml:space="preserve">KENDARI, BKK – Pemerintah Kota (Pemkot) Kendari, Sulawesi Tenggara (Sultra), mengambil langkah untuk menjaga stabilitas harga komoditas perikanan sekaligus meningkatkan konsumsi ikan masyarakat. Upaya</t>
  </si>
  <si>
    <t xml:space="preserve">https://mediaindonesia.com/nusantara/895326/dua-menteri-tinjau-sekolah-rakyat-di-kendari-pastikan-program-pengentasan-kemiskinan-berjalan</t>
  </si>
  <si>
    <t xml:space="preserve">Terungkap, dari 16 unit rumah temuan Ombudsman RI, cuma tiga unit berstatus barang milik negara. MENTERI Koordinator Bidang Politik dan Keamanan (Menko Polkam) RI Djamari Chaniago bersama Menteri Dala</t>
  </si>
  <si>
    <t xml:space="preserve">https://www.kompas.id/artikel/setelah-ramai-dikritik-publik-pemerintah-cabut-persyaratan-denda-rp-100-juta-bagi-manajer-kdkmp</t>
  </si>
  <si>
    <t xml:space="preserve">Setelah hujan kritik dari publik, pemerintah akhirnya mencabut ketentuan denda Rp 100 juta bagi manajer Koperasi Merah Putih yang mundur. 18 Jun 2026 19:01 WIB · Ekonomi &amp; Bisnis KOMPAS/Raditya Mahend</t>
  </si>
  <si>
    <t xml:space="preserve">https://www.lajur.co/bank-sultra-salurkan-300-paket-sembako-untuk-korban-banjir-di-kendari/</t>
  </si>
  <si>
    <t xml:space="preserve">LAJUR.CO, KENDARI – PT Bank Pembangunan Daerah Sulawesi Tenggara (Sultra) atau Bank Sultra menyalurkan bantuan kemanusiaan bagi warga terdampak banjir di Kota Kendari. Bantuan tersebut berupa 300 pake</t>
  </si>
  <si>
    <t xml:space="preserve">LAJUR.CO, KENDARI – Balai Taman Nasional (BTN) Wakatobi menegaskan tidak pernah memberikan kewenangan kepada Wakatobi Dive Resort untuk melarang operator selam lain beraktivitas di zona yang sama di k</t>
  </si>
  <si>
    <t xml:space="preserve">Saat para selebriti tiba di mata air ninivala, mereka disambut dengan keindahan alam yang memanjakan mata, mereka sangat takjub dengan indahnya mata air ninivala ini Dok : Tanah Air Beta Trans TV (Ade</t>
  </si>
  <si>
    <t xml:space="preserve">RRI.CO.ID, Bukittinggi - Indonesia menyimpan sejuta pesona alam yang seolah tak ada habisnya untuk dieksplorasi. Salah satu destinasi yang menawarkan keindahan bak kepingan surga adalah Pantai Ora, ya</t>
  </si>
  <si>
    <t xml:space="preserve">https://20.detik.com/spot-wisata/20260901-260901069/berenang-di-air-terjun-menyegarkan-di-loloda-maluku</t>
  </si>
  <si>
    <t xml:space="preserve">Saat perjalanan ke Pulau Loloda mereka menemukan air terjun. Tanpa berpikir panjang akhirnya mereka memutuskan untuk bermain air. Di sana mereka sangat menikmati sensasi air yang dingin namun menyegar</t>
  </si>
  <si>
    <t xml:space="preserve">RRI.CO.ID, Sungailiat – Pencarian destinasi wisata alam sebagai sarana penyegar pikiran kian diminati masyarakat selama bulan Mei. Banyak individu mencari lokasi liburan yang menawarkan ketenangan bat</t>
  </si>
  <si>
    <t xml:space="preserve">https://20.detik.com/spot-wisata/20260820-260820023/tiba-dengan-ceria-di-pulau-bacan-maluku</t>
  </si>
  <si>
    <t xml:space="preserve">Akhirnya para artis tiba di pulau bacan. Pulau ini terdapat di halmahera selatan.Para pilot bangga bisa mengantarkan ke pulau bacan Dok : Celebrity on Vacation Trans TV (Ade)</t>
  </si>
  <si>
    <t xml:space="preserve">Karyawan Indomaret Ambon Iseng Bakar Kaki Bocah Tidur, Pelaku Minta Maaf AMBON, KOMPAS.com - Seorang karyawan Indomaret di Kota Ambon, Maluku membakar kaki seorang bocah yang sedang tertidur pulas di </t>
  </si>
  <si>
    <t xml:space="preserve">https://www.klikmaluku.com/news-update/1077531740/lantai-4-toko-di-jalan-sam-ratulangi-ambon-terbakar</t>
  </si>
  <si>
    <t xml:space="preserve">www.klikmaluku.com</t>
  </si>
  <si>
    <t xml:space="preserve">KlikMaluku.com - Sebuah bangunan toko berlantai empat di kawasan perempatan jalan Sam Ratulangi Ambon mengalami musibah kebakaran pada Kamis (24/9/2026). Insiden tersebut membuat warga yang beraktifit</t>
  </si>
  <si>
    <t xml:space="preserve">https://www.datariau.com/detail/berita/aksi-di-teras-toko-viral--karyawan-indomaret-minta-maaf/all</t>
  </si>
  <si>
    <t xml:space="preserve">HOAKS atau FAKTA : Toko Harian yang Dekat dengan Kopdes Merah Putih Dipaksa Ditutup - merahputih.com</t>
  </si>
  <si>
    <t xml:space="preserve">AMBON, datariau.com  Aksi tidak terpuji yang dilakukan seorang karyawan minimarket di Kota Ambon, Maluku, menuai kecaman luas setelah videonya viral di media sosial. Seorang karyawan Indomaret diketah</t>
  </si>
  <si>
    <t xml:space="preserve">https://ambon.tribunnews.com/masohi/101554/uang-tunai-hanya-difoto-tuk-dokumentasi-penerima-manfaat-di-maluku-tengah-justru-diberi-barang</t>
  </si>
  <si>
    <t xml:space="preserve">ambon.tribunnews.com</t>
  </si>
  <si>
    <t xml:space="preserve">Belum punya akun? Daftar Akun Download TribunX untuk Android &amp; iOS ‎Laporan Jurnalis TribunAmbon.com, Silmi Sirati Suailo ‎ ‎MALTENG,TRIBUNAMBON.COM - Kejadian penuh tanda tanya bagi penerima manfaat </t>
  </si>
  <si>
    <t xml:space="preserve">SABUROmedia, Ambon – Perselisihan klaim kepemilikan lahan di kawasan pertokoan Desa Batu Merah, Kecamatan Sirimau, Kota Ambon, kembali memanas, dimana Proyek Pasar Apung Batumerah yang akan dibangun, </t>
  </si>
  <si>
    <t xml:space="preserve">https://regional.kompas.com/read/2026/06/07/110619778/viral-video-tiga-wanita-aniaya-pelajar-di-ambon-polisi-dipicu-masalah</t>
  </si>
  <si>
    <t xml:space="preserve">Viral Video Tiga Wanita Aniaya Pelajar di Ambon, Polisi: Dipicu Masalah Sepele AMBON, KOMPAS.com - Polisi menangkap tiga perempuan yang terekam menganiaya seorang pelajar perempuan berusia 17 tahun di</t>
  </si>
  <si>
    <t xml:space="preserve">Film is a part of artistic work and expression. The freedom of opinion and expression is a right guaranteed by the constitution and human rights laws. 11 Mei 2026 13:00 WIB · English JAKARTA, KOMPAS –</t>
  </si>
  <si>
    <t xml:space="preserve">ANTARA - Festival Gema Buru 2026 di Namlea resmi dibuka Wakil Bupati Sudarmo sebagai upaya melestarikan dan memperkuat nilai kearifan lokal Pulau Buru, Maluku pada Sabtu (2/5). Kegiatan ini diharapkan</t>
  </si>
  <si>
    <t xml:space="preserve">https://style.tribunnews.com/news/377606/gara-gara-candaan-tante-cantik-ahmad-sahroni-dituding-lakukan-seksisme-ke-gubernur-sherly-tjoanda</t>
  </si>
  <si>
    <t xml:space="preserve">TRIBUNSTYLE.COM - Sebuah potongan video yang merekam momen pertemuan antara anggota DPR RI Ahmad Sahroni dan Gubernur Maluku Utara, Sherly Tjoanda , mendadak jadi perbincangan hangat di media sosial X</t>
  </si>
  <si>
    <t xml:space="preserve">https://www.headline.co.id/98990/festival-sepak-bola-piala-presiden-u10-dan-u12-dimulai-di-tidore/</t>
  </si>
  <si>
    <t xml:space="preserve">&lt;p&gt;Headline.co.id, Wakil Gubernur Maluku Utara ~ Sarbin Sehe, secara resmi membuka Festival Sepak Bola Piala Presiden U10 dan U12 untuk Putaran Provinsi Maluku Utara Tahun 2026. Acara ini berlangsung </t>
  </si>
  <si>
    <t xml:space="preserve">https://newsmaker.tribunnews.com/viral/177897/kronologi-politisi-golkar-maluku-tenggara-nus-kei-tewas-ditikam-otk-dicegat-brutal-di-pintu-bandara</t>
  </si>
  <si>
    <t xml:space="preserve">newsmaker.tribunnews.com</t>
  </si>
  <si>
    <t xml:space="preserve">TRIBUNNEWSMAKER.COM - Peristiwa tragis menimpa seorang politisi Partai Golkar asal Maluku Tenggara , Agrapinus Rumatora alias Nus Kei , yang tewas setelah menjadi korban penikaman oleh orang tak diken</t>
  </si>
  <si>
    <t xml:space="preserve">Tobelo - Keindahan Pulau Meti Cottage terus menarik wisatawan ke Halmahera Utara. Panorama laut dan pesona bawah air menjadi daya tarik utama destinasi ini. Foto udara memperlihatkan kawasan Pulau Met</t>
  </si>
  <si>
    <t xml:space="preserve">Tandaseru — Ombak kecil berdesir pelan menyapu pesisir Meti Cottage, sebuah ecotourism resort di Pulau Meti, Kabupaten Halmahera Utara. Di antara naungan pepohonan dan segarnya angin pesisir, suasana </t>
  </si>
  <si>
    <t xml:space="preserve">Pesisir Pulau Morotai, Maluku Utara, suasana sore tampak berjalan lebih pelan dari biasanya. Deretan Gazebo berdiri di atas pasir, dikelilingi pepohonan rindang membuat kawasan ini terasa teduh dan ny</t>
  </si>
  <si>
    <t xml:space="preserve">KONTEKS.CO.ID - Toko Kue Gambang yang berlokasi di kawasan ikonik Pasar Johar Semarang tengah menjadi pusat perhatian publik, namun bukan karena prestasinya. Usaha kuliner ini sedang "dirujak" wargane</t>
  </si>
  <si>
    <t xml:space="preserve">Matapersindonesia.com | Breaking News - Beredar video di media sosial, detik-detik Gunung Dukono mengalami aktivitas erupsi di kawasan Halmahera Utara, Maluku Utara (Malut). Dalam unggahan Instagram @</t>
  </si>
  <si>
    <t xml:space="preserve">https://halmaherapost.com/2026/06/22/istri-brimob-maluku-utara-klarifikasi-dugaan-kdrt-narasi-viral-tak-sesuai-fakta/</t>
  </si>
  <si>
    <t xml:space="preserve">halmaherapost.com</t>
  </si>
  <si>
    <t xml:space="preserve">Istri oknum anggota Brimob Polda Maluku Utara berinisial R, P (36), memberikan klarifikasi terkait kasus dugaan kekerasan dalam rumah tangga (KDRT) yang sebelumnya ramai diberitakan dan viral di media</t>
  </si>
  <si>
    <t xml:space="preserve">https://wartakota.tribunnews.com/news/892605/protes-anggota-dprd-maluku-utara-usai-videonya-viral-curigai-logo-sherly-di-akhir-rekaman</t>
  </si>
  <si>
    <t xml:space="preserve">wartakota.tribunnews.com</t>
  </si>
  <si>
    <t xml:space="preserve">Belum punya akun? Daftar Akun Download TribunX untuk Android &amp; iOS WARTAKOTALIVECOM, Jakarta — Beredarnya video yang memperlihatkan seorang anggota DPRD Provinsi Maluku Utara bermain telepon genggam s</t>
  </si>
  <si>
    <t xml:space="preserve">https://rri.co.id/ternate/ekonomi/keuangan/2704847/ojk-dorong-literasi-pasar-modal-syariah-di-maluku-utara</t>
  </si>
  <si>
    <t xml:space="preserve">RRI.CO.ID, Ternate – Pertumbuhan investor pasar modal di Maluku Utara terus meningkat seiring tingginya pertumbuhan ekonomi daerah. Hingga Juni 2026, jumlah investor yang memiliki Single Investor Iden</t>
  </si>
  <si>
    <t xml:space="preserve">https://www.tandaseru.com/2026/04/23/kpwbi-maluku-utara-kembali-buka-program-serumbi-2026-dorong-umkm-go-digital-dan-tembus-pasar-nasional/</t>
  </si>
  <si>
    <t xml:space="preserve">Tandaseru – Kantor Perwakilan Bank Indonesia (KPwBI) Provinsi Maluku Utara resmi meluncurkan kembali Program Serangkaian Kurasi UMKM &amp; Wirausaha Unggulan Bank Indonesia (SERUMBI) untuk tahun 2026. Pro</t>
  </si>
  <si>
    <t xml:space="preserve">Tandaseru – Pemerintah Kabupaten Halmahera Barat melalui Dinas Pariwisata dan Kepemudaan Olahraga (Disparpora) bersama panitia penyelenggara resmi merilis rangkaian agenda Festival Teluk Jailolo (FTJ)</t>
  </si>
  <si>
    <t xml:space="preserve">https://rri.co.id/ternate/otosport/2404365/cicy-pembalap-wanita-14-tahun-yang-curi-perhatian-di-wali-kota-cup-race-i-tidore-2026</t>
  </si>
  <si>
    <t xml:space="preserve">RRI.CO.ID, Tidore - Wali Kota Cup Race I Tahun 2026 sukses digelar di Sirkuit Selawaring, Kelurahan Rum, Kota Tidore Kepulauan. Ajang balap motor tersebut resmi ditutup oleh Wali Kota Tidore Kepulauan</t>
  </si>
  <si>
    <t xml:space="preserve">Tandaseru – Tim Putra Waka dari Desa Fatkauyon, Kecamatan Sulabesi Timur, Kepulauan Sula, Maluku Utara, berhasil keluar sebagai juara pertama dalam event tradisi Gabalil Hai Sua (Keliling Tanah Sula) </t>
  </si>
  <si>
    <t xml:space="preserve">https://beritadetik.id/2026/07/21/event-domino-2026-polres-morotai-borong-posisi-puncak/</t>
  </si>
  <si>
    <t xml:space="preserve">beritadetik.id</t>
  </si>
  <si>
    <t xml:space="preserve">Beritadetik.id – Perhelatan akbar Event Domino Tahun 2026 di Kabupaten Pulau Morotai resmi berakhir pada Senin malam (20/7/2026). Acara penutupan yang dipusatkan di halaman Kantor Dinas Pariwisata, De</t>
  </si>
  <si>
    <t xml:space="preserve">https://beritadetik.id/2026/09/01/kapolsek-utara-dan-polres-ternate-gerak-cepat-cek-lokasi-kandang-ternak-milik-oknum-polisi-yang-viral/</t>
  </si>
  <si>
    <t xml:space="preserve">Beritadetik.id – Kapolsek Ternate Utara, Kota Ternate, Maluku Utara, AKP. Rusli Hanafi dan Kasi Humas Polres Ternate, Iptu Ekan Mukadar merespon cepat arahan Kapolres Ternate terkait kandang ternak mi</t>
  </si>
  <si>
    <t xml:space="preserve">Belum punya akun? Daftar Akun Download TribunX untuk Android &amp; iOS TRIBUNTERNATE.COM - Berikut daftar berita populer Maluku Utara atau yang banyak dibaca dari website TribunTernate.com hari ini, Kamis</t>
  </si>
  <si>
    <t xml:space="preserve">RRI.CO.ID, Jayapura - Rindu Alam Papua menjadi salah satu destinasi kuliner favorit di kawasan Holtekamp, Jayapura. Lokasinya yang berada dekat pos polisi setempat, membuat tempat ini cukup mudah dite</t>
  </si>
  <si>
    <t xml:space="preserve">https://www.bbc.com/indonesia/articles/cqjxg9l9jr9o</t>
  </si>
  <si>
    <t xml:space="preserve">Sumber gambar, Ikbal Asra Ratusan pelajar di Kabupaten Jayapura, Papua, dilarikan ke berbagai fasilitas kesehatan sejak Selasa (04/08) hingga Rabu (05/08) kemarin. Sebelum keracunan massal terjadi, me</t>
  </si>
  <si>
    <t xml:space="preserve">https://suarapapua.com/2026/05/13/kontroversi-gunung-rinjani-sempat-viral-memicu-perang-netizen-indonesia-dan-korea-selatan/</t>
  </si>
  <si>
    <t xml:space="preserve">Oleh: Marlina * *) Mahasiswi Prodi Hubungan Internasional FISIP Universitas Cenderawasih Gunung Rinjani merupakan salah satu destinasi wisata alam paling terkenal di Indonesia. Gunung yang terletak di</t>
  </si>
  <si>
    <t xml:space="preserve">https://www.kompas.com/cekfakta/read/2026/04/07/143200282/-hoaks-undian-berhadiah-rumah-dan-paket-wisata-bank-papua-april-2026?page=all</t>
  </si>
  <si>
    <t xml:space="preserve">[HOAKS] Undian Berhadiah Rumah dan Paket Wisata Bank Papua April 2026 Berdasarkan verifikasi Kompas.com sejauh ini, informasi ini tidak benar. KOMPAS.com - Di media sosial Facebook bermunculan akun-ak</t>
  </si>
  <si>
    <t xml:space="preserve">JAYAPURA-Distrik Depapre, Kabupaten Jayapura, kembali menghadirkan destinasi wisata alam baru yang mulai menarik perhatian wisatawan. Setelah Pantai Harlem dengan air lautnya yang jernih dan Yongsu ya</t>
  </si>
  <si>
    <t xml:space="preserve">https://indonesiadefense.com/viral-konten-dukung-papua-merdeka-marinir-foto-manipulasi/</t>
  </si>
  <si>
    <t xml:space="preserve">indonesiadefense.com</t>
  </si>
  <si>
    <t xml:space="preserve">Jakarta, IDM – Jagat maya geger oleh unggahan akun Daily Papua yang menarasikan prajurit Korps Marinir mendukung gerakan “Papua Merdeka”. Menanggapi hal tersebut, Markas Komando Korps Marinir memastik</t>
  </si>
  <si>
    <t xml:space="preserve">https://fajarpapua.com/2026/05/25/kasus-dugaan-pencurian-kosmetik-di-toko-ivory-timika-yang-viral-di-media-sosial-berakhir-damai/</t>
  </si>
  <si>
    <t xml:space="preserve">fajarpapua.com</t>
  </si>
  <si>
    <t xml:space="preserve">Timika , fajarpapua.com – Kasus dugaan pencurian produk kosmetik yang dilakukan tiga remaja di Toko Ivory, Jalan Belibis, Kabupaten Mimika akhirnya diselesaikan secara damai oleh kedua belah pihak. Se</t>
  </si>
  <si>
    <t xml:space="preserve">https://salampapua.com/2026/05/terekam-cctv-tiga-pencuri-kosmetik-di-toko-ivory-akhirnya-minta-maaf-ke-publik.html</t>
  </si>
  <si>
    <t xml:space="preserve">salampapua.com</t>
  </si>
  <si>
    <t xml:space="preserve">Spesial HUT Jakarta ke-499! Ini 5 Promo Restoran yang Menarik Dicoba - detikFood</t>
  </si>
  <si>
    <t xml:space="preserve">SALAM PAPUA (TIMIKA) - Dua perempuan dan seorang laki-laki yang terekam CCTV melakukan aksi pencurian alat kosmetik di Toko Ivory, Jalan Belibis, Timika, akhirnya meminta maaf kepada publik. Sebelumny</t>
  </si>
  <si>
    <t xml:space="preserve">https://fajarpapua.com/2026/05/24/dua-remaja-putri-dan-satu-lelaki-kemayu-terekam-cctv-curi-kosmetik-di-toko-ivory-timika-aksinya-viral-di-media-sosial/</t>
  </si>
  <si>
    <t xml:space="preserve">Timika , fajarpapua.com – Aksi pencurian yang dilakukan tiga remaja di salah satu toko kosmetik di Kabupaten Mimika viral di media sosial setelah rekaman CCTV memperlihatkan cara mereka beraksi layakn</t>
  </si>
  <si>
    <t xml:space="preserve">https://regional.kompas.com/read/2026/09/21/165059078/viral-video-beras-diinjak-injak-bulog-papua-berikan-klarifikasi</t>
  </si>
  <si>
    <t xml:space="preserve">Viral Video Beras Diinjak-injak, Bulog Papua Berikan Klarifikasi JAYAPURA, KOMPAS.com - Video sejumlah warga menginjak-injak beras bulog viral di media sosial. Dalam video berdurasi 19 detik, sejumlah</t>
  </si>
  <si>
    <t xml:space="preserve">https://kilaspapua.com/daerah/tokoh-adat-papua-sebuti-film-dokumenter-pesta-babi-terkesan-tidak-berimbang/</t>
  </si>
  <si>
    <t xml:space="preserve">kilaspapua.com</t>
  </si>
  <si>
    <t xml:space="preserve">Kilaspapua, Sentani – Tokoh adat Papua, Yanto Eluay, menilai film dokumenter Pesta Babi yang viral saat ini di media sosial terkesan tidak menghadirkan informasi secara berimbang terkait pembangunan d</t>
  </si>
  <si>
    <t xml:space="preserve">https://www.detik.com/sulsel/berita/d-8680808/ramai-asn-papua-asal-toraja-minta-pindah-gegara-takut-opm</t>
  </si>
  <si>
    <t xml:space="preserve">Rentetan aksi organisasi Papua Merdeka (OPM) membuat banyak aparatur sipil negara (ASN) asal Toraja Utara (Torut) di wilayah Papua khawatir turut menjadi korban. Banyak dari mereka yang kini mengajuka</t>
  </si>
  <si>
    <t xml:space="preserve">3 Juli 2026 · 17.05 WIB 3 Jul 2026 · 17.05 WIB Di tengah polemik Koperasi Desa Merah Putih (KDMP), hadirnya toko tersebut di Blok M, Jakarta Selatan pun menjadi perbincangan netizen di Threads. Pemili</t>
  </si>
  <si>
    <t xml:space="preserve">https://www.lintaspapua.com/nasional/65517128131/bergaransi-resmi-biar-gak-boncos-inilah-5-tips-aman-beli-tv-coocaa-32-inch?page=2</t>
  </si>
  <si>
    <t xml:space="preserve">www.lintaspapua.com</t>
  </si>
  <si>
    <t xml:space="preserve">Kalau saat dinyalakan platformnya terasa aneh, tidak ada aplikasi bawaan sama sekali, atau malah tampilannya tidak mendukung bahasa Indonesia, segera curigai unit tersebut. Bisa jadi itu adalah unit h</t>
  </si>
  <si>
    <t xml:space="preserve">https://minews.id/news/gerai-kdmp-buka-akses-pasar-produk-lokal-papua</t>
  </si>
  <si>
    <t xml:space="preserve">minews.id</t>
  </si>
  <si>
    <t xml:space="preserve">Cegah Karhutla, Prabowo Bentuk Badan Pengelolaan Gambut dan Mangrove Nasional Ketahanan Ekonomi Nasional Kunci Menghadapi Ketidakpastian Global APBN Pilar Utama Pemerintah Dorong Pertumbuhan dan Ketah</t>
  </si>
  <si>
    <t xml:space="preserve">https://www.merahputih.com/post/read/kronologi-kebakaran-hebat-pasar-distrik-paniai-papua-6-anak-tewas</t>
  </si>
  <si>
    <t xml:space="preserve">MerahPutih.com - Tragedi kebakaran hebat mengguncang Papua Tengah. Api yang melalap kawasan pasar di Kampung Bapouda, Distrik Paniai Timur, Senin (7/9/2026) dini hari. Tragedi itu menewaskan 11 orang </t>
  </si>
  <si>
    <t xml:space="preserve">Wakil Menteri Dalam Negeri (Wamendagri) Ribka Haluk membuka Pasar Murah dan Pameran Usaha Mikro, Kecil, dan Menengah (UMKM) di Halaman Kantor Gubernur Papua, Jayapura, hari ini. Kegiatan ini digelar u</t>
  </si>
  <si>
    <t xml:space="preserve">https://www.viralpublik.com/di-balik-ramainya-pasar-keyabi-nduga-senyum-mama-papua-dan-polwan-damai-cartenz-rajut-rasa-aman-dan</t>
  </si>
  <si>
    <t xml:space="preserve">Nduga, Papua Pegunungan – Di tengah aktivitas jual beli yang berlangsung hangat dan penuh keakraban, Pasar Keyabi di Kabupaten Nduga menjadi gambaran nyata bahwa roda perekonomian masyarakat Papua Peg</t>
  </si>
  <si>
    <t xml:space="preserve">https://papuatengah.tribunnews.com/papua/5217/peran-mama-papua-dalam-ekonomi-pasar-tradisional-tantangan-kebersihan-lingkungan-di-pasar-youtefa</t>
  </si>
  <si>
    <t xml:space="preserve">Belum punya akun? Daftar Akun Download TribunX untuk Android &amp; iOS Oleh: Rolin Diana Lanigwe Yahuli Tugas: Perempuan dan Pembangunan TRIBUN-PAPUATENGAH.COM, - Perempuan di Papua khususnya di daerah Ko</t>
  </si>
  <si>
    <t xml:space="preserve">https://regional.kompas.com/read/2026/05/31/183530678/ledakan-bom-perang-dunia-ii-di-biak-numfor-papua-5-orang-tewas-dan-3-hilang</t>
  </si>
  <si>
    <t xml:space="preserve">Ledakan Bom Perang Dunia II di Biak Numfor Papua, 5 Orang Tewas dan 3 Hilang JAYAPURA, KOMPAS.com - Kepolisian Resor Biak Numfor memastikan lima orang meninggal dan tiga orang lainnya hilang dalam led</t>
  </si>
  <si>
    <t xml:space="preserve">https://papua.antaranews.com/berita/768525/bulog-papua-pastikan-beras-yang-disalurkan-layak-dikonsumsi</t>
  </si>
  <si>
    <t xml:space="preserve">Jayapura (ANTARA) - Perum Bulog Kantor Wilayah (Kanwil) Papua memastikan beras yang disalurkan khususnya melalui gudang Jayapura ke masyarakat dipastikan layak untuk dikonsumsi. "Masyarakat khususnya </t>
  </si>
  <si>
    <t xml:space="preserve">https://nasional.kompas.com/read/2026/09/10/12001181/anggota-dpr-penembakan-3-pegawai-pertanian-di-papua-pelanggaran-ham-tak</t>
  </si>
  <si>
    <t xml:space="preserve">Anggota DPR: Penembakan 3 Pegawai Pertanian di Papua Pelanggaran HAM, Tak Boleh Ditoleransi JAKARTA, KOMPAS.com - Anggota Komisi XIII DPR RI Mafirion menegaskan penembakan tiga pegawai Dinas Pertanian</t>
  </si>
  <si>
    <t xml:space="preserve">SUDUTPANDANG.ID – Dua warga sipil menjadi korban penembakan di sekitar pintu masuk Festival Budaya Lembah Baliem (FBLB) ke-34, Distrik Welesi, Kabupaten Jayawijaya, Papua Pegunungan, Sabtu (8/8/2026).</t>
  </si>
  <si>
    <t xml:space="preserve">RRI.CO.ID,Makassar - Pantai Apparalang di Desa Ara, Kecamatan Bontobahari, Kabupaten Bulukumba, Sulawesi Selatan, menjadi salah satu destinasi wisata unggulan yang menarik perhatian wisatawan karena k</t>
  </si>
  <si>
    <t xml:space="preserve">https://surabaya.suaramerdeka.com/jawa-timur/106117004419/viral-emosi-di-jalan-empunala-mojokerto-anak-jadi-korban-dugaan-kekerasan</t>
  </si>
  <si>
    <t xml:space="preserve">surabaya.suaramerdeka.com</t>
  </si>
  <si>
    <t xml:space="preserve">SURABAYA.SUARAMERDEKA.COM – Video perselisihan dua perempuan di Jalan Empunala, Kota Mojokerto , viral di media sosial sejak Rabu, 15 April 2026. Peristiwa ini menyedot perhatian publik karena tidak h</t>
  </si>
  <si>
    <t xml:space="preserve">https://m.radarnonstop.co/read/59601/Emas-Ilegal-Dari-Kabar-Papua-Barat-Rp-259-Triliun-Dari-Tambang-Hingga-Toko-Emas</t>
  </si>
  <si>
    <t xml:space="preserve">RN - Penjualan emas ilegal fantastis. Bareskrim Polri menyebut kerugian negara tembus Rp 25,9 triliun. Emas hasil tambang ilegal yang beroperasi di wilayah Kalimantan Barat (Kalbar) hingga Papua Barat</t>
  </si>
  <si>
    <t xml:space="preserve">https://www.owrite.id/hype/2026/05/19/display-kopdes-merah-putih-disorot-netizen-kayak-minimarket-bangkrut/</t>
  </si>
  <si>
    <t xml:space="preserve">19 Mei 2026 · 18.00 WIB 19 Mei 2026 · 18.00 WIB Baru-baru ini sebuah toko yang diduga Koperasi Desa Merah Putih jadi sorotan di media sosial. Pasalnya, koperasi tersebut memiliki display yang kurang m</t>
  </si>
  <si>
    <t xml:space="preserve">https://www.bbc.com/indonesia/articles/cwykj1gn0z3o</t>
  </si>
  <si>
    <t xml:space="preserve">Sumber gambar, Maria Baru Ratusan mama-mama pedagang Papua dari Kota Sorong, Kabupaten Sorong, Tambrauw, Maybrat, Sorong Selatan, dan Raja Ampat menggelar aksi damai di Kota Sorong sejak Rabu (01/07) </t>
  </si>
  <si>
    <t xml:space="preserve">&lt;!-- wp:paragraph --&gt; &lt;p&gt;&lt;strong&gt;Manokwari, TP &lt;/strong&gt;– Persoalan yang muncul di Pasar Sentral Sanggeng sebagai salah satu produk Proyek Startegis Nasional (PSN) di Manokwari, seakan tiada hentinya.</t>
  </si>
  <si>
    <t xml:space="preserve">Penembakan terjadi di Festival Budaya Lembah Baliem, Jayawijaya, Papua Pegunungan, Sabtu (8/8/2026).-- JAYAWIJAYA , SUMEKS.CO - Hiruk pikuk warga yang menghadiri Festival Budaya Lembah Baliem 2026, Ka</t>
  </si>
  <si>
    <t xml:space="preserve">https://jakarta.suaramerdeka.com/nasional/13417068353/mewujudkan-indonesia-sebagai-tujuan-event-internasional-harmoni-imigrasi-dan-sektor-kreatif</t>
  </si>
  <si>
    <t xml:space="preserve">JAKARTA, jakarta.suaramerdeka.com – Direktorat Jenderal (Ditjen) Imigrasi menggelar sosialisasi layanan keimigrasian bertajuk “Harmoni Seni dan Olahraga Gerakan Ekonomi Nusantara” di Hotel Pullman, Ja</t>
  </si>
  <si>
    <t xml:space="preserve">https://www.kilat.com/nasional/84417171966/geger-peneliti-indonesia-diduga-palsukan-identitas-hingga-riset-terduga-pelaku-banjir-hujatan</t>
  </si>
  <si>
    <t xml:space="preserve">www.kilat.com</t>
  </si>
  <si>
    <t xml:space="preserve">KILAT.COM - Geger di media sosial kabar tentang peneliti Indonesia diduga palsukan identitas bahkan riset konferensi Internasional yang dikerjakan. Hal ini diungkap oleh sosok @mandharabrasika di medi</t>
  </si>
  <si>
    <t xml:space="preserve">https://www.liputan6.com/regional/read/8253987/dirjen-imigrasi-kecam-event-lari-bule-diskriminasi-wni-seperti-negara-dalam-negara</t>
  </si>
  <si>
    <t xml:space="preserve">Liputan6.com, Jakarta - Direktur Jenderal Imigrasi ( Dirjen Imigrasi ) Hendarsam Marantoko mengecam event lari Bali Silent Disco, yang diselenggarakan oleh warga negara asing (WNA) dan ditengarai mela</t>
  </si>
  <si>
    <t xml:space="preserve">Merauke - Wakil Presiden Republik Indonesia, Gibran Rakabuming Raka menyempatkan waktu berdialog dengan para kepala kampung di Agats, Kabupaten Asmat, Papua Selatan Pantauan, Wapres Gibran berdiskusi </t>
  </si>
  <si>
    <t xml:space="preserve">https://www.inilah.com/satu-miliar-kebaikan-kisah-empat-calon-guru-asmat-yang-bertahan-dari-lapar-demi-masa-depan-papua</t>
  </si>
  <si>
    <t xml:space="preserve">Empat Mahasiswa UNNES asal Kabupaten Asmat, Papua Selatan, berfoto di selasar kampus Fakultas Pendidikan Guru Sekolah Dasar Universitas Negeri Semarang (UNNES). (Foto: inilah.com) Berita Terkini, Eksk</t>
  </si>
  <si>
    <t xml:space="preserve">https://www.metrotvnews.com/read/KYVCeQaG-mbg-disebut-upaya-perkuat-pembangunan-sdm-lewat-pemenuhan-gizi</t>
  </si>
  <si>
    <t xml:space="preserve">Sosialisasi Program Makan Bergizi Gratis (MBG) bersama mitra kerja digelar di Rumah Makan Bu Isti, Distrik Anday, Manokwari Selatan, Papua Barat, Jumat, 8 Mei 2026. Istimewa Whisnu Mardiansyah • 11 Ma</t>
  </si>
  <si>
    <t xml:space="preserve">https://fajarpapua.com/2026/04/23/kapal-penampung-nelayan-di-perairan-muara-safan-merauke-hangus-terbakar-video-viral-di-medsos/</t>
  </si>
  <si>
    <t xml:space="preserve">Merauke, fajarpapua.com — Satu unit kapal penampung milik nelayan lokal di Merauke, Papua Selatan, dilaporkan hangus terbakar di perairan Muara Safan, kawasan Sirway, pada Senin sore (20/3). Peristiwa</t>
  </si>
  <si>
    <t xml:space="preserve">https://www.bbc.com/indonesia/articles/c1j74g2dx15o</t>
  </si>
  <si>
    <t xml:space="preserve">Sumber gambar, ANTARA FOTO/Raisan Al Farisi Kenaikan harga BBM maupun LPG nonsubsidi masing-masing sekitar 60% dan 19% disebut bakal membuat warga menengah dan menengah atas "turun kelas". Pelaku usah</t>
  </si>
  <si>
    <t xml:space="preserve">topmetro.news, Samosir – Langit senja di kawasan Waterfront City Pangururan, Rabu (1/7/2026), menjadi saksi perjumpaan dua kekayaan budaya Nusantara. Di tengah gemerlap Panggung Air Mancur Menari dan </t>
  </si>
  <si>
    <t xml:space="preserve">https://www.detik.com/sulsel/hukum-dan-kriminal/d-8665160/kronologi-sopir-travel-asal-toraja-ditembak-mati-opm-di-wamena</t>
  </si>
  <si>
    <t xml:space="preserve">Sopir lajuran atau travel bernama Aris Sanda dilaporkan tewas ditembak organisasi Papua merdeka (OPM) di Wamena, Kabupaten Jayawijaya , Papua Pegunungan. Warga asal Toraja, Sulawesi Selatan (Sulsel), </t>
  </si>
  <si>
    <t xml:space="preserve">Sentani (ANTARA) - Dinas Kebudayaan dan Pariwisata (Disbudpar) Kabupaten Jayapura, Papua terus berupaya menjadikan wilayah tersebut sebagai daerah tujuan wisata untuk menggerakkan roda perekonomian da</t>
  </si>
  <si>
    <t xml:space="preserve">AKURAT.CO Wakil Presiden Gibran Rakabuming Raka melakukan penanaman bibit kakao di Kabupaten Manokwari Selatan, Papua Barat, Sabtu (20/6/2026). Dalam kesempatan ini Gibran didampingi Wakil Menteri Dal</t>
  </si>
  <si>
    <t xml:space="preserve">https://papuaselatanpos.com/2026/06/04/polisi-tangkap-tiga-pelaku-pengeroyokan-hingga-tewas-di-merauke/</t>
  </si>
  <si>
    <t xml:space="preserve">papuaselatanpos.com</t>
  </si>
  <si>
    <t xml:space="preserve">Manipulasi Laporan JAKI Pakai AI, Lurah Kalisari Dipanggil Inspektorat DKI Gegara Ulah Petugas PPSU - Suara.com</t>
  </si>
  <si>
    <t xml:space="preserve">Merauke, PSP – Satuan Reserse Kriminal (Satreskrim) Polres Merauke berhasil mengungkap kasus pengeroyokan yang mengakibatkan dua warga meninggal dunia di Kampung Sumber Harapan Jalur 3, Distrik Tanah </t>
  </si>
  <si>
    <t xml:space="preserve">SCROLL TO CONTINUE WITH CONTENT Home / HEADLINE / RAKYATPOS / TNI/POLRI RakyatPos - Jurnalis Senin, 20 Juli 2026 -  03:01											 WIB RakyatPos.id – Oknum polisi tersebut diduga ditangkap Satreskri</t>
  </si>
  <si>
    <t xml:space="preserve">https://afu.id/nasional/bulog-janji-serap-panen-petani-papua-selatan-gudang-beras-5000-ton-disiapkan-di-merauke</t>
  </si>
  <si>
    <t xml:space="preserve">SINDOgrafis: Gubernur DKI Dorong Pasar di Jakarta Lakukan Digitalisasi - SINDOnews.com</t>
  </si>
  <si>
    <t xml:space="preserve">SINDOnews.com</t>
  </si>
  <si>
    <t xml:space="preserve">Nikmati fitur lengkap distribusi bias, newsletter, pemberitahuan berita Penulis: Fadhlan Robbani Â· Reporter: Fadhlan Robbani Perum Bulog menyatakan siap menyerap hasil panen padi petani di Papua Sela</t>
  </si>
  <si>
    <t xml:space="preserve">https://sumbar.antaranews.com/berita/763393/pejuang-lingkungan-mama-sinta-kini-dukung-food-estate-di-papua-selatan</t>
  </si>
  <si>
    <t xml:space="preserve">Viral Lapor Parkir Liar Pasar Rebo ke JAKI, Diduga Dibalas Foto Hasil AI - detikInet</t>
  </si>
  <si>
    <t xml:space="preserve">detikInet</t>
  </si>
  <si>
    <t xml:space="preserve">Padang (ANTARA) - Tokoh perempuan adat dan pejuang lingkungan dari Merauke, Papua Selatan, Yasinta Moiwend alias Mama Sinta menegaskan dirinya kecewa terhadap pihak-pihak yang menyeretnya untuk menola</t>
  </si>
  <si>
    <t xml:space="preserve">https://radarbali.jawapos.com/nasional/2606090033/psn-di-papua-serap-15-ribu-tenaga-kerja-untuk-redam-potensi-phk-oap-jadi-prioritas-begini-skemanya?page=all</t>
  </si>
  <si>
    <t xml:space="preserve">NasDem DKI: Pemusnahan Ikan Sapu-sapu Harus Ketat, Jangan Malah Balik ke Pasar - detikNews</t>
  </si>
  <si>
    <t xml:space="preserve">PSN yang tengah dikembangkan di berbagai wilayah Papua diproyeksikan menjadi salah satu penggerak utama penciptan lapangan kerja sekaligus instrumen untuk meredam potensi pemutusan hubungan kerja</t>
  </si>
  <si>
    <t xml:space="preserve">https://www.jpnn.com/news/pesta-babi-viral-psn-lumbung-pangan-di-papua-tidak-boleh-dihentikan</t>
  </si>
  <si>
    <t xml:space="preserve">VIDEO: Tantangan Hafalan Al-Qur'an Berhadiah Emas - cnnindonesia.com</t>
  </si>
  <si>
    <t xml:space="preserve">jpnn.com , JAKARTA - Pembangunan lumbung pangan atau food estate di Wanam, Merauke, Papua Selatan sangat penting dan strategis untuk mewujudkan ketahanan pangan nasional yang merupakan program priorit</t>
  </si>
  <si>
    <t xml:space="preserve">https://jakarta.suaramerdeka.com/nasional/13417682468/agrinas-palma-kedepankan-dialog-dalam-pengembangan-papua-selatan</t>
  </si>
  <si>
    <t xml:space="preserve">DPRD DKI Soroti Izin Penjualan Miras di Festival Musik, Buntut Kasus Viral The Sounds Project - Suara.com</t>
  </si>
  <si>
    <t xml:space="preserve">JAKARTA, jakarta.suaramerdeka.com, 25 September 2026 – PT Agrinas Palma Nusantara (Persero) terus membuka ruang dialog dalam mematangkan rencana pengembangan kawasan perkebunan dan pangan di Papua Sel</t>
  </si>
  <si>
    <t xml:space="preserve">https://nasional.kompas.com/read/2026/08/18/14072041/soal-kapal-berlogo-kemhan-yang-viral-karo-infohan-tegaskan-bukan-aset-kemhan</t>
  </si>
  <si>
    <t xml:space="preserve">Pramono Kecam Challenge Hafalan Al-Quran Berhadiah Miras - merahputih.com</t>
  </si>
  <si>
    <t xml:space="preserve">Soal Kapal Berlogo Kemhan yang Viral, Karo Infohan Tegaskan Bukan Aset Kemhan KOMPAS.com - Kementerian Pertahanan (Kemhan) menanggapi opini publik terkait beredarnya video kapal berlogo Kemhan yang se</t>
  </si>
  <si>
    <t xml:space="preserve">https://www.inilah.com/viral-kapal-pesiar-mewah-berlogo-kemhan-ternyata-kantor-berjalan-haji-isam-garap-proyek-pangan</t>
  </si>
  <si>
    <t xml:space="preserve">"Ayo Lapor Camat" Via JAKI Jadi Solusi Atasi Masalah Wilayah Sebelum Viral - Arah Kata - Arah Kata</t>
  </si>
  <si>
    <t xml:space="preserve">Arah Kata</t>
  </si>
  <si>
    <t xml:space="preserve">Kapal pesiar J7 Explorer yang disebut milik pengusaha asal Kalimantan, menjadi sorotan setelah terlihat menggunakan logo Kementerian Pertahanan (Kemhan). (Foto: Dok. Kemhan) Berita Terkini, Eksklusif </t>
  </si>
  <si>
    <t xml:space="preserve">Jakarta – Kabupaten Samosir, Sumatera Utara, akan kembali menjadi pusat perhatian dengan digelarnya Festival Samosir Music International (SMI) 2026 pada 2–4 Juli 2026. Masuk dalam kalender Kharisma Ev</t>
  </si>
  <si>
    <t xml:space="preserve">https://nasional.kompas.com/read/2026/05/16/10310071/kontroversi-film-pesta-babi-pemerintah-tegaskan-tak-larang-tni-ingatkan?page=all</t>
  </si>
  <si>
    <t xml:space="preserve">3 Tempat Makan Siang Enak di Bandung, Warung Nasi Ibu Imas Jadi FAvorit - Tribun Travel</t>
  </si>
  <si>
    <t xml:space="preserve">Kontroversi Film “Pesta Babi”: Pemerintah Tegaskan Tak Larang, TNI Ingatkan Potensi Gangguan JAKARTA, KOMPAS.com - Polemik pemutaran film dokumenter “Pesta Babi: Kolonialisme di Zaman Kita” memunculka</t>
  </si>
  <si>
    <t xml:space="preserve">https://newsmaker.tribunnews.com/travel/184537/event-banten-senin-28-september-2026-ada-kajian-hingga-belajar-mengaji-teman-tuli</t>
  </si>
  <si>
    <t xml:space="preserve">Rekomendasi Tempat Makan Murah di Depok yang Enak &amp; Nyaman - Hipwee</t>
  </si>
  <si>
    <t xml:space="preserve">TRIBUNNEWSMAKER.COM - Sejumlah kegiatan yang dapat diikuti masyarakat umum dijadwalkan berlangsung di wilayah Banten pada Senin, 28 September 2026. Agenda yang ditemukan didominasi kegiatan keagamaan </t>
  </si>
  <si>
    <t xml:space="preserve">https://teropongnews.com/2026/09/agrinas-palma-kedepankan-dialog-dalam-pengembangan-papua-selatan/</t>
  </si>
  <si>
    <t xml:space="preserve">teropongnews.com</t>
  </si>
  <si>
    <t xml:space="preserve">6 Rekomendasi Tempat Makan Jadul di Bandung yang Sudah Buka Sejak Tahun 90-an - Kompas.com</t>
  </si>
  <si>
    <t xml:space="preserve">TEROPONGNEWS.COM, JAKARTA – PT Agrinas Palma Nusantara (Persero) terus membuka ruang dialog dalam mematangkan rencana pengembangan kawasan perkebunan dan pangan di Papua Selatan. Salah satunya melalui</t>
  </si>
  <si>
    <t xml:space="preserve">https://fin.co.id/2026/09/22/44-bupati-kompak-dukung-mentan-amran-kembangkan-bioetanol-nasional</t>
  </si>
  <si>
    <t xml:space="preserve">fin.co.id</t>
  </si>
  <si>
    <t xml:space="preserve">Akhir Pekan ke Bandung, Ini 5 Rekomendasi Tempat Kuliner Ayam Wajib Dikunjungi - MetroTVNews.com</t>
  </si>
  <si>
    <t xml:space="preserve">44 Bupati Kompak Dukung Mentan Amran Kembangkan Bioetanol Nasional. 22 Sep 2026, 09:37 WIB · 5 menit baca fin.co.id - Sebanyak 44 bupati dari berbagai wilayah Indonesia kompak menyatakan dukungan terh</t>
  </si>
  <si>
    <t xml:space="preserve">https://www.sewaktu.com/news/15317661048/video-keributan-di-gkpi-mauk-sepatan-viral-pria-bawa-diduga-golok-minta-maaf</t>
  </si>
  <si>
    <t xml:space="preserve">www.sewaktu.com</t>
  </si>
  <si>
    <t xml:space="preserve">Rekomendasi Tempat Makan Enak di Surabaya Barat yang Bikin Ketagihan - jogja.disway.id - Disway Jogja</t>
  </si>
  <si>
    <t xml:space="preserve">SEWAKTU.com, TANGGERANG – Video keributan di GKPI Mauk Sepatan, Rajeg, Kabupaten Tangerang, viral di media sosial. Dalam rekaman tersebut, seorang pria bernama Aji terlihat membawa benda yang diduga g</t>
  </si>
  <si>
    <t xml:space="preserve">https://www.bbc.com/indonesia/articles/c62qkwp1eq9o</t>
  </si>
  <si>
    <t xml:space="preserve">8 Restoran Bernuansa Alam di Bekasi untuk Keluarga, Asri dan Ramah Anak - Mommies Daily</t>
  </si>
  <si>
    <t xml:space="preserve">Mommies Daily</t>
  </si>
  <si>
    <t xml:space="preserve">Sumber gambar, BBC News Indonesia/Andra Anhar Papua masuk dalam 10 provinsi dengan angka stunting tinggi dan gizi buruk akut, menurut Kementerian Kesehatan. Tapi, hanya 1% dapur Makan Bergizi Gratis (</t>
  </si>
  <si>
    <t xml:space="preserve">https://www.papuaposnabire.com/news/dewan-pendidikan-papteng-gelar-pertemuan-internal</t>
  </si>
  <si>
    <t xml:space="preserve">www.papuaposnabire.com</t>
  </si>
  <si>
    <t xml:space="preserve">7 Rekomendasi Makanan Khas Kuningan Jawa Barat yang Wajib Dicoba Wisatawan - Info Ekonomi</t>
  </si>
  <si>
    <t xml:space="preserve">NABIRE - Bertempat di Rumah Makan Selera, Sabtu (20/06/2026), Dewan Pendidikan Provinsi Papua Tengah (Papteng) menggelar pertemuan intenal yang langsung dipimpin Ketua Dewan Pendidikan Papteng, Ernes </t>
  </si>
  <si>
    <t xml:space="preserve">https://www.papuaposnabire.com/news/peredaran-obat-dan-kosmetik-ilegal-masih-menghantui-papua-tengah</t>
  </si>
  <si>
    <t xml:space="preserve">Berburu Kuliner Viral di Pasar Cihapit Bandung - Tempo.co</t>
  </si>
  <si>
    <t xml:space="preserve">NABIRE - Peredaran obat dan kosmetik ilegal di Provinsi Papua Tengah, khususnya di wilayah Nabire, masih menjadi ancaman serius bagi kesehatan masyarakat sepanjang periode 2025-2026. Berdasarkan hasil</t>
  </si>
  <si>
    <t xml:space="preserve">https://papuatengah.tribunnews.com/mimika/5346/wapres-gibran-berkunjung-di-mimika-ia-ditnggu-waarga-dan-belanja-di-toko-meriah</t>
  </si>
  <si>
    <t xml:space="preserve">Seuri Imah Sunda Tawarkan Pilihan Kuliner Khas Sunda - Media Indonesia</t>
  </si>
  <si>
    <t xml:space="preserve">Belum punya akun? Daftar Akun Download TribunX untuk Android &amp; iOS Laporan Wartawan TribunPapuaTengah.com , Feronike Rumere TRIBUN-PAPUATENGAH.COM, MIMIKA– Wakil Presiden Gibran Rakabuming Raka dijadw</t>
  </si>
  <si>
    <t xml:space="preserve">Belum punya akun? Daftar Akun Download TribunX untuk Android &amp; iOS Laporan Wartawan TribunPapuaTengah.com , Feronike Rumere TRIBUN-PAPUATENGAH.COM, MIMIKA–  PT Aspirasi Hidup Indonesia Tbk melalui bra</t>
  </si>
  <si>
    <t xml:space="preserve">https://papuatengah.tribunnews.com/mimika/5878/demam-piala-dunia-2026-melanda-warga-kabupaten-mimika-jersey-belanda-dan-argentina-laris-manis</t>
  </si>
  <si>
    <t xml:space="preserve">Murah Hingga Melegenda, Nih Spot Makan Favorit Dekat Stasiun Bandung! - tripzilla.id</t>
  </si>
  <si>
    <t xml:space="preserve">Belum punya akun? Daftar Akun Download TribunX untuk Android &amp; iOS Laporan Wartawan TribunPapuaTengah.com , Feronike Rumere TRIBUN-PAPUATENGAH.COM, MIMIKA – Gelombang euforia Piala Dunia 2026 mulai me</t>
  </si>
  <si>
    <t xml:space="preserve">https://papuatengah.tribunnews.com/news/5987/viral-video-menteri-pertanian-ri-soal-papua-beredar-di-whatsapp-bmp-ri-itu-hoax-dan-editan-ai</t>
  </si>
  <si>
    <t xml:space="preserve">5 Kuliner Lembang Paling Viral 2026, Enaknya Bikin Rela Antre saat Long Weekend - detikFood</t>
  </si>
  <si>
    <t xml:space="preserve">Belum punya akun? Daftar Akun Download TribunX untuk Android &amp; iOS Laporan Wartawan TribunPapuaTengah.com , Calvin Louis Erari TRIBUNPAPUATENGAH.COM, NABIRE- Sebuah video berdurasi 1 menit 28 detik ba</t>
  </si>
  <si>
    <t xml:space="preserve">Sebuah video merekam asap hitam pekat keluar dari dalam tanah kawasan pertokoan Pasar Baru, Sawah Besar, Jakarta Pusat viral di media sosial. Dalam unggahan di akun Instagram @kontributorjakarta, terl</t>
  </si>
  <si>
    <t xml:space="preserve">https://papuanewsonline.com/viral--skandal-mtq-papua-tengah-juara-i-dibuang-juara-ii-melenggang-ke-nasional--iskandar-diblokir</t>
  </si>
  <si>
    <t xml:space="preserve">papuanewsonline.com</t>
  </si>
  <si>
    <t xml:space="preserve">5 Makan Siang Dekat Alun-alun Bandung, Ada Nasi Timbel Legendaris - Tribun Travel</t>
  </si>
  <si>
    <t xml:space="preserve">Papuanewsonline.com, Mimika - Dunia MTQ Papua Tengah tercoreng. Sebuah kejanggalan fatal terjadi di tubuh LPTQ. Iskandar, Juara I MTQ Tingkat Provinsi Papua Tengah, justru dicoret dari daftar peserta </t>
  </si>
  <si>
    <t xml:space="preserve">https://salampapua.com/2026/08/593-personel-gabungan-dipersiapkan-untuk-amankan-aksi-damai-10-agustus-2026-di-nabire.html</t>
  </si>
  <si>
    <t xml:space="preserve">8 Tempat Makan di Karawang yang Enak dan Murah, Pas Buat Quality Time hingga WFC! - Hipwee</t>
  </si>
  <si>
    <t xml:space="preserve">SALAM PAPUA (NABIRE) - Sebanyak 593 personel gabungan TNI-Polri dan Satpol-PP mengikuti apel persiapan untuk mengamankan aksi damai yang akan digelar Front Peduli Alam dan Manusia Mee Wilayah SIMAPITO</t>
  </si>
  <si>
    <t xml:space="preserve">Belum punya akun? Daftar Akun Download TribunX untuk Android &amp; iOS TRIBUN-PAPUATENGAH.COM, SENTANI- Pemerintah Kabupaten Jayapura (Pemkab) Jayapura mengalami sejumlah kendala terkait penanganan sampah</t>
  </si>
  <si>
    <t xml:space="preserve">https://www.viralpublik.com/pengamanan-ibadah-di-sinak-satgas-ops-damai-cartenz-perkuat-rasa-aman-masyarakat</t>
  </si>
  <si>
    <t xml:space="preserve">Tempat Makan Viral di Bandung 2026 ini Destinasi Kuliner yang Wajib Dikunjungi! - jogja.disway.id - Disway Jogja</t>
  </si>
  <si>
    <t xml:space="preserve">Puncak, Papua Tengah – Dalam rangka menjaga situasi keamanan dan ketertiban masyarakat tetap kondusif, personel Satgas Operasi Damai Cartenz-2026 melaksanakan patroli jalan kaki sekaligus pengamanan i</t>
  </si>
  <si>
    <t xml:space="preserve">https://papuatengah.tribunnews.com/mimika/5902/langit-kota-timika-mendung-pagi-hari-bmkg-prediksi-18-distrik-di-mimika-papua-tengah-cerah-berawan</t>
  </si>
  <si>
    <t xml:space="preserve">7 Bubur Ayam Bandung yang Bikin Ketagihan, Harga Mulai Rp 7 Ribuan! - detikFood</t>
  </si>
  <si>
    <t xml:space="preserve">Belum punya akun? Daftar Akun Download TribunX untuk Android &amp; iOS Laporan Wartawan TribunPapuaTengah.com , Feronike Rumere TRIBUN-PAPUATENGAH.COM, MIMIKA - Badan Meteorologi, Klimatologi, dan Geofisi</t>
  </si>
  <si>
    <t xml:space="preserve">https://papuatengah.tribunnews.com/nabire/5703/dua-hari-tanpa-nasi-ini-strategi-bgn-nabire-serap-pangan-lokal-papua</t>
  </si>
  <si>
    <t xml:space="preserve">Wisata Sepeda Sedang Viral di Bandung Suguhkan Tiga Rute Penuh Kejutan - IDN Times Jabar</t>
  </si>
  <si>
    <t xml:space="preserve">IDN Times Jabar</t>
  </si>
  <si>
    <t xml:space="preserve">Belum punya akun? Daftar Akun Download TribunX untuk Android &amp; iOS Laporan Wartawan TrubunPapuaTengah.com, Calvin Louis Erari TRIBUNPAPUATENGAH.COM, NABIRE - Badan Gizi Nasional (BGN) berkomitmen Prog</t>
  </si>
  <si>
    <t xml:space="preserve">https://papuatengah.tribunnews.com/nabire/7294/aksi-penolakan-program-mbg-menyasar-nabire-dinas-pendidikan-papua-tengah-tegaskan-bukan-kewenangan</t>
  </si>
  <si>
    <t xml:space="preserve">Viral Tarif Kursi Picu Evaluasi Besar, Dispar Sukabumi Perkuat Standar Pelayanan Wisata - Sukabuminow.com</t>
  </si>
  <si>
    <t xml:space="preserve">Sukabuminow.com</t>
  </si>
  <si>
    <t xml:space="preserve">Belum punya akun? Daftar Akun Download TribunX untuk Android &amp; iOS Laporan Wartawan TribunPapuaTengah.com , Calvin Louis Erari TRIBUNPAPUATENGAH.COM, NABIRE - Ratusan pelajar yang tergabung dalam Soli</t>
  </si>
  <si>
    <t xml:space="preserve">https://papuatengah.tribunnews.com/nabire/7292/demo-tolak-mbg-guncang-papua-tengah-ini-8-tuntutan-spwp-di-nabire</t>
  </si>
  <si>
    <t xml:space="preserve">Wisata Alam Majalengka Paling Viral 2026 Jadi Destinasi Healing Terbaik Majalengka untuk Melepas Penat - jogja.disway.id - Disway Jogja</t>
  </si>
  <si>
    <t xml:space="preserve">Belum punya akun? Daftar Akun Download TribunX untuk Android &amp; iOS Laporan Wartawan TribunPapuaTengah.com , Calvin Louis Erari TRIBUNPAPUATENGAH.COM, NABIRE - Gelombang penolakan terhadap Program Maka</t>
  </si>
  <si>
    <t xml:space="preserve">https://www.inilah.com/heboh-ajudan-perwira-diusir-saat-ikut-lari-jogja-marathon-ini-klarifikasi-mabes-tni-ad</t>
  </si>
  <si>
    <t xml:space="preserve">Usai Viral Pungli, Dedi Mulyadi Tata Jembatan Cirahong Jadi Kawasan Wisata Bernuansa Sunda - Kompas.com</t>
  </si>
  <si>
    <t xml:space="preserve">Kepala Dinas Penerangan TNI AD (Kadispenad) Brigjen TNI Donny Pramono saat jumpa pers di Jakarta Pusat, Jumat (29/5/2026). (Foto: Antara/Walda Marison) Berita Terkini, Eksklusif di WhatsApp Inilah.com</t>
  </si>
  <si>
    <t xml:space="preserve">MIMIKA, Seputarpapua.com | Kopi kini bukan lagi sekadar pemungut kantuk di pagi hari. Di era modern, seseduh kopi telah bertransformasi menjadi bagian integral dari gaya hidup. Tak sedikit penikmatnya</t>
  </si>
  <si>
    <t xml:space="preserve">Bangunan Koperasi Desa Merah Putih di Desa Gunungmasigit, Kecamatan Cipatat, Kabupaten Bandung Barat (KBB), Jawa Barat, menjadi sorotan setelah videonya viral di media sosial. Dalam unggahan tersebut,</t>
  </si>
  <si>
    <t xml:space="preserve">https://papuatengah.tribunnews.com/jayapura/6833/bem-uncen-desak-pemkab-jayapura-transparansi-soal-dugaan-keracunan-massal-mbg-di-depapre</t>
  </si>
  <si>
    <t xml:space="preserve">Desa Estetik Jadi Destinasi Wisata Hits di Ciamis - detikcom</t>
  </si>
  <si>
    <t xml:space="preserve">Belum punya akun? Daftar Akun Download TribunX untuk Android &amp; iOS TRIBUN-PAPUATENGAH.COM, JAYAPURA - Gelombang penolakan terhadap Program Makan Bergizi Gratis (MBG) di Papua kian memuncak usai puluha</t>
  </si>
  <si>
    <t xml:space="preserve">GenPI.co - Viral di media sosial balita perempuan berusia 1,5 tahun mengalami hipotermia saat dibawa orang tuanya mendaki Gunung Ungaran , Semarang, Jawa Tengah. Kondisi ini dipicu perubahan cuaca bur</t>
  </si>
  <si>
    <t xml:space="preserve">Belum punya akun? Daftar Akun Download TribunX untuk Android &amp; iOS Laporan Wartawan TribunPapuaTengah.com , Feronike Rumere TRIBUN-PAPUATENGAH.COM, MIMIKA – Pagelaran Timika Inside Festival of Art (TI</t>
  </si>
  <si>
    <t xml:space="preserve">https://papuatengah.tribunnews.com/nabire/5819/warga-nabire-ini-prediksi-dua-tim-raksasa-eropa-dominasi-juara-piala-dunia-2026</t>
  </si>
  <si>
    <t xml:space="preserve">Teror Preman Ngamprah Bandung Barat, Palak Toko Mebel Sambil Mabuk - detikcom</t>
  </si>
  <si>
    <t xml:space="preserve">Belum punya akun? Daftar Akun Download TribunX untuk Android &amp; iOS Laporan Wartawan TribunPapuaTengah.com , Calvin Louis Erari TRIBINPAPUATENGAH.COM, NABIRE - Piala Dunia 2026 mulai membakar semangat </t>
  </si>
  <si>
    <t xml:space="preserve">https://www.detik.com/sulsel/hukum-dan-kriminal/d-8680622/viral-pesawat-tempur-dikerahkan-gempur-markas-opm-tni-bantah/amp</t>
  </si>
  <si>
    <t xml:space="preserve">Kadin Bandung Barat menjajaki peluang ekspor kopi ke pasar Dubai - ANTARA News Jawa Barat</t>
  </si>
  <si>
    <t xml:space="preserve">Viral di media sosial TNI mengerahkan pesawat tempur menggempur markas organisasi Papua merdeka (OPM) atau kelompok kriminal bersenjata (KKB) di Papua Pegunungan. TNI membantah narasi tersebut dan men</t>
  </si>
  <si>
    <t xml:space="preserve">https://www.antaranews.com/berita/5673887/anggota-dpd-ri-irianto-kogoya-pantau-mbg-di-smp-1-wamena-jayawijaya?utm_source=pon&amp;utm_medium=desktop&amp;utm_campaign=related_news</t>
  </si>
  <si>
    <t xml:space="preserve">Viral Rekaman CCTV, Pria Diduga Berulang Kali Curi Dagangan Pedagang Pasar Jagasatru Cirebon - Kompas.com</t>
  </si>
  <si>
    <t xml:space="preserve">Wamena (ANTARA) - Anggota Komisi III Dewan Perwakilan Daerah (DPD) RI Arianto Kogoya memantau pelaksanaan program Makan Bergizi Gratis atau MBG di sekolah menengah pertama (SMP) Negeri 1 Wamena, Kabup</t>
  </si>
  <si>
    <t xml:space="preserve">Papua Pegunungan menjadi salah satu destinasi yang menarik bagi wisatawan yang ingin menikmati panorama alam pegunungan sekaligus mengenal kekayaan budaya masyarakat adat Papua. Berpusat di Wamena, wi</t>
  </si>
  <si>
    <t xml:space="preserve">Papua dan kawasan Tanah Papua menyimpan beragam destinasi wisata dengan panorama alam yang sulit ditemukan di daerah lain. Mulai dari gugusan pulau karst, laut dengan kekayaan bawah air, danau, pegunu</t>
  </si>
  <si>
    <t xml:space="preserve">https://www.detik.com/bali/berita/d-8665201/sopir-travel-ditembak-mati-opm-jenazah-ditemukan-dalam-mobil-terbakar</t>
  </si>
  <si>
    <t xml:space="preserve">Viral Dugaan Pungli di Pasar Baleendah, Disperdagin Bandung: Tidak Ada Dasar Hukum - Kompas.com</t>
  </si>
  <si>
    <t xml:space="preserve">Sopir Travel Ditembak Mati OPM, Jenazah Ditemukan dalam Mobil Terbakar Syachrul Arsyad - detikBali Sopir travel asal Toraja, Aris Sanda alias Tasya, ditemukan tewas dalam sebuah mobil yang terbakar di</t>
  </si>
  <si>
    <t xml:space="preserve">Presenter TVRI Papua Barat Yanto Idorway Hilang di Air Terjun, Rekan Kerja Ikut Sisir Pegunungan Arfak PEGUNUNGAN ARFAK, KOMPAS.com — Operasi pencarian terhadap presenter TVRI Papua Barat, Yanto Idorw</t>
  </si>
  <si>
    <t xml:space="preserve">Home / Berita / Pariwisata / Peristiwa Minggu, 19 Juli 2026 -  09:53 WIT Kapolres Pegunungan Arfak, AKBP Dr. Bernadus Okoka, S.E., M.H., memimpin apel kesiapan tim gabungan yang terdiri dari personel </t>
  </si>
  <si>
    <t xml:space="preserve">https://www.detik.com/sulsel/hukum-dan-kriminal/d-8668718/pembunuh-sopir-travel-di-wamena-diduga-kkb-kodap-iii-ndugama</t>
  </si>
  <si>
    <t xml:space="preserve">Penyelenggaraan Event Jawa Barat Maret 2026 Catat Perputaran Ekonomi Rp164 Miliar - Dinas Pariwisata dan Kebudayaan Provinsi Jawa Barat</t>
  </si>
  <si>
    <t xml:space="preserve">Dinas Pariwisata dan Kebudayaan Provinsi Jawa Barat</t>
  </si>
  <si>
    <t xml:space="preserve">Sopir travel bernama Aris Sanda (41) di Wamena, Kabupaten Jayawijaya , Papua Pegunungan, diduga tewas ditembak Kelompok Kriminal Bersenjata (KKB) Kodap III Ndugama. Polisi tengah melakukan penyelidika</t>
  </si>
  <si>
    <t xml:space="preserve">https://www.detik.com/sulsel/hukum-dan-kriminal/d-8664998/sopir-dibunuh-opm-di-wamena-ditemukan-dalam-mobil-terbakar</t>
  </si>
  <si>
    <t xml:space="preserve">Festival Kreasi Budaya Anak Jawa Barat Warnai Peringatan HAN Tingkat Jabar 2026 - Inilah.com</t>
  </si>
  <si>
    <t xml:space="preserve">Sopir travel asal Toraja, Aris Sanda alias Tasya tewas ditembak kelompok kriminal bersenjata (KKB) alias Organisasi Papua Merdeka (OPM) di Wamena, Kabupaten Jayawijaya, Papua Pegunungan. TNI yang mela</t>
  </si>
  <si>
    <t xml:space="preserve">https://www.detik.com/sulsel/hukum-dan-kriminal/d-8666160/barbar-kkb-sandera-bunuh-sopir-wamena-saat-bawa-logistik-warga</t>
  </si>
  <si>
    <t xml:space="preserve">Kelompok Kriminal Bersenjata (KKB) atau Organisasi Papua Merdeka (OPM) menembak mati sopir travel bernama Aris Sanda saat sedang membawa logistik warga di Wamena, Kabupaten Jayawijaya , Papua Pegunung</t>
  </si>
  <si>
    <t xml:space="preserve">https://indonesiadefense.com/satgas-koops-tni-habema-amankan-5-000-batang-ganja-dari-dua-kampung-di-papua-pegunungan/</t>
  </si>
  <si>
    <t xml:space="preserve">TSM Hadirkan Karakter Viral "Nailoong" untuk Pertama Kali di Bandung - CNBC Indonesia</t>
  </si>
  <si>
    <t xml:space="preserve">Jakarta, IDM – Upaya memberantas penyalahgunaan narkotika di wilayah perbatasan Indonesia-PNG terus dilakukan oleh para personel Tentara Nasional Indonesia (TNI). Terbaru, pada 13 Juli 2026, Satgas Pa</t>
  </si>
  <si>
    <t xml:space="preserve">https://www.detik.com/jateng/berita/d-8425724/ruko-di-jayawijaya-papua-pegunungan-hangus-terbakar-11-orang-tewas</t>
  </si>
  <si>
    <t xml:space="preserve">Kebakaran melanda permukiman dan rumah toko (ruko) di Kabupaten Jayawijaya, Papua Pegunungan. Sebelas orang, termasuk balita, tewas dalam insiden itu. Dilansir detikSulsel , kebakaran itu terjadi di J</t>
  </si>
  <si>
    <t xml:space="preserve">https://www.kilat.com/nasional/84417653677/buru-opm-yang-tewaskan-aris-sanda-di-papua-tni-jangan-sampai-ada-yang-ingin-keluar-nkri</t>
  </si>
  <si>
    <t xml:space="preserve">KILAT.COM - TNI masih mengejar anggota OPM yang membunuh sopir travel Aris Sanda di Papua Pegunungan. Kepala Pusat Penerangan (Kapuspen) TNI Mayjen TNI Muhammad Nas buka suara terkait hal ini. Selaku </t>
  </si>
  <si>
    <t xml:space="preserve">https://sorong.tribunnews.com/news/32917/wagub-ntt-lepas-jenazah-korban-penembakan-papua-wili-mbuik-menuju-rote-ndao</t>
  </si>
  <si>
    <t xml:space="preserve">sorong.tribunnews.com</t>
  </si>
  <si>
    <t xml:space="preserve">Belum punya akun? Daftar Akun Download TribunX untuk Android &amp; iOS TRIBUNSORONG.COM - Suasana haru menyelimuti Pelabuhan Bolok, Kabupaten Kupang , Jumat 11 September 2026 sekitar pukul 08.45 WITA, saa</t>
  </si>
  <si>
    <t xml:space="preserve">https://www.beritanusa.com/nasional/2503019792/asn-tana-toraja-tewas-ditembak-kkb-usai-antar-bantuan-keluarga-ungkap-sosoknya-sejak-kecil</t>
  </si>
  <si>
    <t xml:space="preserve">www.beritanusa.com</t>
  </si>
  <si>
    <t xml:space="preserve">TANA TORAJA, Beritanusa.com - Duka mendalam menyelimuti kediaman keluarga almarhumah Aprida Rapi (49) di Jalan Tondon Mamullu, Kecamatan Makale, Kabupaten Tana Toraja, Sulawesi Selatan. Aprida dikenan</t>
  </si>
  <si>
    <t xml:space="preserve">https://www.harianmassa.id/news/2717081079/gudang-toko-rani-puri-magetan-ludes-terbakar-tidak-ada-korban-jiwa</t>
  </si>
  <si>
    <t xml:space="preserve">www.harianmassa.id</t>
  </si>
  <si>
    <t xml:space="preserve">HARIAN MASSA - Gudang Toko Rani Puri yang menjual aneka rupa busana, di kawasan komersial Jalan Yos Sudarso, Kelurahan Kebon Agung, Kecamatan Kota, Magetan , Jawa Timur , ludes terbakar. Tidak ada kor</t>
  </si>
  <si>
    <t xml:space="preserve">https://sorong.tribunnews.com/news/31709/sales-hp-bongkar-praktik-penggelapan-di-toko-deltafone-paragon-sorong-oknum-polisi-jadi-penadah</t>
  </si>
  <si>
    <t xml:space="preserve">Belum punya akun? Daftar Akun Download TribunX untuk Android &amp; iOS TRIBUNSORONG.COM, SORONG - Terduga pelaku berinisial HS alias Husnah buka suara terkait peristiwa penggelapan 40 handphone di Toko De</t>
  </si>
  <si>
    <t xml:space="preserve">https://www.detik.com/sulsel/hukum-dan-kriminal/d-8658119/kios-jadi-lokasi-penyimpanan-ganja-di-pasar-wouma-jayawijaya-digerebek</t>
  </si>
  <si>
    <t xml:space="preserve">Polisi menggerebek sebuah kios yang menjadi tempat penyimpanan narkotika jenis ganja di Kabupaten Jayawijaya , Papua Pegunungan. Sebanyak 12 kantong plastik berisi ganja pun diamankan dari lokasi. "Da</t>
  </si>
  <si>
    <t xml:space="preserve">https://jakarta.viva.co.id/kabar/6140-wagub-papua-pegunungan-minta-pendidikan-gratis-dan-mbg-tetap-jadi-prioritas-prabowo</t>
  </si>
  <si>
    <t xml:space="preserve">jakarta.viva.co.id</t>
  </si>
  <si>
    <t xml:space="preserve">VIVA – Wakil Gubernur Papua Pegunungan Ones Pahabol meminta pemerintah pusat menjadikan pendidikan gratis , Makan Bergizi Gratis ( MBG ), dan pemerataan Sekolah Rakyat sebagai prioritas pembangunan di</t>
  </si>
  <si>
    <t xml:space="preserve">https://www.jpnn.com/news/kontak-senjata-satgas-tni-pukul-mundur-opm-di-nduga-papua</t>
  </si>
  <si>
    <t xml:space="preserve">jpnn.com - TIMIKA - Satuan Tugas Komando Operasi TNI Habema memukul mundur Tentara Pembebasan Nasional Papua Barat -Organisasi Papua Merdeka (TPNPB-OPM) Kodap III Ndugama Derakma, di Kabupaten Nduga, </t>
  </si>
  <si>
    <t xml:space="preserve">https://www.bbc.com/indonesia/articles/cjwxv4nej71o</t>
  </si>
  <si>
    <t xml:space="preserve">Sumber gambar, Front Justice For Tobias Silak Tiga warga sipil di Kabupaten Yahukimo, Papua Pegunungan, ditembak Tentara Pembebasan Nasional Papua Barat (TPNPB) setelah dituduh menjadi mata-mata bagi </t>
  </si>
  <si>
    <t xml:space="preserve">https://afu.id/nusantara/lindungi-petani-lokal-pemprov-papua-pegunungan-siapkan-pergub-pembatasan-sayuran-dari-luar-daerah</t>
  </si>
  <si>
    <t xml:space="preserve">Nikmati fitur lengkap distribusi bias, newsletter, pemberitahuan berita Penulis: Agung Riyadi JAKARTA, AFU.ID â Pemerintah Provinsi (Pemprov) Papua Pegunungan tengah menyiapkan Peraturan Gubernur (P</t>
  </si>
  <si>
    <t xml:space="preserve">https://rri.co.id/wamena/umkm/2383198/strategi-umkm-yahocap-bertahan-andalkan-produk-lokal-papua-pegunungan</t>
  </si>
  <si>
    <t xml:space="preserve">RRI.CO.ID, WAMENA – Di tengah tantangan ekonomi global, pelaku Usaha Mikro, Kecil, dan Menengah (UMKM) dituntut untuk terus berinovasi dan adaptif. Salah satu contoh inspiratif datang dari UMKM Yahoca</t>
  </si>
  <si>
    <t xml:space="preserve">https://opsi.id/menyambut-pidato-politik-ketua-umum-partai-demokrat-dr-h-agus-harimurti-yudhoyono-demokrat-bersama-rakyat-memajukan-ekonomi-menegakkan-keadilan-menjaga-demokrasi/</t>
  </si>
  <si>
    <t xml:space="preserve">“Demokrat Bersama Rakyat: Memajukan Ekonomi, Menegakkan Keadilan, Menjaga Demokrasi” Oleh: Willem Wandik S.Sos Papua Pegunungan – Di sela-sela agenda Penugasan Mendagri di Lemhannas RI, Jakarta, kami </t>
  </si>
  <si>
    <t xml:space="preserve">https://www.jpnn.com/news/soal-penerapan-pendidikan-tinggi-negeri-gratis-mendiktisaintek-beri-penjelasan</t>
  </si>
  <si>
    <t xml:space="preserve">jpnn.com , JAKARTA - Kementerian Pendidikan Tinggi, Sains, dan Teknologi ( Kemdiktisaintek ) menyiapkan langkah strategis guna menindaklanjuti arahan Presiden Prabowo Subianto, perihal pendidikan nege</t>
  </si>
  <si>
    <t xml:space="preserve">https://www.merahputih.com/post/read/di-berbagai-daerah-harga-beras-naik-3-persen-tertinggi-di-papua-pegunungan-capai-47-94-persen</t>
  </si>
  <si>
    <t xml:space="preserve">MerahPutih.com - Perkembangan harga beras di berbagai wilayah diminta menjadi perhatian, terutama karena pergerakan harga beras akan turut menjadi salah satu komponen yang diperhitungkan dalam inflasi</t>
  </si>
  <si>
    <t xml:space="preserve">https://afu.id/nusantara/batasi-sayuran-dari-luar-papua-pegunungan-siapkan-pergub</t>
  </si>
  <si>
    <t xml:space="preserve">Nikmati fitur lengkap distribusi bias, newsletter, pemberitahuan berita Penulis: Fadhlan Robbani Â· Reporter: Fadhlan Robbani Pemerintah Provinsi Papua Pegunungan sedang menyusun peraturan gubernur un</t>
  </si>
  <si>
    <t xml:space="preserve">Penembakan yang mengakibatkan dua warga luka terjadi di Festival Budaya Lembah Baliem (FBLB) ke-34, Kabupaten Jayawijaya , Papua Pegunungan. Organisasi Papua Merdeka (OPM) diduga sebagai dalang di bal</t>
  </si>
  <si>
    <t xml:space="preserve">https://news.okezone.com/read/2026/09/25/340/3244129/viral-markas-kkb-egianus-kogoya-dikabarkan-luluh-lantak-dibombardir-pesawat-tempur-tni-au</t>
  </si>
  <si>
    <t xml:space="preserve">PAPUA – Markas Kelompok Kriminal Bersenjata (KKB) pimpinan Egianus Kogoya di Kabupaten Nduga, Papua Pegunungan,dikabarkan luluh lantak dibombardir pesawat tempur TNI AU. Peristiwa tersebut viral di me</t>
  </si>
  <si>
    <t xml:space="preserve">https://nasional.kompas.com/read/2026/09/10/13302801/3-petugas-pertanian-tewas-ditembak-kkb-pemerintah-didesak-bertindak-tegas</t>
  </si>
  <si>
    <t xml:space="preserve">3 Petugas Pertanian Tewas Ditembak KKB, Pemerintah Didesak Bertindak Tegas JAKARTA, KOMPAS.com - Anggota Komisi XIII DPR Mafirion Syamsuddin Rogo mendesak pemerintah bertindak tegas usai tiga aparatur</t>
  </si>
  <si>
    <t xml:space="preserve">WNA Diduga Makan Penyu di Raja Ampat, Kenapa Dilarang Konsumsi Penyu? KOMPAS.com - Seorang warga negara asing (WNA) asal China berinisial WS ditangkap usai diduga melakukan perburuan liar dan makan pe</t>
  </si>
  <si>
    <t xml:space="preserve">https://lintascakrawalanews.com/2026/05/07/menu-mbg-di-sppg-cipining-curugbitung-jadi-sorotan-pengelola-akui-sering-terima-keluhan-porsi-lauk/</t>
  </si>
  <si>
    <t xml:space="preserve">lintascakrawalanews.com</t>
  </si>
  <si>
    <t xml:space="preserve">Lebak, Lintascakrawalanews.com – Pelaksanaan program Makan Bergizi Gratis (MBG) di wilayah Kecamatan Curugbitung, Kabupaten Lebak, kembali menjadi sorotan. Keluhan terkait porsi lauk yang dinilai terl</t>
  </si>
  <si>
    <t xml:space="preserve">Belum punya akun? Daftar Akun Download TribunX untuk Android &amp; iOS TRIBUNSOLO.COM, SOLO - Ngopi di Solo , Jawa Tengah, sekarang bukan cuma soal mencari secangkir kopi, tapi juga soal mencari tempat ya</t>
  </si>
  <si>
    <t xml:space="preserve">https://www.owrite.id/tourism/2026/09/21/viral-wisatawan-asing-panah-penyu-di-papua-barat-daya-pakar-harus-diproses-hukum/</t>
  </si>
  <si>
    <t xml:space="preserve">21 September 2026 · 20.00 WIB 21 Sep 2026 · 20.00 WIB Baru-baru ini viral di media sosial aksi seorang wisatawan asing yang sedang menyelam tengah memanah seekor penyu. Kejadian tersebut diketahui ter</t>
  </si>
  <si>
    <t xml:space="preserve">https://papuatengah.antaranews.com/berita/84825/pemkot-sorong-tingkatkan-kapasitas-pengelola-destinasi-pariwisata</t>
  </si>
  <si>
    <t xml:space="preserve">Sorong (ANTARA) - Pemerintah Kota Sorong, Papua Barat Daya, mengasah dan meningkatkan kompetensi sumber daya manusia (SDM) pengelola destinasi pariwisata berbasis masyarakat melalui pelatihan penguata</t>
  </si>
  <si>
    <t xml:space="preserve">Kasus WN (Warga Negara) China yang memanah penyu kemudian menyantapnya mencoreng wisata Raja Ampat. Raja Ampat bukanlah sekadar destinasi wisata. Kepala Dinas Pariwisata dan Ekonomi Kreatif (Disparekr</t>
  </si>
  <si>
    <t xml:space="preserve">https://papuabarat.tribunnews.com/news/66229/bulog-klarifikasi-soal-video-viral-beras-diinjak-injak-di-pelabuhan-jayapura</t>
  </si>
  <si>
    <t xml:space="preserve">papuabarat.tribunnews.com</t>
  </si>
  <si>
    <t xml:space="preserve">Belum punya akun? Daftar Akun Download TribunX untuk Android &amp; iOS TRIBUNPAPUABARAT.COM, JAYAPURA – Video di media sosial yang memperlihatkan sejumlah orang menginjak-injak tumpukan beras yang diduga </t>
  </si>
  <si>
    <t xml:space="preserve">https://sorong.tribunnews.com/kota-sorong/33040/elisa-kambu-ungkap-dampak-penurunan-dana-transfer-ke-papua-barat-daya</t>
  </si>
  <si>
    <t xml:space="preserve">Belum punya akun? Daftar Akun Download TribunX untuk Android &amp; iOS TRIBUNSORONG.COM, SORONG – Pemerintah Provinsi Papua Barat Daya menghadapi keterbatasan fiskal akibat penurunan Transfer ke Daerah (T</t>
  </si>
  <si>
    <t xml:space="preserve">https://www.matapersindonesia.com/daerah/792703874/viral-ratusan-karyawan-alfamart-demo-di-kantor-bupati-lombok-tengah-diduga-cemaskan-phk-usai-penutupan-25-ritel?page=2</t>
  </si>
  <si>
    <t xml:space="preserve">Harga Cabai Rawit Merah Melonjak di Pasar Tradisional Banten - suaralandak.co.id</t>
  </si>
  <si>
    <t xml:space="preserve">Di lain pihak, Pemkab Lombok Tengah kini memastikan langkah penertiban ini memiliki landasan hukum yang kuat. Ihwal Penertiban 25 Gerai Alfamart Secara terpisah, Kepala Dinas Penanaman Modal dan Pelay</t>
  </si>
  <si>
    <t xml:space="preserve">https://jakarta.tribunnews.com/jakarta/441687/brigjen-hengki-jadi-kapolda-papua-barat-pernah-tangkap-hercules-diminta-netizen-balik-ke-jakarta</t>
  </si>
  <si>
    <t xml:space="preserve">jakarta.tribunnews.com</t>
  </si>
  <si>
    <t xml:space="preserve">Belum punya akun? Daftar Akun Download TribunX untuk Android &amp; iOS TRIBUNJAKARTA.COM - Kapolri Jenderal Listyo Sigit Prabowo melakukan rotasi dan mutasi terhadap 424 Perwira Tinggi (Pati) dan Perwira </t>
  </si>
  <si>
    <t xml:space="preserve">https://www.ayosemarang.com/semarang-raya/7716942691/8-toko-cat-terbaik-di-semarang-yang-paling-direkomendasikan-harga-terjangkau-dan-review-bagus</t>
  </si>
  <si>
    <t xml:space="preserve">SEMARANG , AYOSEMARANG.COM -- Memilih cat untuk rumah atau bangunan bukan sekadar soal warna yang menarik, tetapi juga menyangkut kualitas bahan, daya tahan, serta hasil akhir yang memuaskan. Karena i</t>
  </si>
  <si>
    <t xml:space="preserve">https://www.tatarmedia.id/viral-terkini/2027531489/waspada-macet-demo-hari-ini-cek-3-titik-utama-terdampak-dan-rute-alternatifnya</t>
  </si>
  <si>
    <t xml:space="preserve">www.tatarmedia.id</t>
  </si>
  <si>
    <t xml:space="preserve">TatarMedia.ID – Mengantisipasi kepadatan lalu lintas pada Kamis, 24 September 2026 , pengendara yang melintas di ibu kota diimbau untuk lebih waspada. Sejumlah elemen masyarakat dan organisasi buruh m</t>
  </si>
  <si>
    <t xml:space="preserve">https://www.kompasiana.com/saramambrasar6127/6a76cd05c925c40fed797bb2/globalisasi-kapitalisme-dan-perubahan-pola-konsumsi-masyarakat-kota-soron?page=all</t>
  </si>
  <si>
    <t xml:space="preserve">saya sangat suka traveling dan divinng di laut raja ampat *Abstrak* Globalisasi tidak hanya berkaitan dengan meningkatnya hubungan ekonomi antarnegara, tetapi juga turut memengaruhi berbagai aspek keh</t>
  </si>
  <si>
    <t xml:space="preserve">https://wwb.co.id/knmp-tanjung-kasuari-perkuat-pasar-dan-nilai-tangkapan-nelayan-sorong</t>
  </si>
  <si>
    <t xml:space="preserve">wwb.co.id</t>
  </si>
  <si>
    <t xml:space="preserve">Minggu, 27 September 2026 | 12.11 WIB • 1633 Views KNMP Tanjung Kasuari Perkuat Pasar dan Nilai Tangkapan Nelayan Sorong/ist SORONG – Pengembangan Kampung Nelayan Merah Putih ( KNMP ) di Tanjung Kasua</t>
  </si>
  <si>
    <t xml:space="preserve">https://mantranews.id/2026/09/ekspor-kerapu-raja-ampat-tembus-rp238-m-cuan-meluber-ke-nelayan-lokal/</t>
  </si>
  <si>
    <t xml:space="preserve">Ilustrasi ikan kerapu siap untuk diekspor. SORONG, Mantranews.id — Komoditas ikan kerapu hidup asal perairan Raja Ampat, Papua Barat Daya, sukses mendatangkan gelontoran cuan fantastis hingga menembus</t>
  </si>
  <si>
    <t xml:space="preserve">https://ekbis.harianjogja.com/r-1264973/harga-masih-di-atas-het-distribusi-minyakita-terus-diperkuat</t>
  </si>
  <si>
    <t xml:space="preserve">ekbis.harianjogja.com</t>
  </si>
  <si>
    <t xml:space="preserve">Harianjogja.com, JAKARTA Pemerintah terus memperkuat distribusi Minyakita melalui badan usaha milik negara (BUMN) pangan. Hingga pertengahan Juli 2026, lebih dari separuh penyaluran domestic market ob</t>
  </si>
  <si>
    <t xml:space="preserve">https://sorongraya.inews.id/read/717582/rapbd-papua-barat-daya-2026-masuk-tahap-akhir-dprp-soroti-ketepatan-program-dan-anggaran</t>
  </si>
  <si>
    <t xml:space="preserve">sorongraya.inews.id</t>
  </si>
  <si>
    <t xml:space="preserve">Scan this QR or download app from: SORONG KOTA, iNewssorongraya.id – Pembahasan Rancangan Anggaran Pendapatan dan Belanja Daerah (RAPBD) Provinsi Papua Barat Daya Tahun Anggaran 2026 memasuki tahap kr</t>
  </si>
  <si>
    <t xml:space="preserve">25 September 2026 · 23.00 WIB 25 Sep 2026 · 23.00 WIB Hong Kong salah satu negara yang banyak dikunjungi wisatawan Indonesia. Di September 2026 ini, Hong Kong menghadirkan event meriah, yakni Festival</t>
  </si>
  <si>
    <t xml:space="preserve">https://regional.kompas.com/read/2026/09/21/160247078/demo-tolak-mbg-di-papua-barat-daya-mahasiswa-tuntut-pendidikan-gratis?page=all</t>
  </si>
  <si>
    <t xml:space="preserve">Demo Tolak MBG di Papua Barat Daya, Mahasiswa Tuntut Pendidikan Gratis hingga Perguruan Tinggi SORONG, KOMPAS.com - Puluhan mahasiswa menggelar aksi di depan Kantor Gubernur Papua Barat Daya, Senin (2</t>
  </si>
  <si>
    <t xml:space="preserve">https://sorongraya.inews.id/read/717581/pendapatan-pbd-naik-rp202-miliar-belanja-modal-baru-126-persen-gubernur-elisa-kambu-bereaksi</t>
  </si>
  <si>
    <t xml:space="preserve">Scan this QR or download app from: SORONG KOTA, iNewssorongraya.id – Pendapatan daerah Papua Barat Daya direncanakan meningkat Rp202,12 miliar dalam Perubahan APBD 2026, tetapi realisasi belanja modal</t>
  </si>
  <si>
    <t xml:space="preserve">https://newsmaker.tribunnews.com/viral/184517/minang-geopark-run-2026-segera-digelar-lari-di-tengah-pemandangan-ngarai-sianok-jadi-daya-tarik</t>
  </si>
  <si>
    <t xml:space="preserve">TRIBUNNEWSMAKER.COM - Ajang lari yang memadukan olahraga dan wisata kembali hadir di Sumatera Barat . Minang Geopark Run 2026 dijadwalkan menjadi bagian dari rangkaian Geopark Run Series 2026-2027 dan</t>
  </si>
  <si>
    <t xml:space="preserve">https://www.headline.co.id/140127/bantuan-pangan-beras-disalurkan-kepada-1-800-kpm-di-sorong/</t>
  </si>
  <si>
    <t xml:space="preserve">&lt;p&gt;Headline.co.id, Sorong ~ Pemerintah menyalurkan Bantuan Pangan Beras Periode Juli–September 2026 kepada 1.800 Kelompok Penerima Manfaat (KPM) di Kelurahan Malabutor, Kecamatan Sorong Manoi, Kota So</t>
  </si>
  <si>
    <t xml:space="preserve">https://jogja.disway.id/gaya-hidup/read/701831/wisata-kuliner-jaksel-berikut-tempat-makan-ramen-paling-enak-dan-populer-di-jakarta-selatan</t>
  </si>
  <si>
    <t xml:space="preserve">diswayjogja.id - Dinamika kancah kuliner di wilayah perkotaan Jakarta Selatan senantiasa menawarkan inovasi rasa yang luar biasa, menarik perhatian ribuan pencinta makanan dari berbagai penjuru ibukot</t>
  </si>
  <si>
    <t xml:space="preserve">Presenter Ayu Dewi dan suaminya baru-baru ini mengunggah video yang menunjukkan pilihan makanan favorit mereka di Jakarta. Tak tanggung-tanggung ada 13 daftar yang disebutkan! Apa saja? Belakangan ini</t>
  </si>
  <si>
    <t xml:space="preserve">TRIBUNTRAVEL.COM - Mencari tempat makan siang enak dekat GBK atau Gelora Bung Karno bisa menjadi pilihan praktis setelah berolahraga, menghadiri acara, maupun sekadar berjalan-jalan di kawasan Senayan</t>
  </si>
  <si>
    <t xml:space="preserve">Saatnya update lagi daftar restoran baru di Jakarta pada Mei 2026 ini. Menyambut bulan Mei yang penuh warna, semakin berwarna juga nih pilihan restoran dan cafe yang tersedia untuk kamu pilih. Beragam</t>
  </si>
  <si>
    <t xml:space="preserve">Kawasan Melawai di Blok M, Jakarta Selatan, terus mengukuhkan posisinya sebagai pusat magnet kuliner utama sepanjang tahun 2026. Area ini secara konsisten menghadirkan ragam destinasi kuliner baru set</t>
  </si>
  <si>
    <t xml:space="preserve">Jakarta Selatan memang sering dikaitkan dengan resto mewah dan konsep fine dining. Namun, siapa sangka di balik keramaian dan gedung-gedung tingginya, banyak tersimpan resto keluarga di Jakarta Selata</t>
  </si>
  <si>
    <t xml:space="preserve">Blok M menjadi salah satu kawasan favorit anak muda untuk nongkrong dan berburu kuliner di Jakarta. Popularitas tersebut membuat kawasan ini sering kali dipadati pengunjung, terutama sore hingga malam</t>
  </si>
  <si>
    <t xml:space="preserve">https://mommiesdaily.com/2026/09/18/tempat-makan-di-cipete-itinerary-sehari-untuk-makan-ngopi-dan-nongkrong</t>
  </si>
  <si>
    <r>
      <rPr>
        <sz val="11"/>
        <rFont val="Arial"/>
        <family val="0"/>
        <charset val="1"/>
      </rPr>
      <t xml:space="preserve">Sorry, we couldn't find any article matching ' ' Fannya Gita Alamanda </t>
    </r>
    <r>
      <rPr>
        <sz val="11"/>
        <rFont val="Noto Sans CJK SC"/>
        <family val="2"/>
      </rPr>
      <t xml:space="preserve">・ </t>
    </r>
    <r>
      <rPr>
        <sz val="11"/>
        <rFont val="Arial"/>
        <family val="0"/>
        <charset val="1"/>
      </rPr>
      <t xml:space="preserve">18 Sep 2026 Cari tempat makan di Cipete untuk seharian? Ini itinerary kuliner Cipete mulai dari sarapan, brunch, lunch, ngopi, h</t>
    </r>
  </si>
  <si>
    <t xml:space="preserve">Mencari restoran Korea yang enak dengan pilihan menu beragam di Jakarta tidaklah sulit. Bisa menyambangi 5 tempat ini yang terkenal dengan menu kimbab dan mienya! Perut yang lapar saat makan siang bis</t>
  </si>
  <si>
    <t xml:space="preserve">https://jogja.disway.id/gaya-hidup/read/701812/wisata-kuliner-ala-alice-norin-di-jakarta-selatan-yuk-eksplorasi-tempat-makan-terpopuler</t>
  </si>
  <si>
    <t xml:space="preserve">Alice Norin Jakarta-- diswayjogja.id - Pariwisata kuliner di berbagai wilayah metropolitan Indonesia selalu menghadirkan cerita unik yang merefleksikan identitas gaya hidup serta tren modern masyaraka</t>
  </si>
  <si>
    <t xml:space="preserve">Banyak tempat makan enak di Jakarta yang ternyata jadi favorit selebriti Indonesia. Mulai dari tempat makan kesukaan Nicholas Saputra hingga Hotman Paris, ada di sini! Beberapa figur ternama dari akto</t>
  </si>
  <si>
    <t xml:space="preserve">Jelang waktu makan siang, biasanya para karyawan di Jakarta Selatan (Jaksel) mencari tempat makan enak. Ada beberapa tempat makan yang menjadi andalan karyawan di Jaksel. Mencari tempat makan siang di</t>
  </si>
  <si>
    <t xml:space="preserve">Mulai memasuki pertengahan tahun nih, yuk update terus restoran baru di Jakarta pada Juni 2026 ini. Bulan Juni waktunya menambah terus referensi rasa kulinermu dengan pilihan yang semakin beragam. Ada</t>
  </si>
  <si>
    <t xml:space="preserve">https://jogja.disway.id/gaya-hidup/read/699347/tempat-makan-siang-di-senopati-jakarta-selatan-kuliner-viral-hingga-hidden-gem</t>
  </si>
  <si>
    <t xml:space="preserve">diswayjogja.id - Jakarta Selatan, khususnya kawasan Senopati, memiliki aura yang unik. Di sini, setiap sudut jalan seolah berbicara tentang gaya hidup urban yang dinamis. Gedung-gedung megah berdiri b</t>
  </si>
  <si>
    <t xml:space="preserve">https://jogja.disway.id/gaya-hidup/read/698827/pilihan-dessert-viral-di-blok-m-jakarta-selatan-dari-donat-hits-hingga-cheese-tart-lumer</t>
  </si>
  <si>
    <t xml:space="preserve">diswayjogja.id - Blok M telah lama dikenal sebagai salah satu jantung kebudayaan anak muda di Jakarta Selatan. Namun, beberapa tahun terakhir, kawasan ini mengalami revitalisasi kuliner yang luar bias</t>
  </si>
  <si>
    <t xml:space="preserve">https://jogja.disway.id/gaya-hidup/read/701117/wisata-kuliner-blok-m-square-terbaru-ini-kelezatan-viral-ala-korea-yang-memanjakan-lidah</t>
  </si>
  <si>
    <t xml:space="preserve">Bakmi Piring Unik dan Legendaris di Area Basement-- diswayjogja.id - Dinamika industri kuliner di kawasan Blok M tidak pernah kehilangan daya tarik untuk dibahas, khususnya bagi para pekerja kantoran </t>
  </si>
  <si>
    <t xml:space="preserve">Photo source: @flor.jkt Saat ini, salt bread udah jadi salah satu opsi camilan populer di kalangan penggemar roti-rotian. Asalnya dari Jepang, dikenal dengan nama shio pan . Tren salt bread makin naik</t>
  </si>
  <si>
    <t xml:space="preserve">Salt bread Jakarta kini menjadi incaran para pencinta kuliner yang ingin mencicipi roti viral dengan cita rasa unik. Popularitasnya meroket berkat perpaduan sederhana yang menghadirkan sensasi gurih s</t>
  </si>
  <si>
    <t xml:space="preserve">Salt bread tengah menjadi salah satu camilan yang viral dan banyak dicari pencinta kuliner. Roti ini memiliki tekstur lembut dengan cita rasa gurih yang khas, sehingga cocok dinikmati kapan saja. Popu</t>
  </si>
  <si>
    <t xml:space="preserve">https://news.detik.com/berita/d-8479807/2-pria-diamuk-warga-usai-beli-velg-mobil-di-jaksel-pakai-bukti-transfer-palsu</t>
  </si>
  <si>
    <t xml:space="preserve">Viral video di media sosial dua pria diamuk warga di kawasan Cideng, Jakarta Pusat. Dua pria tersebut ketahuan membeli velg mobil di Jaksel menggunakan bukti transfer palsu. Dari video yang beredar di</t>
  </si>
  <si>
    <t xml:space="preserve">https://www.cnnindonesia.com/gaya-hidup/20260421152455-269-1350434/blok-m-di-kehidupan-kedua-dari-kuliner-viral-hingga-pusat-anak-kalcer</t>
  </si>
  <si>
    <t xml:space="preserve">Kawasan Blok M hari-hari ini tak pernah sepi. Tak sedikit yang menyebut daerah di Jakarta Selatan ini sebagai pusat peradaban anak-anak muda. Tempat ini sejak awal sudah difungsikan sebagai pusat kehi</t>
  </si>
  <si>
    <t xml:space="preserve">https://www.inilah.com/viral-perusahaan-di-pasar-minggu-minta-uang-ke-pelamar-begini-endingnya</t>
  </si>
  <si>
    <t xml:space="preserve">bursa kerja ramai dikunjungi para pencari kerja (Foto: Antara/Luthfia Miranda Putri) Berita Terkini, Eksklusif di WhatsApp Inilah.com Suku Dinas Tenaga Kerja, Transmigrasi dan Energi (Sudin Nakertrans</t>
  </si>
  <si>
    <t xml:space="preserve">Jakarta, CNBC Indonesia - Bioskop biasanya identik dengan pusat perbelanjaan atau kawasan hiburan. Namun, pemandangan berbeda kini terlihat di kawasan Pasar Rumput, Jakarta Selatan. Di tengah kawasan </t>
  </si>
  <si>
    <t xml:space="preserve">https://news.okezone.com/read/2026/09/01/338/3239583/polisi-selidiki-ruko-viral-tawarkan-loker-palsu-di-jaksel</t>
  </si>
  <si>
    <t xml:space="preserve">JAKARTA - Viral di media sosial soal dugaan lowongan kerja palsu beroperasi disebuah ruko di kawasan Pasar Minggu, Jakarta Selatan. Ruko tersebut juga digerebek sejumlah orang. Informasi itu diunggah </t>
  </si>
  <si>
    <t xml:space="preserve">https://www.viva.co.id/berita/metro/1926106-viral-dugaan-lowongan-kerja-bodong-di-pasar-minggu-polisi-selidiki</t>
  </si>
  <si>
    <t xml:space="preserve">Jakarta, VIVA – Polisi tengah mendalami dugaan lowongan kerja (loker) bodong atau palsu dari sebuah perusahaan di kawasan Pasar Minggu , Jakarta Selatan. Sejumlah korban diketahui mengalami kerugian h</t>
  </si>
  <si>
    <t xml:space="preserve">https://news.detik.com/berita/d-8653026/dimediasi-polisi-ini-alasan-kantor-loker-di-jaksel-minta-uang-ke-pelamar</t>
  </si>
  <si>
    <t xml:space="preserve">Polisi menyelidiki kasus viral dugaan penipuan modus membuka lowongan kerja (loker) tapi meminta uang ke pelamar di Pasar Minggu, Jakarta Selatan (Jaksel). Polisi menyebutkan kantor penyalur kerja itu</t>
  </si>
  <si>
    <t xml:space="preserve">https://news.detik.com/berita/d-8654416/ujung-isu-kantor-di-jaksel-bikin-loker-palsu</t>
  </si>
  <si>
    <t xml:space="preserve">Warganet ramai menduga kantor di Pasar Minggu, Jakarta Selatan (Jaksel), membuat lowongan kerja (loker) palsu. Kantor itu dicurigai menipu karena meminta uang kepada pelamar. Isu ini mencuat setelah v</t>
  </si>
  <si>
    <t xml:space="preserve">https://news.detik.com/berita/d-8653034/kantor-di-jaksel-kembalikan-uang-pelamar-dalih-uang-komitmen</t>
  </si>
  <si>
    <t xml:space="preserve">Polisi menyelidiki kasus viral soal dugaan penipuan modus membuka lowongan kerja (loker) namun meminta uang ke pelamar di Pasar Minggu, Jakarta Selatan (Jaksel) . Polisi mengungkap, saat ini kantor pe</t>
  </si>
  <si>
    <t xml:space="preserve">https://news.detik.com/berita/d-8588283/viral-suara-mobile-legends-di-speaker-stasiun-pasming-petugas-diperiksa</t>
  </si>
  <si>
    <t xml:space="preserve">Suara gim Mobile Legends terdengar dari pengeras suara atau speaker Stasiun Pasar Minggu , Jakarta Selatan (Jaksel), saat jam operasional. Setelah video kejadian beredar di media sosial, pihak KAI Com</t>
  </si>
  <si>
    <t xml:space="preserve">https://news.detik.com/berita/d-8442475/transj-jangkau-depok-lagi-rute-9h-kini-layani-tanah-baru-pasar-minggu</t>
  </si>
  <si>
    <t xml:space="preserve">TransJakarta (TransJ) memperluas jangkauan di daerah Depok, Jawa Barat (Jabar). TransJ rute 9H kini melayani penumpang dari Tanah Baru, Depok, menuju Pasar Minggu, Jakarta Selatan (Jaksel). Hal ini me</t>
  </si>
  <si>
    <t xml:space="preserve">https://news.detik.com/berita/d-8572045/viral-pria-diturunkan-dari-krl-karena-diduga-lecehkan-penumpang-wanita</t>
  </si>
  <si>
    <t xml:space="preserve">Video seorang pria dikeluarkan paksa dari kereta rel listrik ( KRL ) di Stasiun Pasar Minggu Baru, Jakarta Selatan (Jaksel), viral di media sosial (medsos). Pria tersebut lalu diserahkan ke petugas di</t>
  </si>
  <si>
    <t xml:space="preserve">https://megapolitan.kompas.com/read/2026/07/06/12215491/kronologi-pengendara-ninja-pukul-pemotor-di-jagakarsa-jaksel-tak-terima</t>
  </si>
  <si>
    <t xml:space="preserve">Kronologi Pengendara Ninja Pukul Pemotor di Jagakarsa Jaksel, Tak Terima Ditegur JAKARTA, KOMPAS.com - Seorang pengendara Kawasaki Ninja bernama Fredk Risya Samuel (37) memukul pemotor bernama Abdul A</t>
  </si>
  <si>
    <t xml:space="preserve">https://wartaekonomi.co.id/read622287/libur-sekolah-berakhir-bgn-kembali-distribusikan-program-mbg-di-jakarta</t>
  </si>
  <si>
    <t xml:space="preserve">Badan Gizi Nasional (BGN) resmi melaksanakan kembali penyaluran Program Makan Bergizi Gratis (MBG) setelah masa libur sekolah berakhir. Langkah operasional ini dimulai serentak untuk memastikan para s</t>
  </si>
  <si>
    <t xml:space="preserve">Sebagai destinasi utama bagi para pencinta mi sejati, Bakmi Ncek menawarkan berbagai varian menu olahan mi yang diolah dengan standar kualitas rasa yang sangat terjaga. Pengunjung dapat memilih berbag</t>
  </si>
  <si>
    <t xml:space="preserve">https://jogja.disway.id/amp/702021/menjelajah-surga-street-food-jalan-sabang-kuliner-malam-terbaik-dan-legendaris-di-jakarta</t>
  </si>
  <si>
    <t xml:space="preserve">diswayjogja.id - Dunia kuliner malam di Jakarta tidak akan pernah terasa lengkap tanpa menyebut nama Jalan Sabang sebagai salah satu ikon pusat jajanan paling legendaris yang membentang di kawasan Men</t>
  </si>
  <si>
    <t xml:space="preserve">TRIBUNTRAVEL.COM - Kawasan Menteng tidak hanya dikenal sebagai area elite dan pusat perkantoran, tetapi juga memiliki banyak pilihan kuliner untuk makan siang . Mulai dari masakan khas Indonesia hingg</t>
  </si>
  <si>
    <t xml:space="preserve">Di Jalan Sabang ada beberapa penjual makanan yang bertahan puluhan tahun. Ada rumah makan Padang sejak 1958, sate kaki lima, roti jadul, hingga bakmi legendaris. Jalan Sabang sudah lama melekat sebaga</t>
  </si>
  <si>
    <t xml:space="preserve">Meskipun menghadirkan berbagai variasi menu yang tidak biasa, Ramen For The Soul tetap mempertahankan esensi dasar dari semangkuk ramen yang lezat, yakni tekstur mi kenyal berkualitas serta kaldu kaya</t>
  </si>
  <si>
    <t xml:space="preserve">Pilihan destinasi mewah berikutnya yang tidak kalah populer adalah Senju Omakase yang terletak di pusat perbelanjaan bergengsi Plaza Indonesia, Jakarta Pusat. Restoran ini menghadirkan suasana ruang y</t>
  </si>
  <si>
    <t xml:space="preserve">Mumpung long weekend, kamu bisa jelajah Cikini. Seharian kulineran di sana bisa coba aneka makanan legendaris dari restoran berusia puluhan tahun. Ini rekomendasinya! Kawasan Cikini di Jakarta Pusat m</t>
  </si>
  <si>
    <t xml:space="preserve">Cari tempat makan siang bernuansa klasik? Deretan restoran Chinese food legendaris di Jakarta ini punya menu autentik yang wajib dicoba. Di Jakarta ada banyak restoran Chinese food legendaris yang mas</t>
  </si>
  <si>
    <t xml:space="preserve">Namanya jarang terdengar, tetapi beberapa restoran Padang di Jakarta ini layak jadi rekomendasi turis. Lauknya lengkap dengan paduan bumbu autentik khas Minang. Kasus turis Malaysia yang dituding belu</t>
  </si>
  <si>
    <t xml:space="preserve">Nasi Padang di Jakarta tak hanya enak-enak tetapi juga banyak yang legendaris. Bahkan ada beberapa nasi Padang tertua yang sudah buka sejak 1958. Masakan khas Minang selalu menjadi pilihan saat ingin </t>
  </si>
  <si>
    <t xml:space="preserve">Bawa uang mulai Rp12.000, kamu bisa makan siang dengan seporsi gultik. Kuahnya gurih, dengan pilihan isian daging sapi, kambing, atau ayam. Gultik atau gulai tikungan identik dengan kuah gurih berbumb</t>
  </si>
  <si>
    <t xml:space="preserve">&lt;p class="PDq2pG_selectionAnchorContainer" data-start="148" data-end="473"&gt;&lt;strong&gt;STASIUN&lt;/strong&gt; Gambir bukan hanya menjadi salah satu pintu masuk utama menuju Jakarta, tetapi juga dikelilingi bany</t>
  </si>
  <si>
    <t xml:space="preserve">Walking Tour Kompas.com, Jelajah 13 Toko Kopi dan Wisata Legendaris Jakarta Pusat JAKARTA, KOMPAS.com - Dari toko kopi legendaris hingga bangunan bersejarah, KompasTravel menggelar walking tour perdan</t>
  </si>
  <si>
    <t xml:space="preserve">Viral Toko Kelontong di Kemayoran Diacak-acak Warga, Polisi: Ada Kesalahpahaman JAKARTA, KOMPAS.com - Sebuah toko kelontong di Sumur Batu, Kemayoran, Jakarta Pusat, yang diacak-acak viral di media sos</t>
  </si>
  <si>
    <t xml:space="preserve">https://sukabumisatu.com/viral-warung-di-kemayoran-dirusak-oknum-tni-gara-gara-biaya-qris-rp1-000-ini-aturan-tegas-bank-indonesia/</t>
  </si>
  <si>
    <t xml:space="preserve">sukabumisatu.com</t>
  </si>
  <si>
    <t xml:space="preserve">JAKARTA – Media sosial tengah dihebohkan dengan aksi perusakan sebuah warung kelontong di Jalan Kodam, Sumur Batu, Kemayoran, Jakarta Pusat, Minggu (3/5/2026). Insiden yang mengakibatkan pedagang haru</t>
  </si>
  <si>
    <t xml:space="preserve">https://www.rctiplus.com/news/detail/inews/5377085/viral-prajurit-tni-rusak-warung-di-kemayoran--kasus-berakhir-damai</t>
  </si>
  <si>
    <t xml:space="preserve">JAKARTA, iNews.id - Keributan melibatkan anggota TNI yang berujung pada perusakan toko kelontong terjadi di kawasan Sumur Batu, Kemayoran, Jakarta Pusat. Polisi mengatakan kasus itu kini sudah berakhi</t>
  </si>
  <si>
    <t xml:space="preserve">https://daerah.sindonews.com/read/1703507/6/toko-kelontong-di-kemayoran-diacak-acak-tni-ad-akui-ada-keterlibatan-anggotanya-1777971916</t>
  </si>
  <si>
    <t xml:space="preserve">daerah.sindonews.com</t>
  </si>
  <si>
    <t xml:space="preserve">Peristiwa toko kelontong diacak-acak di wilayah Kemayoran, Jakarta Pusat viral di media sosial. Dalam video viral yang diunggah akun Instagram @wargajakarta.id,...</t>
  </si>
  <si>
    <t xml:space="preserve">https://megapolitan.kompas.com/read/2026/05/05/15073521/viral-toko-kelontong-di-kemayoran-diacak-acak-tni-ad-akui-ada-anggotanya</t>
  </si>
  <si>
    <t xml:space="preserve">Viral Toko Kelontong di Kemayoran Diacak-acak, TNI AD Akui Ada Anggotanya Terlibat JAKARTA, KOMPAS.com - Kepala Dinas Penerangan Angkatan Darat (Kadispenad) Kolonel Inf Donny Pramono, memberikan penje</t>
  </si>
  <si>
    <t xml:space="preserve">Pemandangan tumpukan buku menyambut kedatangan pengunjung yang turun ke lantas dasar Blok M Square . Bau khas kertas lama bercampur dengan udara pendingin ruangan pun cukup menyengat indera penciuman.</t>
  </si>
  <si>
    <t xml:space="preserve">Jakarta (ANTARA) - Kapolsek Sawah Besar Kompol Egy Irwansyah memastikan kepulan asap hitam yang viral di media sosial dan sempat membuat panik pedagang serta pembeli di kawasan pertokoan Pasar Baru, J</t>
  </si>
  <si>
    <t xml:space="preserve">Korsleting pada gardu listrik bawah tanah di kawasan pertokoan Pasar Baru sisi utara RW 02, Sawah Besar, Jakarta Pusat (Jakpus). Foto: Metrotvnews.com/Christian. Christian •  7 September 2026 10:38 Ja</t>
  </si>
  <si>
    <t xml:space="preserve">Topik.id — Kawasan pertokoan Pasar Baru, Sawah Besar, Jakarta Pusat, digemparkan oleh semburan asap hitam pekat dari bawah tanah pada Minggu (6/9/2026). Peristiwa ini sempat menimbulkan kepanikan di a</t>
  </si>
  <si>
    <t xml:space="preserve">Edisi.co.id - Sebuah video yang menunjukkan semburan asap hitam di kawasan Pasar Baru , Jakarta Pusat tengah viral di media sosial. Dalam video yang beredar, asap hitam menyembur kuat dari dalam goron</t>
  </si>
  <si>
    <t xml:space="preserve">WARTA PONTIANAK - Aparat kepolisian dari Polres Metro Jakarta Pusat bergerak cepat menindaklanjuti video viral aksi pemalakan terhadap sopir bajaj di kawasan Pasar Tanah Abang. Pelaku berinisial DP (2</t>
  </si>
  <si>
    <t xml:space="preserve">Banyak turis Malaysia datang ke Indonesia, khususnya Jakarta, hanya untuk wisata kuliner. Selain menikmati makanan berat, turis Malaysia juga suka membeli 5 jajanan khas ini! Tak hanya orang Indonesia</t>
  </si>
  <si>
    <t xml:space="preserve">Polisi menangkap pelaku pemalakan berinisial DP (27) terhadap sopir-sopir bajaj yang terjadi di kawasan Blok A Pasar Tanah Abang, Jakarta Pusat. Aksi pemalakan itu terekam dalam sebuah video dan viral</t>
  </si>
  <si>
    <t xml:space="preserve">Minggu, 26 Juli 2026 16:30 WIB CANTIKA.COM, Jakarta - Pecinta bakso wajib merapat! Festival Sasa Bakso Vaganza 2026 kembali hadir untuk kali kedua. Berlangsung pada 25–26 Juli 2026 di Plaza Sudirman, </t>
  </si>
  <si>
    <t xml:space="preserve">https://koran-jakarta.com/2026-05-04/daftar-event-jakarta-awal-mei-2026-festival-kuliner-hingga-pameran-industri-besar</t>
  </si>
  <si>
    <t xml:space="preserve">JAKARTA - Memasuki pekan pertama Mei 2026, Jakarta dan kawasan sekitarnya kembali dipenuhi berbagai event menarik dengan tema kuliner, bisnis, hingga hiburan komunitas. Sejumlah agenda ini menawarkan </t>
  </si>
  <si>
    <t xml:space="preserve">https://www.antaranews.com/berita/5689637/dugaan-penistaan-agama-di-festival-musik-sejumlah-pihak-dilaporkan</t>
  </si>
  <si>
    <t xml:space="preserve">Jakarta (ANTARA) - Tim Hukum Muslim melaporkan lima orang ke Polda Metro Jaya atas dugaan tindak pidana penistaan agama yang terjadi dalam sebuah kegiatan festival musik "The Sounds Project" di kawasa</t>
  </si>
  <si>
    <t xml:space="preserve">Festival kuliner bakso terbesar kembali hadir dengan skala yang lebih besar. Festival Sasa Bakso Vaganza 2026, yang disebut sebagai festival bakso legendaris pertama di Indonesia, kembali digelar pada</t>
  </si>
  <si>
    <t xml:space="preserve">50 Bakso Legendaris dan Viral Kumpul di GBK pada 25-26 Juli 2026 KOMPAS.com - Sebanyak 50 pedagang bakso dari berbagai penjuru Nusantara menghadiri festival bakso legendaris pertama di Indonesia dari </t>
  </si>
  <si>
    <t xml:space="preserve">You must confirm your age to access this page. JAKARTA – Artis serba bisa Aldi Taher kembali membuat gebrakan. Kali ini, ia tidak muncul dengan lagu viral, melainkan terjun langsung sebagai penyelengg</t>
  </si>
  <si>
    <t xml:space="preserve">PEKANBARU (CAKAPLAH) - Untuk kedua kalinya, Living World Pekanbaru dan gebyarkuliner.id menjalin kolaborasi strategis dalam menghadirkan festival kuliner bertaraf nasional di jantung Kota Pekanbaru. G</t>
  </si>
  <si>
    <t xml:space="preserve">Jakarta (ANTARA) - Pemerintah Kota Administrasi Jakarta Pusat menilai Festival Kali Pasir berpotensi menjadi salah satu ikon seni dan budaya yang mendukung penguatan identitas menuju kota global sekal</t>
  </si>
  <si>
    <t xml:space="preserve">Cari Chinese food halal enak di Jakarta Barat? Ini rekomendasi restoran dengan menu dimsum, kwetiau, seafood hingga mie lezat dengan harga terjangkau. Chinese food halal di Jakarta Barat mudah ditemuk</t>
  </si>
  <si>
    <t xml:space="preserve">7 Kuliner Malam Enak di Daerah Jakarta Barat yang Legendaris KOMPAS.COM - Jakarta Barat memang nggak pernah tidur kalau soal urusan perut. Dari gang sempit di Glodok sampai kawasan hits Tanjung Duren,</t>
  </si>
  <si>
    <t xml:space="preserve">Sebuah panduan lengkap menyusuri jejak kuliner legendaris Jakarta. Mengapa tempat makan legendaris di Jakarta tetap ramai antrean meski digempur ribuan kafe kekinian? Jawabannya ada pada konsistensi d</t>
  </si>
  <si>
    <t xml:space="preserve">Makan siang dengan kwetiau yang smoky bisa jadi ide menarik. Beberapa tempat makan kwetiau legendaris yang tersebar di Jakarta ini bisa menjadi pilihan. Kwetiau yang kenyal menjadi salah satu kuliner </t>
  </si>
  <si>
    <t xml:space="preserve">Tak kalah enak dari soto Betawi, soto tangkar juga jadi makanan khas Jakarta yang cocok untuk jadi menu makan siang. Ini rekomendasi tempat menikmatinya yang tergolong legendaris! Hari ini Kota Jakart</t>
  </si>
  <si>
    <t xml:space="preserve">https://daerah.sindonews.com/read/1703573/6/ini-pemicu-pembacokan-pria-di-cengkareng-hingga-tewas-1777982710</t>
  </si>
  <si>
    <t xml:space="preserve">Polisi menangkap RS, pelaku pembacokan terhadap pegawai toko roti berinisial AH (19) hingga tewas di Cengkareng, Jakarta Barat. Polisi ungkap pemicu dari insiden...</t>
  </si>
  <si>
    <t xml:space="preserve">https://www.antaranews.com/berita/5690587/polisi-usut-dugaan-pencurian-raket-padel-di-tamansari-jakbar</t>
  </si>
  <si>
    <t xml:space="preserve">Jakarta (ANTARA) - Polisi menyelidiki dugaan kasus pencurian raket padel di salah satu toko perlengkapan olahraga di kawasan Krukut, Tamansari, Jakarta Barat (Jakbar). Kapolsek Tamansari Kompol Bobby </t>
  </si>
  <si>
    <t xml:space="preserve">https://www.metrotvnews.com/read/b7WCmw4R-pencuri-uang-puluhan-juta-rupiah-minimarket-di-jakbar-ditangkap</t>
  </si>
  <si>
    <t xml:space="preserve">Ilustrasi penangkapan. Foto: Medcom.id. Vania Liu • 18 April 2026 14:24 Jakarta: Polisi menangkap pencuri uang minimarket yang berlokasi di kawasan Kebon Jeruk, Jakarta Barat . Jumlah uang yang dicuri</t>
  </si>
  <si>
    <t xml:space="preserve">https://news.detik.com/berita/d-8476241/senggolan-di-jalan-berujung-pria-tewas-dibacok-di-cengkareng</t>
  </si>
  <si>
    <t xml:space="preserve">Perkara senggolan motor di jalanan berujung petaka. Korban, seorang pegawai toko roti di Cengkareng, Jakarta Barat tewas usai dibacok celurit. Peristiwa berdarah itu terjadi di Jalan Pedongkelan Barat</t>
  </si>
  <si>
    <t xml:space="preserve">https://www.rctiplus.com/news/detail/idxchannel/5440746/viral-sejumlah-mal-pasang-pagar-tinggi--appbi--antisipasi-pangamanan-demonstrasi</t>
  </si>
  <si>
    <t xml:space="preserve">IDXChannel - Ketua Umum Asosiasi Pengelola Pusat Belanja Indonesia (APPBI) Alphonzus Widjaja buka suara terkait pemasangan pagar besi yang belakangan ramai di media sosial. Dia mengungkapkan hal itu s</t>
  </si>
  <si>
    <t xml:space="preserve">https://megapolitan.antaranews.com/berita/527907/polisi-tangkap-pelaku-pembacokan-pegawai-toko-roti-hingga-tewas-di-cengkareng</t>
  </si>
  <si>
    <t xml:space="preserve">Jakarta (ANTARA) - Polisi dari satuan gabungan Jatanras Polda Metro Jaya dan Polres Metro Jakarta Barat berhasil meringkus pelaku pembacokan pegawai toko roti hingga tewas di Jalan Pedongkelan Dalam, </t>
  </si>
  <si>
    <t xml:space="preserve">Belakangan ini banyak jenis jajanan pasar viral, salah satunya gemblong yang menjadi pusat perhatian foodies. Mulai dari gemblong legendaris hingga harganya fantastis begitu dicari! Gemblong merupakan</t>
  </si>
  <si>
    <t xml:space="preserve">Jakarta (ANTARA) - Suku Dinas Lingkungan Hidup (Sudin LH) Jakarta Barat memasang spanduk larangan membuang di area luar Pasar Kopro, Grogol Petamburan, Jakarta Barat, Rabu, usai lokasi tersebut sempat</t>
  </si>
  <si>
    <t xml:space="preserve">Suku Dinas Lingkungan Hidup (Sudin LH) Jakarta Barat telah memasang spanduk larangan buang sampah sembarangan di lokasi pembuangan sementara (LPS), sekitar Pasar Kopro atau Pasar Tomang Barat, Jalan T</t>
  </si>
  <si>
    <t xml:space="preserve">https://berita.liputan6.com/megapolitan/read/6778388/polisi-sudah-kantongi-identitas-pelaku-pengeroyokan-maut-di-pasar-grogol</t>
  </si>
  <si>
    <t xml:space="preserve">Liputan6.com, Jakarta - Polisi memastikan pelaku pengeroyokan yang menewaskan pria berinisial DM (29) di kawasan Pasar Grogol , Jakarta Barat, masih diburu. “Ya pastinya sudah teridentifikasi,” kata K</t>
  </si>
  <si>
    <t xml:space="preserve">https://rri.co.id/ekonomi/umkm/2724735/bazar-dan-event-jadi-kesempatan-umkm-kenalkan-produk</t>
  </si>
  <si>
    <t xml:space="preserve">RRI.CO.ID, Jakarta - Bazar menjadi ruang bagi pelaku UMKM memperluas pasar sekaligus mengenalkan produk kuliner kepada masyarakat secara langsung. Kegiatan ini memungkinkan pelaku usaha menjangkau kon</t>
  </si>
  <si>
    <t xml:space="preserve">Pada Sabtu (20/6) mendatang, bakal ada festival wisata kuliner malam Glodok yang diselenggarakan Pemerintah Kota Jakarta Barat. Hal ini dalam rangka memeriahkan Hari Ulang Tahun ke-499 Kota Jakarta. J</t>
  </si>
  <si>
    <t xml:space="preserve">Mewakili Gubernur DKI Jakarta Pramono Anung, Sekretaris Daerah Provinsi DKI  Jakarta Uus Kuswanto resmi memuka Festival Jakarta Great Sale (FJGS) Tahun 2026 di Central Park Mall II, Jakarta Barat, Rab</t>
  </si>
  <si>
    <t xml:space="preserve">Kabar gembira buat kamu pencinta musik dan kuliner. Menyambut hari jadi yang ke-7, Burger Bangor besutan Denny Sumargo bersiap menggelar festival burger pertama dan terbesar di Indonesia bertajuk Bang</t>
  </si>
  <si>
    <t xml:space="preserve">https://megapolitan.kompas.com/read/2026/09/16/09402851/pungli-pak-ogah-di-jalan-ring-road-jakbar-yang-meresahkan</t>
  </si>
  <si>
    <t xml:space="preserve">Pungli Pak Ogah di Jalan Ring Road Jakbar yang Meresahkan JAKARTA, KOMPAS.com - Aktivitas sejumlah Pak Ogah di Jalan Ring Road, Kamal, Kalideres, Jakarta Barat, membuat sopir truk resah. Para sopir me</t>
  </si>
  <si>
    <t xml:space="preserve">Di kawasan Rawamangun, Jakarta Timur, banyak kuliner enak untuk dicoba. Beberapa juga cocok dijadikan tujuan makan siang, seperti bakmi Tasik sampai soto bening. Rawamangun termasuk salah satu kawasan</t>
  </si>
  <si>
    <t xml:space="preserve">7 Kuliner Rawamangun Terenak, Dari Legendaris Hingga Kekinian KOMPAS.COM - Rawamangun, kawasan yang terletak di Jakarta Timur, dikenal sebagai salah satu surga kuliner yang nggak pernah sepi pengunjun</t>
  </si>
  <si>
    <t xml:space="preserve">Mahasiswa Magister Management Indonesian European University Siapa yang bisa menolak kelezatan kuliner seafood ? Bumbu rempah yang meresap sempurna, aroma bakaran yang menggugah selera, hingga gurihny</t>
  </si>
  <si>
    <t xml:space="preserve">Jatinegara tak hanya dikenal sebagai kawasan perdagangan di Jakarta Timur, tapi juga tempat kulineran. Di balik gang-gang kecil hingga deretan ruko lawasnya, terdapat banyak kuliner legendaris puluhan</t>
  </si>
  <si>
    <t xml:space="preserve">Di Jakarta Timur ada rumah makan unik yang jadi incaran foodies. Menunya daging asap yang empuk dan smoky dengan harga terjangkau mulai Rp30 ribuan! Kobar Daging Asap, tempat makan berbasis olahan dag</t>
  </si>
  <si>
    <t xml:space="preserve">Kisah insipiratif petani buah eks pegawai IT jadi sorotan. Begitu juga dengan kuliner daging asap di Kalimalang hingga manfaat makan nanas usai santap daging. Cerita inspiratif dan viral datang dari m</t>
  </si>
  <si>
    <t xml:space="preserve">Jakarta (ANTARA) - Pemerintah Kota (Pemkot) Jakarta Timur mendorong pengembangan pariwisata yang tetap hijau dengan memperhatikan aspek lingkungan lewat "Green Tourism Festival" 2026. "Kita sudah berk</t>
  </si>
  <si>
    <t xml:space="preserve">Photo source: @alirenusantara Banyak yang bilang gudangnya makanan enak terletak di Jakarta Selatan dan Jakarta Utara aja. Padahal jika melipir ke Jakarta Timur, ada banyak pilihan kuliner yang nggak </t>
  </si>
  <si>
    <t xml:space="preserve">https://www.jpnn.com/news/video-viral-dugaan-pemerasan-pesepeda-di-jaktim-pelaku-siap-siap-saja</t>
  </si>
  <si>
    <t xml:space="preserve">jpnn.com , JAKARTA - Video viral dugaan pemerasan terhadap seorang pesepeda di Jalan Inspeksi Saluran Tarum Barat, Cipinang Melayu, Makasar, Jakarta Timur (Jaktim). Kapolsek Makasar Kompol Sumardi saa</t>
  </si>
  <si>
    <t xml:space="preserve">https://www.antaranews.com/berita/5548743/polisi-tangkap-pencuri-spesialis-bobol-plafon-toko-di-jaktim</t>
  </si>
  <si>
    <t xml:space="preserve">Jakarta (ANTARA) - Polisi menangkap pelaku pencurian dengan pemberatan yang dikenal menggunakan modus membobol plafon untuk masuk ke dalam toko di Jakarta Timur (Jaktim). "Pelaku pencurian dengan pemb</t>
  </si>
  <si>
    <t xml:space="preserve">https://jakarta.jpnn.com/kriminal/2779/pencuri-ditangkap-di-jakarta-timur-modusnya-bobol-plafon-toko</t>
  </si>
  <si>
    <t xml:space="preserve">jakarta.jpnn.com</t>
  </si>
  <si>
    <t xml:space="preserve">jakarta.jpnn.com - Pria berinisial RT ditangkap polisi karena melakukan pencurian dengan pemberatan di Jakarta Timur (Jaktim). Dia menggunakan modus membobol plafon untuk masuk ke dalam toko. Kasat Re</t>
  </si>
  <si>
    <t xml:space="preserve">https://mediaindonesia.com/megapolitan/894651/polisi-selidiki-temuan-tas-berisi-tramadol-di-pinang-ranti-jaktim</t>
  </si>
  <si>
    <t xml:space="preserve">Terungkap, dari 16 unit rumah temuan Ombudsman RI, cuma tiga unit berstatus barang milik negara. POLSEK Makasar tengah melakukan penyelidikan mendalam terkait penemuan sebuah tas hitam berisi obat ker</t>
  </si>
  <si>
    <t xml:space="preserve">https://news.detik.com/berita/d-8499133/viral-pria-di-jaktim-dibacok-2-pelaku-ditangkap-kurang-dari-24-jam</t>
  </si>
  <si>
    <t xml:space="preserve">Seorang pria di Pekayon, Pasar Rebo, Jakarta Timur (Jaktim), dilarikan ke rumah sakit (RS) akibat dibacok . Polisi menangkap dua orang terduga pelaku. "Kurang dari 1 x 24 Unit Reskrim Polsek Pasar Reb</t>
  </si>
  <si>
    <t xml:space="preserve">Polres Jaktim Akan Periksa Polisi yang Diduga Intimidasi Pedagang Pasar Kramat Jati JAKARTA, KOMPAS.com - Polres Metro Jakarta Timur akan memeriksa oknum polisi yang diduga intimidasi pedagang Pasar I</t>
  </si>
  <si>
    <t xml:space="preserve">https://www.antaranews.com/berita/5585293/polisi-tangkap-wanita-curi-motor-di-pasar-rebo-jaktim</t>
  </si>
  <si>
    <t xml:space="preserve">Jakarta (ANTARA) - Polisi menangkap seorang wanita yang nekat mencuri sepeda motor di Gang Masjid, Kelurahan Gedong, Kecamatan Pasar Rebo, Jakarta Timur. "Kami dapati identitas pelaku dan hari ini kam</t>
  </si>
  <si>
    <t xml:space="preserve">JAKARTA – Seorang pedagang buah di pasar Induk Kramat Jati, Jakarta Timur, diduga menjadi korban intimidasi seorang oknum petugas kepolisian. Peristiwa yang terjadi pada Rabu (1/7/2026) kemarin, ketik</t>
  </si>
  <si>
    <t xml:space="preserve">https://news.detik.com/berita/d-8497164/polisi-selidiki-viral-teror-kotoran-sapi-usir-pedagang-di-jaktim</t>
  </si>
  <si>
    <t xml:space="preserve">Sebuah postingan beredar di media sosial menarasikan terjadi teror kepada sejumlah pedagang kaki lima (PKL) di kawasan Kalisari, Pasar Rebo, Jakarta Timur. Para pedagang diteror dengan kotoran sapi. D</t>
  </si>
  <si>
    <t xml:space="preserve">https://www.kompas.tv/regional/661316/kendaraan-yang-parkir-liar-di-kalisari-jaktim-dipindahkan-usai-viral-laporan-warga-direspons-foto-ai?page=all</t>
  </si>
  <si>
    <t xml:space="preserve">JAKARTA, KOMPAS.TV - Kendaraan yang sempat parkir sembarangan (liar) di Jalan Damai RT 02/01, Kelurahan Kalisari, Kecamatan Pasar Rebo, Jakarta Timur (Jaktim), sudah dipindahkan usai viral laporan war</t>
  </si>
  <si>
    <t xml:space="preserve">RM .id Rakyat Merdeka - Penumpukan sampah di beberapa lokasi di DKI Jakarta membuat resah warga. Salah satunya di kawasan Pasar Induk Kramat Jati, Jakarta Timur, yang sempat viral. DPRD DKI Jakarta me</t>
  </si>
  <si>
    <t xml:space="preserve">https://www.cnnindonesia.com/nasional/20260407110033-20-1345044/the-power-of-viral-parkir-liar-di-kalisari-tiba-tiba-bersih-tanpa-ai</t>
  </si>
  <si>
    <t xml:space="preserve">Kendaraan yang sebelumnya parkir liar di Jalan Damai RT 02/01, Kelurahan Kalisari , Kecamatan Pasar Rebo, Jakarta Timur, kini telah dipindahkan oleh para pemiliknya. Penertiban ini terjadi setelah ung</t>
  </si>
  <si>
    <t xml:space="preserve">https://www.inilah.com/buntut-unggahan-ai-lurah-kalisari-dicopot-sementara</t>
  </si>
  <si>
    <t xml:space="preserve">Viral penggunaan AI oleh petugas PPSU Pasar Rebo, Jakarta Timur, dalam menanggapi laporan warga melalui aplikasi JAKI. (Foto: Antara) Berita Terkini, Eksklusif di WhatsApp Inilah.com Lurah Kalisari Si</t>
  </si>
  <si>
    <t xml:space="preserve">https://www.antaranews.com/berita/5514897/kendaraan-yang-parkir-liar-di-pasar-rebo-sudah-dipindahkan-usai-viral</t>
  </si>
  <si>
    <t xml:space="preserve">Jakarta (ANTARA) - Kendaraan-kendaraan yang sempat parkir sembarangan (liar) di Jalan Damai RT 02/01, Kelurahan Kalisari, Kecamatan Pasar Rebo, Jakarta Timur (Jaktim) sudah dipindahkan usai unggahan f</t>
  </si>
  <si>
    <t xml:space="preserve">https://news.detik.com/berita/d-8498674/viral-pedagang-di-jaktim-diteror-kotoran-sapi-korban-diimbau-lapor-polisi</t>
  </si>
  <si>
    <t xml:space="preserve">Polisi mendalami viral dugaan teror kotoran sapi kepada sejumlah pedagang kaki lima (PKL) di Kalisari, Pasar Rebo, Jakarta Timur ( Jaktim ). Polisi mengimbau pihak yang dirugikan membuat laporan resmi</t>
  </si>
  <si>
    <t xml:space="preserve">https://m.beritajakarta.id/read/151783/lokasi-parkir-liar-viral-di-kalisari-sudah-steril</t>
  </si>
  <si>
    <t xml:space="preserve">m.beritajakarta.id</t>
  </si>
  <si>
    <t xml:space="preserve">Sejumlah kendaraan yang sebelumnya parkir liar di Jalan Damai RT 02/01, Kelurahan Kalisari, Kecamatan Pasar Rebo, Jakarta Timur kini sudah tidak berada di lokasi. Kepala Satuan Pelaksana Perhubungan K</t>
  </si>
  <si>
    <t xml:space="preserve">https://www.metrotvnews.com/read/NLMC8yaB-personel-sudinhub-disiagakan-jaga-jalan-damai-kalisari-jaktim-dari-parkir-liar</t>
  </si>
  <si>
    <t xml:space="preserve">Petugas Sudinhub Jaktim bersiaga di Jalan Damai, Kelurahan Kalisari, Pasar Rebo, Jaktim, untuk mencegah parkir liar. Foto: Antara. Anggi Tondi Martaon •  7 April 2026 13:07 Jakarta: Suku Dinas Perhubu</t>
  </si>
  <si>
    <t xml:space="preserve">https://news.detik.com/berita/d-8432627/mobil-parkir-liar-di-jaktim-sudah-dipindahkan-usai-viral-diedit-foto-ai</t>
  </si>
  <si>
    <t xml:space="preserve">Parkir liar di kawasan Kalisari, Pasar Rebo, Jaktim, sempat viral ketika laporan ke aplikasi JAKI dibalas hasil editan AI. Kini mobil yang diparkir sembarangan itu sudah dipindahkan pemiliknya. Kepala</t>
  </si>
  <si>
    <t xml:space="preserve">https://news.detik.com/berita/d-8431816/lurah-di-jaktim-minta-maaf-laporan-parkir-liar-via-jaki-dibalas-foto-ai</t>
  </si>
  <si>
    <t xml:space="preserve">Lurah Kalisari, Pasar Rebo, Jakarta Timur, Siti Nurhasanah, diperiksa oleh Inspektorat buntut laporan soal parkir liar via aplikasi JAKI dibalas foto diduga rekayasa kecerdasan buatan (AI). Siti memin</t>
  </si>
  <si>
    <t xml:space="preserve">Ada Konser Tipe-X Gratis, Green Tourism Festival 2026 Digelar Hari Ini di Jaktim JAKARTA, KOMPAS.com - Green Tourism Festival 2026 digelar di halaman Kantor Wali Kota Jakarta Timur hari ini, Minggu (2</t>
  </si>
  <si>
    <t xml:space="preserve">RN - Walikota Jakarta Timur, Munjirin secara resmi membuka Green Tourism Festival 2026 yang digelar di halaman Kantor Wali Kota Jakarta Timur, Sabtu-Minggu, 26–27 September 2026. Kegiatan ini mengusun</t>
  </si>
  <si>
    <t xml:space="preserve">https://opsi.id/festival-glenn-fredly-kembali-ke-timur-siap-jadi-perayaan-musik-budaya-dan-cinta-di-jakarta/</t>
  </si>
  <si>
    <t xml:space="preserve">Jakarta – Festival Glenn Fredly Kembali Ke Timur akan digelar pada 1 Agustus 2026 di Lapangan Hockey Plaza Festival, Jakarta Selatan. Acara ini bukan sekadar konser, melainkan sebuah perayaan karya, c</t>
  </si>
  <si>
    <t xml:space="preserve">https://rri.co.id/jakarta/hiburan/2561114/promosikan-budaya-indonesia-timur-edha-management-gelar-zumba-multiday-event</t>
  </si>
  <si>
    <t xml:space="preserve">RRI.CO.ID, Jakarta - Komunitas Pecinta dan Instruktur Zumba, Edha Management kembali menggelar Zumba Multiday Event - Master Class &amp; Zumba Party bertajuk "Dance 'Till U Drop" di kawasan SCBD, Jakarta,</t>
  </si>
  <si>
    <t xml:space="preserve">https://www.genpi.co/berita/284697/lowongan-kerja-juli-2026-di-jakarta-timur-career-fest-bisa-daftar-online-dan-offline</t>
  </si>
  <si>
    <t xml:space="preserve">GenPI.co - Jakarta Timur Career Fest &amp; Bazaar 2026 kembali digelar dengan menghadirkan lowongan kerja berbagai perusahaan dari beragam sektor pada Juli-Agustus ini, bisa daftar online dan offline . Ke</t>
  </si>
  <si>
    <t xml:space="preserve">https://megapolitan.kompas.com/read/2026/05/21/21440701/pengeroyokan-pemuda-di-matraman-jaktim-diduga-dipicu-salah-paham</t>
  </si>
  <si>
    <t xml:space="preserve">Pengeroyokan Pemuda di Matraman Jaktim Diduga Dipicu Salah Paham JAKARTA, KOMPAS.com - Polisi mengungkap pengeroyokan pemuda di Jalan Utan Kayu Raya, Matraman, Jakarta Timur, diduga dipicu kesalahpaha</t>
  </si>
  <si>
    <r>
      <rPr>
        <sz val="11"/>
        <rFont val="Arial"/>
        <family val="0"/>
        <charset val="1"/>
      </rPr>
      <t xml:space="preserve">Sorry, we couldn't find any article matching ' ' Katharina Menge </t>
    </r>
    <r>
      <rPr>
        <sz val="11"/>
        <rFont val="Noto Sans CJK SC"/>
        <family val="2"/>
      </rPr>
      <t xml:space="preserve">・ </t>
    </r>
    <r>
      <rPr>
        <sz val="11"/>
        <rFont val="Arial"/>
        <family val="0"/>
        <charset val="1"/>
      </rPr>
      <t xml:space="preserve">04 Sep 2026 Bingung weekend mau ke mana? Cek event Jabodetabek 4-6 September 2026, dari IIPE, FLONA, IdeaFest hingga Mooncake Festiva</t>
    </r>
  </si>
  <si>
    <t xml:space="preserve">Lagi cari nasi kandar khas Malaysia di Jakarta? Ini 5 tempat yang menawarkan nasi kandar ayam, udang, kambing hingga daging semur dengan harga mulai Rp36.000-an. Nasi kandar cocok buat yang kamu yang </t>
  </si>
  <si>
    <t xml:space="preserve">5 Rekomendasi Rumah Makan Padang di Jakarta, Pilihan untuk Makan Siang KOMPAS.com - Bingung mencari menu makan siang yang mengenyangkan? Nasi Padang bisa menjadi salah satu pilihan, terutama bagi kamu</t>
  </si>
  <si>
    <t xml:space="preserve">Tidak sulit mencari tempat makan enak di kawasan Jakarta Selatan. Selain menawarkan makanan lezat, beberapa tempat juga cocok dan nyaman disambangi habis pulang kerja. Usai bekerja seharian, kamu mung</t>
  </si>
  <si>
    <t xml:space="preserve">Di Jakarta ada beberapa tempat makan tertua yang eksis sejak sebelum Indonesia merdeka. Menu-menu yang ditawarkan khas Nusantara nan legendaris. Di Jakarta ada banyak tempat makan yang sudah melewati </t>
  </si>
  <si>
    <t xml:space="preserve">https://jogja.disway.id/gaya-hidup/read/700401/menjelajahi-surga-kuliner-jakarta-tempat-makan-legendaris-dekat-stasiun-sudirman</t>
  </si>
  <si>
    <t xml:space="preserve">Nasi Goreng Gila Jakarta-- diswayjogja.id – Kawasan Sudirman dan Dukuh Atas bukan sekadar pusat bisnis atau titik transit transportasi publik. Bagi banyak orang, kawasan ini merupakan destinasi untuk </t>
  </si>
  <si>
    <t xml:space="preserve">Kedai Katsudon Melawai-- diswayjogja.id - Ingin merasakan sensasi kuliner yang beragam dalam satu kawasan? Blok M adalah jawabannya. Kawasan ini menyimpan harta karun kuliner yang tak ada habisnya, mu</t>
  </si>
  <si>
    <t xml:space="preserve">https://lampuhijau.co.id/baca-berita/jakarta-city/28061/ops-nila-jaya-2026-sat-narkoba-polres-jakut-tindak-sejumlah-toko-kosmetik-yang-jualin-obat-terlarang-4-orang-beserta-4212-butir-obaya-dibawa-ke-makopolres</t>
  </si>
  <si>
    <t xml:space="preserve">lampuhijau.co.id</t>
  </si>
  <si>
    <t xml:space="preserve">Lampu Hijau .co.id - Sejumlah toko kosmetik di Jakarta Utara diduga menjadi tempat peredaran obat-obatan secara ilegal. Menindaklanjuti hal tersebut dalam rangka Operasi Nila Jaya 2026 periode 9–17 Se</t>
  </si>
  <si>
    <t xml:space="preserve">https://targetberita.co.id/viral-di-instagram-toko-sate-taichan-di-koja-dibobol-maling-gas-lpg-dan-tablet-raib/</t>
  </si>
  <si>
    <t xml:space="preserve">targetberita.co.id</t>
  </si>
  <si>
    <t xml:space="preserve">Targetberita.co.id Jakarta, Aksi pencurian yang menyasar sebuah toko Sate Taichan dan Ayam Bakar di kawasan Koja, Jakarta Utara, menjadi perbincangan setelah rekaman CCTV-nya viral di Instagram. Dalam</t>
  </si>
  <si>
    <t xml:space="preserve">https://news.okezone.com/read/2026/06/21/338/3225685/kronologi-lengkap-selebgram-adam-deni-rusak-ruko-hingga-pamer-airsoftgun-di-jakarta-utara</t>
  </si>
  <si>
    <t xml:space="preserve">JAKARTA - Satreskrim Polres Metro Jakarta Utara menangkap selebgram Adam Deni Gearaka (ADG) usai diduga melakukan melakukan pengerusakan di salah satu fasilitas usaha di Ruko Yummy Coin, Jalan Terusan</t>
  </si>
  <si>
    <t xml:space="preserve">https://m.beritajakarta.id/read/154749/dinas-ppkukm-beri-klarifikasi-video-viral-pendamping-kecamatan-koja-dicecar-dewan-kota</t>
  </si>
  <si>
    <t xml:space="preserve">Dinas Perindustrian, Perdagangan, Koperasi, Usaha Kecil dan Menengah (PPKUKM) DKI Jakarta memberikan klarifikasi terkait video yang beredar di media sosial yang menampilkan seorang petugas pendamping </t>
  </si>
  <si>
    <t xml:space="preserve">https://www.rctiplus.com/news/detail/inews/5412442/viral-ibu-bonceng-anak-dilempar-molotov-di-koja-jakut--polisi-buru-pelaku</t>
  </si>
  <si>
    <t xml:space="preserve">JAKARTA, iNews.id - Video yang memperlihatkan seorang ibu membonceng anak dilempar bom molotov di kawasan Koja, Jakarta Utara viral di media sosial. Polisi turun tangan memburu pelaku. Berdasarkan rek</t>
  </si>
  <si>
    <t xml:space="preserve">https://news.detik.com/berita/d-8658347/viral-loker-palsu-di-jakut-minta-pelamar-bayar-untuk-rekening-prakerja</t>
  </si>
  <si>
    <t xml:space="preserve">Polisi mengusut kasus dugaan penipuan dengan modus membuka lowongan pekerjaan (loker) di Kelapa Gading, Jakarta Utara (Jakut). Korban diduga diminta membayar dengan alasan membuka rekening prakerja. V</t>
  </si>
  <si>
    <t xml:space="preserve">https://kupang.antaranews.com/berita/196599/polisi-menyelidiki-dugaan-penistaan-agama-dalam-festival-musik-di-ancol</t>
  </si>
  <si>
    <t xml:space="preserve">https://news.detik.com/berita/d-8613448/polisi-panggil-eo-konser-dan-mc-buntut-challenge-hafalan-quran-demi-miras</t>
  </si>
  <si>
    <t xml:space="preserve">Polisi menyelidiki dugaan penistaan agama terkait promosi minuman keras (miras) berkedok tantangan (challenge) hafalan Al-Qur'an saat konser musik The Sounds Project di Ancol, Jakarta Utara (Jakut). P</t>
  </si>
  <si>
    <t xml:space="preserve">https://www.suara.com/news/2026/08/11/135818/video-viral-dugaan-penistaan-agama-di-festival-musik-ancol-polisi-panggil-eo-dan-mc</t>
  </si>
  <si>
    <t xml:space="preserve">Video challenge hafalan Al-Qur'an di festival musik The Sounds Project Ancol viral dan menuai sorotan. Polisi kini menyelidiki dugaan penistaan agama.</t>
  </si>
  <si>
    <t xml:space="preserve">https://afu.id/hukum-kriminal/eo-the-sounds-project-dipanggil-polisi-buntut-games-setor-hafalan-ad-dhuha-berhadiah-miras</t>
  </si>
  <si>
    <t xml:space="preserve">Nikmati fitur lengkap distribusi bias, newsletter, pemberitahuan berita Penulis: Fandi Permana Â· Reporter: Fandi Permana Polsek Pademangan dan Polres Metro Jakarta Utara tengah menyelidiki kasus vira</t>
  </si>
  <si>
    <t xml:space="preserve">https://rri.co.id/jakarta/hukum/kriminalitas/2644049/mui-pademangan-laporkan-dugaan-penistaan-agama-di-festival-musik-di-ancol</t>
  </si>
  <si>
    <t xml:space="preserve">RRI.CO.ID, Jakarta – Ketua Majelis Ulama Indonesia atau MUI Kecamatan Pademangan, Jakarta Utara, Slamet Sugoro, menyoroti dugaan tantangan hafalan Al-Qur'an yang dikaitkan dengan pemberian minuman ker</t>
  </si>
  <si>
    <t xml:space="preserve">https://www.kompas.tv/nasional/684991/polisi-selidiki-dugaan-penistaan-agama-terkait-promosi-miras-dengan-hafalan-ayat-al-quran</t>
  </si>
  <si>
    <t xml:space="preserve">JAKARTA , KOMPAS . TV - Kabid Humas Polda Metro Jaya Kombes Pol. Budhi Hermanto mengatakan pihaknya sedang mendalami terkait video viral yang memuat dugaan penistaan agama pada festival musik The Soun</t>
  </si>
  <si>
    <t xml:space="preserve">https://news.indozone.id/hukum/2486726242/viral-challenge-hafalan-al-quran-berhadiah-miras-di-event-the-sound-project-polisi-turun-tangan</t>
  </si>
  <si>
    <t xml:space="preserve">Ilustrasi miras yang membuat orang mabuk. (Freepik). INDOZONE.ID - Fesitival musik The Sounds Project di Ancol, Jakarta Utara mendadak menarik sorotan publik usai aksi salah satu booth sponsor yang me</t>
  </si>
  <si>
    <t xml:space="preserve">https://www.viva.co.id/berita/metro/1920560-geger-challenge-hafalan-surat-ad-dhuha-ditukar-miras-polisi-panggil-eo-dan-mc-konser-the-sounds-project</t>
  </si>
  <si>
    <t xml:space="preserve">Jakarta, VIVA – Polisi mulai memeriksa pihak-pihak yang berada di balik video viral tantangan membaca Surah Ad-Dhuha dengan imbalan minuman keras ( miras ) dalam festival musik The Sounds Project di A</t>
  </si>
  <si>
    <t xml:space="preserve">https://mediaindonesia.com/megapolitan/920531/polisi-selidiki-dugaan-penistaan-agama-di-festival-musik-the-sounds-project-ancol</t>
  </si>
  <si>
    <t xml:space="preserve">Terungkap, dari 16 unit rumah temuan Ombudsman RI, cuma tiga unit berstatus barang milik negara. KEPOLISIAN tengah mendalami video viral yang memuat dugaan penistaan agama pada kegiatan festival musik</t>
  </si>
  <si>
    <t xml:space="preserve">https://www.politikindonesia.id/viral-challenge-hafalan-alquran-berhadiah-miras-polisi-turun-tangan</t>
  </si>
  <si>
    <t xml:space="preserve">www.politikindonesia.id</t>
  </si>
  <si>
    <t xml:space="preserve">Polda Metero Jaya menyelidiki dugaan penistaan agama dalam festival musik The Sounds Project di Ancol, Jakarta Utara. Itu dilakukan setelah viral video tantangan hafalan Surah Ad-Dhuha dengan hadiah m</t>
  </si>
  <si>
    <t xml:space="preserve">https://www.cnnindonesia.com/nasional/20260811191002-12-1391196/daftar-5-orang-terlapor-kasus-hafalan-al-quran-ditukar-miras</t>
  </si>
  <si>
    <t xml:space="preserve">Advokat Muhammad Rizki dari Tim Hukum Muslim sejumlah pihak ke Polda Metro Jaya terkait kegiatan promosi diduga minuman keras ( miras ) berkedok tantangan hafalan Al-Qur'an di festival musik The Sound</t>
  </si>
  <si>
    <t xml:space="preserve">TRIBUNTRAVEL.COM - Kamu sedang liburan di Surabaya , Jawa Timur , dan mencari tempat makan yang bisa sekaligus menjadi tujuan wisata kuliner? Kota Pahlawan punya banyak pilihan kuliner dengan cita ras</t>
  </si>
  <si>
    <t xml:space="preserve">Bingung mencari kuliner di Surabaya yang enak dan murah? Tidak perlu khawatir. Kota Pahlawan punya banyak pilihan makanan yang bisa disantap setelah aktivitas seharian, mulai dari nasi goreng, rawon, </t>
  </si>
  <si>
    <t xml:space="preserve">Surabaya memang nggak pernah kehabisan urusan soal makan. Dari warung kaki lima legendaris sampai tempat makan sederhana yang selalu ramai pembeli, kota ini punya banyak pilihan buat kamu yang ingin k</t>
  </si>
  <si>
    <t xml:space="preserve">Buat kamu yang baru saja menempuh perjalanan jauh dengan kereta dan turun di Stasiun Pasar Turi, Surabaya, tak perlu bingung mencari tempat makan. Di sekitar stasiun ini, tersedia banyak pilihan kulin</t>
  </si>
  <si>
    <t xml:space="preserve">Photo source: @hi.creve Surabaya memang nggak bisa diem. Deretan restoran baru di Surabaya April 2026 menambah daftar kunjungan kamu yang doyan makan. Menariknya, bulan ini ada beberapa cabang restora</t>
  </si>
  <si>
    <t xml:space="preserve">6 Tempat Makan Malam Enak di Kawasan Kota Lama Surabaya KOMPAS.COM - Surabaya tidak hanya dikenal dengan gedung-gedung bersejarah di kawasan Kota Lama, tapi juga sebagai destinasi kuliner malam yang t</t>
  </si>
  <si>
    <t xml:space="preserve">Lapar di malam hari tapi bingung mau makan apa di Surabaya? Tenang, kota ini punya banyak pilihan kuliner malam yang enak dan masih buka sampai larut. Dari warung kaki lima hingga tempat makan legenda</t>
  </si>
  <si>
    <t xml:space="preserve">Photo source: @at_piccadilly Surabaya nggak pernah kehabisan spot nongkrong asyik. Restoran baru di Surabaya Juli 2026 diisi oleh coffee shop vintage, donat viral asal Jakarta, ramen hits, sampai roof</t>
  </si>
  <si>
    <t xml:space="preserve">Pasangan Tissa Biani dan Dul Jaelani bagikan momen seru kulineran di Surabaya. Mereka cicip makanan autentik, seperti lontong balap hingga tahu tek. Kota Pahlawan menawarkan banyak kuliner khas yang n</t>
  </si>
  <si>
    <t xml:space="preserve">Panas-panas emang enaknya minum es. Cuaca Surabaya yang sedang terik-teriknya bikin cepet haus dan dahaga. Sehingga es kerap dipilih sebagai alternatif pelepas dahaga yang menyegarkan di tengah panasn</t>
  </si>
  <si>
    <t xml:space="preserve">Photo source: @igakarto.id Waktunya update daftar restoran baru di Surabaya Juni 2026! Sejumlah spot kuliner anyar memberimu lebih banyak pilihan untuk jajan. Dari izakaya, kopitiam, sampai dessert ba</t>
  </si>
  <si>
    <t xml:space="preserve">Biarpun terkenal dengan cuaca panasnya, rekomendasi restoran hot pot di Surabaya ini tetap layak kamu jadikan referensi kuliner. Sajian khas Tiongkok, Korea, maupun Jepang ini menyuguhkan sepaket besa</t>
  </si>
  <si>
    <t xml:space="preserve">Potret pengunjung yang berada di ARTSUBS 2026 pada Selasa, 22 September 2026. (Tangkap layar @art.subs) KETIK, SURABAYA – Meski Surabaya dikenal dengan berbagai destinasi wisata mal, ternyata ada bany</t>
  </si>
  <si>
    <t xml:space="preserve">https://travel.kompas.com/read/2026/09/26/070700627/surabaya-dijadikan-penghubung-wisatawan-jawa-timur-ke-malaysia</t>
  </si>
  <si>
    <t xml:space="preserve">Silent Disco Run di Bali Jadi Polemik, Intip Perkembangan Tren Lari Rasa Party - MetroTVNews.com</t>
  </si>
  <si>
    <t xml:space="preserve">Surabaya Dijadikan Penghubung Wisatawan Jawa Timur ke Malaysia SURABAYA, KOMPAS.com -  Surabaya memiliki posisi strategis dalam perjalanan wisatawan Jawa Timur menuju Malaysia. Kota ini tidak hanya me</t>
  </si>
  <si>
    <t xml:space="preserve">Wali Kota Surabaya Eri Cahyadi mengingatkan larangan membawa hewan untuk open donasi di tempat wisata maupun saat car free day (CFD). Hal itu menyusul viralnya sejumlah kucing berkostum yang membuka d</t>
  </si>
  <si>
    <t xml:space="preserve">jatimnow.com - Warga Kota Pahlawan tak perlu melirik ke luar daerah guna mencari ketenangan saat akhir pekan. Sederet tempat healing di Surabaya kini bertransformasi menjadi magnet massa setiap Minggu</t>
  </si>
  <si>
    <t xml:space="preserve">JATIMTIMES - Surabaya sering kali identik dengan kota besar yang padat dan penuh aktivitas. Namun di balik hiruk pikuknya, kota ini menyimpan banyak ruang rekreasi yang menghadirkan suasana segar, ter</t>
  </si>
  <si>
    <t xml:space="preserve">https://jogja.disway.id/gaya-hidup/read/701109/wisata-kuliner-surabaya-paling-nagih-favorit-warga-lokal-dengan-harga-bersahabat</t>
  </si>
  <si>
    <t xml:space="preserve">Imigrasi Cekal 2 WN Belanda Penyelenggara Event Lari di Canggu Bali yang Diskriminasi WNI - surabaya.kompas.com</t>
  </si>
  <si>
    <t xml:space="preserve">diswayjogja.id - Surabaya, sebagai salah satu metropolitan terbesar di Indonesia, dikenal luas tidak hanya karena dinamika ekonomi dan sejarah perjuangannya, tetapi juga karena kekayaan kulinernya yan</t>
  </si>
  <si>
    <t xml:space="preserve">Dalam rangka Hari Jadi Kota Surabaya (HJKS) ke-733, tiket masuk sejumlah destinasi wisata dibanderol hanya Rp 733. Liburan di Surabaya jadi murah meriah! Surabaya menghadirkan promo menarik sepanjang </t>
  </si>
  <si>
    <t xml:space="preserve">Jalan Tunjungan Surabaya Jadi Magnet Wisata Malam Selama Liburan Sekolah KOMPAS.com - Libur sekolah selalu identik dengan perjalanan ke luar kota. Namun, bagi banyak muda-mudi menikmati suasana Kota S</t>
  </si>
  <si>
    <t xml:space="preserve">Anggota DPRD Kota Surabaya Bagas Iman Waluyo dan anggota DPRD Jawa Timur Cahyo Harjo Prakoso meninjau kondisi Kebun Binatang Surabaya.-- SURABAYA , MEMORANDUM.DISWAY.ID – Anggota DPRD Kota SURABAYA Ba</t>
  </si>
  <si>
    <t xml:space="preserve">Tak perlu terbang ke Bali untuk menikmati suasana pantai. Kini, pengalaman bermain pasir putih, berenang dengan panorama kota dari ketinggian, hingga bersantai di beach club bisa dinikmati di jantung </t>
  </si>
  <si>
    <t xml:space="preserve">https://www.suarasurabaya.net/kelanakota/2026/pemkot-surabaya-putus-kontrak-runner-up-raka-raki-jatim-usai-viral-dugaan-permintaan-aborsi/</t>
  </si>
  <si>
    <t xml:space="preserve">Heboh Event Entourage Run Bali, Imigrasi Tegaskan WNA Tak Boleh Jadi Penyelenggara Acara di Indonesia - VIVA.co.id</t>
  </si>
  <si>
    <t xml:space="preserve">Pemerintah Kota (Pemkot) Surabaya memutus kontrak Tio Ferdian Rahmana (TFR), runner up pemilihan duta wisata Raka Raki Jatim dari jabatan staf. Pemutusan kontrak itu, usai viralnya dugaan Tio meminta </t>
  </si>
  <si>
    <t xml:space="preserve">Untuk Anda yang sedang merencanakan liburan ke Surabaya, kota ini bisa jadi pilihan tepat untuk menikmati perjalanan tanpa harus mengeluarkan banyak biaya. Hal ini karena Surabaya memiliki banyak ruan</t>
  </si>
  <si>
    <t xml:space="preserve">Tak perlu terbang ke Bali untuk menikmati suasana beach club dengan panorama matahari terbenam. Di Surabaya, 28th Sky Beach Club di The Trans Luxury Hotel menjadi destinasi baru yang menawarkan pengal</t>
  </si>
  <si>
    <t xml:space="preserve">TRIBUNTRAVEL.COM - Liburan keluarga di kota besar kini semakin mudah dinikmati dengan banyaknya pilihan destinasi menarik. Di Surabaya , wisata untuk anak-anak semakin berkembang dan menghadirkan peng</t>
  </si>
  <si>
    <t xml:space="preserve">Rombongan wisatawan asal Surabaya menjadi korban pengeroyokan dan perusakan oleh ratusan orang tak dikenal saat berlibur di sebuah vila di kawasan Pantai Wediawu, Tirtoyudo, Kabupaten Malang . Salah s</t>
  </si>
  <si>
    <t xml:space="preserve">harianmerahputih.id Nasional , Sabtu, 06 Jun 2026 16:25 WIB MERAHPUTIH I SURABAYA – Sosok Ir. Soekarno selama ini lebih dikenal sebagai Proklamator Kemerdekaan sekaligus Presiden pertama Republik Indo</t>
  </si>
  <si>
    <t xml:space="preserve">Surabaya, (DOC) – Kota Surabaya menegaskan posisinya tidak hanya sebagai pusat ekonomi terbesar kedua di Indonesia, tetapi juga sebagai episentrum baru seni rupa kontemporer nasional. Hal ini ditandai</t>
  </si>
  <si>
    <t xml:space="preserve">https://surabaya.kompas.com/read/2026/09/10/164505478/penjaga-toko-madura-di-siwalankerto-surabaya-ditemukan-meninggal-sempat</t>
  </si>
  <si>
    <t xml:space="preserve">PLN EPI Dorong Pantai Viral Bagik Kembar Jadi Kawasan Wisata Terpadu Berbasis Pengelolaan Sampah - EkbisNTB.com</t>
  </si>
  <si>
    <t xml:space="preserve">EkbisNTB.com</t>
  </si>
  <si>
    <t xml:space="preserve">Penjaga Toko Madura di Siwalankerto Surabaya Ditemukan Meninggal, Sempat Cekcok dengan Suami SURABAYA, KOMPAS.com - Seorang ibu muda berinisial YT (25) ditemukan meninggal dunia di dalam toko Madura t</t>
  </si>
  <si>
    <t xml:space="preserve">https://www.detik.com/jatim/hukum-dan-kriminal/d-8593275/7-fakta-viral-massa-ormas-hendak-rebut-ruko-milik-warga-di-surabaya</t>
  </si>
  <si>
    <t xml:space="preserve">Tingkatkan Keselamatan Wisatawan, Kemnaker Perkuat Kompetensi Pemandu Wisata Gunung di NTB - Radar Badung</t>
  </si>
  <si>
    <t xml:space="preserve">Video yang memperlihatkan puluhan orang diduga anggota organisasi masyarakat (ormas) mendatangi sebuah rumah toko (ruko) di Jalan Krukah Utara Nomor 34, Kecamatan Wonokromo, Surabaya, viral di media s</t>
  </si>
  <si>
    <t xml:space="preserve">https://radarjember.jawapos.com/nasional/2605190028/viral-truk-kdmp-ambil-sembako-di-gudang-ritel-raksasa-netizen-ramai-pertanyakan-komitmen-pemberdayaan-umkm-desa</t>
  </si>
  <si>
    <t xml:space="preserve">radarjember.jawapos.com</t>
  </si>
  <si>
    <t xml:space="preserve">Investor Bulgaria Jajaki Investasi di NTB - bali.bisnis.com</t>
  </si>
  <si>
    <t xml:space="preserve">bali.bisnis.com</t>
  </si>
  <si>
    <t xml:space="preserve">Sebuah video viral memperlihatkan truk KDMP mengambil pasokan sembako di gudang Indomaret Surabaya, memicu perdebatan netizen terkait komitmen pemberdayaan UMKM desa.</t>
  </si>
  <si>
    <t xml:space="preserve">https://www.detik.com/bali/hukum-dan-kriminal/d-8559398/modus-bukti-transfer-palsu-pria-surabaya-ditangkap-usai-tipu-toko-hp-denpasar</t>
  </si>
  <si>
    <t xml:space="preserve">NTB Bidik Kapal Pesiar dari Singapura - RRI.co.id</t>
  </si>
  <si>
    <t xml:space="preserve">Modus Bukti Transfer Palsu, Pria Surabaya Ditangkap usai Tipu Toko HP Denpasar Wibhi Leksono - detikBali Seorang pria berinisial GF (33), asal Surabaya, Jawa Timur, ditangkap jajaran Polsek Denpasar S</t>
  </si>
  <si>
    <t xml:space="preserve">https://beritajatim.com/ketika-diabetes-menjadi-titik-balik-langkah-lidia-dan-koffiku-menapak-pasar-luar-negeri</t>
  </si>
  <si>
    <t xml:space="preserve">Langkah Pemprov NTB Seusai Sopir Bluebird-Travel Lokal Cekcok di Mandalika - detikcom</t>
  </si>
  <si>
    <t xml:space="preserve">Surabaya (beritajatim.com) – Di sebuah sudut Surabaya, perjalanan menuju pasar dunia itu bermula dari sesuatu yang sangat sederhana: keinginan untuk tetap menikmati kopi. Bukan dari ruang pertemuan bi</t>
  </si>
  <si>
    <t xml:space="preserve">https://memorandum.disway.id/surabaya/read/170469/rebutan-pasar-babatan-indah-surabaya-warga-rw-04-pasang-spanduk-penolakan/15</t>
  </si>
  <si>
    <t xml:space="preserve">Gubernur Iqbal: Quality Tourism Jadi Fokus Pengembangan Pariwisata NTB - RRI.co.id</t>
  </si>
  <si>
    <t xml:space="preserve">Kondisi Pasar Terpasang Spanduk Penolakan Dari Warga RW 4 Perumahan Babatan Indah.-- Sementara itu, berdasarkan pantauan Memorandum di lokasi pasar, tampak tiga spanduk penolakan yang dipasang oleh wa</t>
  </si>
  <si>
    <t xml:space="preserve">https://news.detik.com/berita/d-8474272/dprd-puji-program-revitalisasi-pasar-pemkot-surabaya</t>
  </si>
  <si>
    <t xml:space="preserve">Viral Mobil MBG di Lombok Dipakai Jemput Penumpang-Wisata, BGN Selidiki - detikNews</t>
  </si>
  <si>
    <t xml:space="preserve">Wakil Ketua DPRD Kota Surabaya, Arif Fathoni memuji upaya Pemerintah Kota Surabaya untuk revitalisasi pasar tradisional. Program yang menelan anggaran sekitar Rp 18,9 miliar pada tahun ini diharapkan </t>
  </si>
  <si>
    <t xml:space="preserve">https://jatim.idntimes.com/news/jawa-timur/16-pasar-di-surabaya-bakal-dimoderernisasi-anggarannya-rp20-m-00-w15v1-h9jmsl</t>
  </si>
  <si>
    <t xml:space="preserve">Viral Padang Pasir ala Timur Tengah di Lombok, Ternyata Dulu Bekas Tambang - detikTravel</t>
  </si>
  <si>
    <t xml:space="preserve">Surabaya, IDN Times - Sebanyak 16 pasar di Kota Surabaya bakal direnovasi menjadi lebih modern. Tujuannya, untuk memberikan kenyamanan bagi masyarakat serta pedagang, sekaligus meningkatkan daya saing</t>
  </si>
  <si>
    <t xml:space="preserve">https://d-onenews.com/pemkot-surabaya-dan-keluarga-bantah-isu-anak-5-tahun-dieksploitasi-ayah/</t>
  </si>
  <si>
    <t xml:space="preserve">Pemilik Mobil MBG yang Viral Dipakai Wisata-Jemput Penumpang Buka Suara - detikHealth</t>
  </si>
  <si>
    <t xml:space="preserve">Surabaya, (DOC) – Pemkot Surabaya bersama pihak kepolisian memastikan tuduhan penelantaran dan eksploitasi terhadap seorang anak berinisial A (5) oleh ayah kandungnya di media sosial adalah tidak bena</t>
  </si>
  <si>
    <t xml:space="preserve">Informasi-realita.net, SURABAYA – Sebuah video yang memperlihatkan dugaan praktik pungutan liar (pungli) oleh oknum petugas Dinas Lingkungan Hidup (DLH) Kota Surabaya di kawasan Pasar Tugu Pahlawan, S</t>
  </si>
  <si>
    <t xml:space="preserve">Surabaya (beritajatim.com) – Video adu mulut antara personel Satpol PP dan petugas keamanan PD Pasar Surya di kawasan Pasar Tembok Dukuh viral di media sosial dan memicu beragam tanggapan masyarakat. </t>
  </si>
  <si>
    <t xml:space="preserve">Nasi Kare Singapore yang Kaya Rempah-- diswayjogja.id - Siapa sangka sebuah pasar tradisional yang sarat akan nilai sejarah bisa disulap menjadi pusat kuliner paling kekinian di Surabaya? Pasar Tunjun</t>
  </si>
  <si>
    <t xml:space="preserve">Sebuah video yang menampilkan pedagang di Pasar Karang Menjangan (Karmen), Surabaya mengeluhkan Satpol PP saat razia beredar viral di media sosial. Pasalnya, penertiban yang dilakukan petugas Satpol P</t>
  </si>
  <si>
    <t xml:space="preserve">https://memorandum.disway.id/metropolitan/read/156917/kawasan-pasar-babaan-surabaya-ditata-dan-dibersihkan-pkl-diarahkan-masuk-area-pasar</t>
  </si>
  <si>
    <t xml:space="preserve">Pemprov NTB kirim tim periksa dugaan pencemaran tambak di Lombok Utara - ANTARA News</t>
  </si>
  <si>
    <t xml:space="preserve">Camat Pabean Cantian Muhammad Januar Rizal saat memimpin penataan dan pembersihan kawasan Pasar Babaan dari aktivitas pasar tumpah.-- SURABAYA, MEMORANDUM.DISWAY.ID – Penataan dan pembersihan di kawas</t>
  </si>
  <si>
    <t xml:space="preserve">https://www.detik.com/jatim/berita/d-8600662/konflik-viral-anak-diduga-diajak-ayah-ngemis-di-surabaya-makin-runcing</t>
  </si>
  <si>
    <t xml:space="preserve">Mendag Sebut Penutupan Belasan Alfamart di Lombok karena Masalah Perizinan - InvestorTrust</t>
  </si>
  <si>
    <t xml:space="preserve">InvestorTrust</t>
  </si>
  <si>
    <t xml:space="preserve">Saling tuduh dan adu klaim mewarnai polemik hak asuh balita berinisial A (5) antara sang ibu, Agustin Arimardika (33) alias Ayu, dengan mantan suaminya, Sunardi (33). Konflik yang mulanya jadi buah bi</t>
  </si>
  <si>
    <t xml:space="preserve">Satpol PP Surabaya akhirnya buka suara soal razia di Pasar Karang Menjangan (Karmen) yang turut menyita barang dagangan lontong sayur dan kikil milik pedagang. Pengakuan pedagang itu sempat viral di m</t>
  </si>
  <si>
    <t xml:space="preserve">Scan this QR or download app from: SURABAYA, iNewsSurabaya.id - Pemerintah Kota (Pemkot) Surabaya mengajak masyarakat untuk menikmati kemeriahan Hari Jadi Kota Surabaya (HJKS) ke-733. Sepanjang April </t>
  </si>
  <si>
    <t xml:space="preserve">https://harianmerahputih.id/baca-21859-event-di-surabaya-wajib-libatkan-umkm-pemkot-kejar-efek-ekonomi</t>
  </si>
  <si>
    <t xml:space="preserve">Viral! Puluhan Gerai Alfamart di Lombok Tutup, Mendag Angkat Bicara - CNBC Indonesia</t>
  </si>
  <si>
    <t xml:space="preserve">harianmerahputih.id Ekbis , Jumat, 25 Sep 2026 15:15 WIB MERAHPUTIH I SURABAYA – Pemerintah Kota (Pemkot) Surabaya mewajibkan setiap penyelenggaraan event di Kota Pahlawan melibatkan pelaku UMKM. Kebi</t>
  </si>
  <si>
    <t xml:space="preserve">https://nusantaraabadinews.com/2026/06/07/wani-ngebut-di-kota-pahlawan-suroboyo-10k-2026-sukses-gaet-3-000-pelari-dan-dongkrak-sport-tourism/</t>
  </si>
  <si>
    <t xml:space="preserve">nusantaraabadinews.com</t>
  </si>
  <si>
    <t xml:space="preserve">Dua Karyawan Pangkalan Gasak Tabung Gas, Terekam Kamera dan Viral - Fajar Bali</t>
  </si>
  <si>
    <t xml:space="preserve">Fajar Bali</t>
  </si>
  <si>
    <t xml:space="preserve">SURABAYA, Nusantaraabadinews.com – Semangat “Wani Ngebut” mewarnai gelaran perdana Suroboyo 10K 2026 yang berlangsung di kawasan Balai Kota Surabaya, Minggu (7/6/2026). Sebanyak 3.000 pelari dari berb</t>
  </si>
  <si>
    <t xml:space="preserve">Surabaya (beritajatim.com) – Jagat media sosial dihebohkan dengan konten poster Rekreasi Hiburan Umum (RHU) Zona Club Surabaya yang menampakkan logo enam perempuan mengenakan seragam Kepolisian Republ</t>
  </si>
  <si>
    <t xml:space="preserve">https://surabaya.inews.id/read/684045/ekspor-ikm-surabaya-tembus-273-juta-dolar-as-sil-festival-2026-serap-ribuan-tenaga-kerja-lokal</t>
  </si>
  <si>
    <t xml:space="preserve">Heboh Banyak Alfamart di Lombok Tengah Tutup, Ini Penjelasan Bos Ritel - CNBC Indonesia</t>
  </si>
  <si>
    <t xml:space="preserve">Scan this QR or download app from: SURABAYA, iNewsSurabaya.id - Pemerintah Kota (Pemkot) Surabaya menutup rangkaian Surabaya Industrial &amp; Labour (SIL) Festival 2026 dengan capaian yang melampaui targe</t>
  </si>
  <si>
    <t xml:space="preserve">Kalau kamu punya rencana liburan ke Bandung yang jadi salah satu kota wajib masuk dalam itinerary, terutama kalau kamu suka wisata kuliner. Mulai dari makanan tradisional dengan cita rasa autentik, ca</t>
  </si>
  <si>
    <t xml:space="preserve">Bandung (ANTARA) - Sop Burtok menjadi salah satu kuliner yang ramai diperbincangkan di Kota Bandung. Sajian berkuah dengan daging sapi ini memiliki cita rasa gurih dan disajikan bersama sejumlah pelen</t>
  </si>
  <si>
    <t xml:space="preserve">https://jogja.disway.id/gaya-hidup/read/701551/menjelajah-rekomendasi-wisata-kuliner-legendaris-bandung-makanan-tempo-doeloe-ikonik</t>
  </si>
  <si>
    <t xml:space="preserve">Pendapatan Pemprov NTB 2027 Diproyeksi Rp 6,2 Triliun - detikcom</t>
  </si>
  <si>
    <t xml:space="preserve">diswayjogja.id - Kota Bandung di Provinsi Jawa Barat selalu berhasil memikat hati para pelancong dari berbagai penjuru tanah air melalui pesona keindahan alamnya yang sejuk serta dinamika kreativitas </t>
  </si>
  <si>
    <t xml:space="preserve">Sebagai seorang travel writer dan food blogger , rasanya kurang afaf jika menginjakkan kaki di Bandung tanpa menyusuri trotoar ikonik kawasan Braga. Kawasan bergaya art deco dan bernuansa kolonial ini</t>
  </si>
  <si>
    <t xml:space="preserve">https://chanelmuslim.com/wisata/7-tempat-wisata-kuliner-viral-di-bandung-yang-wajib-dicoba-saat-liburan</t>
  </si>
  <si>
    <t xml:space="preserve">Pemprov NTB Gelontorkan Rp 400 Juta untuk Revitalisasi Pasar Kuta Mandalika - detikcom</t>
  </si>
  <si>
    <t xml:space="preserve">&lt;div class="flex h-svh w-screen flex-col"&gt; &lt;div class="relative z-0 flex min-h-0 w-full flex-1"&gt; &lt;div class="relative flex min-h-0 w-full min-w-0 flex-1"&gt; &lt;div class="group/side-pane-shell-host relati</t>
  </si>
  <si>
    <t xml:space="preserve">Kuliner di Bandung tidak ada habisnya. Kini banyak tempat makan baru bergaya restoran hingga kafe dengan menu-menu menarik. Tak heran, jika baru buka langsung ramai diantre! Bandung kini menjadi desti</t>
  </si>
  <si>
    <t xml:space="preserve">Scan this QR or download app from: BANDUNG, iNewsBandungRaya.id - Bandung dikenal sebagai salah satu surga kuliner di Indonesia. Kota Kembang tidak pernah kehabisan ide menghadirkan tempat makan denga</t>
  </si>
  <si>
    <t xml:space="preserve">https://mediaindonesia.com/jabar/kuliner/907609/12-rekomendasi-kuliner-hits-di-bandung-yang-wajib-dicoba</t>
  </si>
  <si>
    <t xml:space="preserve">Dari Tambak ke Pasar Dunia: Masa Depan Hilirisasi Udang NTB - Radar Lombok</t>
  </si>
  <si>
    <t xml:space="preserve">Radar Lombok</t>
  </si>
  <si>
    <t xml:space="preserve">Terungkap, dari 16 unit rumah temuan Ombudsman RI, cuma tiga unit berstatus barang milik negara. KULINER hits adalah istilah untuk menyebut makanan atau minuman yang sedang populer, viral, dan banyak </t>
  </si>
  <si>
    <t xml:space="preserve">https://jogja.disway.id/gaya-hidup/read/701325/destinasi-nongkrong-estetik-restoran-dan-cafe-baru-paling-hits-dan-lezat-di-bandung-2026</t>
  </si>
  <si>
    <t xml:space="preserve">Percepat Pembangunan Infrastruktur, Kemendagri Dorong Pemprov NTB Perkuat KPDBU - jpnn.com</t>
  </si>
  <si>
    <t xml:space="preserve">diswayjogja.id - Kota Bandung atau yang akrab disapa Paris Van Java senantiasa menempati ruang istimewa di hati para pelancong, anak muda urban, serta para pemburu kuliner berkat dinamika kulinernya y</t>
  </si>
  <si>
    <t xml:space="preserve">Bandung memang nggak pernah kehabisan alasan untuk dikunjungi, terutama kalau urusannya soal kuliner. Mulai dari makanan khas Sunda, kopi, pastry, sampai tempat nongkrong yang estetik, semuanya gampan</t>
  </si>
  <si>
    <t xml:space="preserve">https://jogja.disway.id/gaya-hidup/read/700481/update-kuliner-bandung-ini-destinasi-makan-hits-dengan-pemandangan-alam-yang-memukau</t>
  </si>
  <si>
    <t xml:space="preserve">Daya Beli Melemah, Pengembang Properti di NTB Pilih Menahan Proyek Baru - insidelombok</t>
  </si>
  <si>
    <t xml:space="preserve">diswayjogja.id - Bandung tidak pernah berhenti berinovasi dalam memanjakan para pencinta kuliner. Setiap sudut kota ini seolah terus bertumbuh, menghadirkan berbagai ruang bersantap yang tidak hanya m</t>
  </si>
  <si>
    <t xml:space="preserve">https://karawangbekasi.disway.id/nasional/read/53572/7-rekomendasi-tempat-makan-di-bandung-yang-diprediksi-jadi-favorit-wisatawan-pada-2027</t>
  </si>
  <si>
    <t xml:space="preserve">karawangbekasi.disway.id</t>
  </si>
  <si>
    <t xml:space="preserve">Pemprov NTB tantang pelaku industri racik kopi campuran Lombok-Sumbawa - ANTARA News Mataram</t>
  </si>
  <si>
    <t xml:space="preserve">ANTARA News Mataram</t>
  </si>
  <si>
    <t xml:space="preserve">7 Rekomendasi Tempat Makan di Bandung yang Diprediksi Jadi Favorit Wisatawan pada 2027-- Bandung, Disway.id, 30 Juli 2026 – Memasuki tahun 2027, Kota Bandung diproyeksikan tetap mempertahankan posisin</t>
  </si>
  <si>
    <t xml:space="preserve">Bandung selalu punya banyak pilihan tempat untuk menghabiskan waktu, mulai dari wisata alam, taman kota, kawasan heritage, hingga ruang terbuka yang cocok untuk sekadar jalan-jalan. Bagi detikers yang</t>
  </si>
  <si>
    <t xml:space="preserve">Sabtu, 26 September 2026 - 21:40:31 WIB RIAUREALITA.COM — Bandung dan sekitarnya menyimpan banyak pilihan wisata yang cocok untuk akhir pekan maupun libur panjang. Mulai dari curug, hutan pinus, hingg</t>
  </si>
  <si>
    <t xml:space="preserve">Mengapa geliat wisata di Lembur Katumbiri, Gang Apandi, Braga, dan Cihapit belum otomatis meningkatkan kesejahteraan warga yang hidup dan bekerja di dalamnya? BandungBergerak - Jalan setapak di Lembur</t>
  </si>
  <si>
    <t xml:space="preserve">https://karawangbekasi.disway.id/hiburan/read/54316/5-fakta-dan-data-lengkap-kenapa-semua-orang-suka-liburan-di-bandung</t>
  </si>
  <si>
    <t xml:space="preserve">Viral Poster Pemuda Sambelia Tolak Ajang Lari Ekstrem Rinjani 100 - detikcom</t>
  </si>
  <si>
    <t xml:space="preserve">Ranca Upas, Ciwideuy, Bandung-- KARAWANGBEKASI.DISWAY.ID BANDUNG – BANDUNG seolah menjadi destinasi yang selalu masuk dalam daftar pilihan ketika masyarakat, khususnya dari wilayah Jabodetabek dan Jaw</t>
  </si>
  <si>
    <t xml:space="preserve">PIK Tourism Board memperkenalkan Pantai Indah Kapuk (PIK) kepada pelaku wisata Bandung melalui &amp;quot;Hello PIK&amp;quot; sebagai alternatif destinasi liburan terpadu di Jakarta.</t>
  </si>
  <si>
    <t xml:space="preserve">Oleh Pegadaian dalam Inspirasi Bandung menjadi salah satu kota favorit untuk menghabiskan waktu bersama keluarga, pasangan, maupun teman. Selain udaranya yang sejuk, kota ini juga memiliki banyak temp</t>
  </si>
  <si>
    <t xml:space="preserve">TRIBUNTRAVEL.COM - Bandung di Jawa Barat masih jadi destinasi favorit untuk healing singkat saat akhir pekan. Aksesnya mudah dari Jakarta dengan pilihan transportasi yang beragam, mulai dari kereta hi</t>
  </si>
  <si>
    <t xml:space="preserve">https://jogja.disway.id/gaya-hidup/read/701719/menjelajah-rekomendasi-wisata-kuliner-legendaris-bandung-makanan-tempo-doeloe-ikonik</t>
  </si>
  <si>
    <t xml:space="preserve">Dugaan Korupsi Penyelenggaraan MXGP 2023 Masuk Tahap Penyidikan - detikcom</t>
  </si>
  <si>
    <t xml:space="preserve">https://www.detik.com/jabar/wisata/d-8490911/10-tempat-wisata-hits-bandung-untuk-libur-panjang</t>
  </si>
  <si>
    <t xml:space="preserve">Kejati Periksa Pelaksana Event Lombok Sumbawa Motocross 2023 - detikcom</t>
  </si>
  <si>
    <t xml:space="preserve">Libur panjang Mei 2026, Bandung siap menyambut wisatawan dengan 10 destinasi menarik. Temukan pesona alam dan tempat estetik untuk bersantai bersama keluarga!</t>
  </si>
  <si>
    <t xml:space="preserve">https://20.detik.com/spot-wisata/20260903-260903105/berinteraksi-dengan-kelinci-lucu-di-bandung-jawa-barat</t>
  </si>
  <si>
    <t xml:space="preserve">Respons ITDC soal Temuan BPK MotoGP Mandalika Rugi Rp 347 Miliar - detikcom</t>
  </si>
  <si>
    <t xml:space="preserve">Kita diajak untuk melihat beberapa jenis Kelinci. Terdapat beberapa jenis Kelinci yang sangat lucu. Tidak sengaja Ci Panda terkena air kencing Kelinci Dok : Celebrity on Vacation Trans TV (Ade)</t>
  </si>
  <si>
    <t xml:space="preserve">Halo, para travelers! Baru saja mendarat di Stasiun Bandung dan bingung mau meluncur ke mana? Tenang, Bandung bukan cuma soal Lembang atau Ciwidey. Di jantung kota saja, kamu sudah bisa menemukan bany</t>
  </si>
  <si>
    <t xml:space="preserve">RRI.CO.ID, Bandung - Kawasan Puncak Ciumbuleuit (Punclut) kembali menjadi salah satu destinasi wisata favorit di Kota Bandung. Panorama alam, udara sejuk, serta pemandangan Kota Bandung dari ketinggia</t>
  </si>
  <si>
    <t xml:space="preserve">Scan this QR or download app from: BANDUNG, iNewsBandungRaya.id - Kota Bandung dikenal sebagai surga kuliner yang tidak pernah sepi pengunjung, terutama untuk kategori oleh-oleh. Hampir setiap hari, s</t>
  </si>
  <si>
    <t xml:space="preserve">Scan this QR or download app from: BANDUNG, iNewsBandungRaya.id - Kota Bandung kembali menunjukkan taringnya sebagai surga kuliner di Indonesia. Memasuki tahun 2026, tren bakery dan artisan bread di K</t>
  </si>
  <si>
    <t xml:space="preserve">Photo source: @dlanier.id Setuju kan kalau Bandung adalah pusat kuliner? Tak cuma kuliner legendaris, wisatawan pun mulai melirik toko cokelat di Bandung yang berani mengangkat pesona olahan kakao lok</t>
  </si>
  <si>
    <t xml:space="preserve">Selalu ada alasan untuk kembali ke Bandung. Kota Kembang ini terus menerus menawarkan pengalaman liburan yang menyenangkan mulai dari tempat wisata, kuliner, hingga tempat belanja baru yang selalu hit</t>
  </si>
  <si>
    <t xml:space="preserve">Bake House dan Hidden Gem Pasar Cihapit-- diswayjogja.id - Fenomena kuliner di Bandung kini bergeser dari sekadar rasa enak menjadi pengalaman visual dan atmosfer yang unik. Dari area Pasar Cihapit ya</t>
  </si>
  <si>
    <t xml:space="preserve">Video lapak pedagang di Kecamatan Cisarua, Kabupaten Bandung Barat tersapu angin dari baling-baling helikopter viral di media sosial (medsos). Dilaporkan ada sejumlah lapak Pasar Barukai yang rusak. P</t>
  </si>
  <si>
    <t xml:space="preserve">Peluang Juara Terbuka, Indonesia Wajib Menang Besar Lawan Bangladesh Singo Edan Harus Lebih Kompak Inspirasi  Azzam Kenzie Al Fawwaz Mengukir Prestasi Dua Bidang Sekaligus, Pencapaian Luar Biasa di Ba</t>
  </si>
  <si>
    <t xml:space="preserve">TRIBUNTRAVEL.COM - Padang dikenal sebagai salah satu destinasi kuliner Indonesia dengan cita rasa rempah yang kuat dan beragam pilihan makanan khas Minang. Bagi kamu yang sedang mencari tempat makan s</t>
  </si>
  <si>
    <t xml:space="preserve">Pernah nggak sih, kamu lagi pengin makan enak tapi isi dompet lagi nggak ramah banget buat fine dining? Terus buka aplikasi cari tempat makan, yang muncul malah restoran-restoran dengan harga yang bik</t>
  </si>
  <si>
    <t xml:space="preserve">Photo source: @savo.mdn Mencari restoran fine dining di Medan gampang-gampang susah kalau kamu butuh suasana yang intimate tapi mewah. Namun, bukan berarti nggak ada tempat bagus untuk merayakan hari </t>
  </si>
  <si>
    <t xml:space="preserve">Fantastic Cafe &amp; Eatery-- diswayjogja.id - Perkembangan dunia profesional modern telah melahirkan fleksibilitas yang luar biasa dalam cara kita bekerja dan belajar. Jika dahulu produktivitas hanya dii</t>
  </si>
  <si>
    <t xml:space="preserve">Balai Kota dan Lapangan Merdeka adalah kawasan titik nol Kota Medan. Area yang dulunya jadi pusat pemerintahan kini telah bertransformasi menjadi salah satu distrik gaya hidup paling hidup di Medan. D</t>
  </si>
  <si>
    <t xml:space="preserve">RRI.CO.ID, Surabaya – Bagi para penikmat kuliner di Kota Pahlawan, nama kwetiau tentu sudah tidak asing lagi di telinga. Kuliner khas yang identik dengan tekstur mi lebar dan pipih ini selalu berhasil</t>
  </si>
  <si>
    <t xml:space="preserve">Medan, IDN Times – Jalan Ayahanda dikenal sebagai salah satu kawasan paling ramai di Kota Medan. Di tengah padatnya aktivitas dan lalu lintas yang tak pernah sepi, jalan ini ternyata juga menjadi ruma</t>
  </si>
  <si>
    <t xml:space="preserve">Aroma kopi yang baru diseduh berpadu dengan deru kendaraan dan bunyi klakson yang saling bersahutan. Di tengah padatnya aktivitas Kota Medan, Jalan Multatuli seolah memiliki ritmenya sendiri—ramai, te</t>
  </si>
  <si>
    <t xml:space="preserve">Banyak kafe saat ini yang tumbuh dan berkembang. Ada yang menawarkan suasana yang vintage. Ruang yang sengaja dirancang untuk menyimpan memori, di mana setiap kursi kayu, cangkir porselen, dan alunan </t>
  </si>
  <si>
    <t xml:space="preserve">Taman Sri Deli yang ada di Kota Medan (Z Creators/Sri Wahyuni Kuna) Sumatera Utara - Mencari tempat wisata yang lagi hits di Medan pada 2026 tidak harus selalu keluar kota. Ibu Kota Sumatera Utara ini</t>
  </si>
  <si>
    <t xml:space="preserve">Medan, VIVA Medan - Promosi pariwisata terus digencarkan pemerintah Taiwan di Indonesia dengan membidik potensi wisatawan dari berbagai daerah, termasuk Kota Medan. Upaya tersebut diwujudkan melalui r</t>
  </si>
  <si>
    <t xml:space="preserve">https://www.poskotasumatera.com/2026/05/langkah-trobi-angkat-pariwisata.html</t>
  </si>
  <si>
    <t xml:space="preserve">Sentil KDMP Gusur SD di Ende, Gibran: Makanya Pak Kades, Perhatikan Benar - detikcom</t>
  </si>
  <si>
    <t xml:space="preserve">POSKOTASUMATERA.COM-Medan-Wali Kota Rico Tri Putra Bayu Waas menyambut hangat komitmen PT Garuda Indonesia (Persero) Tbk dalam mendukung berbagai agenda besar yang akan digelar di Kota Medan, terutama</t>
  </si>
  <si>
    <t xml:space="preserve">Suara USU, Medan. Tren kafe estetik di Medan terus berkembang seiring dengan meningkatnya minat masyarakat terhadap tempat yang tidak hanya menawarkan makanan dan minuman, tetapi juga pengalaman unik.</t>
  </si>
  <si>
    <t xml:space="preserve">https://berita.liputan6.com/regional/read/6329366/video-viral-perwira-polisi-di-kelab-malam-medan-akbp-hs-berdalih-penyelidikan-kasus</t>
  </si>
  <si>
    <t xml:space="preserve">Rupiah cetak rekor terlemah, apa yang akan terjadi selanjutnya? - BBC</t>
  </si>
  <si>
    <t xml:space="preserve">Liputan6.com, Jakarta - Jagat dunia maya dihebohkan dengan beredarnya video viral yang memperlihatkan seorang perwira Polisi berada di salah satu Tempat Hiburan Malam (THM) atau kelab malam di Kota Me</t>
  </si>
  <si>
    <t xml:space="preserve">‎Medan ( harianSIB.com ) ‎Perayaan Hari Jadi Kota Medan ke-436 yang   bertajuk Pesona Colorful Medan, Sabtu (4/7/2026) malam di Lapangan Benteng kota Medan digelar dengan sangat meriah. ‎Terpantau mas</t>
  </si>
  <si>
    <t xml:space="preserve">https://www.facebook.com/medandailynews/videos/sebuah-video-rekaman-cctv-yang-memperlihatkan-dugaan-aksi-pencurian-di-salah-sat/1023247367370654/</t>
  </si>
  <si>
    <t xml:space="preserve">Pemprov NTT Tetapkan Status Tanggap Darurat Gempa Bumi Selama 14 Hari - Warta Ekonomi</t>
  </si>
  <si>
    <t xml:space="preserve">Sebuah video rekaman CCTV yang memperlihatkan dugaan aksi pencurian di salah satu toko di Kota Medan viral di media sosial.
Dalam unggahan tersebut,...</t>
  </si>
  <si>
    <t xml:space="preserve">https://www.viral24.co.id/jelang-hut-ke-81-ri-warga-medan-berburu-aksesori-kemerdekaan-di-toko-acai/</t>
  </si>
  <si>
    <t xml:space="preserve">Ditjenpas NTT mendorong produk unggulan warga binaan masuk pasar UMKM - ANTARA News</t>
  </si>
  <si>
    <t xml:space="preserve">VIRAL24.CO.ID – MEDAN – Menjelang peringatan Hari Ulang Tahun (HUT) ke-81 Kemerdekaan Republik Indonesia, masyarakat Sumatera Utara, khususnya Kota Medan, mulai mempersiapkan berbagai kebutuhan untuk </t>
  </si>
  <si>
    <t xml:space="preserve">https://jurnalpatrolinews.co.id/nasional/tertipu-akun-tiktok-palsu-wanita-di-medan-ancam-karyawan-toko-seluler-dengan-golok/</t>
  </si>
  <si>
    <t xml:space="preserve">jurnalpatrolinews.co.id</t>
  </si>
  <si>
    <t xml:space="preserve">Pedagang Tewas Mendadak di Pasar Kupang Diduga Serangan Jantung - detikcom</t>
  </si>
  <si>
    <t xml:space="preserve">JurnalPatroliNews – Jakarta – Sebuah video yang memperlihatkan aksi menegangkan seorang wanita mengancam karyawati toko seluler menggunakan senjata tajam jenis golok viral di media sosial. Insiden ter</t>
  </si>
  <si>
    <t xml:space="preserve">https://orbitdigitaldaily.com/hari-pertama-sekolah-siswa-baru-sman-4-medan-masih-berseragam-smp/</t>
  </si>
  <si>
    <t xml:space="preserve">orbitdigitaldaily.com</t>
  </si>
  <si>
    <t xml:space="preserve">Pasar Ruteng NTT Rusak, Mendag Datangkan Bahan Pokok dari Jatim dan NTB - merahputih.com</t>
  </si>
  <si>
    <t xml:space="preserve">‎ MEDAN | Hari pertama Masa Pengenalan Lingkungan Sekolah (MPLS) di SMA Negeri 4 Medan, memunculkan dugaan praktik monopoli pengadaan seragam di lingkungan sekolah, Senin (13/7/2026). ‎ ‎Sebanyak 418 </t>
  </si>
  <si>
    <t xml:space="preserve">https://www.hariansib.com/Medan-Sekitarnya/449308/dulu-tempat-berburu-039monza039-kini-mal-pelayanan-publik-medan-satu-gedung-segala-urusan-selesai/all/</t>
  </si>
  <si>
    <t xml:space="preserve">Mendag Serahkan Bantuan Rp 250 Juta untuk Korban Gempa NTT - detikNews</t>
  </si>
  <si>
    <t xml:space="preserve">Medan ( harianSIB.com ) Bagi sebagian kaum milenial pencinta barang thrift alias barang bekas, yang lebih populer dengan sebutan 'Monza' di kota Medan, gedung bekas Ramayana di pasar Peringgan ini ten</t>
  </si>
  <si>
    <t xml:space="preserve">https://www.viral24.co.id/diduga-belum-serah-terima-pedagang-4-pasar-dihimbau-bayar-kontibusi-kepada-wali-kota/</t>
  </si>
  <si>
    <t xml:space="preserve">Sekolah Dihancurkan demi Koperasi Merah Putih, PDI-P Angkat Bicara - Kompas.id</t>
  </si>
  <si>
    <t xml:space="preserve">VIRAL24.CO.ID – MEDAN — Ketua Forum Pedagang Pasar Tradisional Kota Medan menghimbau pedagang di empat pasar tradisional untuk membayar retribusi dan kontribusi tempat berjualan ke Pemko Medan cq Wali</t>
  </si>
  <si>
    <t xml:space="preserve">https://www.detik.com/sumut/berita/d-8424188/viral-jukir-di-medan-babak-belur-dikeroyok-preman-pasar</t>
  </si>
  <si>
    <t xml:space="preserve">Momen Wapres Gibran Resmi Buka Festival Paskah 2026 di Kupang | JMP - Kompas.tv</t>
  </si>
  <si>
    <t xml:space="preserve">Viral di media sosial, seorang koordinator juru parkir (jukir) di Kota Medan menjadi korban pengeroyokan oleh sekelompok orang yang diduga preman di Pasar Sukaramai, Kecamatan Medan Area, Kota Medan. </t>
  </si>
  <si>
    <t xml:space="preserve">https://www.jpnn.com/news/pedagang-pasar-kampung-lalang-resah-wali-kota-medan-diminta-lakukan-evaluasi</t>
  </si>
  <si>
    <t xml:space="preserve">[HOAKS] Gibran Umumkan Program Dana Hibah dari Arab Saudi - Kompas.com</t>
  </si>
  <si>
    <t xml:space="preserve">jpnn.com , MEDAN - Pedagang Pasar Tradisional Kampung Lalang, Kota Medan, mengaku resah atas kebijakan Direksi PUD Pasar Kota Medan yang berencana mengalihkan pengelolaan jaga malam dan parkir kepada </t>
  </si>
  <si>
    <t xml:space="preserve">https://www.viral24.co.id/dirut-pud-pasar-janji-3-bulan-ramaikan-dan-perbaiki-sarpras-pusat-pasar/</t>
  </si>
  <si>
    <t xml:space="preserve">Ini Daftar 5 Mahasiswa yang Diajak Gibran ke NTT: Dari UI, Unsoed, hingga UPH - Kompas.com</t>
  </si>
  <si>
    <t xml:space="preserve">VIRAL24.CO.ID – MEDAN – Dirut PUD Pasar Medan Anggia Ramadhan berjanji dalam waktu 3 bulan akan meramaikan dan memperbaiki sarana dan prasarana (Sarpras) Pasar Pusat Pasar Medan. Hal itu ditegaskan or</t>
  </si>
  <si>
    <t xml:space="preserve">https://kaldera.id/medan/86369/harga-minyakita-di-medan-tembus-rp22-ribu-dprd-desak-pemko-sidak-pasar/</t>
  </si>
  <si>
    <t xml:space="preserve">Lansia Bernyanyi Bersama Gubernur NTT di Puncak HLUN 2026 - detikNews</t>
  </si>
  <si>
    <t xml:space="preserve">MEDAN, kaldera.id – Harga minyak goreng subsidi Minyakita di Kota Medan melonjak hingga Rp20 ribu sampai Rp22 ribu per liter. Kenaikan tersebut memicu keresahan masyarakat karena jauh di atas harga se</t>
  </si>
  <si>
    <t xml:space="preserve">https://www.poskotasumatera.com/2026/05/pasar-titi-kuning-wakili-medan-di-lomba.html</t>
  </si>
  <si>
    <t xml:space="preserve">Bawa Bantuan ke NTT, Menteri PPPA: Kami Bawa Pampers, Bubur Bayi dan Susu - Kompas.com</t>
  </si>
  <si>
    <t xml:space="preserve">POSKOTASUMATERA.COM-MEDAN-Pasar Titi Kuning yang dikelola PUD Pasar Medan berhasil menorehkan prestasi membanggakan dengan lolos ke tahapan seleksi wawancara pada Lomba Pasar Pangan Aman Berbasis Komu</t>
  </si>
  <si>
    <t xml:space="preserve">https://www.facebook.com/medandailynews/videos/seorang-pria-diamankan-warga-di-kawasan-pasar-dipo-kisaran-setelah-diduga-berbel/1413260170818622/</t>
  </si>
  <si>
    <t xml:space="preserve">5 Tempat Makan Siang Enak di Pontianak, Nikmati Lezatnya Soto Semar - Tribun Travel</t>
  </si>
  <si>
    <t xml:space="preserve">Seorang pria diamankan warga di kawasan Pasar Dipo, Kisaran, setelah diduga berbelanja menggunakan uang palsu. Peristiwa tersebut viral di media sosial...</t>
  </si>
  <si>
    <t xml:space="preserve">https://www.detik.com/sumut/hukum-dan-kriminal/d-8515296/viral-pria-dimassa-usai-siram-air-keras-ke-jukir-di-medan</t>
  </si>
  <si>
    <t xml:space="preserve">15 Kuliner Terbaik di Pontianak yang Lagi Hits 2026, Ada Tempat Makan Legendaris hingga Cafe Favorit - Tribunpontianak.co.id</t>
  </si>
  <si>
    <t xml:space="preserve">Tribunpontianak.co.id</t>
  </si>
  <si>
    <t xml:space="preserve">Satu video yang menarasikan adanya seorang pria yang disebut menyiramkan air keras ke juru parkir (jukir) di Kota Medan, viral di media sosial. Polisi saat ini tengah menyelidiki peristiwa itu. Berdas</t>
  </si>
  <si>
    <t xml:space="preserve">https://www.viral24.co.id/amiruddin-dorong-pud-pasar-medan-berinovasi-benahi-pasar-tradisional/</t>
  </si>
  <si>
    <t xml:space="preserve">5 Rumah Makan Padang Enak di Melawi, Rekomendasi Wajib Saat di Nanga Pinoh - Tribunpontianak.co.id</t>
  </si>
  <si>
    <t xml:space="preserve">VIRAL24.CO.ID – MEDAN – Mantan Ketua DPRD Kota Medan, Drs. H. Amiruddin, meminta Direktur Utama PUD Pasar Medan, Anggia Ramadhan, menghadirkan berbagai terobosan dalam pengelolaan pasar tradisional ag</t>
  </si>
  <si>
    <t xml:space="preserve">https://www.viral24.co.id/appsindo-medan-apresiasi-komitmen-dirut-pud-pasar-benahi-pusat-pasar/</t>
  </si>
  <si>
    <t xml:space="preserve">Danau di Manis Mata Ketapang Mengering Jadi Rumput Hijau dan Objek Wisata - detikcom</t>
  </si>
  <si>
    <t xml:space="preserve">VIRAL24.CO.ID – MEDAN – Ketua Aliansi Pedagang Pasar Tradisional Indonesia (APPSINDO) Kota Medan, H. Masrizal Manday, SE, mengapresiasi komitmen Direktur Utama PUD Pasar Kota Medan, Anggia Rahmadhan, </t>
  </si>
  <si>
    <t xml:space="preserve">https://www.viral24.co.id/pedagang-pusat-pasar-ancam-tunda-pembayaran-kontribusi-desak-perbaikan-sarpras/</t>
  </si>
  <si>
    <t xml:space="preserve">Rumah Megah di Kalimantan Tampak dari Pesawat, Ternyata Ini Pemiliknya - detikcom</t>
  </si>
  <si>
    <t xml:space="preserve">VIRAL24.CO.ID – MEDAN – Forum Pedagang Pasar Tradisional Kota Medan meminta para pedagang di Pusat Pasar Medan menunda pembayaran kontribusi kepada PUD Pasar Medan hingga dilakukan perbaikan sarana da</t>
  </si>
  <si>
    <t xml:space="preserve">https://www.viral24.co.id/bakal-lapor-ke-wali-kota-pedagang-pusat-pasar-tolak-kenaikan-sewa-kios-20-persen/</t>
  </si>
  <si>
    <t xml:space="preserve">Goa Kumpe Bengkayang, Destinasi Petualangan Viral dengan Keindahan Alam yang Masih Alami - Kalbar Time - Kalbar Time</t>
  </si>
  <si>
    <t xml:space="preserve">Kalbar Time</t>
  </si>
  <si>
    <t xml:space="preserve">VIRAL24.CO.ID – MEDAN – Pedagang Pasar Pusat Pasar Medan menolak keras pembayaran sewa-menyewa kios sebesar 20 persen kepada pedagang yang menyewakan kiosnya kepada orang lain/pihak ketiga. “Kita meno</t>
  </si>
  <si>
    <t xml:space="preserve">https://www.viral24.co.id/pelaporan-pengelola-lama-dinilai-picu-kegaduhan-di-tubuh-pud-pasar-medan/</t>
  </si>
  <si>
    <t xml:space="preserve">Keindahan Pantai Kahona Sambas! Dulu Viral Kini Terancam Terkikis Ombak - Tribunpontianak.co.id</t>
  </si>
  <si>
    <t xml:space="preserve">VIRAL24.CO.ID – MEDAN – Langkah Direktur Utama PUD Pasar Kota Medan, Anggia Ramadhan melaporkan para pengelola lama PUD Pasar ke ranah hukum, sangat naif dan disayangkan justru terkesan seperti meluda</t>
  </si>
  <si>
    <t xml:space="preserve">https://www.viral24.co.id/dirut-pud-pasar-medan-dinilai-merongrong-wibawa-wali-kota-rico-waas/</t>
  </si>
  <si>
    <t xml:space="preserve">Astra Motor Kalbar Dekatkan Skutik Premium Honda di HPMD 2026 - pontianakpost.jawapos.com</t>
  </si>
  <si>
    <t xml:space="preserve">pontianakpost.jawapos.com</t>
  </si>
  <si>
    <t xml:space="preserve">VIRAL24.CO.ID – MEDAN – Dirut PUD Pasar Kota Medan Anggia Ramadhan dinilai merongrong wibawa Wali Kota Medan Rico Waas. Pasalnya berbagai kebijakannya tidak sesuai dengan visi dan misi Wali Kota Medan</t>
  </si>
  <si>
    <t xml:space="preserve">https://www.viral24.co.id/wali-kota-medan-minta-pud-pasar-maksimalkan-pendapatan-dan-digitalisasi/</t>
  </si>
  <si>
    <t xml:space="preserve">Viral Skandal Juri Arogan di Final Lomba Cerdas Cermat MPR di Kalbar: Jawaban Sama tapi Nilai Berat Sebelah? - Edisi - edisi.co.id</t>
  </si>
  <si>
    <t xml:space="preserve">VIRAL24.CO.ID – MEDAN – Wali Kota Medan Rico Tri Putra Bayu Waas menegaskan agar Perusahaan Umum Daerah (PUD) Pasar Kota Medan melakukan transformasi menyeluruh dalam pengelolaan pasar. Perusahaan dae</t>
  </si>
  <si>
    <t xml:space="preserve">https://www.viral24.co.id/pedagang-pasar-kampung-lalang-resah-walikota-diminta-evaluasi-kinerja-dirut-pud-pasar-medan/</t>
  </si>
  <si>
    <t xml:space="preserve">Museum Louvre Paris, Saksi Bisu Ribuan Tahun Sejarah yang Masih Memikat Dunia - pontianakpost.jawapos.com</t>
  </si>
  <si>
    <t xml:space="preserve">VIRAL24.CO.ID – MEDAN – Pedagang Pasar Tradisional Kampung Lalang resah dengan kebijakan Dirut PUD Pasar kota Medan yang akan mengalihkan pengelolaan mulai dari jaga malam dan parkir di Pasar Kampung </t>
  </si>
  <si>
    <t xml:space="preserve">https://www.viral24.co.id/sambut-rakernas-apeksi-xviii-pud-pasar-medan-aksi-bersih-di-pusat-pasar/</t>
  </si>
  <si>
    <t xml:space="preserve">Museum Membantu Anak Mengasah Kemampuan Observasi dan Rasa Ingin Tahu - pontianakpost.jawapos.com</t>
  </si>
  <si>
    <t xml:space="preserve">VIRAL24.CO.ID – MEDAN – Menyambut Hari Ulang Tahun (HUT) ke-436 Kota Medan dan pelaksanaan Rapat Kerja Nasional (Rakernas) XVIII Asosiasi Pemerintah Kota Seluruh Indonesia (APEKSI), PUD Pasar Kota Med</t>
  </si>
  <si>
    <t xml:space="preserve">https://www.viral24.co.id/listrik-padam-transaksi-jual-beli-pedagang-pusat-pasar-lumpuh/</t>
  </si>
  <si>
    <t xml:space="preserve">Convoy Merdeka, Bikers PCX Jelajah Sejarah - pontianakpost.jawapos.com</t>
  </si>
  <si>
    <t xml:space="preserve">VIRAL24.CO.ID – MEDAN – Pedagang Pasar Pusat Pasar Medan, resah dengan kondisi padamnya listrik PLN di lokasi perbelanjaan pasar tradisional, Jumat (29/5/2026). “Padamnya aliran listrik membut ribuan </t>
  </si>
  <si>
    <t xml:space="preserve">https://analisadaily.com/berita/baca/2026/05/31/1074275/guncang-medan-mocca-dan-musisi-muda-sukses-meriahkan-summer-music-fest-2026-di-delipark-mall/</t>
  </si>
  <si>
    <t xml:space="preserve">analisadaily.com</t>
  </si>
  <si>
    <t xml:space="preserve">Polisi ungkap toko obat ilegal berkedok warung sembako di Jagakarsa - ANTARA News</t>
  </si>
  <si>
    <t xml:space="preserve">Analisadaily.com, Medan – Kemeriahan luar biasa menutup akhir bulan Mei di Kota Medan. Delipark Mall sukses menyelenggarakan event tahunan bergengsi Summer Music Fest 2026 yang berlangsung selama 4 ha</t>
  </si>
  <si>
    <t xml:space="preserve">https://www.facebook.com/medandailynews/videos/sebuah-booth-minuman-di-acara-musik-the-sound-project-menjadi-sorotan-setelah-di/1589161212645242/</t>
  </si>
  <si>
    <t xml:space="preserve">Viral Emak-emak Diikat-Dianiaya Massa di Pasar Segiri Samarinda, Polisi Selidiki - detikcom</t>
  </si>
  <si>
    <t xml:space="preserve">Sebuah booth minuman di acara musik The Sound Project menjadi sorotan setelah diduga mengadakan challenge hafalan Surah Ad-Duha dengan hadiah berupa...</t>
  </si>
  <si>
    <t xml:space="preserve">https://www.facebook.com/medandailynews/videos/seorang-ibu-yang-sebelumnya-viral-karena-berani-mendatangi-lokasi-yang-diduga-me/948987311527115/</t>
  </si>
  <si>
    <t xml:space="preserve">Viral Video Dugaan Pelecehan di Warung Makan Mempawah, Publik Geram dan Desak Penegakan Hukum - suarakalbar.co.id</t>
  </si>
  <si>
    <t xml:space="preserve">Seorang ibu yang sebelumnya viral karena berani mendatangi lokasi yang diduga menjadi tempat peredaran narkoba di Aek Kanopan Timur, kembali menjadi...</t>
  </si>
  <si>
    <t xml:space="preserve">https://www.detik.com/pop/music/d-8632762/feast-hingga-seringai-siap-ramaikan-magnumotion-loudfest-2026-medan-amankan-tiketmu-sekarang</t>
  </si>
  <si>
    <t xml:space="preserve">Selidiki Video Emak-emak Diamuk Massa, Polisi: Jangan Main Hakim Sendiri - detikcom</t>
  </si>
  <si>
    <t xml:space="preserve">Magnumotion Loudfest 2026 Medan menghadirkan deretan nama besar skena musik keras Tanah Air, mulai dari Feast., Superman Is Dead, For Revenge, Seringai, Stand Here Alone, Dispencer, hingga Sickobein .</t>
  </si>
  <si>
    <t xml:space="preserve">RRI.CO.ID, Yogyakarta - Liburan ke Yogyakarta bukan hanya tentang menikmati pesona budaya dan panorama pantainya, tetapi juga tentang perjalanan rasa yang bisa ditemukan di setiap sudut jalannya, teru</t>
  </si>
  <si>
    <t xml:space="preserve">MANTRIJERON — Wakil Wali Kota Yogyakarta Wawan Harmawan bersama Pelaksana Tugas (Plt) Asisten Pemerintahan dan Kesejahteraan Rakyat (Kesra) Agus Arif Nugroho, Kepala Satuan Polisi Pamong Praja (Satpol</t>
  </si>
  <si>
    <t xml:space="preserve">&lt;strong&gt;YOGYAKARTA,&lt;/strong&gt; &lt;em&gt;Joglo News&lt;/em&gt; — Dinas Perhubungan Daerah Istimewa Yogyakarta (Dishub DIY) turut berpartisipasi dalam kegiatan JELAJAH KOTABARU – Kotabaru Heritage Film Festival (KHF</t>
  </si>
  <si>
    <t xml:space="preserve">https://jogja.viva.co.id/warta/11780-mendesain-ulang-pariwisata-diy-menempatkan-manusia-kembali-di-pusat</t>
  </si>
  <si>
    <t xml:space="preserve">Borneo Cross Border Cycling Tour : Dari Event Sepeda Lintas Negara Menuju Ekosistem Sport Tourism Kalbar - Pontianak Post</t>
  </si>
  <si>
    <t xml:space="preserve">Pontianak Post</t>
  </si>
  <si>
    <t xml:space="preserve">YOGYAKARTA, VIVA Jogja - Pariwisata Daerah Istimewa Yogyakarta (DIY) tengah memasuki babak baru. Di tengah derasnya arus digitalisasi dan kecerdasan buatan, muncul pertanyaan mendasar: untuk siapa seb</t>
  </si>
  <si>
    <t xml:space="preserve">Berbelanja kebaya d Jogja mudah ditemukan. Selain banyak pilihan warna dan model, kebaya juga gampang dijumpai di pasar tradisonal hingga toko. Bahkan tak hanya kebaya baru, ada juga beberapa tempat y</t>
  </si>
  <si>
    <t xml:space="preserve">Ada yang pernah sarapan di Pasar Ngasem Jogja? Mari sepakat kalau wisata tanpa mencicipi kuliner lokal adalah suatu kesia-siaan. Hotel yang nyaman, tempat wisata yang indah, mungkin memberikan pengala</t>
  </si>
  <si>
    <t xml:space="preserve">https://jogja.suara.com/read/2026/05/04/150018/viral-pelari-di-jogja-dipukul-otk-saat-ambil-minum-begini-kronologinya</t>
  </si>
  <si>
    <t xml:space="preserve">Rekomendasi 10 Warung Sate di Samarinda yang Wajib Dicoba, Favorit untuk Kuliner Malam - Arusbawah.co</t>
  </si>
  <si>
    <t xml:space="preserve">SuaraJogja.id - Seorang pelari diserang secara tiba-tiba oleh orang tak dikenal ( OTK ) saat mengikuti sebuah event lari di Kota Jogja . Salah satu peserta lari itu dipukul saat hendak mengambil minum</t>
  </si>
  <si>
    <t xml:space="preserve">SiJOGJA.COM : Menjelang pelaksanaan Jogja International Kite Festival (JIKF) 2026, panitia resmi memperkenalkan konsep penyelenggaraan, program terbaru, serta kolaborasi lintas sektor melalui kegiatan</t>
  </si>
  <si>
    <t xml:space="preserve">https://radarmalioboro.jawapos.com/kuliner/2609170007/tak-perlu-ke-kafe-kekinian-kuliner-rumahan-di-lereng-merapi-ini-sajikan-rasa-jawa-yang-ngangenin</t>
  </si>
  <si>
    <t xml:space="preserve">Heboh Istana Sultan Brunei Dikira Rumah Megah di Kalimantan - detikcom</t>
  </si>
  <si>
    <t xml:space="preserve">Menikmati kuliner di Yogyakarta tak selalu harus datang ke kafe dengan desain kekinian. Di kawasan Pakem, Sleman, ada tempat makan sederhana yang justru menawarkan pengalaman berbeda lewat sajian ruma</t>
  </si>
  <si>
    <t xml:space="preserve">Berada di kaki Gunung Merapi, Cangkringan kini bertransformasi menjadi spot menarik buat kamu yang ingin mencari pelarian sejenak dari penatnya polusi kota. Kawasan wisata ini gak hanya menawarkan pem</t>
  </si>
  <si>
    <t xml:space="preserve">RRI.CO.ID, Sleman - Masyarakat Yogyakarta kini tak perlu jauh-jauh terbang ke Korea Selatan untuk merasakan suasana khas Negeri Ginseng. Melalui konsep restoran bernuansa Hanok Village, SABA Korean Di</t>
  </si>
  <si>
    <t xml:space="preserve">https://jogja.disway.id/gaya-hidup/read/700643/tempat-jual-tiramisu-enak-di-sleman-harga-mulai-rp-22-ribuan-creamy-dan-lembut-di-lidah</t>
  </si>
  <si>
    <t xml:space="preserve">Lirik P P Apa? Pian Sungguh Mempesona Viral di Tiktok, Lagu Gadis Manis Kalimantan - sumsel.tribunnews.com</t>
  </si>
  <si>
    <t xml:space="preserve">Kedai Dessert Sleman Utama-- diswayjogja.id - Yogyakarta, khususnya Kabupaten Sleman, tidak hanya dikenal dengan wisata alamnya yang mempesona, tetapi juga telah berkembang menjadi pusat inovasi kulin</t>
  </si>
  <si>
    <t xml:space="preserve">Saat berlibur ke kawasan Jantung Pulau Jawa, tidak ada salahnya menyempatkan waktu untuk menjelajahi Sleman. Kabupaten yang berada di lereng Gunung Merapi ini memiliki beragam destinasi wisata yang me</t>
  </si>
  <si>
    <t xml:space="preserve">https://rri.co.id/yogyakarta/kuliner/2622810/jadi-magnet-wisata-sajian-ramen-ramaikan-referensi-kuliner-di-sleman</t>
  </si>
  <si>
    <t xml:space="preserve">Dua Wanita Tertangkap Kamera CCTV Diduga Mencuri di Toko Emas Puruk Cahu - rakyatkalteng.com</t>
  </si>
  <si>
    <t xml:space="preserve">rakyatkalteng.com</t>
  </si>
  <si>
    <t xml:space="preserve">RRI.CO.ID, Sleman – Kabupaten Sleman sebagai salah satu destinasi wisata di DIY terus menawarkan beragam pilihan kuliner yang menjadi daya tarik bagi wisatawan. Tidak hanya makanan tradisional, kehadi</t>
  </si>
  <si>
    <t xml:space="preserve">You must confirm your age to access this page. YOGYAKARTA - PSS Sleman merayakan hari yang dimulai dengan hadirnya Mini Museum 50 Tahun PSS di Stadion Maguwoharjo, Sleman. Museum mini yang menampilkan</t>
  </si>
  <si>
    <t xml:space="preserve">SLEMAN , VIVA Jogja - Perayaan 50 tahun PSS Sleman resmi dimulai dengan dibukanya Mini Museum 50 Tahun PSS di Stadion Maguwoharjo , Sleman. Pameran ini berlangsung sejak 17 hingga 24 Mei 2026, bertepa</t>
  </si>
  <si>
    <t xml:space="preserve">Belum punya akun? Daftar Akun Download Aplikasi TribunX di AppStore dan PlayStore Download aplikasi berita TribunX di Play Store atau App Store untuk dapatkan pengalaman baru TRIBUN-VIDEO.COM - Peraya</t>
  </si>
  <si>
    <t xml:space="preserve">Sleman, BERITA DIY - Perayaan setengah abad perjalanan PSS Sleman menghadirkan sesuatu yang berbeda bagi para pendukung Super Elang Jawa. Tidak hanya sebatas acara seremonial, klub kebanggaan warga Sl</t>
  </si>
  <si>
    <t xml:space="preserve">https://radarjogja.jawapos.com/jogja-sport/2605170067/manajemen-pss-sleman-resmi-dapuk-pieter-huistra-jadi-pelatih-kepala-musim-depan</t>
  </si>
  <si>
    <t xml:space="preserve">radarjogja.jawapos.com</t>
  </si>
  <si>
    <t xml:space="preserve">Viral Ibu di Gunung Mas Curhat Anaknya Dicabuli Ayah Tiri, Polisi Selidiki - detikcom</t>
  </si>
  <si>
    <t xml:space="preserve">Manajemen PSS Sleman terus bergerak cepat dalam menata nakhoda tim untuk menyongsong kompetisi Super League musim 2026/2027.
Terbaru, Direktur PSS Yoni Arseto resmi memastikan posisi juru taktik ut</t>
  </si>
  <si>
    <t xml:space="preserve">Klub sepak bola PSS Sleman resmi memulai perayaan hari jadi ke-50 melalui pembukaan Mini Museum 50 Tahun PSS di Stadion Maguwoharjo, Sleman, yang berlangsung mulai Minggu (17/5/2026) hingga 24 Mei men</t>
  </si>
  <si>
    <t xml:space="preserve">https://harian.disway.id/read/961084/dokter-elda-putri-jebolan-lpdp-perundung-pasien-bpjs-disorot-soal-dugaan-alamat-praktik-fiktif-di-sleman</t>
  </si>
  <si>
    <t xml:space="preserve">Gubernur Ajak Shalat Istisqa, Kalteng Diguyur Hujan di Beberapa Lokasi - Warta Ekonomi</t>
  </si>
  <si>
    <t xml:space="preserve">Kontroversi Berlanjut, Dokter Perundung Pasien BPJS Kini Disorot soal Dugaan Alamat Praktik Fiktif-Nasional- JAKARTA, HARIAN DISWAY - Polemik yang melibatkan dr. Elda Putri Rahardini, dokter penerima </t>
  </si>
  <si>
    <t xml:space="preserve">https://shopping.tribunnews.com/2026/09/26/5-rekomendasi-toko-alat-rumah-tangga-di-cilacap</t>
  </si>
  <si>
    <t xml:space="preserve">Viral Suasana Mencekam Kalimantan Tertutup Kabut Asap Akibat Kebakaran Hutan - Tribunnewsdepok.com</t>
  </si>
  <si>
    <t xml:space="preserve">Tayang: Sabtu, 26 September 2026 10:45 WIB TRIBUNSHOPPING.COM - Kabupaten Cilacap merupakan kabupaten terluas di Provinsi Jawa Tengah yang terletak di pesisir selatan Pulau Jawa. Daerah ini dikenal me</t>
  </si>
  <si>
    <t xml:space="preserve">https://radarjogja.jawapos.com/sleman/2606240023/diduga-berkendara-melebihi-garis-marka-jadi-pemicu-lakalantas-di-jakal-km-9-dua-orang-luka-luka-satu-lainnya-meninggal-dunia</t>
  </si>
  <si>
    <t xml:space="preserve">Kecelakaan lalu lintas (Lakalantas) melibatkan dua sepeda motor dan satu mobil terjadi di Jalan Kaliurang (Jakal) Km 9.
Tepatnya di depan Cafe Copenhagen, Padukuhan Klabanan, Kalurahan Sinduharjo, </t>
  </si>
  <si>
    <t xml:space="preserve">https://www.detik.com/jogja/berita/d-8618068/bayi-laki-laki-ditemukan-dalam-kardus-di-pasar-sleman</t>
  </si>
  <si>
    <t xml:space="preserve">Bayi berjenis kelamin laki-laki ditemukan di kawasan Klitikan Pasar Sleman pagi ini. Bayi itu ditemukan warga di dalam kardus. Kabar penemuan bayi di kawasan Klitikan Pasar Sleman juga diunggah akun I</t>
  </si>
  <si>
    <t xml:space="preserve">Yogyapos.com (SLEMAN) – Geliat ekonomi masyarakat tampak nyata di Ngijon, Kalurahan Sendangarum, Kapanewon Minggir, Sleman. Kegiatan Sunday Morning (Sunmor) Ngijon yang digelar di tengah hamparan pers</t>
  </si>
  <si>
    <t xml:space="preserve">https://jogja.disway.id/daerah/read/701052/bayi-laki-laki-diperkirakan-baru-seminggu-ditemukan-di-klitikan-pasar-sleman/15</t>
  </si>
  <si>
    <t xml:space="preserve">5 Rekomendasi Tempat Makan Siang Enak di Banjarmasin yang Populer - Tribun Travel</t>
  </si>
  <si>
    <t xml:space="preserve">Bayi laki-laki diperkirakan berusia sekitar satu minggu ditemukan dalam kardus di Klitikan Pasar Sleman, Jumat (14/8/2026) pagi. Polisi masih menyelidiki identitas orang tua bayi.--dok. Polresta Slema</t>
  </si>
  <si>
    <t xml:space="preserve">https://jogja.suara.com/read/2026/08/07/103000/gempar-hadir-di-pasar-balangan-pasar-tumbuh-ekonomi-sleman-tangguh</t>
  </si>
  <si>
    <t xml:space="preserve">Ironi Lubang Tambang Maut di Kalsel jadi Objek Wisata - Mongabay.co.id</t>
  </si>
  <si>
    <t xml:space="preserve">Mongabay.co.id</t>
  </si>
  <si>
    <t xml:space="preserve">SuaraJogja.id - Gerakan Meramaikan Pasar Rakyat ( GEMPAR ) kembali menyapa masyarakat Sleman , kali ini akan menyambangi Pasar Balangan pada Senin 10 Agustus 2026. Mengusung tema “Pasar Tumbuh, Ekonom</t>
  </si>
  <si>
    <t xml:space="preserve">https://jogjapolitan.harianjogja.com/r-1264308/dispar-sleman-yakin-dua-event-lari-dongkrak-kunjungan-wisata</t>
  </si>
  <si>
    <t xml:space="preserve">Viral! Spot Foto di Wisata Bukit Batu Kalsel, Pengunjung Antre Hingga Malam, Ternyata Ini Sebabnya - Tribunnews.com</t>
  </si>
  <si>
    <t xml:space="preserve">Harianjogja.com, SLEMAN Dinas Pariwisata (Dispar) Kabupaten Sleman optimistis penyelenggaraan dua ajang lari pada 23 Agustus 2026 akan meningkatkan kunjungan wisatawan ke Bumi Sembada. Meski digelar p</t>
  </si>
  <si>
    <t xml:space="preserve">https://www.detik.com/jogja/berita/d-8473732/puluhan-warga-sleman-keracunan-usai-santap-makanan-di-acara-pamitan-haji</t>
  </si>
  <si>
    <t xml:space="preserve">Evaluasi Kenaikan Status Museum Lambung Mangkurat - Kalimantan Post</t>
  </si>
  <si>
    <t xml:space="preserve">Kalimantan Post</t>
  </si>
  <si>
    <t xml:space="preserve">Puluhan warga di wilayah Toragan, Tlogoadi, Mlati, Sleman diduga mengalami keracunan usai menyantap makanan di acara pamitan haji. Data terakhir dari Dinas Kesehatan (Dinkes) Sleman tercatat ada 28 or</t>
  </si>
  <si>
    <t xml:space="preserve">RRI.CO.ID, Yogyakarta – Kalurahan Trimulyo Kabupaten Sleman menginspirasi pola hidup sehat masyarakat, melalui sebuah event bernama Ecolife Walk. Kegiatan ini berlangsung di Padukuhan Kalangan, Minggu</t>
  </si>
  <si>
    <t xml:space="preserve">Festival musik dan kuliner terbaru Selarasa Fest 2026 resmi diumumkan. Mengusung tema Simfoni Modernitas dan Tradisi dalam Satu Perayaan, acara ini akan digelar pada 26 Juni 2026 di Rocket Arena Godea</t>
  </si>
  <si>
    <t xml:space="preserve">https://news.republika.co.id/berita/tgzif9484/viral-diduga-pati-tni-bintang-1-cekcok-di-mandiri-jogja-marathon-2026</t>
  </si>
  <si>
    <t xml:space="preserve">news.republika.co.id</t>
  </si>
  <si>
    <t xml:space="preserve">Wanita di Tangsel Tergetkan Toko Ramai Pengunjung Buat Jual Emas Palsu - detikNews</t>
  </si>
  <si>
    <t xml:space="preserve">Ini pengawal saya, ini pengawal saya. REPUBLIKA.CO.ID, JAKARTA -- Jagat dunia maya dihebohkan dengan video marshal yang menepikan seorang pelari tak terdaftar ikut garis finis. Tidak lama kemudian, mu</t>
  </si>
  <si>
    <t xml:space="preserve">https://jogja.disway.id/daerah/read/701603/ksp-sidak-dapur-mbg-sleman-13-sppg-ternyata-masih-disetop-karena-belum-kantongi-slhs</t>
  </si>
  <si>
    <t xml:space="preserve">OJK Kalsel Perkuat Edukasi Keuangan lewat Sanak Cermat Banua - RRI.co.id</t>
  </si>
  <si>
    <t xml:space="preserve">KSP bersama BGN dan Pemkab Sleman memverifikasi pelaksanaan Program Makan Bergizi Gratis di SPPG Tridadi 3, Selasa (8/9/2026). Dalam sidak itu terungkap 13 SPPG di Sleman masih dihentikan sementara ka</t>
  </si>
  <si>
    <t xml:space="preserve">https://www.tempo.co/teroka/henry-moodie-aduk-perasaan-penonton-prambanan-jazz-2026-2273916</t>
  </si>
  <si>
    <t xml:space="preserve">Kalsel Gencar Tekan Inflasi Lewat BBM dan Pasar Murah - Bisnis.com</t>
  </si>
  <si>
    <t xml:space="preserve">PENYANYI pop asal Inggris, Henry Moodie, sukses membuat ribuan penonton Prambanan Jazz Festival 2026 bernyanyi bersama di antara megahnya Candi Prambanan. Henry tampil sebagai headliner di hari ketiga</t>
  </si>
  <si>
    <t xml:space="preserve">https://jogja.disway.id/gaya-hidup/read/701528/surganya-dessert-viral-di-semarang-paling-hits-2026-yang-siap-memanjakan-lidah/30</t>
  </si>
  <si>
    <t xml:space="preserve">Kalsel Bikin Program Karbon Hutan dan Pasar Rimba, Ini Tujuannya - Bisnis.com</t>
  </si>
  <si>
    <t xml:space="preserve">Kreasi gelato artisan Semarang-- Kafe rooftop di daerah Candi Bagi para pelancong yang mendambakan pengalaman menikmati kudapan manis di ketinggian sambil menikmati panorama lanskap perkotaan, kafe ro</t>
  </si>
  <si>
    <t xml:space="preserve">Setelah seharian beraktivitas, rasanya butuh banget kan buat nyegarin pikiran sejenak? Nah, kalau kamu lagi di Kota Lumpia dan bingung mau ke mana, tenang aja! Ada banyak banget pilihan tempat nongkro</t>
  </si>
  <si>
    <t xml:space="preserve">7 Tempat Makan Pedas di Semarang Bisa Pilih Level Pedas Sendiri KOMPAS.COM - Semarang tak pernah kehabisan cerita soal kuliner. Kota yang dikenal sebagai kota lumpia ini bukan hanya kaya sejarah, tapi</t>
  </si>
  <si>
    <t xml:space="preserve">Sajian ayam goreng cukup populer di Semarang. Salah satu yang menjadi incaran adalah Ayam Goreng Sayangan. Kabarnya, tempat makan ini juga favorit Nex Carlos! Kalau ke Semarang, sajian ayam goreng bis</t>
  </si>
  <si>
    <t xml:space="preserve">RM Padang Sederhana Semarang-- diswayjogja.id - Semarang memiliki deretan warung Nasi Padang yang ramah di kantong namun tetap menggugah selera. Simak daftar rekomendasi makan malam murah meriah yang </t>
  </si>
  <si>
    <t xml:space="preserve">Desa Wisata Krabat (Kranggan Hebat) Pecinan resmi menjadi desa wisata ke-14 di Kota Semarang.-Dok pemkot semarang-Wahyu Sulistiyawan SEMARANG, diswayjateng.id — Kawasan Pecinan Semarang memasuki babak</t>
  </si>
  <si>
    <t xml:space="preserve">https://20.detik.com/spot-wisata/20260903-260903091/menikmati-keindahan-semarang-dengan-berkeliling-kota-dan-menjelajahi-destinasi-wisata</t>
  </si>
  <si>
    <t xml:space="preserve">Petualangan Kuliner Samarinda, Rekomendasi Tempat Seafood dan Masakan Khas Kalimantan Timur - jogja.disway.id - Disway Jogja</t>
  </si>
  <si>
    <t xml:space="preserve">Kota Semarang merupakan kota wisata yang ada di Indonesia. Banyak destinasi wisata yang dapat dikunjungi saat di Semarang. Berjalan-jalan di Semarang bisa menjadi pilihan yang seru. Dok : Celebrity on</t>
  </si>
  <si>
    <t xml:space="preserve">RRI.CO.ID, Semarang – Kota Semarang bisa menjadi pilihan destinasi yang sempurna untuk mengisi waktu liburan sekolah bersama keluarga. Pesona sejarah dan tempat rekreasi modern yang edukatif lengkap d</t>
  </si>
  <si>
    <t xml:space="preserve">&lt;b&gt;KOTA &lt;/b&gt;Semarang bisa menjadi tujuan liburan yang menyenangkan, terdapat beberapa wisata di pusat kotanya. Semarang memiliki beberapa wisata yang bisa dikunjungi bersama keluarga untuk mengisi lib</t>
  </si>
  <si>
    <t xml:space="preserve">https://halosemarang.id/konten-viral-bisa-dongkrak-pariwisata-tapi-narasi-keliru-berpotensi-merugikan/</t>
  </si>
  <si>
    <t xml:space="preserve">halosemarang.id</t>
  </si>
  <si>
    <t xml:space="preserve">Rekomendasi 10 Tempat Sarapan Enak di Samarinda, Ada Nasi Kuning hingga Bubur Ayam - Arusbawah.co</t>
  </si>
  <si>
    <t xml:space="preserve">DI era digital yang serba cepat, media sosial telah menjadi salah satu kanal paling berpengaruh dalam membentuk opini publik. Kehadiran influencer dengan jutaan pengikut mampu mengangkat popularitas s</t>
  </si>
  <si>
    <t xml:space="preserve">WAKTU MENUNJUKKAN pukul 16.30 WIB, matahari di ujung barat sudah tampak malas bersinar. Pijaran sinarnya juga sudah hampir tidak tampak karena terhalang rapatnya tubuh mangrove yang saling berhimpitan</t>
  </si>
  <si>
    <t xml:space="preserve">TRIBUNTRAVEL.COM - Soto Semarang menjadi pilihan favorit bagi wisatawan yang ingin menikmati hidangan hangat setelah berkeliling kota. Cita rasanya yang khas membuat banyak orang selalu mencari rekome</t>
  </si>
  <si>
    <t xml:space="preserve">Ini 5 Rekomendasi Wisata Religi di Semarang yang Wajib Dikunjungi-RERI ALFIAN-RERI ALFIAN Lahatpos.co - Semarang tidak hanya dikenal sebagai kota perdagangan dan kuliner, tetapi juga memiliki beragam </t>
  </si>
  <si>
    <t xml:space="preserve">https://www.teras.id/serat-id/rubrik/mendalam/antara-semarang-kota-kabupaten-satu-cerita-dan-dua-wajah-wisata-2139001</t>
  </si>
  <si>
    <t xml:space="preserve">7 Rekomendasi Warung Nasi Pecel di Samarinda, Favorit untuk Sarapan dan Makan Siang - Arusbawah.co</t>
  </si>
  <si>
    <t xml:space="preserve">BAGI ALDI Herindra Lasso, dosen Destinasi Pariwisata Universitas Kristen Satya Wacana, Semarang adalah satu cerita dengan dua wajah. Kota dan kabupaten sama-sama punya daya tarik kuat, tetapi menganda</t>
  </si>
  <si>
    <t xml:space="preserve">https://jogja.disway.id/wisata/read/700991/rekomendasi-destinasi-wisata-hits-di-semarang-dengan-promo-kemerdekaan</t>
  </si>
  <si>
    <t xml:space="preserve">Siap Mengudara di Kutim, MTMA Dapat Dukungan Bupati, Akbar: Wadah Memperkenalkan Pariwisata - Viral Kaltim</t>
  </si>
  <si>
    <t xml:space="preserve">diswayjogja.id - Menemukan destinasi liburan keluarga yang mampu menyuguhkan keindahan panorama alam dataran tinggi Jawa Tengah sekaligus fasilitas rekreasi modern berteknologi tinggi sering kali menj</t>
  </si>
  <si>
    <t xml:space="preserve">https://www.teras.id/serat-id/rubrik/berita-daerah/di-balik-lesu-darah-pariwisata-semarang-2138719</t>
  </si>
  <si>
    <t xml:space="preserve">Pulau Maratua, "Permata Tersembunyi di Ujung Kalimantan Timur" - RRI.co.id</t>
  </si>
  <si>
    <t xml:space="preserve">PARIWISATA DI Kota dan Kabupaten Semarang sejatinya memiliki banyak rupa: dari alam, sejarah, hingga destinasi wisata buatan. Namun, di balik deretan nama yang akrab di telinga, pertumbuhan pariwisata</t>
  </si>
  <si>
    <t xml:space="preserve">Selama masa libur sekolah, kawasan Kota Lama Semarang menjadi destinasi wisata primadona di mata wisatawan. Kunjungan wisatawan sudah menembus 236 ribu orang. Kota Lama Semarang jadi destinasi paling </t>
  </si>
  <si>
    <t xml:space="preserve">Grid.ID - Kronologi siswa SD tertimpa patung di Museum Ronggowarsito Semarang. Korban dinyatakan meninggal dunia. Peristiwa nahas menimpa seorang siswa SD berinisial A. Ia meninggal dunia usai tertimp</t>
  </si>
  <si>
    <t xml:space="preserve">Esposin, SEMARANG — Eks Gedung Jiwasraya di kawasan Kota Lama Semarang segera memasuki babak baru. Bangunan bersejarah bercat putih itu akan direvitalisasi menjadi Museum Fotografi Indonesia sebagai r</t>
  </si>
  <si>
    <t xml:space="preserve">Bocah SD Tertimpa Patung 40 Kg di Museum Ronggowarsito Semarang, Korban Sempat "Gandolan" SEMARANG, KOMPAS.com - Fakta baru terungkap dalam insiden kecelakaan maut yang menewaskan seorang siswa kelas </t>
  </si>
  <si>
    <t xml:space="preserve">Kronologi Anak SD Meninggal Tertimpa Patung di Museum Ronggowarsito Semarang SEMARANG, KOMPAS.com - Kasus kecelakaan tragis yang menewaskan seorang anak kelas 2 SD berinisial A akibat tertimpa patung </t>
  </si>
  <si>
    <t xml:space="preserve">MATASEMARANG.COM – Keberadaan Toko Roti Gambang di Pasar Johar Utara sempat jadi perbincangan warganet di media sosial. Toko itu disebutkan milik anak Wali Kota Semarang Agustina Wilujeng. Narasi pada</t>
  </si>
  <si>
    <t xml:space="preserve">Esposin, SEMARANG — Di tengah riuhnya media sosial, sebuah toko sederhana di sisi utara Pasar Johar, Kota Semarang , mendadak mencuri perhatian. Toko Kue Gambang yang baru beroperasi sekitar sebulan i</t>
  </si>
  <si>
    <t xml:space="preserve">TRIBUNTRAVEL.COM – Berburu roti jadul di Semarang bisa menjadi pilihan menarik bagi wisatawan yang ingin menikmati cita rasa klasik sekaligus bernostalgia dengan jajanan yang telah dikenal sejak lama.</t>
  </si>
  <si>
    <t xml:space="preserve">JATENGPOS.CO.ID, SEMARANG – Isu pembongkaran pagar di kawasan bangunan heritage Pasar Johar, Kota Semarang mencuat. Setelah berdirinya Toko Roti Gambang yang berlokasi sebelah utara kawasan pasar caga</t>
  </si>
  <si>
    <t xml:space="preserve">"Tidak hanya anak Wali Kota, semua pelaku usaha yang punya niat baik menghidupkan pasar pasti kami fasilitasi sesuai regulasi," tambahnya. Isu Pembongkaran Pagar Terkait narasi viral mengenai pembongk</t>
  </si>
  <si>
    <t xml:space="preserve">AYOSEMARANG.COM -- Isu kepemilikan Toko Kue Gambang di kawasan Pasar Johar yang viral di media sosial akhirnya mendapat klarifikasi langsung dari pihak pemilik usaha. Sebelumnya, beredar narasi yang m</t>
  </si>
  <si>
    <t xml:space="preserve">https://www.liputan6.com/regional/read/8261539/viral-karyawan-toko-roti-semarang-dipukul-dan-disiram-air-panas</t>
  </si>
  <si>
    <t xml:space="preserve">Klepon hingga Cenil, 5 Jajanan Jadul yang Kini Jadi Favorit Gen Z - IDN Times Kaltim</t>
  </si>
  <si>
    <t xml:space="preserve">Liputan6.com, Jakarta - Beredar video aksi penganiayaan terhadap seorang karyawan wanita toko roti di kawasan RSD K.R.M.T. Wongsonegoro (RSWN), Kota Semarang , Jawa Tengah. Informasi yang dihimpun, pe</t>
  </si>
  <si>
    <t xml:space="preserve">SuaraJawaTengah.id - Polemik Toko Kue Gambang di kawasan Pasar Johar , Semarang , menjadi sorotan publik dalam beberapa hari terakhir. Isu yang beredar di media sosial tidak hanya menyangkut dugaan ke</t>
  </si>
  <si>
    <t xml:space="preserve">Belum punya akun? Daftar Akun Download TribunX untuk Android &amp; iOS TRIBUNJATIM.COM - Di media sosial tengah ramai polemik dugaan rencana penjebolan tembok di kawasan Pasar Johar Utara . Masalah ini me</t>
  </si>
  <si>
    <t xml:space="preserve">Belum punya akun? Daftar Akun Download TribunX untuk Android &amp; iOS TRIBUNBANYUMAS.COM, SEMARANG – Gelombang polemik yang menerpa Toko Kue Gambang di kawasan cagar budaya Pasar Johar justru memicu feno</t>
  </si>
  <si>
    <t xml:space="preserve">AYOSEMARANG.COM -- Isu pemanfaatan bangunan untuk usaha Toko Kue Gambang di kawasan Pasar Johar viral di media sosial dan memicu beragam spekulasi publik. Sejumlah narasi yang beredar menyebut adanya </t>
  </si>
  <si>
    <t xml:space="preserve">Esposin, SEMARANG — Kehadiran Toko Kue Gambang di sisi utara Pasar Johar , Kota Semarang, memicu polemik di media sosial setelah muncul isu penjebolan tembok pagar untuk mempermudah akses masuk ke tok</t>
  </si>
  <si>
    <t xml:space="preserve">https://mojok.co/terminal/tentrem-mall-semarang-mewah-tapi-ramah-semua-kalangan/</t>
  </si>
  <si>
    <t xml:space="preserve">Lima Hari Berlangsung, PPF 2026 Sedot 23 Ribu Pengunjung - Kaltim Kece</t>
  </si>
  <si>
    <t xml:space="preserve">Kaltim Kece</t>
  </si>
  <si>
    <t xml:space="preserve">Tentrem Mall Semarang saya rasa lebih cocok disebut sebagai ruang tamu hotel daripada pusat perbelanjaan. Di tempat lain, pusat perbelanjaan sama artinya dengan tempat buang-buang. Mulai dari berburu </t>
  </si>
  <si>
    <t xml:space="preserve">Diserbu Wisatawan, Ketan Susu Viral Hidupkan Nostalgia Pasar Johar Semarang SEMARANG, KOMPAS.com – Sepiring ketan putih hangat disiram susu kental manis lalu ditaburi keju dan cokelat siap disantap pe</t>
  </si>
  <si>
    <t xml:space="preserve">https://www.suaramerdeka.com/semarang-raya/0417254052/new-pasar-maling-dibuka-wajah-baru-pasar-johar-semarang-yang-kini-jadi-pusat-kreatif</t>
  </si>
  <si>
    <t xml:space="preserve">Go Market Hadirkan Sensasi Kuliner Viral dari Jakarta di Sintang - RRI.co.id</t>
  </si>
  <si>
    <t xml:space="preserve">SEMARANG , suaramerdeka.com - Pasar Maling legendaris di Semarang kini bertransformasi! Wali Kota Agustina Wilujeng resmi menghadirkan New PM untuk mengembalikan kejayaan Pasar Johar sebagai pusat per</t>
  </si>
  <si>
    <t xml:space="preserve">Pasar Johar Semarang kini tak hanya menjadi pusat perdagangan, tetapi juga menjadi sebagai destinasi wisata kuliner yang ramai dikunjungi muda-mudi dan wisatawan. Beragam makanan tradisional hingga ke</t>
  </si>
  <si>
    <t xml:space="preserve">GridOto.com - Sedang viral di media sosial aksi juru parkir patok tarif seenaknya sendiri hingga berakhir dipecat. Aksi ini dilakukan jukir di kawasan Pasar Johar, Kota Semarang. Video aksi jukir ters</t>
  </si>
  <si>
    <t xml:space="preserve">https://www.jatengnews.id/2026/05/23/ketan-susu-tansurri-viral-di-semarang-jajanan-tradisional-naik-kelas-berkat-sentuhan-modern/</t>
  </si>
  <si>
    <t xml:space="preserve">www.jatengnews.id</t>
  </si>
  <si>
    <t xml:space="preserve">Ajak Generasi Muda Lestarikan Budaya via Teknologi, Erau Adat Kutai Masuk 100 Event Terbaik Nasional - indonesiaonline.co.id</t>
  </si>
  <si>
    <t xml:space="preserve">Jadwal KRL Solo-Jogja Selasa  29 September 2026, Normal Tarif Rp8.000 Ada Jadwal Pemadaman Listrik 3 Hari di Salatiga, Cek Jadwal dan Wilayah Terdampak Warga Semarang, Catat! Ada Pemadaman Listrik 6 J</t>
  </si>
  <si>
    <t xml:space="preserve">https://rri.co.id/semarang/regional/2499218/namanya-viral-di-medsos-kepala-disdag-kota-semarang-angkat-bicara</t>
  </si>
  <si>
    <t xml:space="preserve">Maratua Run 5K dan 10 K di Januari 2025 Target 400 Pelari Hingga Mancanegara - ayokaltim.com</t>
  </si>
  <si>
    <t xml:space="preserve">RRI.CO.ID, Semarang - Kepala Dinas Perdagangan (Disdag) Kota Semarang, Aniceto Magno Da Silva angkat bicara soal dugaan pengancaman pembunuhan terhadap salah satu pengusaha karaoke Sumardiono Edy yang</t>
  </si>
  <si>
    <t xml:space="preserve">https://lingkartv.com/kepala-dinas-perdagangan-kota-semarang-dilaporkan/</t>
  </si>
  <si>
    <t xml:space="preserve">lingkartv.com</t>
  </si>
  <si>
    <t xml:space="preserve">KADIN Kaltim Siapkan Program Besar, Fokus Cetak SDM Unggul dan Perkuat UMKM - Kaltim Faktual</t>
  </si>
  <si>
    <t xml:space="preserve">Kaltim Faktual</t>
  </si>
  <si>
    <t xml:space="preserve">SEMARANG, LINGKAR TV — Kepala Dinas Perdagangan Kota Semarang, Anicetho Magno Da Silva, akhirnya buka suara terkait tuduhan pengancaman terhadap seorang pedagang Pasar Dargo yang kini telah dilaporkan</t>
  </si>
  <si>
    <t xml:space="preserve">https://indoraya.news/viral-di-medsos-disdag-semarang-beberkan-kronologi-pertemuan-dengan-pengusaha-karaoke-dargo</t>
  </si>
  <si>
    <t xml:space="preserve">indoraya.news</t>
  </si>
  <si>
    <t xml:space="preserve">Libatkan 1.000 Pelaku UMKM, BRI Balikpapan Sudirman Dukung Festival Kemudahan dan Perlindungan Usaha Mikro - Rilis Kalimantan</t>
  </si>
  <si>
    <t xml:space="preserve">Rilis Kalimantan</t>
  </si>
  <si>
    <t xml:space="preserve">INDORAYA – Dinas Perdagangan (Disdag) Kota Semarang membeberkan kronologi pertemuan dengan pengusaha karaoke di Pasar Dargo, Sumardiono Edy, yang belakangan menjadi sorotan di media sosial. Pertemuan </t>
  </si>
  <si>
    <t xml:space="preserve">https://regional.kompas.com/read/2026/08/28/161610078/viral-jpo-lapuk-di-srondol-dan-pasar-bulu-dprd-semarang-pemkot-jangan</t>
  </si>
  <si>
    <t xml:space="preserve">Viral JPO Lapuk di Srondol dan Pasar Bulu, DPRD Semarang: Pemkot Jangan Tunggu Korban! SEMARANG, KOMPAS.com - Kondisi sejumlah Jembatan Penyeberangan Orang (JPO) di Kota Semarang, Jawa Tengah, yang ru</t>
  </si>
  <si>
    <t xml:space="preserve">https://regional.kompas.com/image/2026/08/28/161610078/viral-jpo-lapuk-di-srondol-dan-pasar-bulu-dprd-semarang-pemkot-jangan</t>
  </si>
  <si>
    <t xml:space="preserve">Gubernur Kaltara Diskusi Santai dengan Mahasiswa di Tarakan, Bahas Beasiswa hingga Sekretariat BEM - jurnalborneo.com</t>
  </si>
  <si>
    <t xml:space="preserve">https://regional.kompas.com/read/2026/06/17/200505178/viral-di-medsos-soal-dugaan-ancaman-bunuh-pedagang-kadis-perdagangan?page=all</t>
  </si>
  <si>
    <t xml:space="preserve">Pria Malaysia Dibuat Kaget saat Makan Tauge Lebih Mahal dari Lauk - detikcom</t>
  </si>
  <si>
    <t xml:space="preserve">Viral di Medsos soal Dugaan Ancaman Bunuh Pedagang, Kadis Perdagangan Semarang Buka Suara SEMARANG, KOMPAS.com – Kepala Dinas Perdagangan (Disdag) Kota Semarang, Aniceto Magno Da Silva, buka suara ter</t>
  </si>
  <si>
    <t xml:space="preserve">Festival Kota Lama Semarang 2026 digelar 4–20 September dengan tema Unity in Diversity. Simak jadwal, kuliner nostalgia, jazz, seni, budaya hingga 1.000 Angklung Berkebaya.-dok. Pemkot Semarang-Wahyu </t>
  </si>
  <si>
    <t xml:space="preserve">Akhir Pekan Ini, Festival Bunga Bandungan 2026 Digelar di Semarang UNGARAN, KOMPAS.com - Festival Bunga Bandungan (FBB) 2026 akan digelar di Kabupaten Semarang, Jawa Tengah, pada akhir pekan ini dari </t>
  </si>
  <si>
    <t xml:space="preserve">AYOSEMARANG.COM – Memasuki bulan Agustus 2026 , Kota Semarang siap menyambut warga lokal maupun wisatawan dengan beragam pilihan acara menarik. Mulai dari festival kuliner lezat, ajang olahraga (sport</t>
  </si>
  <si>
    <t xml:space="preserve">oleh Ulya Nurul Makiyah 6 Agustus 2026 Kota Semarang kembali menghadirkan beragam agenda menarik sepanjang Agustus 2026. Mulai dari festival kuliner, pagelaran seni budaya, konser musik, hingga berbag</t>
  </si>
  <si>
    <t xml:space="preserve">Makassar (ANTARA) - Konro adalah makanan khas dan terkenal di Kota Makassar yang merupakan sajian potongan iga sapi yang dibakar atau direbus sesuai selera. Berikut adalah beberapa rekomendasi sop kon</t>
  </si>
  <si>
    <t xml:space="preserve">jatimnow.com - Bagi pencinta kuliner Makassar di Surabaya, menemukan rasa autentik bukan hal mudah. Namun, di sebuah sudut kota, Daeng Banna hadir sebagai pilihan tempat makan enak di Surabaya yang me</t>
  </si>
  <si>
    <t xml:space="preserve">Ayam Goreng Kamari di Jalan Dharma Husada Surabaya viral di media sosial berkat ayam goreng ketumbar dengan kremesan rahasia dan ayam kukus berkuah kaldu gurih khas perpaduan Makassar dan Chinese food</t>
  </si>
  <si>
    <t xml:space="preserve">This browser does not support the video element. ANTARA - Peringatan Hari Pariwisata Dunia atau World Tourism Day 2026 menjadi momentum bagi Pemerintah Kota Makassar memperkuat pengembangan Pulau Lanj</t>
  </si>
  <si>
    <t xml:space="preserve">https://lutimterkini.com/lulusan-poltekpar-makassar-didorong-jadi-penggerak-utama-sektor-wisata/</t>
  </si>
  <si>
    <t xml:space="preserve">Cerita Haru Peserta Seleksi Magang Jepang 2026 di Jateng, Demi Sekolah Adik dan Ubah Nasib - mondes.co.id</t>
  </si>
  <si>
    <t xml:space="preserve">mondes.co.id</t>
  </si>
  <si>
    <t xml:space="preserve">&lt;p&gt;Lutimterkini- Makassar — Politeknik Pariwisata (Poltekpar) Makassar menggelar prosesi wisuda tahun 2026 di Lapangan Rektorat Poltekpar Makassar, Jalan Gunung Rinjani, pada Sabtu (19/9/2026). Sebany</t>
  </si>
  <si>
    <t xml:space="preserve">© Hak Cipta 2026 mediata.id Suasana di pulau saat senja MEDIATA.ID – Akhir pekan menjadi waktu yang tepat untuk melepas penat bersama keluarga maupun sahabat. Kota Makassar dan sekitarnya menawarkan b</t>
  </si>
  <si>
    <t xml:space="preserve">https://www.mediasulsel.com/makassar-bidik-posisi-gerbang-wisata-indonesia-timur-rakernas-asita-2026-jadi-panggung-besar-pariwisata-nasional/</t>
  </si>
  <si>
    <t xml:space="preserve">www.mediasulsel.com</t>
  </si>
  <si>
    <t xml:space="preserve">Viral Foto Kajati Sulut-Tonsu Pasca Penetapan Tersangka Bupati Sitaro, Ini Kata Asintel - | Barta1.com</t>
  </si>
  <si>
    <t xml:space="preserve">| Barta1.com</t>
  </si>
  <si>
    <t xml:space="preserve">MAKASSAR —Kota Makassar kembali menunjukkan ambisinya menjadi pusat pariwisata dan industri perjalanan di kawasan timur Indonesia. Hal itu terlihat saat ratusan pelaku industri wisata dari seluruh Ind</t>
  </si>
  <si>
    <t xml:space="preserve">SuaraSulsel.id - Gagasan menjadikan Kelurahan Lakkang Kota Makassar sebagai kawasan ekowisata mangrove terpadu terus mendapat dukungan dari berbagai pihak. Tidak hanya mengandalkan potensi alam, penge</t>
  </si>
  <si>
    <t xml:space="preserve">Selebriti bertemu dengan orang-orang yang camping di Pulau Kodingare Keke. Mereka bernyanyi bersama di sini. Sangat seru liburan mereka di pulau ini. Dok : Celebrity on Vacation Trans TV (Diki)</t>
  </si>
  <si>
    <t xml:space="preserve">https://rri.co.id/makassar/regional/2592810/dispar-makassar-dorong-kolaborasi-bangun-citra-pariwisata-di-ruang-digital</t>
  </si>
  <si>
    <t xml:space="preserve">5 Rekomendasi Tempat Makan Rahang Tuna Enak di Bandung, Kuliner Seafood 2026 - Liputan6.com</t>
  </si>
  <si>
    <t xml:space="preserve">RRI.CO.ID, Makassar - Perkembangan sektor pariwisata di suatu daerah sangat dipengaruhi oleh penguatan citra destinasi wisata di ruang digital. Oleh karena itu, penguatan citra tersebut memerlukan duk</t>
  </si>
  <si>
    <t xml:space="preserve">Setelah puas berjoget bersama warga lokal Pulau Liukang Loe, Selebriti melanjutkan perjalanan menuju Kota Makassar. Selebriti berkunjung ke penginapan nyaman yang ada di tengah kota Makassar. Dok : Ce</t>
  </si>
  <si>
    <t xml:space="preserve">Tanggal merah hadir lagi! Saatnya reward diri sendiri dengan liburan seru dan berbeda dari biasanya. Untuk kamu yang di Makassar, Trans Snow World Makassar hadir dengan Promo Amayzing Deals yang bikin</t>
  </si>
  <si>
    <t xml:space="preserve">https://tv.sinpo.id/detail/viral-pelaku-eksebisionis-anak-ditangkap-di-makassar</t>
  </si>
  <si>
    <t xml:space="preserve">Momen Kocak Pria Tertidur di Etalase Museum Bikin Gubernur Sulut Kaget - detikNews</t>
  </si>
  <si>
    <t xml:space="preserve">SinPo.tv - Pelaku ekshibisionis terhadap dua anak perempuan di bawah umur di Kota Makassar, Sulawesi Selatan, ditangkap petugas kepolisian setelah aksinya viral di media sosial. Petugas juga mengamank</t>
  </si>
  <si>
    <t xml:space="preserve">Belum punya akun? Daftar Akun Download TribunX untuk Android &amp; iOS TRIBUN-TIMUR.COM, MAKASSAR - Pemerintah Kota Makassar menyambut baik surat edaran Kementerian Dalam Negeri (Kemendagri) tentang dukun</t>
  </si>
  <si>
    <t xml:space="preserve">https://rri.co.id/makassar/hukum/kriminalitas/2343566/viral-remaja-masuk-warung-amankan-diri-dari-kejaran-geng-motor</t>
  </si>
  <si>
    <t xml:space="preserve">Dahsyatnya Guncangan Gempa di Manado, Bikin Pria Paruh Baya Ini Ngacir dari Kamar Mandi Meski Badan Penuh Sabun - Edisi - edisi.co.id</t>
  </si>
  <si>
    <t xml:space="preserve">RRI.CO.ID, Makassar - Keburutalan komplotan geng motor di Kota Makasar menyerang warga, kembali terjadi di jalan Pongtiku Kecamatan Bontoala dini hari. Sekelompok pemuda yang diduga geng motor terekam</t>
  </si>
  <si>
    <t xml:space="preserve">RRI.CO.ID, Makassar - Komisi B bersama Komisi A DPRD Kota Makassar melakukan inspeksi mendadak (sidak) di gudang Toko Sumber Plastik di Jalan Masjid Raya, Rabu, 29 April 2026. Sidak ini merupakan tind</t>
  </si>
  <si>
    <t xml:space="preserve">https://batarapos.com/lama-menghilang-gegara-ambulans-erwin-r-sandi-muncul-di-toko-elektronik-makassar/</t>
  </si>
  <si>
    <t xml:space="preserve">batarapos.com</t>
  </si>
  <si>
    <t xml:space="preserve">Sejarah Kekristenan Minahasa di Museum Sulut, Ada Mimbar Schwarz dan Batu Tulis Misionaris Belanda - Tribunmanado.co.id</t>
  </si>
  <si>
    <t xml:space="preserve">Makassar, batarapos.com – Erwin R Sandi hilang kontak sejak Maret 2026 lalu setelah menerima dana pengadaan 24 unit ambulans CSR PT Vale untuk Desa pemberdayaan. Erwin R Sandi akhirnya muncul ditengah</t>
  </si>
  <si>
    <t xml:space="preserve">https://sulsel.idntimes.com/news/sulawesi-selatan/teror-busur-panah-di-makassar-pria-diburu-hingga-masuk-toko-00-7vxkm-q9yx7n</t>
  </si>
  <si>
    <t xml:space="preserve">Viral Mobil Antre Solar di SPBU Manado Dikempesi Petugas Dishub-Satpol PP - detikcom</t>
  </si>
  <si>
    <t xml:space="preserve">Makassar, IDN Times - Aksi brutal sekelompok pemuda bersenjata tajam yang memburu seorang pria hingga masuk ke dalam toko kelontong di Jalan Pongtiku, Kecamatan Bontoala, Kota Makassar, viral di media</t>
  </si>
  <si>
    <t xml:space="preserve">https://makassar.kompas.com/read/2026/08/16/163000078/viral-prabowo-sebut-upah-kupas-bawang-rp-700.000-pedagang-di-makassar--saya?page=all</t>
  </si>
  <si>
    <t xml:space="preserve">Semen Tonasa Temui Pemilik Toko di Maluku Utara-Sulut, Kelangkaan Jadi Perhatian - Tribun-timur.com</t>
  </si>
  <si>
    <t xml:space="preserve">Tribun-timur.com</t>
  </si>
  <si>
    <t xml:space="preserve">Viral Prabowo Sebut Upah Kupas Bawang Rp 700.000, Pedagang di Makassar: Saya Juga Mau MAKASSAR, KOMPAS.com - Pernyataan Presiden Prabowo Subianto soal upah buruh pengupas bawang Rp 700.000 per kilogra</t>
  </si>
  <si>
    <t xml:space="preserve">https://www.detik.com/sulsel/makassar/d-8473921/gaya-songong-jukir-di-makassar-saat-atribut-ditarik-gegara-patok-rp-20-ribu</t>
  </si>
  <si>
    <t xml:space="preserve">Hari Jadi Sulut! Twibbon dan 3 Ucapan HUT Provinsi Sulawesi Utara ke-62 Tahun 2026 Berdesain Paling Bagus - Jatim Network - Jatim Network</t>
  </si>
  <si>
    <t xml:space="preserve">Juru parkir (jukir) Perumda (PD) Parkir Makassar Raya bernama Herman viral di media sosial usai mematok tarif parkir mobil Rp 20 ribu di Makassar, Sulawesi Selatan (Sulsel). Herman yang ditindaki deng</t>
  </si>
  <si>
    <t xml:space="preserve">https://www.detik.com/sulsel/makassar/d-8472484/jukir-di-makassar-patok-tarif-mobil-rp-20-ribu-gegara-durasi-parkir-lama</t>
  </si>
  <si>
    <t xml:space="preserve">Polda Riau Ungkap Jaringan PETI Rp1,5 Miliar, Pemodal dan Pemilik Toko Emas Ditangkap - Media Indonesia</t>
  </si>
  <si>
    <t xml:space="preserve">Pria bernama Herman yang bertindak sebagai juru parkir (jukir) mematok tarif parkir Rp 20 ribu kepada pengendara mobil di Makassar , Sulawesi Selatan (Sulsel). Jukir resmi Perumda (PD) Parkir Makassar</t>
  </si>
  <si>
    <t xml:space="preserve">Terkini, Makassar — Phinisi Point Mall (PIPO) Makassar kembali menghadirkan agenda kuliner berskala besar melalui Festival Warisan Rasa Asia . Bekerja sama dengan Jangkrik Kuliner , festival ini akan </t>
  </si>
  <si>
    <t xml:space="preserve">https://sumsel.akurat.co/kuliner/846439/5-rekomendasi-restoran-vegetarian-di-palembang</t>
  </si>
  <si>
    <t xml:space="preserve">Penjaga Tenant di Mantos Panik Lihat Pria Diduga Bawa Sajam, Langsung Tinggalkan Toko - Tribunmanado.co.id</t>
  </si>
  <si>
    <t xml:space="preserve">AKURAT.CO SUMSEL Minat masyarakat terhadap gaya hidup sehat terus meningkat, termasuk dalam memilih konsumsi makanan sehari-hari. Di Palembang, tren kuliner vegetarian kini semakin berkembang dengan h</t>
  </si>
  <si>
    <t xml:space="preserve">RRI.CO.ID, Palembang - Bakso Bioskop Lamo di kawasan Kertapati, Palembang, kembali dipadati pengunjung setelah viral di media sosial. Ramainya ulasan pelanggan mendorong peningkatan kunjungan, terutam</t>
  </si>
  <si>
    <t xml:space="preserve">JAKARTA - Ternyata ini sosok pemilik rumah makan Padang terkenal Pagi Sore , viral diboikot turis Malaysia. Hal tersebut bermula dari unggahan seorang turis Malaysia yang rombongannya dituduh belum me</t>
  </si>
  <si>
    <t xml:space="preserve">Rekomendasi 5 Tempat Wisata Palembang yang Cocok Dikunjungi Saat Cuaca Cerah--Doc Sumeks.co SUMEKS.CO,- Akhir pekan, menjadi waktu yang tepat untuk melepas penat setelah menjalani rutinitas sehari-har</t>
  </si>
  <si>
    <t xml:space="preserve">RRI.CO.ID, Palembang - Belakangan ini, tren “London Bridge Palembang” ramai diperbincangkan di media sosial dengan menampilkan Jembatan Ampera sebagai latar konten. Tren tersebut banyak diikuti anak m</t>
  </si>
  <si>
    <t xml:space="preserve">AKURAT.CO SUMSEL Momen libur sekolah menjadi waktu yang tepat bagi keluarga untuk menghabiskan waktu bersama sekaligus mengenalkan anak-anak pada wisata sejarah, budaya, dan alam. Bagi yang masih menc</t>
  </si>
  <si>
    <t xml:space="preserve">https://sumselsatu.com/kembangkan-ekonomi-kerakyatan-pemko-palembang-jadikan-kampung-wisata-ikon-baru-daerah/</t>
  </si>
  <si>
    <t xml:space="preserve">Kapolda Sebut Pebalap Drag Race Kotamobagu Berpotensi Jadi Tersangka, 8 Orang Tewas - Kompas.com</t>
  </si>
  <si>
    <t xml:space="preserve">Palembang, SumselSatu.com Pemerintah Kota (Pemko) Palembang berkomitmen menjadikan kampung wisata sebagai penggerak ekonomi masyarakat sekaligus destinasi baru yang mampu menarik kunjungan wisatawan. </t>
  </si>
  <si>
    <t xml:space="preserve">Sumatera Selatan memiliki beragam destinasi wisata alam yang menarik untuk dijelajahi. Mulai dari tempat yang bisa dijangkau dalam hitungan menit hingga lokasi eksotis yang membutuhkan perjalanan berj</t>
  </si>
  <si>
    <t xml:space="preserve">Benteng Kuto Besak dan Ampera Walk-- diswayjogja.id - Kota Palembang yang terbelah anggun oleh aliran Sungai Musi di Sumatera Selatan senantiasa memegang peranan istimewa sebagai salah satu pusat pera</t>
  </si>
  <si>
    <t xml:space="preserve">https://jogja.disway.id/wisata/read/698493/ikon-kebanggaan-dan-keajaiban-arsitektur-tempat-wisata-di-palembang</t>
  </si>
  <si>
    <t xml:space="preserve">Polisi Selidiki Penyebab Kebakaran Rumah Makan Saung Telaga - RRI.co.id</t>
  </si>
  <si>
    <t xml:space="preserve">diswayjogja.id – Kota Palembang tidak hanya sekadar titik temu administratif di Sumatera Selatan, melainkan sebuah kanvas besar yang menyimpan rekaman sejarah panjang peradaban nusantara. Dikenal seba</t>
  </si>
  <si>
    <t xml:space="preserve">RRI.CO.ID, Palembang - Kawasan Kambang Iwak Palembang di jalan Tasik kawasan Talang Semut, di kecamatan Bukit Kecil, Palembang dipadati pengunjung selama masa libur sekolah. Kehadiran berbagai wahana </t>
  </si>
  <si>
    <t xml:space="preserve">https://20.detik.com/spot-wisata/20260707-260707100/mengunjungi-tempat-wisata-dan-destinasi-favorit-di-palembang-bersama-artis</t>
  </si>
  <si>
    <t xml:space="preserve">Tiga Destinasi Wisata Gorontalo Sambut Penas Petani Nelayan 2026 - Partai NasDem</t>
  </si>
  <si>
    <t xml:space="preserve">Partai NasDem</t>
  </si>
  <si>
    <t xml:space="preserve">Kali ini para artis sedang ada di kawasan wisata di Palembang. Di tempat ini ada banyak permainan dan hewan. Tempat ini juga selalu menjadi destinasi liburan Dok : Celebrity on Vacation Trans TV (Ade)</t>
  </si>
  <si>
    <t xml:space="preserve">RRI.CO.ID, Palembang - Kisah Baru Cabin menjadi destinasi kuliner baru di Jakabaring Sport City, Palembang. Kafe tersebut mulai beroperasi sejak April 2026 dengan konsep rumah kabin. Kafe mengusung de</t>
  </si>
  <si>
    <t xml:space="preserve">https://rri.co.id/palembang/hiburan/2505271/lagu-palembang-cindo-dirilis-ulang-targetkan-viral-di-cfn-cfd</t>
  </si>
  <si>
    <t xml:space="preserve">Surga Tersembunyi Wisata Gorontalo Sulawesi Jadi Destinasi yang Memikat Hati - jogja.disway.id - Disway Jogja</t>
  </si>
  <si>
    <t xml:space="preserve">RRI.CO.ID, Palembang - Lagu daerah "Palembang Cindo" kembali hadir dalam kemasan baru. Untuk ketiga kalinya direkam ulang, lagu ciptaan musisi Palembang Andie Pedoo ini tampil lebih segar dengan sentu</t>
  </si>
  <si>
    <t xml:space="preserve">Empat ikon bersejarah Kota Palembang resmi ditetapkan sebagai Cagar Budaya Peringkat Nasional oleh Kementerian Kebudayaan Republik Indonesia. Penetapan tersebut menjadi langkah penting dalam upaya pel</t>
  </si>
  <si>
    <t xml:space="preserve">AKURAT.CO SUMSEL Pelataran Museum Sultan Mahmud Badaruddin (SMB) II Palembang berubah menjadi panggung kolosal yang memukau pada Rabu (29/4/2026) malam. Ribuan penari dari berbagai penjuru berkumpul u</t>
  </si>
  <si>
    <t xml:space="preserve">https://www.jpnn.com/news/terekam-cctv-bule-diduga-gasak-kosmetik-senilai-rp-15-juta-di-palembang</t>
  </si>
  <si>
    <t xml:space="preserve">Siswa Gorontalo Antusias Pelajari Tari Klasik di Museum - Headline.co.id</t>
  </si>
  <si>
    <t xml:space="preserve">jpnn.com , PALEMBANG - Aksi yang dilakukan seorang warga negara asing (WNA) alias bule bersama dua rekannya mencuri sejumlah produk kosmetik di sebuah toko di kawasan Plaju, Palembang , viral di media</t>
  </si>
  <si>
    <t xml:space="preserve">https://sumsel.akurat.co/ekonomi/849803/harga-emas-perhiasan-palembang-naik-rp200-ribu-usai-merosot-tajam-kemarin</t>
  </si>
  <si>
    <t xml:space="preserve">Oknum Polisi Pohuwato Pamer Duit Miliaran Sebut Hasil Transaksi Emas, Kini Ditangani Propam - Gorontalopost.co.id</t>
  </si>
  <si>
    <t xml:space="preserve">Gorontalopost.co.id</t>
  </si>
  <si>
    <t xml:space="preserve">AKURAT. CO SUMSEL - Harga emas perhiasan Palembang di sejumlah toko terpantau kembali mengalami kenaikan hari ini usai anjlok pada hari sebelumnya, Jumat (17/4/2026). Kenaikan harga mencapai Rp200 rib</t>
  </si>
  <si>
    <t xml:space="preserve">https://sumsel.akurat.co/viral/869524/viral-detik-detik-bule-di-palembang-terekam-cctv-curi-kosmetik</t>
  </si>
  <si>
    <t xml:space="preserve">Viral Video Meteor Jatuh di Gorontalo, Asli Atau AI? Timbulkan Dentuman Misterius di Langit - POSKOTA.CO.ID</t>
  </si>
  <si>
    <t xml:space="preserve">POSKOTA.CO.ID</t>
  </si>
  <si>
    <t xml:space="preserve">AKURAT.CO SUMSEL Rekaman CCTV yang memperlihatkan dugaan aksi pencurian di sebuah toko kosmetik di Jalan DI Panjaitan Nomor 8, Kelurahan Bagus Kuning, Kecamatan Plaju, Palembang, viral di media sosial</t>
  </si>
  <si>
    <t xml:space="preserve">https://www.rmolsumsel.id/duel-sajam-dua-pemuda-di-samping-kampus-iba-palembang-viral-pengendara-ketakutan-melintas</t>
  </si>
  <si>
    <t xml:space="preserve">Realisasi Serapan APBN Triwulan II Provinsi Gorontalo Capai 51,05 persen - Teras Gorontalo - Teras Gorontalo</t>
  </si>
  <si>
    <t xml:space="preserve">Teras Gorontalo</t>
  </si>
  <si>
    <t xml:space="preserve">Aksi duel dua pemuda menggunakan senjata tajam (sajam) menggegerkan warga di Jalan Perwari, Kelurahan 9 Ilir, Kecamatan Ilir Timur II, Palembang, tepatnya di samping Universitas IBA Palembang. Peristi</t>
  </si>
  <si>
    <t xml:space="preserve">https://sumsel.tribunnews.com/palembang/1028735/aksi-perempuan-ngutil-kosmetik-di-palembang-viral-5-barang-dibawa-kabur-pihak-toko-lapor-polisi</t>
  </si>
  <si>
    <t xml:space="preserve">Pemkab Bone Bolango Gorontalo Klarifikasi Isu Pengadaan Gorden di Rumah Dinas - Tribun Gorontalo</t>
  </si>
  <si>
    <t xml:space="preserve">Belum punya akun? Daftar Akun Download TribunX untuk Android &amp; iOS TRIBUNSUMSEL.COM, PALEMBANG -- Aksi perempuan yang mengutil sejumlah barang di sebuah toko kosmetik Jalan Lingkaran 1, Kelurahan 15 I</t>
  </si>
  <si>
    <t xml:space="preserve">Belum punya akun? Daftar Akun Download TribunX untuk Android &amp; iOS SRIPOKU.COM, PALEMBANG – Akun TikTok @libur_jalan memposting video yang memperlihatkan kondisi terkini Pasaraya Bandung di kawasan 16</t>
  </si>
  <si>
    <t xml:space="preserve">https://sumsel.tribunnews.com/palembang/1025990/beli-emas-diduga-palsu-senilai-rp-271-juta-karyawan-bumn-di-palembang-laporkan-toko-emas-ke-polisi</t>
  </si>
  <si>
    <t xml:space="preserve">Harga Cabai Rawit di Sejumlah Daerah, Gorontalo Utara Tembus Rp200 Ribu per Kg - Aktualita.co</t>
  </si>
  <si>
    <t xml:space="preserve">Belum punya akun? Daftar Akun Download TribunX untuk Android &amp; iOS TRIBUNSUMSEL.COM, PALEMBANG — Seorang karyawan BUMN bernama Maulana Yunus (27), warga Jalan Taqwa, Kecamatan Kalidoni, Palembang , me</t>
  </si>
  <si>
    <t xml:space="preserve">https://paltv.disway.id/metropolis/read/48607/viral-matahari-angkat-kaki-dari-ip-mall-ini-pemicunya</t>
  </si>
  <si>
    <t xml:space="preserve">paltv.disway.id</t>
  </si>
  <si>
    <t xml:space="preserve">UMKM Gorontalo Didorong Perkuat Branding dan Digitalisasi - RRI.co.id</t>
  </si>
  <si>
    <t xml:space="preserve">Rencana penutupan gerai Matahari di IP Mall Palembang.--Foto : Ekky - PALTV PALEMBANG , PALTV.CO.ID - Gerai retail yang berada di Internasional plaza (IP) mall PALEMBANG memberikan diskon besar besara</t>
  </si>
  <si>
    <t xml:space="preserve">Palembang, SumselSatu.com Gerai legendaris Matahari Department Store di Internasional Plaza (IP Mall) akan tutup secara resmi pada 27 April 2026. Penutupan Gerai Matahari IP bukan sekadar urusan bisni</t>
  </si>
  <si>
    <t xml:space="preserve">https://ketik.com/palembang/hukum-kriminal/modus-belanja-cantik-berujung-pidana-member-toko-emas-di-palembang-jadi-terdakwa</t>
  </si>
  <si>
    <t xml:space="preserve">DPRD Gorontalo Utara Tindak Lanjuti Aduan Lahan Kampung Nelayan, Program Pemerintah Tetap Berjalan - Hulondalo - Hulondalo</t>
  </si>
  <si>
    <t xml:space="preserve">16 April 2026 20:19 16 Apr 2026 20:19 Pengambilan sumpah terhadap saksi dalam sidang perkara dugaan pencurian perhiasan dengan terdakwa Iga Delia di Pengadilan Negeri Palembang, Kamis 16 April 2026. (</t>
  </si>
  <si>
    <t xml:space="preserve">https://sumselsatu.com/butuh-uang-kuliah-mahasiswi-s2-curi-1-kg-perhiasan/</t>
  </si>
  <si>
    <t xml:space="preserve">Diwa Foundation Hadir di Gorontalo, Penuhi Undangan Bank Indonesia untuk Ramaikan Event HARFEST 2026 - newsreal.id</t>
  </si>
  <si>
    <t xml:space="preserve">Palembang, SumselSatu.com Terdakwa Iga Delia Mawargi diperiksa Majelis Hakim Pengadilan Negeri (PN) Palembang. Ia mengakui telah mencuri perhiasan perak berlapis emas di Toko Golden King’s Palembang d</t>
  </si>
  <si>
    <t xml:space="preserve">https://sumsel.akurat.co/ekonomi/864397/harga-emas-perhiasan-palembang-kian-merosot-termurah-hanya-rp14-1-juta-per-suku</t>
  </si>
  <si>
    <t xml:space="preserve">Cegah Risiko, Wagub Gorontalo Minta Makanan MBG Tidak Dibawa Pulang - Pemerintah Provinsi Gorontalo</t>
  </si>
  <si>
    <t xml:space="preserve">AKURAT. CO SUMSEL - Harga emas perhiasan Palembang kembali mengalami penurunan hari ini. Penurunan berkisar Rp100 ribu, menjadikan harga termurah turun ke level terbawah di angka Rp14,1 juta per suku.</t>
  </si>
  <si>
    <t xml:space="preserve">https://www.jawapos.com/travelling/2605160147/11-daftar-mall-di-palembang-yang-paling-populer-untuk-belanja-dan-nongkrong-lengkap-dengan-alamat-serta-jam-operasional?page=all</t>
  </si>
  <si>
    <t xml:space="preserve">www.jawapos.com</t>
  </si>
  <si>
    <t xml:space="preserve">Lapas Gorontalo Mempererat Silaturahim WBP lewat Festival Walima - Koran Jakarta ®</t>
  </si>
  <si>
    <t xml:space="preserve">Koran Jakarta ®</t>
  </si>
  <si>
    <t xml:space="preserve">Ilustrasi Mall di Palembang (Google Maps) JawaPos.com - Kota Palembang memiliki banyak pusat perbelanjaan modern yang menjadi favorit warga untuk belanja, kulineran, hingga mencari hiburan bersama kel</t>
  </si>
  <si>
    <t xml:space="preserve">https://www.ayopalembang.com/sumsel-raya/3616997907/berikut-5-rekomendasi-toko-parfum-di-palembang-cek-juga-7-varian-parfum-yang-disukai-saat-ini</t>
  </si>
  <si>
    <t xml:space="preserve">www.ayopalembang.com</t>
  </si>
  <si>
    <t xml:space="preserve">Prof Reda Dorong ABPEDNAS Jadi Rumah Besar BPD Dan LPMK Gorontalo, Kawal Program Desa Dan Kelurahan Hingga Nasional - Minangsatu</t>
  </si>
  <si>
    <t xml:space="preserve">Minangsatu</t>
  </si>
  <si>
    <t xml:space="preserve">AYOPALEMBAMG -- Saat ini, parfum bukan lagi sekadar pelengkap penampilan, tapi sudah jadi bagian dari gaya hidup. Banyak orang mulai sadar bahwa aroma tubuh bisa memberi kesan pertama yang kuat. Itula</t>
  </si>
  <si>
    <t xml:space="preserve">RRI.CO.ID, Palembang - Pemerintah Kota Palembang menyiapkan transformasi Pasar 26 Ilir menjadi destinasi wisata kuliner modern. Penataan dilakukan melalui kolaborasi dengan Bank Indonesia untuk memper</t>
  </si>
  <si>
    <t xml:space="preserve">https://sumsel.idntimes.com/news/sumatra-selatan/viral-video-2-gajah-masuk-pasar-jukung-oki-warga-sempat-panik-00-dvg48-xq3t7j</t>
  </si>
  <si>
    <t xml:space="preserve">sumsel.idntimes.com</t>
  </si>
  <si>
    <t xml:space="preserve">Federasi Olahraga Domino Kabupaten Gorontalo Gelar Event Untuk Atlet Kejurnas - Kronologi.id</t>
  </si>
  <si>
    <t xml:space="preserve">Ogan Komering Ilir, IDN Times - Viral video di media sosial (medsos) yang diunggah akun Instagram @ogankomeringilirupdate menampilkan potongan rekaman dua ekor gajah liar memasuki kawasan pasar di Kab</t>
  </si>
  <si>
    <t xml:space="preserve">Beragam jajanan viral khas Jakarta kini hadir di Kota Palembang melalui festival kuliner yang digelar selama 10 hari di Palembang Indah Mall. Festival bertajuk “Festival Jajanan Viral Jakarta” ini ber</t>
  </si>
  <si>
    <t xml:space="preserve">Dengan harga mulai Rp13.000 kamu bisa menikmati bakso nikmat di Depok. Pilihannya ada bakso gepeng hingga bakso urat. Buat pencinta bakso di Depok, ada banyak pilihan tempat makan yang bisa disambangi</t>
  </si>
  <si>
    <t xml:space="preserve">https://rri.co.id/bogor/kuliner/2590950/kuliner-jawa-viral-di-depok-lebih-dari-40-lauk-tradisional</t>
  </si>
  <si>
    <t xml:space="preserve">5 Tempat Makan Siang Legendaris Dekat Balai Kota Surabaya, Wajib Dicoba! - Jurnal Aceh - Jurnal Aceh</t>
  </si>
  <si>
    <t xml:space="preserve">RRI.CO.ID, Bogor - Mencari tempat makan dengan cita rasa masakan rumahan khas Jawa kini semakin mudah bagi warga Jabodetabek, terutama warga Depok. Hadir sebuah destinasi kuliner yang menawarkan suasa</t>
  </si>
  <si>
    <t xml:space="preserve">Kopi Kotak Margonda-- diswayjogja.id - Margonda Raya telah lama dikenal sebagai pusat urat nadi Kota Depok yang menghubungkan berbagai aktivitas pendidikan, bisnis, dan hiburan. Memasuki tahun 2026, w</t>
  </si>
  <si>
    <t xml:space="preserve">The Milk Crate di Depok tengah viral lewat kreasi salt bread-nya. Tersedia 8 varian rasa, termasuk Cranberry Cream Cheese hingga Cheesy Jalapeno yang unik dan nikmat. Tren salt bread menjamur di berba</t>
  </si>
  <si>
    <t xml:space="preserve">Belum punya akun? Daftar Akun Download TribunX untuk Android &amp; iOS TRIBUNNEWSDEPOK.COM, PANCORAN MAS - Libur sekolah menjadi momen panjang yang paling dinanti oleh para pelajar dan keluarga untuk meng</t>
  </si>
  <si>
    <t xml:space="preserve">Sebagai catatan, beberapa sumber menyebutkan bahwa setelah pembangunan perumahan selesai, akses ke danau kemungkinan tutup untuk umum. Oleh karena itu, bagi pengunjung yang penasaran sebaiknya segera </t>
  </si>
  <si>
    <t xml:space="preserve">https://depok.tribunnews.com/news/51125/satu-warga-tewas-tergencet-bus-pemkot-depok-hentikan-sementara-wisata-keberagaman</t>
  </si>
  <si>
    <t xml:space="preserve">Pantai Katayan Daya Tarik Baru Wisata di Tolitoli Utara - RRI.co.id</t>
  </si>
  <si>
    <t xml:space="preserve">Belum punya akun? Daftar Akun Download TribunX untuk Android &amp; iOS TRIBUNNEWSDEPOK.COM, BOJONGSARI – Pemerintah Kota (Pemkot) Depok mengambil langkah tegas dengan menghentikan sementara seluruh kegiat</t>
  </si>
  <si>
    <t xml:space="preserve">Belum punya akun? Daftar Akun Download TribunX untuk Android &amp; iOS TRIBUNNEWSDEPOK.COM, PANCORAN MAS - Liburan panjang akhir pekan ini sudah tiba! Buat warga Depok dan sekitarnya yang butuh rehat tapi</t>
  </si>
  <si>
    <t xml:space="preserve">https://depok.tribunnews.com/news/51305/terungkap-pemicu-aksi-teror-tetangga-di-depok-yang-viral-ternyata-berawal-dari-masalah-sepele</t>
  </si>
  <si>
    <t xml:space="preserve">Pesona Padang Kuda Danau Lindu Kian Viral - RRI.co.id</t>
  </si>
  <si>
    <t xml:space="preserve">Belum punya akun? Daftar Akun Download TribunX untuk Android &amp; iOS Laporan Wartawan TribunnewsDepok.com, M Rifqi Ibnumasy TRIBUNNEWSDEPOK.COM, PANCORAN MAS - ​Aksi dugaan teror dan intimidasi antar te</t>
  </si>
  <si>
    <t xml:space="preserve">https://depok.tribunnews.com/news/49916/anggota-tni-dikeroyok-preman-di-stasiun-depok-baru-ini-duduk-perkaranya</t>
  </si>
  <si>
    <t xml:space="preserve">Cek Fakta: Pemerintah Akan Tutup Toko Swasta demi Kopdes? - DW.com</t>
  </si>
  <si>
    <t xml:space="preserve">Belum punya akun? Daftar Akun Download TribunX untuk Android &amp; iOS Laporan Wartawan TribunnewsDepok.com, M Rifqi Ibnumasy TRIBUNNEWSDEPOK.COM, PANCORAN MAS - Anggota TNI berinisial EY menjadi korban p</t>
  </si>
  <si>
    <t xml:space="preserve">https://news.detik.com/berita/d-8664457/damkar-sisir-tkp-viral-ular-kerap-mangsa-kucing-perumahan-di-depok</t>
  </si>
  <si>
    <t xml:space="preserve">Menantea di Kota Palu Diduga Sudah Tutup Sebelum Pengumuman Resmi, Jejak Digital Menguat - Radar Palu</t>
  </si>
  <si>
    <t xml:space="preserve">Sebuah video memperlihatkan seekor ular sanca yang tengah melilit kucing di Gema Pesona Estate, Sukmajaya, Depok, hingga viral di media sosial. Dinarasikan, ular itu kerap memangsa kucing- kucing di l</t>
  </si>
  <si>
    <t xml:space="preserve">https://www.siarandepok.com/baca/20260914/viral-video-pelajar-beli-miras-wali-kota-depok-perintahkan-satpol-pp-gelar-sidak.html</t>
  </si>
  <si>
    <t xml:space="preserve">www.siarandepok.com</t>
  </si>
  <si>
    <t xml:space="preserve">Toko Daging Nusantara Tambah Gerai, Jaringan Capai 40 Cabang - Warta Ekonomi</t>
  </si>
  <si>
    <t xml:space="preserve">SCROLL TO CONTINUE WITH CONTENT Senin, 14 September 2026 -  09:54											 WIB Beradarnya tangkapan gambar aksi pelajar membeli miras yang viral di media sosial langsung direspons serius oleh Wali K</t>
  </si>
  <si>
    <t xml:space="preserve">https://yogyapos.com/berita-internasional-kitesurfing-festival-2026-laguna-di-pantai-depok-bantul-diikuti-puluhan-atlet-105916</t>
  </si>
  <si>
    <t xml:space="preserve">China Mulai Jatuh Hati pada Durian Sulawesi, Borong Ratusan Ton - Suarasulsel.id</t>
  </si>
  <si>
    <t xml:space="preserve">Suarasulsel.id</t>
  </si>
  <si>
    <t xml:space="preserve">Yogyapos.com (BANTUL) – Puluhan atlet kitesurfing berlaga dalam Internasional Kitesurfing Festival 2026, pada 19-20 September 2026, di Laguna Pantai Depok, Kalurahan Parangtritis, Kapanewon Kretek, Ka</t>
  </si>
  <si>
    <t xml:space="preserve">https://www.edisi.co.id/berita/9717097712/momen-kiai-cabul-diborgol-kabel-ties-polisi-akhir-pelarian-tersangka-pencabulan-santri-ponpes-pati</t>
  </si>
  <si>
    <t xml:space="preserve">Sulteng Bidik Jadi Raja Durian Dunia, Ekspor ke China Capai 7.344 Ton - Kaidah.ID</t>
  </si>
  <si>
    <t xml:space="preserve">Edisi.co.id - Setelah sempat buron dan mangkir dari panggilan Polisi, oknum kiai cabul Pondok Pesantren ( Ponpes ) Ndholo Kusumo, Pati , Jawa Tengah berhasil ditangkap di Wonogiri pada Kamis, 7 Mei 20</t>
  </si>
  <si>
    <t xml:space="preserve">https://megapolitan.kompas.com/read/2026/09/02/17092791/trotoar-ambles-di-sawangan-belum-diperbaiki-wali-kota-depok-akui-ada</t>
  </si>
  <si>
    <t xml:space="preserve">DPRD Sulteng Sorot Kecelakaan Tambang, Izin Diselidiki - Radar Palu</t>
  </si>
  <si>
    <t xml:space="preserve">Trotoar Ambles di Sawangan Belum Diperbaiki, Wali Kota Depok Akui Ada Kendala Teknis DEPOK, KOMPAS.com - Trotoar ambles di Jalan Raya Sawangan, dekat Taman Secawan, Depok, Jawa Barat, hingga kini belu</t>
  </si>
  <si>
    <t xml:space="preserve">&lt;p class="PDq2pG_selectionAnchorContainer" data-start="77" data-end="418"&gt;&lt;strong&gt;BEKASI&lt;/strong&gt; kini tidak hanya dikenal sebagai kawasan industri dan kota penyangga Jakarta. Dalam beberapa tahun ter</t>
  </si>
  <si>
    <t xml:space="preserve">Di Bekasi ada banyak penjual martabak manis yang sayang dilewatkan. Mereka menawarkan adonan tebal, buttery, dengan pilihan topping beragam! Memasuki waktu sore enaknya ngemil makanan manis. Selain ku</t>
  </si>
  <si>
    <t xml:space="preserve">Di Bekasi banyak tempat makan nasi uduk yang terkenal enak. Disajikan bersama berbagai pilihan lauk serta sambal. Beberapa tempat juga legendaris, menjadi favorit banyak warga Bekasi sejak dulu. Selai</t>
  </si>
  <si>
    <t xml:space="preserve">Photo source: @namacakes.id Menemukan salt bread enak di Bekasi gampang kok. Banyak toko roti maupun cafe setempat yang sudah menyediakan salt bread dalam daftar menu. Soal kualitas rasa tak kalah den</t>
  </si>
  <si>
    <t xml:space="preserve">https://food.detik.com/tempat-makan/d-8509712/cicip-3-salt-bread-populer-di-bekasi-ada-yang-antre-40-menit</t>
  </si>
  <si>
    <t xml:space="preserve">Event Menarik di Sulawesi Besok Selasa 15 September 2026, Termasuk Festival Literasi Provinsi Sulbar - TribunStyle.com</t>
  </si>
  <si>
    <t xml:space="preserve">Salt bread masih viral di tahun 2026. Di kawasan Bekasi bahkan ada beberapa penjual salt bread populer yang terkenal dengan kenikmatannya dan sampai diantre panjang! Kemunculan salt bread di Indonesia</t>
  </si>
  <si>
    <t xml:space="preserve">Seblak yang enak biasanya ditawarkan di warung sederhana dengan konsep prasmanan. Banyak tempat menikmatinya di Bekasi dengan harga murah meriah. Ini daftarnya! Seblak yang populer di Bandung kini sud</t>
  </si>
  <si>
    <t xml:space="preserve">Popularitas salt bread juga sampai ke kota Bekasi. Bahkan di Bekasi banyak tempat yang sudah diburu sejak pagi karena tawarkan salt bread renyah lembut dan buttery! Salt bread menjadi salah satu makan</t>
  </si>
  <si>
    <t xml:space="preserve">https://news.detik.com/berita/d-8678196/bareskrim-ciduk-2-jambret-tas-emak-emak-hingga-terjungkal-di-bekasi</t>
  </si>
  <si>
    <t xml:space="preserve">Wanita Terekam CCTV Curi Perhiasan Senilai Rp 52 Juta di Toko Emas Polman - detikcom</t>
  </si>
  <si>
    <t xml:space="preserve">Satresmob Bareskrim Polri menangkap dua pelaku penjambretan terhadap emak-emak berinisial S (51) di Tambun Selatan, Kabupaten Bekasi , Jawa Barat. Aksi kedua pelaku yang menarik paksa tas korban hingg</t>
  </si>
  <si>
    <t xml:space="preserve">https://beritacikarang.com/usai-raih-wbtb-ujungan-bekasi-disiapkan-jadi-magnet-wisata-budaya/</t>
  </si>
  <si>
    <t xml:space="preserve">Viral Emak-emak Curi 4 Jeriken Minyak Goreng di Toko Wonomulyo, Aksinya Terekam CCTV - Tribun-sulbar.com</t>
  </si>
  <si>
    <t xml:space="preserve">Tribun-sulbar.com</t>
  </si>
  <si>
    <t xml:space="preserve">BERITACIKARANG.COM, CIKARANG – Penetapan Ujungan Bekasi sebagai Warisan Budaya Takbenda (WBTb) Indonesia menjadi titik awal bagi Pemerintah Kabupaten Bekasi untuk memperkuat pelestarian sekaligus meng</t>
  </si>
  <si>
    <t xml:space="preserve">BERITACIKARANG.COM, TAMBUN SELATAN – Museum Gedung Juang di Desa Setiadarma, Kecamatan Tambun Selatan , Kabupaten Bekasi kini tidak hanya menjadi destinasi wisata sejarah, tetapi juga pusat literasi b</t>
  </si>
  <si>
    <t xml:space="preserve">https://news.detik.com/berita/d-8648370/polisi-ungkap-peredaran-obat-keras-lewat-toko-berjalan-di-kota-bekasi</t>
  </si>
  <si>
    <t xml:space="preserve">Sejak 1930! Intip Deretan Kue dari Toko Legendaris di Pasar Besar Malang Ini, Varian Terfavorit yang Mana? - Jatim Network - Jatim Network</t>
  </si>
  <si>
    <t xml:space="preserve">Satresnarkoba Polres Metro Bekasi Kota mengungkap peredaran obat keras daftar Golongan G melalui 'toko berjalan'. Satu tersangka berikut sejumlah obat-obatan keras diamankan dalam operasi tersebut. "M</t>
  </si>
  <si>
    <t xml:space="preserve">https://news.detik.com/berita/d-8566626/viral-penjual-tramadol-di-bekasi-dilakban-joker-ini-hasil-cek-polisi</t>
  </si>
  <si>
    <t xml:space="preserve">Bank Sulselbar Perkuat Peran sebagai Bank Devisa, Buka Akses ke Pasar Global - detikcom</t>
  </si>
  <si>
    <t xml:space="preserve">Video seorang pria dilakban badan hingga kepala dan muka viral di media sosial (medsos). Pria yang dilakban itu disebut sebagai penjual obat keras jenis Tramadol di Babelan, Kabupaten Bekasi, Jawa Bar</t>
  </si>
  <si>
    <t xml:space="preserve">https://jogja.disway.id/gaya-hidup/read/700313/rekomendasi-salt-bread-enak-di-bekasi-sensasi-gurih-yang-bikin-nagih-paling-juara/15</t>
  </si>
  <si>
    <t xml:space="preserve">Beras Lokal Rp 16.000 Per Kg, Beras Malaysia Kuasai Pasar Nunukan - Kompas.com</t>
  </si>
  <si>
    <t xml:space="preserve">Salt Bread Enak di Bekasi-- Ketiga, jangan lewatkan toko roti legendaris yang kini melakukan inovasi. Beberapa toko roti yang sudah lama berdiri di Bekasi juga tidak ingin ketinggalan zaman dan mulai </t>
  </si>
  <si>
    <t xml:space="preserve">https://news.detik.com/berita/d-8675816/viral-raket-padel-seharga-rp-30-juta-di-bekasi-dicuri-3-pelaku-ditangkap</t>
  </si>
  <si>
    <t xml:space="preserve">Gubernur Sulbar Ancam Cabut Izin 13 Perusahaan Sawit - Suarasulsel.id</t>
  </si>
  <si>
    <t xml:space="preserve">Rekaman video viral menunjukkan pencurian raket padel seharga puluhan juta rupiah di sebuah toko di Kota Bekasi, Jawa Barat. Tiga orang pelaku ditangkap atas kejadian tersebut. Ketiga pelaku tersebut </t>
  </si>
  <si>
    <t xml:space="preserve">https://news.detik.com/berita/d-8676655/viral-pengemudi-opang-diduga-dihipnotis-di-bekasi-motor-raib</t>
  </si>
  <si>
    <t xml:space="preserve">Event Menarik di Sulawesi Besok Sabtu 26 September 2026, Termasuk Sandeq Silumba di Majene - TribunStyle.com</t>
  </si>
  <si>
    <t xml:space="preserve">Seorang pengemudi driver ojek online (ojol) diduga menjadi korban pencurian kendaraan bermotor (curanmor) modus hipnotis di Pondok Gede, Kota Bekasi. Motornya raib. Kejadian tersebut diungkap oleh pem</t>
  </si>
  <si>
    <t xml:space="preserve">https://news.detik.com/berita/d-8604899/viral-sejumlah-pemotor-jatuh-gegara-tetesan-air-lindi-di-bantargebang</t>
  </si>
  <si>
    <t xml:space="preserve">Talenta Mudah Sidrap Tembus Top 3 Sutra Culture Festival Mandar Sulawesi Barat 2026 - Katasulsel.com</t>
  </si>
  <si>
    <t xml:space="preserve">Katasulsel.com</t>
  </si>
  <si>
    <t xml:space="preserve">Sejumlah pemotor terjatuh di Jalan Siliwangi Pangkalan 5, Bantargebang, Kota Bekasi . Peristiwa itu diduga terjadi akibat jalan linci karena tetesan air lindi dari truk sampah yang melintas menuju ke </t>
  </si>
  <si>
    <t xml:space="preserve">https://karawangbekasi.disway.id/bekasi-raya/read/53501/ini-daftar-tenant-hingga-pusat-belanja-di-grand-wisata-bekasi-tak-patuh-pajak-bapenda-pasang-stiker</t>
  </si>
  <si>
    <t xml:space="preserve">Ratusan Pemancing Ramaikan Fun Fishing 2026 di Pulau Sabakkatang, Mamuju Sulbar, Event Dinilai Mampu Dongkrak Wisata dan Ekonomi Warga Pesisir - Kaltim Post</t>
  </si>
  <si>
    <t xml:space="preserve">Kaltim Post</t>
  </si>
  <si>
    <t xml:space="preserve">Operasi gabuungan pajak di Kabupaten Bekasi, mulai digalakan, salah satunya penempelan stiker bagi perusahaan yang tak taat bayar pajak-Risky Pangestu (Cikarang Ekspres)- KARAWANGBEKASI.DISWAY.ID , CI</t>
  </si>
  <si>
    <t xml:space="preserve">Photo source: @dapursolo1988 Pakuwon Mall Bekasi adalah destinasi belanja, kuliner, hiburan, dan rekreasi keluarga yang berlokasi di kawasan Pekayon Jaya, Bekasi Selatan. Dibangun di atas lahan seluas</t>
  </si>
  <si>
    <t xml:space="preserve">https://www.cnbcindonesia.com/news/20260428150829-4-730607/matahari-tutup-gerai-di-revo-town-mall-bekasi-manajemen-buka-suara</t>
  </si>
  <si>
    <t xml:space="preserve">MAXi Yamaha Day 2026 Pecah! Ribuan Riders Sulawesi Tumpah Ruah Rayakan Spirit “More Than Ride” di Kota Bone - Radar Bandung</t>
  </si>
  <si>
    <t xml:space="preserve">Radar Bandung</t>
  </si>
  <si>
    <t xml:space="preserve">Jakarta, CNBC Indonesia - Berdasarkan pantauan dan pengakuan sumber yang ditemui CNBC Indonesia di lokasi, gerai Matahari Department Store di REVO Town Mall Bekasi diketahui telah tutup secara permane</t>
  </si>
  <si>
    <t xml:space="preserve">https://www.bbc.com/indonesia/articles/c5yvynj08z7o</t>
  </si>
  <si>
    <t xml:space="preserve">190 Pelajar Se-Sulbar Ikuti Manakarra Taekwondo Festival IV di Mamuju, Ajang Pembinaan Atlet Muda - Tribun-sulbar.com</t>
  </si>
  <si>
    <t xml:space="preserve">Sumber gambar, ANTARA FOTO Korban meninggal dunia bertambah menjadi 16 orang, setelah seorang pasien yang dirawat di ICU (intensive care unit) RSUD Kota Bekasi, Jawa Barat, dilaporkan meninggal dunia </t>
  </si>
  <si>
    <t xml:space="preserve">https://food.detik.com/info-kuliner/d-8612224/4-penjual-di-pasar-curi-perhatian-ada-asep-ayam-hingga-imam-bawang</t>
  </si>
  <si>
    <t xml:space="preserve">DA8 Angkat Nama Sidrap, Syaharuddin: Terima Kasih Indosiar - Katasulsel.com</t>
  </si>
  <si>
    <t xml:space="preserve">Beberapa penjual di pasar mencuri perhatian setelah seorang kreator membagikan videonya. Ada Asep Ayam hingga Imam Bawang yang viral di media sosial. Penjual makanan beberapa kali mencuri perhatian, k</t>
  </si>
  <si>
    <t xml:space="preserve">https://megapolitan.kompas.com/read/2026/09/04/12464981/loker-di-galaxy-bekasi-viral-diduga-minta-rp-25-juta-ini-penjelasan</t>
  </si>
  <si>
    <t xml:space="preserve">Wajib Tahu! Ini 6 Rekomendasi Tempat Makan di Makassar - Harper's Bazaar Indonesia</t>
  </si>
  <si>
    <t xml:space="preserve">Loker di Galaxy Bekasi Viral Diduga Minta Rp 2,5 Juta, Ini Penjelasan Polisi BEKASI, KOMPAS.com – Seorang pria mengaku menjadi korban dugaan penipuan lowongan kerja di sebuah ruko kawasan Galaxy, Jaka</t>
  </si>
  <si>
    <t xml:space="preserve">Situs Resmi Pemerintah Kota Bekasi Balon Terbang Jadi Magnet Hiburan Akhir Pekan Warga di Plaza Patriot Chandrabhaga 15 Mei 2026 Dipublikasikan 3917 kali Berita ini dilihat Bagikan Berita: Balon Terba</t>
  </si>
  <si>
    <t xml:space="preserve">BEKASISATU , KOTA BEKASI – Kemeriahan warga menerbangkan ribuan Balon di Plaza Patriot Candrabhaga, Kota Bekasi pada Sabtu (16/05/26) malam, menyisakan sejumlah catatan. Di balik membeludaknya antusia</t>
  </si>
  <si>
    <t xml:space="preserve">Untuk Masuk dan Daftar akan kami arahkan ke laman Subscribe Investor Daily BEKASI , investor.id – Summarecon Mall Bekasi (SMB) menghadirkan wajah baru festival kuliner tahun ini melalui Hungry Playgro</t>
  </si>
  <si>
    <t xml:space="preserve">Terungkap, dari 16 unit rumah temuan Ombudsman RI, cuma tiga unit berstatus barang milik negara. DI tengah maraknya jajanan viral dan inovasi rasa yang terus bermunculan, sejumlah pelaku usaha kuliner</t>
  </si>
  <si>
    <t xml:space="preserve">https://www.detik.com/properti/berita/d-8519313/sempat-viral-cari-rumah-angker-di-ri-orang-jepang-ini-disebut-netizen-nipu</t>
  </si>
  <si>
    <t xml:space="preserve">Pemprov Sulsel Canangkan Rekor MURI Gerakan Minum Multiple Micronutrient Supplement Serentak bagi 54.000 Ibu Hamil - palopopos</t>
  </si>
  <si>
    <t xml:space="preserve">palopopos</t>
  </si>
  <si>
    <t xml:space="preserve">Beberapa waktu lalu sempat ramai di media sosial, organisasi event asal Jepang mengadakan sayembara pencarian rumah angker di Indonesia. Namun, organisasi itu disebut penipu oleh netizen usai mengumum</t>
  </si>
  <si>
    <t xml:space="preserve">Trawlmediaindonesia.id Kota Bekasi – Ribuan warga memadati Plaza Patriot Candrabhaga pada Sabtu malam (16/05/2026) dalam gelaran Festival Balon yang berlangsung meriah dan penuh warna. Kegiatan yang d</t>
  </si>
  <si>
    <t xml:space="preserve">https://megapolitan.kompas.com/read/2026/08/03/18054671/dprd-bekasi-minta-sistem-pengawasan-dishub-dirombak-usai-pungli-rp-17</t>
  </si>
  <si>
    <t xml:space="preserve">Toko Kelontong di Makassar Disatroni Perampok, Pemilik Diancam Sajam - detikcom</t>
  </si>
  <si>
    <t xml:space="preserve">DPRD Bekasi Minta Sistem Pengawasan Dishub Dirombak Usai Pungli Rp 1,7 Juta Viral BEKASI, KOMPAS.com – Komisi II DPRD Kota Bekasi meminta Pemerintah Kota Bekasi melakukan pembenahan menyeluruh terhada</t>
  </si>
  <si>
    <t xml:space="preserve">https://megapolitan.kompas.com/read/2026/05/19/05390071/ibu-di-bekasi-mengaku-diperas-rp-22-juta-agar-anaknya-bebas-dari-kasus</t>
  </si>
  <si>
    <t xml:space="preserve">Suami Pertama Owner Toko di Bulukumba Bantah Selingkuh: Nona Ike Nikah Lebih Dulu! - Suara.com</t>
  </si>
  <si>
    <t xml:space="preserve">Ibu di Bekasi Mengaku Diperas Rp 22 Juta agar Anaknya Bebas dari Kasus Narkoba, Ini Kata Polisi BEKASI, KOMPAS.com — Kepala Seksi Humas Polres Metro Bekasi AKP Aliyani mengatakan, pihaknya saat ini te</t>
  </si>
  <si>
    <t xml:space="preserve">TRIBUNTRAVEL.COM - Kawasan Pasar Lama Tangerang selalu jadi tujuan favorit untuk berburu kuliner malam. Mulai dari jajanan kaki lima sampai tempat makan nyaman, semuanya bisa kamu temukan di sini. Lag</t>
  </si>
  <si>
    <t xml:space="preserve">https://jogja.disway.id/gaya-hidup/read/700202/pecinta-bakso-merapat-rekomendasi-tempat-makan-bakso-full-daging-populer-di-tangerang</t>
  </si>
  <si>
    <t xml:space="preserve">Remaja Bersajam Rampok Toko Kelontong di Tamalate Makassar Ditangkap - detikcom</t>
  </si>
  <si>
    <t xml:space="preserve">Rekomendasi Tempat Makan Bakso Full Daging Tangerang-- diswayjogja.id - Kota Tangerang kini semakin berkembang, tidak hanya dari sisi infrastruktur, tetapi juga kancah kuliner yang semakin bergairah. </t>
  </si>
  <si>
    <t xml:space="preserve">&lt;strong&gt;TANGERANG, WT&lt;/strong&gt; - Kuliner khas Palembang semakin mudah dijangkau masyarakat Tangerang dengan hadirnya cabang baru Pempek Kenari di Ruko Aniva Junction, Paramount Gading Serpong. Meski b</t>
  </si>
  <si>
    <t xml:space="preserve">Tangerang - Situ Cipondoh pernah ramai pascapandemi, kini mulai sepi pengunjung. Potensi wisata dan ekonomi masih ada, namun pengelolaan belum maksimal. Anda menyukai artikel ini</t>
  </si>
  <si>
    <t xml:space="preserve">Sate Ayam H. Ishak (Legenda Pasar Lama)-- diswayjogja.id – Tangerang mungkin sering dikenal sebagai kota industri yang sibuk, namun di balik deretan pabrik dan pusat perbelanjaan modernnya, tersimpan </t>
  </si>
  <si>
    <t xml:space="preserve">https://www.merahputih.com/post/read/viral-video-massa-bubarkan-ibadah-gkpi-mauk-tangerang-sosok-bawa-golok-akhirnya-minta-maaf</t>
  </si>
  <si>
    <t xml:space="preserve">Harga plastik sampai kosmetik naik imbas perang Iran vs AS-Israel – 'Pedagang harus mengalah' - BBC</t>
  </si>
  <si>
    <t xml:space="preserve">MerahPutih.com - Aksi pria bernama Aji yang terekam membawa senjata tajam jenis golok sembari mengancam jemaat Gereja GKPI Mauk Sepatan di Kecamatan Rajeg, Kabupaten Tangerang, Banten, pada Minggu (20</t>
  </si>
  <si>
    <t xml:space="preserve">https://www.merahputih.com/post/read/viral-video-warga-bawa-sajam-bubarkan-ibadah-gkpi-tangerang-polisi-dan-kemenag-turun-mediasi</t>
  </si>
  <si>
    <t xml:space="preserve">Serbuan Produk China, Saat Sulawesi Selatan Diuji di Tengah Gelombang Impor - PELAKITA.ID</t>
  </si>
  <si>
    <t xml:space="preserve">PELAKITA.ID</t>
  </si>
  <si>
    <t xml:space="preserve">MerahPutih.com - Viral, video massa coba membubarkan ibadah di Gereja GKPI Mauk Sepatan, Kecamatan Rajeg, Kabupaten Tangerang, Banten, Minggu (20/9) kemarin. Bahkan, terlihat warga yang membawa senjat</t>
  </si>
  <si>
    <t xml:space="preserve">https://www.edisi.co.id/berita/9717229745/viral-puluhan-paspor-berserakan-di-bsd-imigrasi-tangerang-sebut-ada-temuan-dokumen-haji</t>
  </si>
  <si>
    <t xml:space="preserve">Polisi tangkap lima remaja terduga pelaku kejahatan jalanan di Makassar - ANTARA News Makassar</t>
  </si>
  <si>
    <t xml:space="preserve">EDISI.co.id - Viral di media sosial puluhan paspor dan beberapa dokumen keberangkatan haji berserakan di sekitar halte bus BSD , Jalan Letjen Sutopo, di kawasan Pasar Modern dan Santa Ursula, Tangeran</t>
  </si>
  <si>
    <t xml:space="preserve">TANGERANG, EKBISBANTEN.COM — Toko buku bekas Jhon Book Store N Art di kawasan Pamulang, Tangerang Selatan, mendadak ramai dikunjungi setelah viral di media sosial TikTok dan Instagram. Toko yang berad</t>
  </si>
  <si>
    <t xml:space="preserve">https://news.indozone.id/hukum/2486718693/begini-cara-kerja-wanita-viral-jual-emas-palsu-di-banyak-toko-di-tangerang</t>
  </si>
  <si>
    <t xml:space="preserve">9 Kios di Pasar Agro Enrekang Ludes Terbakar, Kerugian Capai Rp 450 Juta - detikcom</t>
  </si>
  <si>
    <t xml:space="preserve">Ilustrasi emas palsu (Magnific) INDOZONE.ID - Pihak kepolisian membongkar cara kerja wanita viral yang kedapatan menjual emas palsu hingga memakan korban sebanyak puluhan toko di Tangerang . Aksinya d</t>
  </si>
  <si>
    <t xml:space="preserve">PAMULANG – Di tengah maraknya platform digital dan menjamurnya toko buku modern, keberadaan toko buku lawas ternyata masih memiliki daya tarik kuat bagi para pecinta literasi. Salah satunya adalah Jho</t>
  </si>
  <si>
    <t xml:space="preserve">Belanja kebutuhan sehari-hari sekaligus mencari makanan untuk mengisi perut bisa dilakukan dalam satu kunjungan ke Pasar Anyar Tangerang. Berada di pusat Kota Tangerang, kawasan pasar ini tidak hanya </t>
  </si>
  <si>
    <t xml:space="preserve">Bagi pencinta jajanan tradisional, Pasar Kue Subuh di Jalan Dr. Sitanala, Kecamatan Neglasari, menjadi salah satu destinasi kuliner yang wajib dikunjungi saat berada di Kota Tangerang. Pasar ini telah</t>
  </si>
  <si>
    <t xml:space="preserve">https://www.radarbanten.co.id/2026/09/25/dprd-kota-tangerang-godok-raperda-penataan-pusat-perbelanjaan-dan-toko-swalayan/</t>
  </si>
  <si>
    <t xml:space="preserve">Parkiran Depan Pipo Makassar Picu Macet Saat Event gegara Warga Mau Praktis - detikcom</t>
  </si>
  <si>
    <t xml:space="preserve">&lt;!-- wp:paragraph --&gt; &lt;p&gt;KOTA TANGERANG, RADARBANTEN.CO.ID – Dewan Perwakilan Rakyat Daerah (DPRD) Kota Tangerang tengah membahas Rancangan Peraturan Daerah (Raperda) tentang Penataan Pusat Perbelanja</t>
  </si>
  <si>
    <t xml:space="preserve">https://www.detik.com/hikmah/khazanah/d-8672025/viral-ibadah-gkpi-di-tangerang-dibubarkan-warga-kemenag-turun-tangan</t>
  </si>
  <si>
    <t xml:space="preserve">MIWF 2026 Starterpack: Biar Nyaman Keliling Festival Seharian - IDN Times Sulsel</t>
  </si>
  <si>
    <t xml:space="preserve">Sebuah video pembubaran ibadah di Gereja Kristen Protestan Indonesia (GKPI) viral di media sosial. Para jemaatnya dipaksa berhenti beribadah oleh sekelompok warga. Salah seorang dari rombongan tersebu</t>
  </si>
  <si>
    <t xml:space="preserve">https://news.detik.com/berita/d-8514119/viral-tetangga-siram-orang-mau-salat-di-tangerang-polisi-cek-ke-lokasi</t>
  </si>
  <si>
    <t xml:space="preserve">Kejati Sultra Geledah Rumah Mantan Sekda dan Rumah Makan Terkait Dugaan Korupsi Anggaran Makan Minun Rp 31 Miliar - Kompas.com</t>
  </si>
  <si>
    <t xml:space="preserve">Viral video tetangga selalu menyiram air diduga bekas lap kotoran anjing ke jalan dan tetangga yang akan berangkat salat di Kabupaten Tangerang . Polresta Tangerang akan mengecek lokasi kejadian terse</t>
  </si>
  <si>
    <t xml:space="preserve">https://megapolitan.kompas.com/read/2026/04/23/11575371/viral-warga-tangerang-ngaku-diintimidasi-debt-collector-sempat-adu-mulut</t>
  </si>
  <si>
    <t xml:space="preserve">Napi Korupsi Jalan-jalan ke Tempat Makan Usai Sidang, Begini Respons Kementerian Imipas - VIVA.co.id</t>
  </si>
  <si>
    <t xml:space="preserve">Viral Warga Tangerang Ngaku Diintimidasi Debt Collector, Sempat Adu Mulut di Polsek TANGERANG, KOMPAS.com — Seorang warga Pasar Kemis, Kabupaten Tangerang, Muhamad Rizki Romdani (30), mengaku diintimi</t>
  </si>
  <si>
    <t xml:space="preserve">https://news.detik.com/berita/d-8515133/polisi-selidiki-motif-tetangga-siram-air-ke-orang-mau-salat-di-tangerang</t>
  </si>
  <si>
    <t xml:space="preserve">Viral Pantai Kartika di Konawe Selatan Hancur Digempur Tambang, Ini Perusahaan Pemilik Konsesinya - Suara.com</t>
  </si>
  <si>
    <t xml:space="preserve">Polsek Pasar Kemis, Polresta Tangerang , mengatakan sedang mendalami kasus tetangga yang menyiramkan air ke orang yang lewat untuk salat. Akibat ulahnya itu, tetangga tersebut cekcok dengan warga Pond</t>
  </si>
  <si>
    <t xml:space="preserve">https://news.detik.com/berita/d-8515226/polisi-sempat-mediasi-tetangga-siram-air-ke-warga-mau-salat-di-tangerang</t>
  </si>
  <si>
    <t xml:space="preserve">Pria di Muna Curi Kotak Amal Apotek Demi Beli Sabu dan Judi Online, Ditangkap Polisi di Rumahnya - Tribunnewssultra.com</t>
  </si>
  <si>
    <t xml:space="preserve">Tribunnewssultra.com</t>
  </si>
  <si>
    <t xml:space="preserve">Polsek Pasar Kemis, Polresta Tangerang , menyebutkan pernah menggelar mediasi terkait kasus tetangga yang menyiram air ke warga lain yang hendak berangkat salat. Namun, peristiwa itu terulang hingga m</t>
  </si>
  <si>
    <t xml:space="preserve">https://news.detik.com/berita/d-8515334/warga-duga-air-disiram-tetangga-ke-orang-mau-salat-di-tangerang-kotoran-anjing</t>
  </si>
  <si>
    <t xml:space="preserve">Lowongan Kerja Kendari, Khalisa Kreasi dan Toko Akka Buka Loker untuk Wanita, Cek Kualifikasinya - Tribunnewssultra.com</t>
  </si>
  <si>
    <t xml:space="preserve">Potongan video tetangga menyiram air diduga bekas lap kotoran anjing ke jalan di kawasan Kuta Baru, Pasar Kemis, Kabupaten Tangerang , viral di media sosial. Warga mengungkap jika air yang dibuang ada</t>
  </si>
  <si>
    <t xml:space="preserve">https://news.detik.com/berita/d-8515156/tetangga-siram-air-ke-warga-di-tangerang-lapor-polisi-usai-digeruduk</t>
  </si>
  <si>
    <t xml:space="preserve">Viral! Pedagang di Baruga Kendari Temukan Diduga Uang Palsu Pecahan Rp100 Ribu - Amanah Sultra</t>
  </si>
  <si>
    <t xml:space="preserve">Amanah Sultra</t>
  </si>
  <si>
    <t xml:space="preserve">Kapolsek Pasar Kemis AKP Humaedi menyebutkan tetangga yang menyiramkan air ke warga membuat laporan polisi setelah digeruduk warga. Tetangga tersebut mengaku menjadi korban penganiayaan oleh warga yan</t>
  </si>
  <si>
    <t xml:space="preserve">https://news.detik.com/berita/d-8600862/viral-fun-run-di-tangsel-diprotes-peserta-wawalkot-minta-eo-tanggung-jawab</t>
  </si>
  <si>
    <t xml:space="preserve">Bulog Sultra Imbau Pedagang Jual Minyakita Sesuai HET Rp15.700 per Liter - lajur.co</t>
  </si>
  <si>
    <t xml:space="preserve">Video memperlihatkan peserta fun walk and run di Tangerang Selatan (Tangsel) protes viral di media sosial (medsos). Wakil Wali Kota Tangsel, Pilar Saga Ichsan, meminta penyelenggara bertanggung jawab.</t>
  </si>
  <si>
    <t xml:space="preserve">https://www.inilah.com/peserta-tangsel-fun-run-and-walk-ricuh-gara-gara-tak-dapat-medali-ini-kronologinya</t>
  </si>
  <si>
    <t xml:space="preserve">Pedagang Pasar Baruga Kendari Resah, Empat Lembar Uang Rp100 Ribu Diduga Palsu Beredar - Suara Sultra</t>
  </si>
  <si>
    <t xml:space="preserve">Suara Sultra</t>
  </si>
  <si>
    <t xml:space="preserve">Sejumlah peserta sedang berkumpul untuk memprotes penyelenggara Tangsel Fun Run &amp; Walk viral, Minggu (2/8/2026).(Foto: dok-pribadi) Berita Terkini, Eksklusif di WhatsApp Inilah.com Video protes pesert</t>
  </si>
  <si>
    <t xml:space="preserve">https://news.detik.com/berita/d-8602255/eo-fun-walk-run-di-tangsel-minta-maaf-usai-ramai-diprotes-peserta</t>
  </si>
  <si>
    <t xml:space="preserve">Pemkot Kendari Gelar Gemarikan dan Pasar Murah untuk Tekan Inflasi - Berita Kota Kendari</t>
  </si>
  <si>
    <t xml:space="preserve">Berita Kota Kendari</t>
  </si>
  <si>
    <t xml:space="preserve">Acara Tangsel Fun Walk and Run ramai diprotes peserta hingga diwarnai kekisruhan dalam pelaksanaannya. Pihak event organizer (EO) menyampaikan permintaan maaf atas kekisruhan tersebut. Permintaan maaf</t>
  </si>
  <si>
    <t xml:space="preserve">https://most1058fm.com/2026/08/pemkot-tangsel-klarifikasi-fun-run-viral-bukan-kegiatan-resmi-pemerintah/</t>
  </si>
  <si>
    <t xml:space="preserve">most1058fm.com</t>
  </si>
  <si>
    <t xml:space="preserve">Dua Menteri Tinjau Sekolah Rakyat di Kendari, Pastikan Program Pengentasan Kemiskinan Berjalan - Media Indonesia</t>
  </si>
  <si>
    <t xml:space="preserve">Pemerintah Kota Tangerang Selatan (Tangsel) menegaskan bahwa kegiatan Tangsel Fun Run &amp; Walk yang menuai protes peserta bukan merupakan acara resmi pemerintah. Pemkot juga meminta penyelenggara bertan</t>
  </si>
  <si>
    <t xml:space="preserve">https://news.detik.com/berita/d-8601265/pemkot-tangsel-panggil-eo-fun-run-usai-diprotes-peserta-bakal-beri-sanksi</t>
  </si>
  <si>
    <t xml:space="preserve">Pemerintah Cabut Denda Rp 100 Juta bagi Manajer Koperasi Merah Putih yang Mundur - Kompas.id</t>
  </si>
  <si>
    <t xml:space="preserve">Pemerintah Kota Tangerang Selatan ( Tangsel ) akan memanggil Event Organizer (EO) yang menggelar acara fun walk and run yang diprotes peserta lantaran tidak ada panitia yang hadir dan tak ada medali. </t>
  </si>
  <si>
    <t xml:space="preserve">Pilihan selanjutnya yang menawarkan konsep kuliner modern berbalut keindahan estetika visual adalah Tilu Geulis Cijeruk yang berlokasi di Jalan Kolonel Bustomi Nomor 36, Warung Menteng. Restoran ini d</t>
  </si>
  <si>
    <t xml:space="preserve">5 Rekomendasi Kuliner di Kota Wisata Bogor, Ada Kopitiam KOMPAS.com – Kota Wisata di Kabupaten Bogor, Jawa Barat, memiliki sejumlah pilihan tempat makan yang bisa disambangi untuk mencicipi beragam hi</t>
  </si>
  <si>
    <t xml:space="preserve">https://mediaindonesia.com/jabar/kuliner/930246/12-rekomendasi-kuliner-hits-bogor-yang-wajib-dicoba</t>
  </si>
  <si>
    <t xml:space="preserve">Menikmati Pesona Mata Air Ninivala di Maluku - 20detik</t>
  </si>
  <si>
    <t xml:space="preserve">Terungkap, dari 16 unit rumah temuan Ombudsman RI, cuma tiga unit berstatus barang milik negara. KULINER hits adalah istilah untuk makanan, minuman, atau tempat makan yang sedang populer, ramai dibica</t>
  </si>
  <si>
    <t xml:space="preserve">Mi Kocok Mawar sumber: Instagram @visitbogor Whisnu Mardiansyah •  1 August 2026 09:06 Bogor: Pagi di Kota Bogor menawarkan lebih dari sekadar udara sejuk dan kabut tipis yang menyelimuti. Bagi para p</t>
  </si>
  <si>
    <t xml:space="preserve">BOGORONLINE.com — Pencinta kuliner pedas di Kota Bogor kini memiliki pilihan tempat makan baru. Bakso Gunung Kidul Taichan Bu Iwan Teplan di Asrama Perumahan Teplan, Jalan Kolonel Enjo M No. 37, Kelur</t>
  </si>
  <si>
    <t xml:space="preserve">Photo source: @trinkhaus.bogor Penat dengan rutinitas harian? Kamu bisa refreshing sejenak dengan liburan di Bogor. Udaranya lebih sejuk dan jaraknya nggak terlalu jauh dari Jakarta. Selain mengunjung</t>
  </si>
  <si>
    <t xml:space="preserve">Di Bogor ada banyak tempat makan bubur ayam yang menarik untuk dicoba. Mulai dari yang legendaris, kaki lima, sampai yang viral, berikut rekomendasinya! Bubur ayam kerap menjadi salah satu pilihan 'co</t>
  </si>
  <si>
    <t xml:space="preserve">Macaroni Panggang Bogor Bagi pencinta olahan keju dan pasta, Macaroni Panggang Bogor menawarkan kelezatan makaroni panggang dengan taburan keju mozzarella melimpah di atasnya, menghasilkan tekstur ren</t>
  </si>
  <si>
    <t xml:space="preserve">Seperti kota-kota besar lainnya, semakin mudah juga menemukan restoran Korea di Bogor untuk dicoba bersama teman-teman ataupun keluarga. Demam makanan asal Korea membuat makin bermunculan restoran den</t>
  </si>
  <si>
    <t xml:space="preserve">Kali ini Nibble mau kasih rekomendasi restoran Italia yang bisa kamu coba di Bogor. Kulineran ke Bogor juga terhitung variatif dengan bermunculannya resto-resto dari beragam negara, apalagi Italia yan</t>
  </si>
  <si>
    <t xml:space="preserve">Asinan Sedap Gedung Dalam-- diswayjogja.id - Kota Bogor menyimpan begitu banyak cerita kuliner yang tak pernah ada habisnya, dan kawasan di sekitar stasiun adalah salah satu episentrum utamanya. Setia</t>
  </si>
  <si>
    <t xml:space="preserve">Ada Mont Blanc enak di Bogor untuk pencinta kopi segar. Mulai dari Budiman Coffee, Futura, Satu Tudju, Sdan beberapa tempat lainnya yang layak dicoba. Bogor tak hanya dikenal dengan udara sejuk dan ku</t>
  </si>
  <si>
    <t xml:space="preserve">The Rainforest Table (Kawasan Sentul)-- diswayjogja.id - Mencari pelarian akhir pekan dari hiruk-pikuk ibu kota? Bogor menjadi destinasi utama bagi para pencinta kuliner bulan ini. Dari kafe estetik d</t>
  </si>
  <si>
    <t xml:space="preserve">https://food.detik.com/foto-kuliner/d-8509261/10-bakso-paling-populer-di-bogor-nikmatnya-bikin-orang-rela-antre</t>
  </si>
  <si>
    <t xml:space="preserve">Viral Video Tiga Wanita Aniaya Pelajar di Ambon, Polisi: Dipicu Masalah Sepele - Kompas.com</t>
  </si>
  <si>
    <t xml:space="preserve">Jakarta - Di Bogor banyak bakso enak yang terdiri dari kuah gurih hingga adonannya yang berdaging. Kalau mampir ke kota hujan, jangan lewatkan 10 bakso ini ya! Anda menyukai artikel ini</t>
  </si>
  <si>
    <t xml:space="preserve">Umumnya, pasar konvensional jadi tempat bagi masyarakat untuk belanja kebutuhan sehari-hari. Suasana itu berbeda dengan Pasar Jambu Dua yang mulai beralih fungsi. Bukan cuma menjadi pasar konvensional</t>
  </si>
  <si>
    <t xml:space="preserve">Redaksi Rentak - Penulis Sabtu, 19 September 2026 -  09:46											 WIB Restoran Caravan di Taman Safari  Indonesia Bogor (foto. lazir) BOGOR – Bingung mencari tempat liburan bersama keluarga pada a</t>
  </si>
  <si>
    <t xml:space="preserve">https://jogja.disway.id/gaya-hidup/read/701706/daftar-wisata-kuliner-restoran-dan-tempat-makan-hits-di-bogor-yang-menggugah-selera</t>
  </si>
  <si>
    <t xml:space="preserve">Gara-gara Candaan 'Tante Cantik', Ahmad Sahroni Dituding Lakukan Seksisme ke Gubernur Sherly Tjoanda - TribunStyle.com</t>
  </si>
  <si>
    <t xml:space="preserve">diswayjogja.id - Sektor pariwisata kuliner di berbagai wilayah Kota Bogor dan Kabupaten Bogor, Jawa Barat, terus menunjukkan perkembangan yang sangat menggembirakan dari waktu ke waktu. Kota yang terk</t>
  </si>
  <si>
    <t xml:space="preserve">Bogor selalu menjadi salah satu destinasi favorit bagi warga Jabodetabek yang ingin melepas penat tanpa harus bepergian terlalu jauh. Dikenal sebagai Kota Hujan, Bogor menawarkan kombinasi menarik ant</t>
  </si>
  <si>
    <t xml:space="preserve">Dengan perencanaan yang matang, mulai dari menyusun itinerary hingga memilih moda transportasi yang nyaman, momen wisata malam di Bogor akan menjadi pengalaman liburan yang menyegarkan pikiran. Bogor </t>
  </si>
  <si>
    <t xml:space="preserve">https://travel.detik.com/domestic-destination/d-8500079/rencana-liburan-ke-bogor-ini-11-destinasi-hits-yang-wajib-masuk-daftar</t>
  </si>
  <si>
    <t xml:space="preserve">Breaking News: Kebakaran Rumah Makan di Ternate, Api Diduga Berasal dari Kompor - Haliyora.id</t>
  </si>
  <si>
    <t xml:space="preserve">Bogor seakan tak pernah kehabisan inovasi, ada saja tempat wisata baru yang bisa jadi pilihan untuk liburan keluarga. Ini 11 daftar wisata hits yang cocok untuk akhir pekan! Bogor menyuguhkan pesona a</t>
  </si>
  <si>
    <t xml:space="preserve">Banyak kuliner lezat yang bisa dinikmati di Bogor. Kali ini selebriti akan menikmari kuliner di Two Stories Resto. Menu makanan di sini sangat lezat-lezat. Dok : Celebrity on Vacation Trans TV (Ade)</t>
  </si>
  <si>
    <t xml:space="preserve">Kota Bogor , VIVA Bogor – Pemerintah Kota Bogor terus mematangkan berbagai persiapan menjelang peresmian Museum Batutulis yang dijadwalkan berlangsung pada 3 Juni 2026, bertepatan dengan peringatan Ha</t>
  </si>
  <si>
    <t xml:space="preserve">Rustic Market Sentul atau Valley Market memang menjadi destinasi wisata alam yang sangat menarik. Pengunjung bisa mendatanginya kapan saja bersama sahabat, keluarga, maupun orang tersayang lainnya. Di</t>
  </si>
  <si>
    <t xml:space="preserve">Bogor, VIVABOGOR - Pemerintah Kota (Pemkot) Bogor melalui Dinas Pariwisata dan Kebudayaan (Disparbud) terus mempercepat langkah pembenahan dan pengembangan kawasan bersejarah Museum Pajajaran di Batut</t>
  </si>
  <si>
    <t xml:space="preserve">Pernahkah traveler bertanya-tanya bagaimana seekor kasuari atau ikan kerapu raksasa bisa tetap terlihat segar dan hidup meski telah dipamerkan selama puluhan, bahkan ratusan tahun? Ternyata ini rahasi</t>
  </si>
  <si>
    <t xml:space="preserve">Seekor sapi kurban mengamuk hingga masuk ke toko kamera di Jalan Abesin, Kota Bogor. Kemunculan mendadak itu membuat pegawai dan pembeli di toko tersebut panik. "Betul, kejadiannya kemarin. Kebetulan </t>
  </si>
  <si>
    <t xml:space="preserve">https://bogor.voa.co.id/berita/3596/rudy-susmanto-bantah-pembina-media-ajak-lapor-narkoba-bogor/</t>
  </si>
  <si>
    <t xml:space="preserve">bogor.voa.co.id</t>
  </si>
  <si>
    <t xml:space="preserve">Istri Brimob Maluku Utara Klarifikasi Dugaan KDRT: Narasi Viral Tak Sesuai Fakta - HalmaheraPost.com</t>
  </si>
  <si>
    <t xml:space="preserve">HalmaheraPost.com</t>
  </si>
  <si>
    <t xml:space="preserve">SCROLL UNTUK MELANJUTKAN MEMBACA Copyright © bogor.voa.co.id 2025 All right reserved Cibinomg, BOGOR | VOA Bogor – Bupati Bogor Rudy Susmanto angkat bicara terkait isu viral di media sosial yang menye</t>
  </si>
  <si>
    <t xml:space="preserve">Dua pria yang diduga merupakan panitia kurban lalu mencoba menangkap sapi. Hewan tersebut hingga akhirnya berhasil digiring ke luar toko. Seorang pegawai toko Ah Kamera Bogor bernama Bima menyebut tak</t>
  </si>
  <si>
    <t xml:space="preserve">Ada pemandangan berbeda di salah satu pasar yang ada di Kota Bogor, namanya Pasar Jambu Dua. Tempat ini sedang naik daun sebagai sentra kuliner sekaligus spot nongkrong kalcer yang dijuluki sebagai Bl</t>
  </si>
  <si>
    <t xml:space="preserve">https://poskota.co/megapolitan/viral-dugaan-pungli-pkl-di-kawasan-eks-pasar-bogor/</t>
  </si>
  <si>
    <t xml:space="preserve">Jalan Kaki 150 KM, Tim Putra Waka Desa Fatkauyon Juara 1 Event Gabalil Hai Sua - tandaseru.com</t>
  </si>
  <si>
    <t xml:space="preserve">BOGOR – Aksi dugaan pungutan liar (pungli) terhadap pedagang kaki lima (PKL) di kawasan eks Pasar Bogor terekam kamera CCTV dan viral di media sosial. Dalam rekaman tersebut, terlihat dua pria meminta</t>
  </si>
  <si>
    <t xml:space="preserve">https://megapolitan.kompas.com/read/2026/09/22/10195411/viral-truk-sampah-kota-bogor-rusak-dan-baknya-berlubang-pemkot-tarik-unit</t>
  </si>
  <si>
    <t xml:space="preserve">Event Domino 2026, Polres Morotai Borong Posisi Puncak - BeritaDetik.id</t>
  </si>
  <si>
    <t xml:space="preserve">BeritaDetik.id</t>
  </si>
  <si>
    <t xml:space="preserve">Viral Truk Sampah Kota Bogor Rusak dan Baknya Berlubang, Pemkot Tarik Unit BOGOR, KOMPAS.com - Pemerintah Kota (Pemkot) Bogor menyatakan, sudah menarik unit truk pengangkut sampah yang kondisinya bobr</t>
  </si>
  <si>
    <t xml:space="preserve">https://bogor.viva.co.id/kabar-bogor/4292-diduga-penipuan-event-lari-di-bogor-ratusan-peserta-datangi-lokasi-kerugian-capai-ratusan-juta</t>
  </si>
  <si>
    <t xml:space="preserve">Kapolsek Utara dan Polres Ternate Gerak Cepat Cek Lokasi Kandang Ternak Milik Oknum Polisi yang Viral - BeritaDetik.id</t>
  </si>
  <si>
    <t xml:space="preserve">Kota Bogor , VIVA Bogor – Kekecewaan mendalam dirasakan para peserta event lari di Kota Bogor setelah kegiatan yang dijanjikan tak kunjung terlaksana. Pada Jumat 3 April 2026, belasan peserta mendatan</t>
  </si>
  <si>
    <t xml:space="preserve">https://jogja.disway.id/amp/701809/rasa-bintang-lima-ini-dia-spot-kuliner-pizza-paling-hits-di-malang-dengan-harga-kaki-lima</t>
  </si>
  <si>
    <t xml:space="preserve">3 Berita Populer Malut: Pemprov Tunda Rekrutmen CPNS - Festival Saruma 2026 Ditiadakan - Tribunternate.com</t>
  </si>
  <si>
    <t xml:space="preserve">Tribunternate.com</t>
  </si>
  <si>
    <t xml:space="preserve">diswayjogja.id - Dunia kuliner di Kota Malang tidak pernah berhenti berinovasi dalam menyajikan berbagai variasi makanan lezat yang mampu memanjakan selera masyarakat dari berbagai kalangan. Sebagai s</t>
  </si>
  <si>
    <t xml:space="preserve">Sepuluh gerai ramah keluarga meliputi Ayam Bakar Pak D, Potre Koneng, Lataran Sendayu, Waroeng Tani, Pawon Yang Kung, Ayam Goreng Balaikota, Ramlah Ayam Tangkap, Latar Bokor, Waroeng Pring Pethak, hin</t>
  </si>
  <si>
    <t xml:space="preserve">Photo source: @porkandbarrelindonesia Di mana kamu bisa menemukan kuliner nonhalal Malang? Ada banyak kok. Bahkan, cukup mudah menjumpai kuliner demikian di kota yang identik dengan apel ini. Tak sedi</t>
  </si>
  <si>
    <t xml:space="preserve">Baru turun kereta di Stasiun Malang dan bingung mau makan apa? Tenang, di sekitar stasiun ada banyak tempat makan enak yang bisa dijangkau cukup dengan jalan kaki beberapa menit saja. Mulai dari rawon</t>
  </si>
  <si>
    <t xml:space="preserve">Kafe Rumah Loemadjang-- diswayjogja.id - Kota Malang, yang terletak di Provinsi Jawa Timur dan terkenal sebagai salah satu pusat pendidikan serta destinasi wisata paling populer di Indonesia, senantia</t>
  </si>
  <si>
    <t xml:space="preserve">https://radarmalang.jawapos.com/wisata-kuliner/2607140031/pecinta-seafood-wajib-coba-ini-8-rekomendasi-tempat-makan-seafood-favorit-di-malang</t>
  </si>
  <si>
    <t xml:space="preserve">Viral, Dialog Ulama Indonesia Shamsi Ali dengan Demonstran Pro-Papua di New York - Jawa Pos</t>
  </si>
  <si>
    <t xml:space="preserve">Pecinta seafood wajib merapat! Mulai dari kepiting, udang, hingga gurami bakar, sejumlah tempat makan seafood di Malang ini menawarkan cita rasa lezat dan suasana nyaman untuk quality time bersama kel</t>
  </si>
  <si>
    <t xml:space="preserve">Soto Tangkar Babe Ogah-- diswayjogja.id - Sektor pariwisata dan industri kuliner di berbagai wilayah Kota Malang, Jawa Timur, terus menunjukkan perkembangan yang sangat menggembirakan dari waktu ke wa</t>
  </si>
  <si>
    <t xml:space="preserve">https://radarmalang.jawapos.com/wisata-kuliner/2607160008/cari-tempat-dinner-dengan-city-light-di-malang-tiga-rooftop-ini-wajib-masuk-daftar</t>
  </si>
  <si>
    <t xml:space="preserve">Kasus Dugaan Pencurian Kosmetik di Toko Ivory Timika yang Viral di Media Sosial Berakhir Damai - Fajar Papua</t>
  </si>
  <si>
    <t xml:space="preserve">Ketiga tempat tersebut dapat menjadi pilihan dinner dengan suasana berbeda di Kota Malang. Selain menyajikan beragam hidangan, pengunjung dapat menikmati panorama city light.</t>
  </si>
  <si>
    <t xml:space="preserve">https://jogja.disway.id/gaya-hidup/read/700571/jelajah-rasa-deretan-tempat-makan-legendaris-dan-kekinian-di-malang</t>
  </si>
  <si>
    <t xml:space="preserve">Terekam CCTV, Tiga Pencuri Kosmetik Di Toko Ivory Akhirnya Minta Maaf Ke Publik - Salam Papua</t>
  </si>
  <si>
    <t xml:space="preserve">Salam Papua</t>
  </si>
  <si>
    <t xml:space="preserve">diswayjogja.id - Di tengah gempuran tren makanan modern yang silih berganti, Malang tetap mempertahankan identitas kulinernya melalui kehadiran berbagai tempat makan legendaris maupun inovasi menu bar</t>
  </si>
  <si>
    <t xml:space="preserve">https://radarmalang.jawapos.com/lifestyle/2605060068/keliling-dunia-lewat-rasa-deretan-kuliner-mancanegara-di-malang-yang-wajib-dicoba</t>
  </si>
  <si>
    <t xml:space="preserve">Dua Remaja Putri dan Satu Lelaki Kemayu Terekam CCTV Curi Kosmetik di Toko Ivory Timika, Aksinya Viral di Media Sosial - Fajar Papua</t>
  </si>
  <si>
    <t xml:space="preserve">Keliling dunia lewat rasa bisa dimulai dari Malang—kota ini menyimpan sedikitnya lima restoran mancanegara dengan cita rasa otentik, mulai dari Korea hingga Timur Tengah, yang ramai dibicarakan di med</t>
  </si>
  <si>
    <t xml:space="preserve">https://radarmalang.jawapos.com/wisata-kuliner/2607040015/berburu-sate-taichan-di-kota-malang-ini-5-tempat-yang-wajib-masuk-daftar-kunjungan</t>
  </si>
  <si>
    <t xml:space="preserve">Tokoh Adat Papua Sebut Film Dokumenter “Pesta Babi " Terkesan Tidak Berimbang - Kilas Papua</t>
  </si>
  <si>
    <t xml:space="preserve">Kilas Papua</t>
  </si>
  <si>
    <t xml:space="preserve">Sate taichan menjadi pilihan kuliner favorit bagi pencinta makanan pedas. Di Kota Malang, ada sejumlah tempat makan yang menawarkan sate ayam juicy dengan sambal khas.</t>
  </si>
  <si>
    <t xml:space="preserve">rekomendasi wisata malang-- LAHAT.CO - Malang dan wilayah sekitarnya menjadi salah satu kawasan wisata yang menawarkan pilihan destinasi cukup beragam. Wisatawan dapat menemukan taman rekreasi keluarg</t>
  </si>
  <si>
    <t xml:space="preserve">Wisata ramah anak di tengah Kota Malang, Piataland menyediakan beragam wahana hingga aktivitas seru untuk anak serta fasilitas yang menunjang kenyamanan pengunjung.</t>
  </si>
  <si>
    <t xml:space="preserve">Kebakaran hutan dan lahan di kawasan Bromo meluas hingga ke Pos Jemplang dan mendekati kafe Bromo Hillside di Kabupaten Malang pada Sabtu (12/9/2026). Balai Besar Taman Nasional Bromo Tengger Semeru m</t>
  </si>
  <si>
    <t xml:space="preserve">MALANG – Kabupaten Malang terus berupaya memperluas promosi destinasi wisatanya ke pasar internasional. Tak hanya mengandalkan nama besar Gunung Bromo, berbagai destinasi unggulan lain seperti Coban S</t>
  </si>
  <si>
    <t xml:space="preserve">JATIMTIMES - Sebuah video yang memperlihatkan dugaan penyerangan terhadap rombongan wisatawan asal Surabaya di kawasan wisata Wediawu, Malang Selatan, mendadak viral di media sosial. Peristiwa ini ter</t>
  </si>
  <si>
    <t xml:space="preserve">https://radarmalang.jawapos.com/wisata-kuliner/2605150036/tempat-wisata-di-kota-malang-yang-lagi-viral-cocok-untuk-liburan-akhir-pekan</t>
  </si>
  <si>
    <t xml:space="preserve">Peran Mama Papua dalam Ekonomi Pasar Tradisional dan Tantangan Kebersihan Lingkungan Pasar Youtefa - Tribunpapuatengah.com</t>
  </si>
  <si>
    <t xml:space="preserve">Sejumlah tempat wisata di Kota Malang belakangan ramai diperbincangkan di media sosial dan menjadi tujuan favorit masyarakat saat akhir pekan. Beragam konsep wisata yang unik membuat tempat-tempat ini</t>
  </si>
  <si>
    <t xml:space="preserve">KESEHATAN &amp; KECANTIKAN Pantai Jolangkung yang eksotis banyak laguna untuk keceh-ist- ​ MALANG, DISWAYMALANG.ID — Keindahan alam pesisir selatan Kabupaten Malang memang tidak pernah habis untuk diekspl</t>
  </si>
  <si>
    <t xml:space="preserve">MALANG – Insiden kericuhan di kawasan wisata Malang Selatan kembali memunculkan perhatian publik terhadap standar keamanan destinasi berbasis villa dan camping ground. Peristiwa yang terjadi di Campgr</t>
  </si>
  <si>
    <t xml:space="preserve">https://malangtimes.com/baca/3331342273/20260421/181100/koordinasi-lintas-sektor-disparbud-cari-lahan-untuk-kelola-sampah-dari-destinasi-wisata-malang-selatan</t>
  </si>
  <si>
    <t xml:space="preserve">Anggota DPR: Penembakan 3 Pegawai Pertanian di Papua Pelanggaran HAM, Tak Boleh Ditoleransi - Kompas.com</t>
  </si>
  <si>
    <t xml:space="preserve">JATIMTIMES - Dinas Pariwisata dan Kebudayaan (Disparbud) Kabupaten Malang saat ini tengah menjalin koordinasi lintas sektor untuk mengatasi masalah pengelolaan sampah di berbagai destinasi wisata di w</t>
  </si>
  <si>
    <t xml:space="preserve">https://radarmalang.jawapos.com/wisata-kuliner/2604200071/5-wisata-instagramable-di-malang-yang-lagi-hits-2026-cocok-buat-foto-estetik</t>
  </si>
  <si>
    <t xml:space="preserve">Penembakan di Festival Budaya Lembah Baliem, Dua Warga Terluka dan Pengunjung Dievakuasi - Sudutpandang.id</t>
  </si>
  <si>
    <t xml:space="preserve">Sudutpandang.id</t>
  </si>
  <si>
    <t xml:space="preserve">Kota Malang dikenal sebagai salah satu destinasi wisata favorit di Jawa Timur yang menawarkan beragam tempat menarik dan instagramable. Tidak hanya menghadirkan pemandangan indah, sejumlah wisata ini </t>
  </si>
  <si>
    <t xml:space="preserve">Malang – Insiden dugaan penyerangan yang dialami rombongan wisatawan asal Surabaya di kawasan Pantai Wediawu Tirtoyudo Kabupaten Malang terus memicu kecaman. Insiden ini menjadi catatan jelek rapor pa</t>
  </si>
  <si>
    <t xml:space="preserve">MALANG – Pemilik Vendor Nuansa CCTV Malang , Dani Reza Kusuma, akhirnya memberikan tenggat waktu terakhir selama satu minggu kepada manajemen Wisata Wendit Malang untuk melunasi sisa pembayaran proyek</t>
  </si>
  <si>
    <t xml:space="preserve">https://radarmalang.jawapos.com/wisata-kuliner/2606240057/menjajal-serunya-beragam-wahana-di-sumber-maron-malang</t>
  </si>
  <si>
    <t xml:space="preserve">Emas Ilegal Dari Kabar &amp; Papua Barat Rp 25,9 Triliun, Dari Tambang Hingga Toko Emas - radarnonstop.co</t>
  </si>
  <si>
    <t xml:space="preserve">Di balik rimbunnya pepohonan Desa Karangsuko, Kecamatan Pagelaran, Kabupaten Malang, mengalir air jernih yang menjadi alasan ribuan orang rela menempuh perjalanan jauh hanya untuk merasakan kesegarann</t>
  </si>
  <si>
    <t xml:space="preserve">https://malangtimes.com/tag/malang-berita-malang-peninggalan-kerajaan-kanjuruhan-penemua-dua-artefak-kuno-yoni-di-malang-dinas-kebudayaan-dan-pariwisata-kota-malang-tim-ahli-cagar-budaya-cagar-budaya-kota-malang-universitas-negeri-malang-museum-mpu-purwa-dinas-pendidikan-kota-malang</t>
  </si>
  <si>
    <t xml:space="preserve">Display Kopdes Merah Putih Disorot, Netizen: Kayak Minimarket Bangkrut! - OWRITE</t>
  </si>
  <si>
    <t xml:space="preserve">Menampilkan seluruh arsip liputan, peristiwa terkini, investigasi, dan berita terbaru yang terhubung dengan tag “# Malang Berita Malang Peninggalan Kerajaan Kanjuruhan Penemua Dua Artefak Kuno Yoni Di</t>
  </si>
  <si>
    <t xml:space="preserve">https://www.detik.com/jatim/berita/d-8564182/viral-umm-tarik-toga-wisuda-baru-gegara-dikritik-mirip-kostum-bantengan</t>
  </si>
  <si>
    <t xml:space="preserve">Papua: Ratusan mama di Sorong tuntut dukungan ekonomi, tolak militerisme dan PSN - BBC</t>
  </si>
  <si>
    <t xml:space="preserve">Desain anyar toga wisuda Universitas Muhammadiyah Malang (UMM) jadi sorotan. Banyak menilai kostum pelengkap wisuda bagi mahasiswa itu mirip penari kesenian bantengan. Sorotan tajam itu muncul ketika </t>
  </si>
  <si>
    <t xml:space="preserve">KESEHATAN &amp; KECANTIKAN Museum Keliling Disdikbud Kota Malang Di SDN Bandungrejosari 2-- SUKUN, DISWAYMALANG.ID — Dinas Pendidikan dan Kebudayaan (Disdikbud) Kota Malang mengajak siswa SDN Bandungrejos</t>
  </si>
  <si>
    <t xml:space="preserve">indiekraf.com – Donat kembali menjadi salah satu kuliner yang sedang naik daun di Malang. Nggak cuma menawarkan rasa manis yang klasik, sekarang banyak toko donat yang menghadirkan inovasi mulai dari </t>
  </si>
  <si>
    <t xml:space="preserve">MALANG (Floresku.com) - Dinas Lingkungan Hidup (DLH) Kota Malang akhirnya menutup aktivitas toko yang beroperasi di dalam fasilitas toilet umum di Alun-alun Merdeka Malang. Langkah ini diambil setelah</t>
  </si>
  <si>
    <t xml:space="preserve">18 Mei 2026 19:00 18 Mei 2026 19:00 Pengunjung sedang memilih pernak-pernik lucu di Skwero Concept Malang. (Foto: Aliyah/Ketik.com) KETIK, MALANG – Skwero Concept hadir di kawasan Kayutangan Heritage,</t>
  </si>
  <si>
    <t xml:space="preserve">https://jatim.idntimes.com/news/jawa-timur/5-toko-perlengkapan-bayi-di-malang-bisa-belanja-baju-kiloan-01-n4hg7-hmqpmt</t>
  </si>
  <si>
    <t xml:space="preserve">Provinsi Papua Selatan - Pemerintah Provinsi Papua Selatan</t>
  </si>
  <si>
    <t xml:space="preserve">Pemerintah Provinsi Papua Selatan</t>
  </si>
  <si>
    <t xml:space="preserve">Malang, IDN Times - Peralatan bayi sangat penting untuk dimiliki, terutama bagi ibu baru yang belum pernah membeli aneka peralatan bayi sebelumnya. Namun, peralatan bayi tidak selalu mudah ditemukan d</t>
  </si>
  <si>
    <t xml:space="preserve">KESEHATAN &amp; KECANTIKAN Tendo Gyoza salah satu jajanan yang ada di Pasar Klojen Malang-- MALANG , DISWAYMALANG.ID– Kuliner kekinian di kawasan Pasar Klojen kembali menarik perhatian, salah satunya adal</t>
  </si>
  <si>
    <t xml:space="preserve">Kuliner malam di Kota Malang kembali diramaikan dengan hadirnya sajian unik yang tengah naik daun, yakni gultik atau gulai tikungan. Hidangan yang populer di kawasan Blok M, Jakarta ini kini bisa dini</t>
  </si>
  <si>
    <t xml:space="preserve">https://wolipop.detik.com/wedding-news/d-8447657/viral-pasangan-di-malang-suguhkan-konsep-pasar-buah-segar-sebagai-souvenir</t>
  </si>
  <si>
    <t xml:space="preserve">Budaya Papua Selatan Tampil di Samosir, Ribuan Penonton Terpukau, Jadi Simbol Kolaborasi Timur ke Barat - topmetro news</t>
  </si>
  <si>
    <t xml:space="preserve">Sebuah video viral di media sosial menampilkan konsep pernikahan unik yang mengusung tema 'pasar buah'. Dalam video tersebut, terlihat para tamu undangan, terutama ibu-ibu, antusias memilih dan mengam</t>
  </si>
  <si>
    <t xml:space="preserve">https://surabaya.kompas.com/read/2026/04/26/145136678/malang-half-marathon-siap-masuk-kalender-event-2027-dongkrak-pariwisata</t>
  </si>
  <si>
    <t xml:space="preserve">Polisi Tangkap Tiga Pelaku Pengeroyokan Hingga Tewas di Merauke - Papua Selatan Pos</t>
  </si>
  <si>
    <t xml:space="preserve">Papua Selatan Pos</t>
  </si>
  <si>
    <t xml:space="preserve">Malang Half Marathon Siap Masuk Kalender Event 2027, Dongkrak Pariwisata hingga Perhotelan MALANG, KOMPAS.com - Pemerintah Kota (Pemkot) Malang berencana menjadikan Malang Half Marathon sebagai agenda</t>
  </si>
  <si>
    <t xml:space="preserve">https://malangtimes.com/baca/3331342148/20260419/144400/disdikbud-kota-malang-apresiasi-festival-anak-gemilang-panggung-strategis-mencetak-generasi-unggul</t>
  </si>
  <si>
    <t xml:space="preserve">Menggunakan laras panjang, petugas polisi diduga ditangkap usai merampok toko emas di Tapaktuan - rakyatpos.id</t>
  </si>
  <si>
    <t xml:space="preserve">JATIMTIMES - Ratusan anak dari berbagai daerah di Jawa Timur memadati Ramayana Mall Dinoyo, Kota Malang, Minggu (19/4/2026), untuk mengikuti Festival Anak Gemilang yang digelar dalam rangka memperinga</t>
  </si>
  <si>
    <t xml:space="preserve">Sukun (malangkota.go.id) – Festival Genitri Tempo Doeloe kembali hadir untuk yang kedelapan kalinya. Festival tahunan yang digelar warga RW 04, Kelurahan Pisangcandi, Kecamatan Sukun ini resmi dibuka </t>
  </si>
  <si>
    <t xml:space="preserve">KESEHATAN &amp; KECANTIKAN MALANG, DISWAYMALANG.ID- Malang Edu Fest 2026 kembali hadir sebagai wadah pengembangan potensi generasi muda melalui kompetisi akademik dan kegiatan kreatif. Rangkaian acara ini</t>
  </si>
  <si>
    <t xml:space="preserve">https://ketik.com/malang/daerah/genjot-1000-event-wali-kota-malang-permudah-perizinan-asal-syarat-lengkap-langsung-jalan</t>
  </si>
  <si>
    <t xml:space="preserve">Pesta Babi Viral, PSN Lumbung Pangan di Papua Tidak Boleh Dihentikan - jpnn.com</t>
  </si>
  <si>
    <t xml:space="preserve">16 Juli 2026 11:16 16 Jul 2026 11:16 Wali Kota Malang, Wahyu Hidayat menjelaskan kemudahan perizinan bagi penyelenggaraan event di Kota Malang. (Foto: Lutfia/Ketik.com) KETIK, MALANG – Wali Kota Malan</t>
  </si>
  <si>
    <t xml:space="preserve">https://www.detik.com/jatim/wisata/d-8489050/500-motor-klasik-siap-jelajahi-jalur-selatan-dari-malang-ke-solo</t>
  </si>
  <si>
    <t xml:space="preserve">Agrinas Palma Kedepankan Dialog dalam Pengembangan Papua Selatan - Suara Merdeka Jakarta - Suara Merdeka Jakarta</t>
  </si>
  <si>
    <t xml:space="preserve">Ratusan pencinta motor klasik berkumpul di Kota Malang untuk mengikuti touring melintasi Jalur Lintas Selatan menuju Solo, Jawa Tengah. Kegiatan tersebut menjadi bagian dari perhelatan perdana bertaju</t>
  </si>
  <si>
    <t xml:space="preserve">https://malangtimes.com/tag/malang-berita-malang-Unikama-Universitas-Kanjuruhan-Malang--kunjungan-studi-banding-siswa-SMK-PGRI-Turen-Malang-penandatanganan-Memorandum-of-Understanding-kemajuan-dan-pengembangan-SDM---event-Techno-Wars-Program-Studi-Teknik-Informatika-dan-Fakultas-Sains-dan-Teknologi</t>
  </si>
  <si>
    <t xml:space="preserve">Soal Kapal Berlogo Kemhan yang Viral, Karo Infohan Tegaskan Bukan Aset Kemhan - Kompas.com</t>
  </si>
  <si>
    <t xml:space="preserve">Menampilkan seluruh arsip liputan, peristiwa terkini, investigasi, dan berita terbaru yang terhubung dengan tag “# Malang Berita Malang Unikama Universitas Kanjuruhan Malang Kunjungan Studi Banding Si</t>
  </si>
  <si>
    <t xml:space="preserve">https://malangtimes.com/tag/kediri-berita-kediri-mengantisipasi-peredaran-kondom-mengingat-ada-event-Valentine's-Dinas-Kesehatan-Dinkes-Kota-Kediri-Satpol-PP-dan-Kepolisian-menggelar-Inspeksi-Mendadak-Sidak</t>
  </si>
  <si>
    <t xml:space="preserve">Viral Kapal Pesiar Mewah Berlogo Kemhan, Ternyata Kantor Berjalan Haji Isam Garap Proyek Pangan - Inilah.com</t>
  </si>
  <si>
    <t xml:space="preserve">Menampilkan seluruh arsip liputan, peristiwa terkini, investigasi, dan berita terbaru yang terhubung dengan tag “# Kediri Berita Kediri Mengantisipasi Peredaran Kondom Mengingat Ada Event Valentine's </t>
  </si>
  <si>
    <t xml:space="preserve">Photo source: @warungsubak Ada banyak restoran enak di Bali yang cocok didatangi bersama keluarga. Selain menu yang menggugah selera, semua restoran ini biasanya menawarkan suasana yang nyaman untuk b</t>
  </si>
  <si>
    <t xml:space="preserve">Warung Nasi Tempong Bu Indra-- diswayjogja.id - Makan malam di Denpasar kurang lengkap rasanya jika belum menyentuh kuliner pedas yang autentik. Nasi Tempong kini menjadi primadona baru di kancah kuli</t>
  </si>
  <si>
    <t xml:space="preserve">Gultik Khas Blok M Kini Ada di Denpasar, Seporsi Cuma Rp 13 Ribu Rizki Setyo Samudero - detikBali Kuliner nusantara tampaknya mulai bermunculan di Pulau Dewata Bali. Selama ini beberapa kuliner dari b</t>
  </si>
  <si>
    <t xml:space="preserve">https://www.detik.com/bali/kuliner/d-8427728/rekomendasi-7-coffee-shop-terbaik-di-denpasar-yang-buka-24-jam</t>
  </si>
  <si>
    <t xml:space="preserve">Event Banten Senin 28 September 2026, Ada Kajian hingga Belajar Mengaji Teman Tuli - Tribunnews.com</t>
  </si>
  <si>
    <t xml:space="preserve">Rekomendasi 7 Coffee Shop Terbaik di Denpasar yang Buka 24 Jam Devie Vyatri Permata Cahyadi - detikBali Seiring meningkatnya minat masyarakat, khususnya anak muda, coffee shop kini makin mudah ditemuk</t>
  </si>
  <si>
    <t xml:space="preserve">Sanur, salah satu kawasan pantai terpopuler di Bali, menawarkan beragam pilihan kuliner yang fantastis. Tempat makan di Sanur hadir dalam berbagai bentuk dan ukuran, mulai dari warung makan kasual di </t>
  </si>
  <si>
    <t xml:space="preserve">https://www.detik.com/bali/kuliner/d-8456503/pecinta-dessert-wajib-tahu-5-bakery-di-denpasar-yang-lagi-populer</t>
  </si>
  <si>
    <t xml:space="preserve">44 Bupati Kompak Dukung Mentan Amran Kembangkan Bioetanol Nasional - FIN.CO.ID</t>
  </si>
  <si>
    <t xml:space="preserve">FIN.CO.ID</t>
  </si>
  <si>
    <t xml:space="preserve">Pecinta Dessert Wajib Tahu! 5 Bakery di Denpasar yang Lagi Populer Devie Vyatri Permata Cahyadi - detikBali Perkembangan tren kuliner terus menghadirkan berbagai inovasi baru. Selain coffee shop, toko</t>
  </si>
  <si>
    <t xml:space="preserve">https://bali.antaranews.com/berita/405911/polresta-denpasar-minta-pemilik-usaha-wisata-aplikasikan-cakrawasi-data-wna</t>
  </si>
  <si>
    <t xml:space="preserve">Video Keributan di GKPI Mauk Sepatan Viral, Pria Bawa Diduga Golok Minta Maaf - Sewaktu - sewaktu.com</t>
  </si>
  <si>
    <t xml:space="preserve">sewaktu.com</t>
  </si>
  <si>
    <t xml:space="preserve">Denpasar (ANTARA) - Kepolisian Resor Kota (Polresta) Denpasar minta para pemilik usaha wisata seperti guest house dan villa agar proaktif mengisi data wisatawan, khususnya wisatawan asing (WNA), melal</t>
  </si>
  <si>
    <t xml:space="preserve">Pemerintah Kota Denpasar kembali melanjutkan tahap selanjutnya penataan kawasan wisata Sanur pada tahun 2026. Usai menyelesaikan rehabilitasi Jalan Danau Tamblingan beserta penataan trotoar, kini peke</t>
  </si>
  <si>
    <t xml:space="preserve">Bali &gt; Ratusan DTW Tersebar di Bali, Destinasi Favorit Masih Didominasi 3 Kabupaten Ini Berdasarkan catatan Dinas Pariwisata (Dispar) Provinsi Bali, DTW tersebar merata di sembilan kabupaten/kota. Set</t>
  </si>
  <si>
    <t xml:space="preserve">https://bali.idntimes.com/news/bali/kemacetan-bali-jadi-fokus-nasional-demi-citra-pariwisata-00-r544s-wbd56g</t>
  </si>
  <si>
    <t xml:space="preserve">bali.idntimes.com</t>
  </si>
  <si>
    <t xml:space="preserve">Peredaran Obat dan Kosmetik Ilegal Masih Menghantui Papua Tengah - Papuapos Nabire</t>
  </si>
  <si>
    <t xml:space="preserve">Denpasar, IDN Times - Menteri Koordinator Bidang Infrastruktur dan Pembangunan Kewilayahan Republik Indonesia, Agus Harimurti Yudhoyono (AHY), mengatakan permasalahan kemacetan di Bali menjadi fokus n</t>
  </si>
  <si>
    <t xml:space="preserve">https://radarbali.jawapos.com/peristiwa/2606250051/viral-guru-agama-di-denpasar-diduga-lakukan-kekerasan-seksual-terhadap-siswi-cantik-saat-sendiri-begini-aksinya</t>
  </si>
  <si>
    <t xml:space="preserve">Wapres Gibran Berkunjung di Mimika, Ditunggu Warga dan Belanja di Toko Meriah - Tribunpapuatengah.com</t>
  </si>
  <si>
    <t xml:space="preserve">Korban diketahui berinisial KM, seorang mahasiswi asal Denpasar Utara. Sedangkan terlapor adalah ASM, seorang pria yang berprofesi sebagai guru agama dan berdomisili di wilayah Denpasar Barat</t>
  </si>
  <si>
    <t xml:space="preserve">Luas lahan subak aktif di Denpasar kini tersisa sekitar 1.915 hektare dari total 42 subak yang tersebar di empat kecamatan. Selama ini subak tak hanya menjadi sistem irigasi tradisional dan penyangga </t>
  </si>
  <si>
    <t xml:space="preserve">https://radarbali.jawapos.com/nasional/2607230015/tiongkok-dukung-pengetatan-standar-keselamatan-wisata-berisiko-tinggi-di-bali-dan-nusra</t>
  </si>
  <si>
    <t xml:space="preserve">Demam Piala Dunia 2026 Melanda Warga Kabupaten Mimika, Jersey Belanda dan Argentina Laris Manis - Tribunpapuatengah.com</t>
  </si>
  <si>
    <t xml:space="preserve">Kunjungan turis Tiongkok ke Bali &amp;amp; NTT melonjak, Konjen Tiongkok galang kolaborasi lintas sektor untuk tingkatkan sistem pengawasan wisata berisiko tinggi dan tanggap darurat.</t>
  </si>
  <si>
    <t xml:space="preserve">Badung (ANTARA) - Pemerintah Provinsi (Pemprov) Bali mengembangkan produk pertanian organik untuk mewujudkan Bali sebagai destinasi wisata kuliner. “Dalam rangka mewujudkan wisata kuliner, Pemprov Bal</t>
  </si>
  <si>
    <t xml:space="preserve">Belum punya akun? Daftar Akun Download TribunX untuk Android &amp; iOS TRIBUN-BALI.COM - Sebuah video yang memperlihatkan dua remaja wanita terlibat keributan di kawasan Penelokan , Kecamatan Kintamani, K</t>
  </si>
  <si>
    <t xml:space="preserve">https://baliilu.com/viral-di-medsos-pencuri-6-karung-beras-di-toko-kelontong-dalam-penyelidikan-polisi/</t>
  </si>
  <si>
    <t xml:space="preserve">baliilu.com</t>
  </si>
  <si>
    <t xml:space="preserve">VIRAL - SKANDAL MTQ PAPUA TENGAH: Juara I Dibuang, Juara II Melenggang ke Nasional - Iskandar Diblok - Papuanewsonline.com</t>
  </si>
  <si>
    <t xml:space="preserve">Papuanewsonline.com</t>
  </si>
  <si>
    <t xml:space="preserve">Denpasar, baliilu.com – Sebuah video rekaman CCTV yang memperlihatkan dugaan aksi pencurian beras di sebuah toko kelontong di wilayah Denpasar Timur viral di media sosial. Peristiwa tersebut terjadi d</t>
  </si>
  <si>
    <t xml:space="preserve">https://radarbadung.jawapos.com/hukum-kriminal/2607140008/viral-isu-pelayanan-sim-di-polresta-denpasar-dua-oknum-yang-mengaku-ngaku-wartawan-diduga-minta-uang-penurunan-berita</t>
  </si>
  <si>
    <t xml:space="preserve">593 Personel Gabungan Dipersiapkan Untuk Amankan Aksi Damai 10 Agustus 2026 Di Nabire - Salam Papua</t>
  </si>
  <si>
    <t xml:space="preserve">Polemik video dugaan pelayanan pembuatan Surat Izin Mengemudi (SIM) di luar prosedur di Satpas SIM Polresta Denpasar memasuki babak baru.
Selain menyeret seorang oknum anggota Satlantas ke pemeriks</t>
  </si>
  <si>
    <t xml:space="preserve">https://www.balipost.com/news/2026/06/12/558159/Aksi-Terekam-CCTV,Dua-Karyawan...html</t>
  </si>
  <si>
    <t xml:space="preserve">Pedagang Pasar Lama Sentani Hambur Sampah di Badan Jalan, Ini Penjelasan DLH Kabupaten Jayapura - Tribunpapuatengah.com</t>
  </si>
  <si>
    <t xml:space="preserve">Bali &gt; Denpasar &gt; Aksi Terekam CCTV, Dua Karyawan Agen LPG Curi Tabung Ditangkap Kasi Humas Polresta Denpasar Iptu Gede Adi Saputra Jaya, Jumat (12/6) menyampaikan pada Sabtu (6/6) pukul 08.00 Wita sa</t>
  </si>
  <si>
    <t xml:space="preserve">https://radarbadung.jawapos.com/bali/2608280007/dua-toko-di-depan-pasar-kuta-ii-ludes-terbakar-anak-penjual-kopi-nyaris-terjebak</t>
  </si>
  <si>
    <t xml:space="preserve">Pengamanan Ibadah di Sinak, Satgas Ops Damai Cartenz Perkuat Rasa Aman Masyarakat - Viral Publik</t>
  </si>
  <si>
    <t xml:space="preserve">Kepanikan melanda kawasan Jalan Kendedes, tepat di depan Pasar Kuta II, Lingkungan Jaba Jero, Kelurahan Kuta, Kecamatan Kuta, Badung, Jumat (28/8) siang. Dua unit toko yang juga berfungsi sebagai temp</t>
  </si>
  <si>
    <t xml:space="preserve">https://www.nusabali.com/berita/230417/ditinggal-belanja-klx-raib-digasak-maling</t>
  </si>
  <si>
    <t xml:space="preserve">Langit Kota Timika Mendung Pagi Hari, BMKG Prediksi 18 Distrik di Mimika Papua Tengah Cerah Berawan - Tribunpapuatengah.com</t>
  </si>
  <si>
    <t xml:space="preserve">DENPASAR, NusaBali.com - Peristiwa pencurian di alami Danu Priandika, 20. Sepeda motor Kawasaki KLX hitam bernopol P 6528 ZX miliknya raib digondol maling saat diparkir di depan sebuah toko buah di Ja</t>
  </si>
  <si>
    <t xml:space="preserve">https://denpasar.kompas.com/read/2026/09/10/163807578/2-wna-tipu-penjaga-toko-di-badung-pura-pura-belanja-lalu-gasak-uang-kasir</t>
  </si>
  <si>
    <t xml:space="preserve">Dua Hari Tanpa Nasi, Ini Strategi BGN Nabire Serap Pangan Lokal Papua - Tribunpapuatengah.com</t>
  </si>
  <si>
    <t xml:space="preserve">2 WNA Tipu Penjaga Toko di Badung, Pura-pura Belanja lalu Gasak Uang Kasir BADUNG, KOMPAS.com - Dua warga negara asing (WNA) diduga melakukan penipuan di sebuah toko di Desa Darmasaba, Kecamatan Abian</t>
  </si>
  <si>
    <t xml:space="preserve">https://bali.antaranews.com/berita/404061/waspada-gim-daring-picu-anak-nekat-lompat-gedung-pasar-desa-serangan</t>
  </si>
  <si>
    <t xml:space="preserve">Aksi Penolakan Program MBG Menyasar Nabire, Dinas Pendidikan Papua Tengah Tegaskan Bukan Kewenangan - Tribunpapuatengah.com</t>
  </si>
  <si>
    <t xml:space="preserve">Denpasar (ANTARA) - Kepolisian Resor Kota (Polresta) Denpasar mengungkap motif seorang anak perempuan berinisial KA yang melompat dari lantai tiga Pasar Desa Adat Serangan, Denpasar pada Minggu (19/4)</t>
  </si>
  <si>
    <t xml:space="preserve">https://www.detik.com/bali/berita/d-8455651/bahaya-game-omori-diduga-picu-siswi-sd-denpasar-loncat-dari-lantai-3-pasar</t>
  </si>
  <si>
    <t xml:space="preserve">Demo Tolak MBG Guncang Papua Tengah, Ini 8 Tuntutan SPWP di Nabire - Tribunpapuatengah.com</t>
  </si>
  <si>
    <t xml:space="preserve">Bahaya! Game Omori Diduga Picu Siswi SD Denpasar Loncat dari Lantai 3 Pasar Rizki Setyo Samudero - detikBali Seorang siswi SD berinisial KA nekat meloncat dari lantai tiga Pasar Desa Adat Serangan, De</t>
  </si>
  <si>
    <t xml:space="preserve">https://bali.idntimes.com/news/bali/ikut-trend-game-anak-di-denpasar-melompat-dari-lantai-3-pasar-00-r544s-v4r2cp</t>
  </si>
  <si>
    <t xml:space="preserve">Viral Ajudan Perwira Diusir saat Ikut Lari Jogja Marathon, Ini Klarifikasi Mabes TNI AD - Inilah.com</t>
  </si>
  <si>
    <t xml:space="preserve">Denpasar, IDN Times - Seorang anak perempuan kelas 6 sekolah dasar (SD) berinisial KA (13) terjatuh dari Lantai 3 Pasar Desa Adat Serangan sekitar pukul 17.00 Wita, pada Minggu lalu, 19 April 2026. Vi</t>
  </si>
  <si>
    <t xml:space="preserve">https://www.detik.com/bali/berita/d-8456825/polisi-dalami-dugaan-tren-game-kasus-siswi-sd-jatuh-dari-lantai-3-pasar-serangan</t>
  </si>
  <si>
    <t xml:space="preserve">Beradu Bakat Meracik Kopi di Kafe Mulo Timika - seputarpapua.com</t>
  </si>
  <si>
    <t xml:space="preserve">Polisi Dalami Dugaan Tren Game Kasus Siswi SD Jatuh dari Lantai 3 Pasar Serangan Abid Ahmad Ibrahim - detikBali Polisi mengungkap perkembangan terbaru kasus siswi SD berinisial KA (13) yang terjatuh d</t>
  </si>
  <si>
    <t xml:space="preserve">https://www.detik.com/bali/berita/d-8454306/siswi-sd-loncat-dari-lantai-3-pasar-serangan-sempat-joget-dan-rayakan-ultah</t>
  </si>
  <si>
    <t xml:space="preserve">Viral Koperasi Merah Putih Disebut Berdiri di Tengah Hutan, Kades Gunungmasigit Beri Penjelasan - Warta Ekonomi</t>
  </si>
  <si>
    <t xml:space="preserve">Siswi SD Loncat dari Lantai 3 Pasar Serangan, Sempat Joget dan Rayakan Ultah Abid Ahmad Ibrahim - detikBali Disclaimer: Depresi dan munculnya keinginan bunuh diri bukanlah hal sepele. Kesehatan jiwa m</t>
  </si>
  <si>
    <t xml:space="preserve">Denpasar (ANTARA) - Penyelenggaraan Denpasar Youth Festival (D'Youth Fest) 6.0 Tahun 2026 oleh Pemerintah Kota Denpasar menjadi ajang untuk mendorong pertumbuhan ekonomi kreatif berkelanjutan dan memp</t>
  </si>
  <si>
    <t xml:space="preserve">https://www.baliberkarya.com/berita/202208164163/kreativitas-di-balik-kontroversi-siswa-smk-pgri-4-denpasar-klarifikasi-video-viral-angkatan-25</t>
  </si>
  <si>
    <t xml:space="preserve">www.baliberkarya.com</t>
  </si>
  <si>
    <t xml:space="preserve">Viral Balita 1,5 Tahun Hipotermia saat Dibawa Orang Tua Mendaki Gunung Ungaran - GenPI.co - GenPI.co</t>
  </si>
  <si>
    <t xml:space="preserve">Baliberkarya.com - Suara Rakyat Bali Membangun JL. Patih Nambi XII No.5, Desa Ubung Kaja, Denpasar Utara Baliberkarya.com - Denpasar. Video dokumentasi kreatif Angkatan ke-25 SMK PGRI 4 Denpasar (Four</t>
  </si>
  <si>
    <t xml:space="preserve">https://bali.antaranews.com/berita/410428/efek-wna-viral-di-canggu-dispar-bali-minta-acara-lari-wajib-berizin</t>
  </si>
  <si>
    <t xml:space="preserve">TIFA 2026 Ditutup, Generasi Muda Diajak Lestarikan Budaya dan Ukir Prestasi - Tribunpapuatengah.com</t>
  </si>
  <si>
    <t xml:space="preserve">Denpasar (ANTARA) - Kepala Dinas Pariwisata (Dispar) Bali I Wayan Sumarajaya meminta masyarakat yang ingin menggelar kegiatan lari wajib berizin, buntut kasus WNA yang menggelar lari tanpa izin dan te</t>
  </si>
  <si>
    <t xml:space="preserve">https://denpasar.kompas.com/read/2026/07/27/082434678/koster-soal-event-lari-diduga-diskriminatif-di-canggu-tindak-tegas</t>
  </si>
  <si>
    <t xml:space="preserve">Warga Nabire Ini Prediksi Dua Tim Raksasa Eropa Dominasi Juara Piala Dunia 2026 - Tribunpapuatengah.com</t>
  </si>
  <si>
    <t xml:space="preserve">Koster soal Event Lari Diduga Diskriminatif di Canggu: Tindak Tegas DENPASAR, KOMPAS.com – Gubernur Bali, I Wayan Koster, angkat bicara soal event lari di kawasan Canggu, Kecamatan Kuta Utara, Kabupat</t>
  </si>
  <si>
    <t xml:space="preserve">Denpasar (ANTARA) - Kementerian Kebudayaan (Kemenbud) mengajak para sineas mengangkat kekayaan kearifan lokal Indonesia dalam film yang didaftarkan ke festival-festival perfilman. “Karena kekayaan lua</t>
  </si>
  <si>
    <t xml:space="preserve">https://denpasar.kompas.com/read/2026/07/28/171617378/koster-sebut-ada-wni-ikut-acara-lari-di-canggu-bantah-dugaan-diskriminasi</t>
  </si>
  <si>
    <t xml:space="preserve">Anggota DPD RI Arianto Kogoya pantau MBG di SMP 1 Wamena Jayawijaya - antaranews.com</t>
  </si>
  <si>
    <t xml:space="preserve">Koster Sebut Ada WNI Ikut Acara Lari di Canggu, Bantah Dugaan Diskriminasi DENPASAR, KOMPAS.com - Gubernur Bali I Wayan Koster membantah dugaan diskriminasi pada event lari yang digelar oleh wisatawan</t>
  </si>
  <si>
    <t xml:space="preserve">https://www.detik.com/bali/berita/d-8475471/daftar-konser-bali-mei-2026-ada-sid-hingga-maliq-dessential</t>
  </si>
  <si>
    <t xml:space="preserve">Pesona Papua Pegunungan: Rekomendasi Wisata Alam dan Budaya di Wamena - Info Ekonomi</t>
  </si>
  <si>
    <t xml:space="preserve">Daftar Konser Bali Mei 2026: Ada SID hingga Maliq &amp; D'Essential Trimina Klara - detikBali Memasuki bulan Mei 2026, berbagai konser dan event musik siap digelar di sejumlah venue di Bali. Deretan konse</t>
  </si>
  <si>
    <t xml:space="preserve">RRI.CO.ID, Bandar Lampung - Bingung cari menu makan siang yang enak dan ramah di kantong di Bandarlampung? Warung Nasi Omar bisa menjadi salah satu pilihan untuk menikmati seporsi nasi dengan lauk ika</t>
  </si>
  <si>
    <t xml:space="preserve">Bandar Lampung, IDN Times - Di tengah harga kebutuhan terus naik, mencari makanan enak dengan harga ramah di kantong memang jadi tantangan tersendiri. Tapi tenang, di Bandar Lampung masih banyak tempa</t>
  </si>
  <si>
    <t xml:space="preserve">TRIBUNTRAVEL.COM - Lampung punya banyak pilihan kuliner malam yang menarik untuk dicicipi, terutama bagi pencinta makanan tradisional dan hidangan khas daerah. Selain menawarkan cita rasa yang kuat, s</t>
  </si>
  <si>
    <t xml:space="preserve">https://rri.co.id/bandar-lampung/kuliner/2529480/tren-kuliner-viral-yang-selalu-diburu-anak-muda</t>
  </si>
  <si>
    <t xml:space="preserve">Kapolres Pegaf Pimpin Langsung Pencarian Presenter TVRI Papua Barat yang Diduga Terseret Arus di Air Terjun Memti - Media Pro Rakyat</t>
  </si>
  <si>
    <t xml:space="preserve">Media Pro Rakyat</t>
  </si>
  <si>
    <t xml:space="preserve">RRI.CO.ID, Bandarlampung - Dunia kuliner terus berkembang mengikuti tren yang muncul di media sosial. Belakangan ini, makanan dan minuman viral menjadi salah satu hal yang paling diburu oleh anak muda</t>
  </si>
  <si>
    <t xml:space="preserve">Bandar Lampung, IDN Times - Cafe resto mewah kini semakin menjamur di Kota Bandar Lampung. Tak hanya menawarkan tempat makan, banyak di antaranya juga menghadirkan pengalaman nongkrong nyaman dengan k</t>
  </si>
  <si>
    <t xml:space="preserve">Bandar Lampung, IDN Times - Momen HUT RI jadi waktu yang pas buat berburu promo kuliner. Kalau kamu belum punya rencana di libur HUT RI ke-81 ini, kafe-kafe di Bandar Lampung bisa jadi pilihan buat me</t>
  </si>
  <si>
    <t xml:space="preserve">Bandar Lampung, IDN Times - Soto menjadi makanan tradisional Indonesia tak pernah lekang oleh waktu. Dari dulu hingga sekarang, kelezatan soto tetap bertahan dan selalu punya tempat di hati para penik</t>
  </si>
  <si>
    <t xml:space="preserve">Eksplorasi Bukit Aslan-- diswayjogja.id - Provinsi Lampung, khususnya Kota Bandar Lampung, terus berbenah dan bertransformasi menjadi salah satu destinasi wisata unggulan di Pulau Sumatera. Salah satu</t>
  </si>
  <si>
    <t xml:space="preserve">Viral di Media Sosial, Pulau Wayang Pesawaran Kini Jadi Primadona Baru Wisata Bahari Lampung.-Foto Instagram@Pulauwayangofficial- RADARLAMPUNG.CO.ID – Tren wisata yang dipicu oleh kekuatan media sosia</t>
  </si>
  <si>
    <t xml:space="preserve">https://faktanews24.com/20/09/info-lampung/bukan-museum-tapi-museum-dosa-dinas-pendidikan-lampung-sulap-dana-pameran-jadi-bancakan-rp201-juta-kadis-thomas-amirico-diam-seribu-bahasa/</t>
  </si>
  <si>
    <t xml:space="preserve">faktanews24.com</t>
  </si>
  <si>
    <t xml:space="preserve">Buru OPM yang Tewaskan Aris Sanda di Papua, TNI: Jangan Sampai Ada yang Ingin Keluar NKRI - Kilat - Kilat</t>
  </si>
  <si>
    <t xml:space="preserve">LAMPUNG UTARA – FaktaNews24.com –  Skandal pertanggungjawaban fiktif membongkar bobroknya pengelolaan keuangan di Pemerintah Kabupaten Lampung Utara. Badan Pemeriksa Keuangan (BPK) RI Perwakilan Provi</t>
  </si>
  <si>
    <t xml:space="preserve">JAKARTA , jakarta.suaramerdeka.com - Delapan artefak budaya Papua yang berhasil dipulangkan pemerintah Indonesia dari Amerika Serikat melalui kerja sama dengan Federal Bureau of Investigation ( FBI ) </t>
  </si>
  <si>
    <t xml:space="preserve">--Museum Lampung " Ruwa Jurai " Foto Ilustrasi ( Wikipedia ) RADARTVNEWS.COM – Memahami sejarah dan perjalanan budaya suatu daerah tidak harus mengeluarkan biaya yang mahal. Bagi warga Bandar Lampung </t>
  </si>
  <si>
    <t xml:space="preserve">https://www.saibumi.com/artikel-138410-residivis-curanmor-bersenpi-yang-lepaskan-tembakan-di-palapa-bandar-lampung-diciduk-polisi.html</t>
  </si>
  <si>
    <t xml:space="preserve">www.saibumi.com</t>
  </si>
  <si>
    <t xml:space="preserve">Sales Hp Bongkar Praktik Penggelapan di Toko Deltafone Paragon Sorong: Oknum Polisi jadi Penadah - Tribunsorong.com</t>
  </si>
  <si>
    <t xml:space="preserve">Foto Dok.Saibumi.com Saibumi.com(SMSI), Bandar Lampung – Satu dari dua pelaku pencurian sepeda motor bersenjata api yang sempat viral usai melepaskan tembakan saat beraksi di Kota Bandar Lampung akhir</t>
  </si>
  <si>
    <t xml:space="preserve">https://turnbackhoax.id/articles/36682-salah-toko-harian-dipaksa-tutup-karena-dekat-dengan-kopdes</t>
  </si>
  <si>
    <t xml:space="preserve">turnbackhoax.id</t>
  </si>
  <si>
    <t xml:space="preserve">Kios Jadi Lokasi Penyimpanan Ganja di Pasar Wouma Jayawijaya Digerebek - detikcom</t>
  </si>
  <si>
    <t xml:space="preserve">Politik 16/09/2026 Mafindo Akun Facebook “Berita Update” pada Rabu (9/9/2026) mengunggah video [ arsip ] yang menampilkan petugas terlibat cekcok dengan pemilik toko dengan klaim bahwa pemilik toko ha</t>
  </si>
  <si>
    <t xml:space="preserve">https://cekfakta.com/focus/36783</t>
  </si>
  <si>
    <t xml:space="preserve">cekfakta.com</t>
  </si>
  <si>
    <t xml:space="preserve">Wagub Papua Pegunungan Minta Pendidikan Gratis dan MBG Tetap Jadi Prioritas Prabowo - VIVA Jakarta</t>
  </si>
  <si>
    <t xml:space="preserve">VIVA Jakarta</t>
  </si>
  <si>
    <t xml:space="preserve">https://www.facebook.com/reel/918787997588221 https://www.youtube.com/watch?v=T7UMijc_ddI Publish date : 2026-09-21 Type Pencarian Judul Enter to search. Press Esc to cancel.</t>
  </si>
  <si>
    <t xml:space="preserve">https://news.detik.com/berita/d-8482644/kronologi-polisi-lampung-ditembak-saat-pergoki-pelaku-curanmor-di-toko-roti</t>
  </si>
  <si>
    <t xml:space="preserve">Kontak Senjata, Satgas TNI Pukul Mundur OPM di Nduga Papua - jpnn.com</t>
  </si>
  <si>
    <t xml:space="preserve">Bripka Anumerta Arya Supena (34) tewas setelah ditembak oleh pelaku pencurian motor ( curanmor ) di Bandar Lampung. Arya ditembak setelah memergoki pelaku curanmor yang sedang beraksi. Peristiwa terse</t>
  </si>
  <si>
    <t xml:space="preserve">https://www.metrotvnews.com/play/ba4CP4P3-polda-lampung-segel-toko-emas-diduga-tampung-hasil-tambang-ilegal</t>
  </si>
  <si>
    <t xml:space="preserve">Papua: Pembunuhan warga sipil karena dituduh mata-mata – Jejak panjang perang gerilya di Papua, Aceh dan Timor Timur - BBC</t>
  </si>
  <si>
    <t xml:space="preserve">Bandar Lampung: Polda Lampung menggeledah sebuah toko emas di kawasan Jalan Kamboja, Enggal, Bandar Lampung, yang diduga terkait praktik tambang emas ilegal di Way Kanan. Toko emas JSR tersebut disege</t>
  </si>
  <si>
    <t xml:space="preserve">https://lampung.idntimes.com/news/lampung/tawuran-remaja-di-bandar-lampung-terekam-cctv-polisi-buru-pelaku-00-rf56x-ldhq84</t>
  </si>
  <si>
    <t xml:space="preserve">Lindungi Petani Lokal, Pemprov Papua Pegunungan Siapkan Pergub Pembatasan Sayuran dari Luar Daerah - AFU.id</t>
  </si>
  <si>
    <t xml:space="preserve">Bandar Lampung, IDN Times - Rekaman kamera pengawas (CCTV) yang memperlihatkan aksi tawuran antar kelompok remaja di Bandar Lampung viral di media sosial.Peristiwa itu terjadi di Perempatan Pasar Guda</t>
  </si>
  <si>
    <t xml:space="preserve">https://kupastuntas.co/2026/07/14/viral-pemuda-tusuk-pengendara-motor-usai-ditegur-lawan-arus-di-bandar-lampung</t>
  </si>
  <si>
    <t xml:space="preserve">Strategi UMKM Yahocap Bertahan Andalkan Produk Lokal Papua Pegunungan - RRI.co.id</t>
  </si>
  <si>
    <t xml:space="preserve">Pelaku berinisial TSM saat diamankan di Mapolresta Bandar Lampung. Foto: Ist. Kupastuntas.co, Bandar Lampung - Aksi seorang pemuda yang menusuk pengendara motor usai ditegur karena me lawan arus lalu </t>
  </si>
  <si>
    <t xml:space="preserve">https://deteksi.co/viral-aksi-pencurian-sepeda-motor-terekam-jelas-cctv-d/</t>
  </si>
  <si>
    <t xml:space="preserve">Menyambut Pidato Politik Ketua Umum Partai Demokrat Dr. H. Agus Harimurti Yudhoyono - Opsi.id</t>
  </si>
  <si>
    <t xml:space="preserve">Berdasarkan rekaman kamera pengawas yang beredar, terlihat dengan jelas bagaimana seorang pelaku menjalankan aksinya. Dalam cuplikan video tersebut, pelaku tampak mengamati situasi dan kondisi di seki</t>
  </si>
  <si>
    <t xml:space="preserve">Wali Kota Bandar Lampung Eva Dwiana saat mencicipi masakan khas Lampung pada lomba masak antar OPD di Bandar Lampung Expo 2026, Rabu, 22 Juli 2026.-Foto Melida Rohlita- RADARLAMPUNG.CO.ID – Beragam ar</t>
  </si>
  <si>
    <t xml:space="preserve">https://lampung7.com/headline/pemkot-bandar-lampung-gelar-penetrasi-pasar-jaga-harga-pangan/</t>
  </si>
  <si>
    <t xml:space="preserve">lampung7.com</t>
  </si>
  <si>
    <t xml:space="preserve">Di berbagai Daerah Harga Beras Naik 3 Persen, Tertinggi di Papua Pegunungan Capai 47,94 Persen - merahputih.com</t>
  </si>
  <si>
    <t xml:space="preserve">BANDAR LAMPUNG — Pemerintah Kota Bandar Lampung bersama Pemerintah Provinsi Lampung dan Perum Bulog menggelar penetrasi pasar untuk menjaga stabilitas harga bahan pokok sekaligus mendukung pengendalia</t>
  </si>
  <si>
    <t xml:space="preserve">https://radarlampung.disway.id/provinsi-lampung/read/727352/kppg-rekomendasikan-suspend-sppg-pesisir-barat-buka-suara-soal-tunggakan-pemasok-buah-mbg</t>
  </si>
  <si>
    <t xml:space="preserve">Batasi Sayuran dari Luar, Papua Pegunungan Siapkan Pergub - AFU.id</t>
  </si>
  <si>
    <t xml:space="preserve">Kepala Kepala Kantor Pelayanan Pemenuhan Gizi (KPPG) Bandar Lampung, Achmad Hery Setiawan.---Foto: Prima Imansyah Permana/ Radarlampung.co.id.--- RADARLAMPUNG.CO.ID – Program Makan Bergizi Gratis ( MB</t>
  </si>
  <si>
    <t xml:space="preserve">https://www.detik.com/sumbagsel/hukum-dan-kriminal/d-8573506/pemotor-lawan-arah-yang-tusuk-pria-di-bandar-lampung-ditangkap</t>
  </si>
  <si>
    <t xml:space="preserve">6 Fakta Horor Penembakan di Festival Budaya Lembah Baliem Didalangi OPM - detikcom</t>
  </si>
  <si>
    <t xml:space="preserve">Pengendara motor lawan arah yang tusuk pria di Bandar Lampung, Lampung, berinisial TSM (23) akhirnya ditangkap. Pelaku ditangkap setelah hampir dua bulan diburu sejak kejadian. Pelaku diamankan polisi</t>
  </si>
  <si>
    <t xml:space="preserve">https://regional.kompas.com/read/2026/08/06/113422278/sekolah-di-bandar-lampung-ini-terapkan-tidur-siang-bagi-murid-diklaim-bikin</t>
  </si>
  <si>
    <t xml:space="preserve">Viral! Markas KKB Egianus Kogoya Dikabarkan Luluh Lantak Dibombardir Pesawat Tempur TNI AU - news.okezone.com</t>
  </si>
  <si>
    <t xml:space="preserve">Sekolah di Bandar Lampung Ini Terapkan Tidur Siang bagi Murid, Diklaim Bikin Belajar Lebih Fokus LAMPUNG, KOMPAS.com - Menjelang pukul 13.00 WIB, suasana di ruang kelas SDIT Pelita Khoirul Ummah, Band</t>
  </si>
  <si>
    <t xml:space="preserve">https://www.saibumi.com/artikel-138729-pemkot-bandar-lampung-uji-coba-bosda-untuk-siswa-smp-eva-dwiana-satu-anak-terima-rp100-ribu.html</t>
  </si>
  <si>
    <t xml:space="preserve">3 Petugas Pertanian Tewas Ditembak KKB, Pemerintah Didesak Bertindak Tegas - Kompas.com</t>
  </si>
  <si>
    <t xml:space="preserve">Saibumi.com(SMSI), Bandar Lampung – Pemerintah Kota (Pemkot) Bandar Lampung mulai menguji coba program Bantuan Operasional Sekolah Daerah (Bosda) bagi siswa Sekolah Menengah Pertama (SMP) sebagai upay</t>
  </si>
  <si>
    <t xml:space="preserve">https://lampung.rilis.id/Peristiwa/Berita/ribuan-warga-di-bandar-lampung-gelar-aksi-minta-c34e</t>
  </si>
  <si>
    <t xml:space="preserve">WNA Diduga Makan Penyu di Raja Ampat, Kenapa Dilarang Konsumsi Penyu? - Kompas.com</t>
  </si>
  <si>
    <t xml:space="preserve">RILISID, Bandarlampung
                — Ribuan masyarakat yang tergabung dalam Aliansi Masyarakat Lampung Dukung MBG (AMAL MBG) menggelar aksi unjuk rasa di kawasan Tugu Adipura, Bandar Lampung, unt</t>
  </si>
  <si>
    <t xml:space="preserve">https://www.kompas.id/artikel/dugaan-keracunan-mbg-terjadi-lagi-di-lampung-sppg-nakal-terancam-ditutup-permanen</t>
  </si>
  <si>
    <t xml:space="preserve">Menu MBG di SPPG Cipining Curugbitung Jadi Sorotan, Pengelola Akui Sering Terima Keluhan Porsi Lauk - lintascakrawalanews.com</t>
  </si>
  <si>
    <t xml:space="preserve">Sebagai langkah tegas, satuan pelayanan pemenuhan gizi atau SPPG yang melanggar prosedur operasi standar sudah dihentikan sementara. 26 Jul 2026 11:37 WIB · Pendidikan &amp; Kebudayaan Dokumentasi Humas P</t>
  </si>
  <si>
    <t xml:space="preserve">Di Blok M, tak hanya ada makanan viral. Siapa sangka, pada area pujaseranya juga ada soto Padang legendaris yang resepnya otentik khas Bukittinggi. Kawasan Blok M, Jakarta Selatan, selama ini dikenal </t>
  </si>
  <si>
    <t xml:space="preserve">Kuah bening gurih dengan isian daging sapi goreng renyah jadi ciri khas soto Padang. Di Jakarta, 5 tempat legendaris ini sudah jadi langganan sejak puluhan tahun. Soto Padang punya racikan yang berbed</t>
  </si>
  <si>
    <t xml:space="preserve">Kuliner khas Padang selalu diminati banyak orang. Salah satunya ada di kawasan Benhil dimana penjual ikan bakar khas Padang ini laris manis saat jam makan siang. Kawasan Bendungan Hilir (Benhil) di Ja</t>
  </si>
  <si>
    <t xml:space="preserve">Restoran Padang asli Indonesia yang baru buka di Singapura mendadak viral. Baru dua hari buka, makanannya langsung ludes dalam hitungan jam saja. Menambah panjang daftar restoran Indonesia yang buka d</t>
  </si>
  <si>
    <t xml:space="preserve">TABALONG — Padang ilalang di Kecamatan Kelua, Kabupaten Tabalong, mendadak ramai dikunjungi warga. Keindahan hamparan ilalang yang tumbuh di tengah musim kemarau menjadi daya tarik wisata dadakan bagi</t>
  </si>
  <si>
    <t xml:space="preserve">Jembatan Siti Nurbaya-- diswayjogja.id - Mengunjungi Kota Padang adalah sebuah perjalanan yang melibatkan seluruh indra, di mana aroma rempah masakan khas bertemu dengan semilir angin laut yang menyeg</t>
  </si>
  <si>
    <t xml:space="preserve">https://20.detik.com/spot-wisata/20260616-260616044/menyusuri-pantai-dan-menyewa-bentor-untuk-menjelajah-keindahan-padang-yang-menarik</t>
  </si>
  <si>
    <t xml:space="preserve">Brigjen Hengki Jadi Kapolda Papua Barat: Pernah Tangkap Hercules, Diminta Netizen Balik ke Jakarta - Tribunjakarta.com</t>
  </si>
  <si>
    <t xml:space="preserve">Tribunjakarta.com</t>
  </si>
  <si>
    <t xml:space="preserve">Kali ini para artis sedang ada di pinggir pantai. Para artis melihat ada kendaraan khas Padang. Para arttis menyewa bentor untuk berkeliling Pota Padang Dok : Celebrity on Vacation Trans TV (Ade)</t>
  </si>
  <si>
    <t xml:space="preserve">https://langgam.id/mahasiswa-unand-rayakan-kelulusan-tesis-dengan-bagi-bagi-makanan-ke-ojol-dan-warga-padang-viral-di-tiktok/</t>
  </si>
  <si>
    <t xml:space="preserve">langgam.id</t>
  </si>
  <si>
    <t xml:space="preserve">8 Toko Cat Terbaik di Semarang yang Paling Direkomendasikan, Harga Terjangkau dan Review Bagus - Ayo Semarang - ayosemarang.com</t>
  </si>
  <si>
    <t xml:space="preserve">Mahasiswa Unand berbagi makanan ke ojol dan warga Padang usai lulus ujian tesis. (Dok. Istimewa) Langgam.id – Beredar sebuah video di media sosial TikTok memperlihatkan seorang mahasiswa membagikan ma</t>
  </si>
  <si>
    <t xml:space="preserve">https://sumbar.antaranews.com/berita/775660/jadwal-sholat-wilayah-kota-padang-hari-ini-selasa-25-08-2026</t>
  </si>
  <si>
    <t xml:space="preserve">Wapres Gibran Sapa Bayi Bernama Gibran di Jembatan Puri Sorong - Sorong News</t>
  </si>
  <si>
    <t xml:space="preserve">Sorong News</t>
  </si>
  <si>
    <t xml:space="preserve">Padang (ANTARA) - Berikut jadwal Sholat untuk wilayah Kota Padang, Provinsi Sumatera Barat dan sekitarnya pada Selasa (25/08/2026). Pewarta: ANT Uploader: Laras Robert COPYRIGHT © ANTARA 2026</t>
  </si>
  <si>
    <t xml:space="preserve">https://www.owrite.id/megapolitan/2026/08/30/buron-pencuri-rumah-kosong-di-tangerang-akhirnya-diciduk-emas-30-gram-dijual-untuk-bayar-utang/</t>
  </si>
  <si>
    <t xml:space="preserve">Waspada Macet Demo Hari Ini: Cek 3 Titik Utama Terdampak dan Rute Alternatifnya - Tatar Media - Tatarmedia</t>
  </si>
  <si>
    <t xml:space="preserve">Tatarmedia</t>
  </si>
  <si>
    <t xml:space="preserve">30 Agustus 2026 · 21.10 WIB 30 Agu 2026 · 21.10 WIB Pelarian S, pelaku spesialis pencurian rumah kosong di wilayah Sepatan, Kabupaten Tangerang, akhirnya berakhir. S diciduk polisi setelah sempat buro</t>
  </si>
  <si>
    <t xml:space="preserve">Keluarga saya tidak besar. Saya dan isteri dengan 4 orang anak yi 3 perempuan dan 1 lelaki. Kami terpencar di 2 kota yi Malang, Jawa timur dan Jakarta. Sate Padang Pariaman Merjosari : Siasat Rasa di </t>
  </si>
  <si>
    <t xml:space="preserve">https://klikpositif.com/viral-teror-pocong-di-padang-kasatpol-pp-imbau-warga-tetap-tenang-dan-lapor-jika-benar/</t>
  </si>
  <si>
    <t xml:space="preserve">klikpositif.com</t>
  </si>
  <si>
    <t xml:space="preserve">KNMP Tanjung Kasuari Perkuat Pasar dan Nilai Tangkapan Nelayan Sorong - wwb.co.id</t>
  </si>
  <si>
    <t xml:space="preserve">&lt;strong&gt;KLIKPOSITIF-&lt;/strong&gt; Maraknya isu teror pocong yang beredar di media sosial dan menjadi perbincangan warga Kota Padang mendapat perhatian dari Pemerintah Kota Padang. Kepala Satuan Polisi Pam</t>
  </si>
  <si>
    <t xml:space="preserve">https://internasional.kontan.co.id/news/lowongan-jadi-penggembala-viral-di-china-ungkap-beratnya-dunia-kerja</t>
  </si>
  <si>
    <t xml:space="preserve">internasional.kontan.co.id</t>
  </si>
  <si>
    <t xml:space="preserve">Ekspor Kerapu Raja Ampat Tembus Rp2,38 M, Cuan Meluber ke Nelayan Lokal - mantranews</t>
  </si>
  <si>
    <t xml:space="preserve">Sumber: Reuters | Editor: Handoyo KONTAN.CO.ID - JAKARTA. Sebuah lowongan pekerjaan sebagai penggembala domba di wilayah padang rumput terpencil China mendadak viral dan memicu perhatian luas terhadap</t>
  </si>
  <si>
    <t xml:space="preserve">https://kabarpadang.com/pemkot-padang-gelar-operasi-pasar-murah-stabilkan-harga-pangan/</t>
  </si>
  <si>
    <t xml:space="preserve">kabarpadang.com</t>
  </si>
  <si>
    <t xml:space="preserve">Kemendag Proyeksikan Realisasi DMO Minyakita September 2026 Meningkat Seiring Kenaikan Ekspor CPO - Pontianak Post</t>
  </si>
  <si>
    <t xml:space="preserve">Padang – Pemerintah Kota Padang mulai menggencarkan Operasi Pasar Murah di tiga kecamatan guna menjaga stabilitas harga kebutuhan pokok serta menekan laju inflasi menjelang perayaan Iduladha 1447 Hijr</t>
  </si>
  <si>
    <t xml:space="preserve">https://www.poskotasumatera.com/2026/09/raih-pila-bupati-dairilagu-ciptaan.html</t>
  </si>
  <si>
    <t xml:space="preserve">Harga Masih di Atas HET, Distribusi Minyakita Terus Diperkuat - Harianjogja.com</t>
  </si>
  <si>
    <t xml:space="preserve">Adapun para pemenang dalam lomba tersebut, yakni juara
favorit I judul lagu pos atemu turang, penyanyi Hepron Padang, ciptaan Hepron
Padang. Juara favorit II judul lagu tading medumang, penyanyi Rit</t>
  </si>
  <si>
    <t xml:space="preserve">PEKANBARU (CAKAPLAH) - Libur panjang sekolah menjadi momen yang dimanfaatkan banyak keluarga untuk menghabiskan waktu bersama. Selama ini, pusat perbelanjaan masih menjadi pilihan utama masyarakat Pek</t>
  </si>
  <si>
    <t xml:space="preserve">https://www.cakaplah.com/berita/baca/137261/2026/06/21/walikota-dorong-bujang-dara-aktif-kenalkan-potensi-wisata-dan-budaya-pekanbaru</t>
  </si>
  <si>
    <t xml:space="preserve">Minang Geopark Run 2026 Segera Digelar, Lari di Tengah Pemandangan Ngarai Sianok Jadi Daya Tarik - Tribunnews.com</t>
  </si>
  <si>
    <t xml:space="preserve">PEKANBARU (CAKAPLAH) - Walikota Pekanbaru Agung Nugroho berharap para finalis Bujang Dara Pekanbaru Tahun 2026 dapat menjadi generasi muda yang berperan aktif dalam mempromosikan budaya dan pariwisata</t>
  </si>
  <si>
    <t xml:space="preserve">https://www.cakaplah.com/berita/baca/138520/2026/07/28/aryaduta-pekanbaru-perkuat-kolaborasi-dengan-dispar-riau-dorong-pariwisata-makin-berkembang</t>
  </si>
  <si>
    <t xml:space="preserve">Bantuan Pangan Beras Disalurkan kepada 1.800 KPM di Sorong - Headline.co.id</t>
  </si>
  <si>
    <t xml:space="preserve">PEKANBARU (CAKAPLAH) - Sebagai bagian dari komitmen dalam mendukung kemajuan sektor pariwisata di Provinsi Riau, jajaran manajemen ARYADUTA Pekanbaru yang dipimpin oleh General Manager, Mr. Rivelino, </t>
  </si>
  <si>
    <t xml:space="preserve">PEKANBARU (RA) - Festival kue Ketan Talam Durian yang diselenggarakan Pemerintah Kota (Pemko) Pekanbaru, Minggu (21/6/2026) resmi tercatat di Museum Rekor Indonesia (MURI) sebagai sajian terpanjang di</t>
  </si>
  <si>
    <t xml:space="preserve">https://www.tempo.co/hukum/respons-itb-soal-viral-lagu-erika-2129324</t>
  </si>
  <si>
    <t xml:space="preserve">Ayu Dewi dan Suami Spill Top 13 Makanan Favoritnya di Jakarta - detikFood</t>
  </si>
  <si>
    <t xml:space="preserve">INSTITUT Teknologi Bandung (ITB) merespons lagu berjudul &amp;ldquo;Erika&amp;rdquo; yang dibawakan Orkes Semi Dangdut (OSD). OSD berada di bawah naungan Himpunan Mahasiswa Tambang ITB (HMT-ITB). Lagu itu vir</t>
  </si>
  <si>
    <t xml:space="preserve">https://www.riauonline.co.id/riau/read/2026/07/04/malam-ini-pekanbaru-gelar-12-ribu-asn-mengaji-tabligh-akbar-di-masjid-an-nur</t>
  </si>
  <si>
    <t xml:space="preserve">3 Tempat Makan Siang Enak di Jakarta Selatan, Traveler Wajib Coba - Tribun Travel</t>
  </si>
  <si>
    <t xml:space="preserve">RIAU ONLINE , PEKANBARU - Pemerintah Kota (Pemko) Pekanbaru akan menggelar 12.000 ASN mengaji dan Tabligh Akbar di Masjid Raya An-Nur Kota Pekanbaru, pada Sabtu sore, 4 Juli 2026. Plh Sekretaris Daera</t>
  </si>
  <si>
    <t xml:space="preserve">https://riau.harianhaluan.com/hukrim/1117169725/video-pocong-viral-resahkan-warga-polres-pelalawan-turun-tangan-lakukan-penelusuran</t>
  </si>
  <si>
    <t xml:space="preserve">10 Restoran Baru di Jakarta Mei 2026 - nibble.id</t>
  </si>
  <si>
    <t xml:space="preserve">HALUANRIAU.CO, PELALAWAN - Jagat media sosial di Kabupaten Pelalawan beberapa hari terakhir dihebohkan dengan beredarnya video yang menampilkan sosok menyerupai pocong di sejumlah lokasi. Video terseb</t>
  </si>
  <si>
    <t xml:space="preserve">Sebuah video sedang viral di media sosial, menunjukkan suasana toko ketika listrik padam di sejumlah wilayah Sumatera. Unggahan itu menyebut genset mendadak habis diborong di sebuah toko. Dilihat dari</t>
  </si>
  <si>
    <t xml:space="preserve">https://riauaktual.com/news/detail/122323/pekanbaru-jadi-magnet-investasi-dan-belanja-dorong-pertumbuhan-ekonomi</t>
  </si>
  <si>
    <t xml:space="preserve">Blok M Terlalu Ramai, 5 Spot Nongkrong di Jakarta Ini Tak Kalah Seru - cnnindonesia.com</t>
  </si>
  <si>
    <t xml:space="preserve">PEKANBARU (RA) - Pertumbuhan ekonomi Kota Pekanbaru mencapai 7,39 persen pada semester I 2026. Angka tersebut menjadi salah satu indikator aktivitas perekonomian di ibu kota Provinsi Riau terus berger</t>
  </si>
  <si>
    <t xml:space="preserve">https://www.cakaplah.com/berita/baca/140387/2026/09/21/ekonomi-pekanbaru-tumbuh-739-persen-agung-sebut-aktivitas-belanja-terus-bergerak</t>
  </si>
  <si>
    <t xml:space="preserve">10 Tempat Makan di Cipete: Itinerary Sehari untuk Makan, Ngopi, dan Nongkrong - Mommies Daily</t>
  </si>
  <si>
    <t xml:space="preserve">PEKANBARU (CAKAPLAH) - Walikota Pekanbaru Agung Nugroho menyebut pertumbuhan ekonomi Kota Pekanbaru mencapai 7,39 persen pada semester I 2026. Menurutnya, angka tersebut menunjukkan aktivitas perekono</t>
  </si>
  <si>
    <t xml:space="preserve">https://www.cakaplah.com/berita/baca/136262/2026/05/22/modus-toko-online-fiktif-perusahaan-di-pekanbaru-tertipu-rp154-juta</t>
  </si>
  <si>
    <t xml:space="preserve">5 Restoran Korea di Jakarta Ini Punya Kimbab hingga Ramyeon Enak! - detikFood</t>
  </si>
  <si>
    <t xml:space="preserve">PEKANBARU (CAKAPLAH) - Sindikat penipuan online kembali memakan korban. Bermodal toko elektronik palsu di internet dan komunikasi melalui WhatsApp, seorang pria berinisial A berhasil mengelabui sebuah</t>
  </si>
  <si>
    <t xml:space="preserve">https://www.cakaplah.com/berita/baca/134731/2026/04/08/setelah-viral-dishub-kumpulkan-jukir-pasar-kuliner-cut-nyak-dien/</t>
  </si>
  <si>
    <t xml:space="preserve">Wisata Kuliner Ala Alice Norin di Jakarta Selatan, Yuk Eksplorasi Tempat Makan Terpopuler - jogja.disway.id - Disway Jogja</t>
  </si>
  <si>
    <t xml:space="preserve">PEKANBARU (CAKAPLAH) - Dinas Perhubungan Kota Pekanbaru mengumpulkan dan menertibkan juru parkir (jukir) di kawasan pasar kuliner Jalan Cut Nyak Dien, Selasa (7/4/2026) malam. Penertiban ini dilakukan</t>
  </si>
  <si>
    <t xml:space="preserve">https://riauaktual.com/news/detail/121384/jalan-teratai-pekanbaru-ditata-450-pedagang-mulai-dipindahkan-ke-pasar-higienis-minggu-ini</t>
  </si>
  <si>
    <t xml:space="preserve">Ini 5 Tempat Makan Favorit Hotman Paris hingga Nicholas Saputra di Jakarta - detikFood</t>
  </si>
  <si>
    <t xml:space="preserve">PEKANBARU (RA) - Pemerintah Kota (Pemko) Pekanbaru, melakukan relokasi terhadap ratusan pedagang yang selama ini berjualan di sepanjang Jalan Teratai, Kecamatan Senapelan. Pedagang Pasar Teratai itu b</t>
  </si>
  <si>
    <t xml:space="preserve">https://www.cakaplah.com/berita/baca/138511/2026/07/28/ratusan-pedagang-di-jalan-teratai-pekanbaru-diminta-kosongkan-lapak-ada-perbaikan-jalan</t>
  </si>
  <si>
    <t xml:space="preserve">5 Tempat Makan Siang Enak Favorit Karyawan Jaksel, Cobain Yuk! - detikFood</t>
  </si>
  <si>
    <t xml:space="preserve">PEKANBARU (CAKAPLAH) - Tim yustisi Pemerintah Kota (Pemko) Pekanbaru memberikan peringatan terakhir kepada pedagang yang masih berjualan di sepanjang Jalan Teratai, Kecamatan Senapelan, Selasa (28/7/2</t>
  </si>
  <si>
    <t xml:space="preserve">PEKANBARU (RA) -  Untuk kedua kalinya, Living World Pekanbaru dan gebyarkuliner.id menjalin kolaborasi strategis dalam menghadirkan festival kuliner bertaraf nasional di jantung Kota Pekanbaru. Gebyar</t>
  </si>
  <si>
    <t xml:space="preserve">HALUANRIAU.CO, PEKANBARU -Event “Gebyar Kuliner Jakarta” yang digelar di Living World Pekanbaru menghadirkan lebih dari 45 stan makanan viral dari berbagai daerah, acara ini menjadi surga kuliner bagi</t>
  </si>
  <si>
    <t xml:space="preserve">PEKANBARU (RA) - Pemerintah Kota (Pemko) Pekanbaru, terus berupaya menggerakkan perekonomian masyarakat melalui berbagai program yang mendorong pertumbuhan ekonomi daerah. Salah satu strategi yang dil</t>
  </si>
  <si>
    <t xml:space="preserve">PEKANBARU – Pemerintah Kota (Pemko) Pekanbaru terus mengoptimalkan berbagai kegiatan untuk mendorong pertumbuhan ekonomi daerah. Salah satu strategi yang dijalankan adalah menggelar beragam event yang</t>
  </si>
  <si>
    <t xml:space="preserve">RRI.CO.ID, Banjar – Dalam upaya meningkatkan angka kunjungan wisatawan di Kabupaten Banjar, Dinas Kebudayaan, Kepemudaan, Olahraga dan Pariwisata (Disbudporapar) Kabupaten Banjar menggelar kegiatan So</t>
  </si>
  <si>
    <t xml:space="preserve">https://rri.co.id/banjarmasin/hukum/hukum/2390907/viral-remaja-bersenjata-tajam-di-banjarmasin-delapan-pelaku-diamankan</t>
  </si>
  <si>
    <t xml:space="preserve">3 Salt Bread di Blok M Jakarta yang Viral &amp; Enak - Haibunda</t>
  </si>
  <si>
    <t xml:space="preserve">RRI.CO.ID, Banjarmasin - Aparat kepolisian bergerak cepat menindaklanjuti aksi remaja bersenjata tajam yang meresahkan masyarakat dan viral di media sosial pada Minggu 3 Mei malam, di kawasan Jembatan</t>
  </si>
  <si>
    <t xml:space="preserve">https://kakinews.id/pasar-lima-banjarmasin-kembali-terbakar-puluhan-toko-di-bantaran-sungai-martapura-diduga-ludes/</t>
  </si>
  <si>
    <t xml:space="preserve">Blok M di Kehidupan Kedua, dari Kuliner Viral hingga Pusat Anak Kalcer - cnnindonesia.com</t>
  </si>
  <si>
    <t xml:space="preserve">KAKI.News, BANJARMASIN-– Kebakaran kembali melanda kawasan Pasar Lima, Banjarmasin Tengah, Jumat (10/7/2026) dini hari sekitar pukul 02.30 WITA. Api dengan cepat membesar dan melahap deretan toko di b</t>
  </si>
  <si>
    <t xml:space="preserve">https://rri.co.id/banjarmasin/ekonomi/keuangan/2759246/sanak-cermat-banua-perkuat-literasi-keuangan-masyarakat</t>
  </si>
  <si>
    <t xml:space="preserve">Viral Perusahaan di Pasar Minggu Minta Uang ke Pelamar, Begini Endingnya - Inilah.com</t>
  </si>
  <si>
    <t xml:space="preserve">RRI.CO.ID, Banjarmasin - Otoritas Jasa Keuangan Kalimantan Selatan meluncurkan Komunitas Sanak Cermat Banua untuk memperkuat literasi keuangan masyarakat. Gerakan tersebut menyasar berbagai kelompok, </t>
  </si>
  <si>
    <t xml:space="preserve">https://rri.co.id/banjarmasin/regional/2317640/rumah-pribadi-ketua-dprd-banjarmasin-dijaga-pakai-uang-negara</t>
  </si>
  <si>
    <t xml:space="preserve">Bioskop Mini "Nyempil" di Tengah Pasar-Tiket Rp15.000, Ini Lokasinya - CNBC Indonesia</t>
  </si>
  <si>
    <t xml:space="preserve">RRI.CO.ID, Banjarmasin - Sorotan tajam mengarah kepada Ketua DPRD Kota Banjarmasin, Rikval Fachruri, yang diduga menikmati fasilitas pengamanan di rumah pribadinya menggunakan anggaran negara. Informa</t>
  </si>
  <si>
    <t xml:space="preserve">https://jatim.tribunnews.com/news/544231/sosok-hj-ananda-wakil-wali-kota-banjarmasin-anggaran-susu-dan-buah-rp229-juta-disorot</t>
  </si>
  <si>
    <t xml:space="preserve">Polisi Selidiki Ruko Viral Tawarkan Loker Palsu di Jaksel - news.okezone.com</t>
  </si>
  <si>
    <t xml:space="preserve">Belum punya akun? Daftar Akun Download TribunX untuk Android &amp; iOS TRIBUNJATIM.COM - Sosok Hj Ananda , Wakil Wali Kota Banjarmasin yang viral setelah anggaran belanja susu dan buah-buahannya bocor. Hi</t>
  </si>
  <si>
    <t xml:space="preserve">https://shalokalindonesia.com/hypermart-kertak-hanyar-tutup-permanen-mulai-1-juni-2026/</t>
  </si>
  <si>
    <t xml:space="preserve">shalokalindonesia.com</t>
  </si>
  <si>
    <t xml:space="preserve">Viral Dugaan Lowongan Kerja 'Bodong' di Pasar Minggu, Polisi Selidiki - VIVA.co.id</t>
  </si>
  <si>
    <t xml:space="preserve">KERTAK HANYAR, shalokalindonesia.com – Kabar mengejutkan datang dari dunia ritel modern di Kalimantan Selatan. Hypermart yang berlokasi di kawasan Pal 7, Kertak Hanyar, Kabupaten Banjar, dikabarkan ak</t>
  </si>
  <si>
    <t xml:space="preserve">https://www.baritopost.co.id/jelang-eksekusi-lahan-di-pasar-lama-laut-kejari-banjarmasin-gelar-sosialisasi/</t>
  </si>
  <si>
    <t xml:space="preserve">www.baritopost.co.id</t>
  </si>
  <si>
    <t xml:space="preserve">Dimediasi Polisi, Ini Alasan Kantor Loker di Jaksel Minta Uang ke Pelamar - detikNews</t>
  </si>
  <si>
    <t xml:space="preserve">Banjarmasin, BARITOPOST.CO.ID – Kejaksaan Negeri Banjarmasin menggelar pertemuan dengan masyarakat terkait rencana pelaksanaan eksekusi sebidang tanah di kawasan Jalan Pasar Lama Laut, Kelurahan Pasar</t>
  </si>
  <si>
    <t xml:space="preserve">https://beritaborneo.com/main/tawuran-remaja-di-banjarmasin-polisi-sita-celurit-dan-motor/</t>
  </si>
  <si>
    <t xml:space="preserve">beritaborneo.com</t>
  </si>
  <si>
    <t xml:space="preserve">Kantor di Jaksel Kembalikan Uang Pelamar, Dalih Uang Komitmen - detikNews</t>
  </si>
  <si>
    <t xml:space="preserve">15/05/2026 Banjarmasin , Kalimantan Selatan Leave a comment Polisi mengamankan delapan remaja dan menyita celurit, sepeda motor, serta pakaian setelah video tawuran bersenjata tajam di Kelayan B, Banj</t>
  </si>
  <si>
    <t xml:space="preserve">https://www.jurnalbanua.com/2026/09/kuota-terbatas-pendaftaran-arkais-festival-di-banjarmasin-resmi-dibuka.html</t>
  </si>
  <si>
    <t xml:space="preserve">www.jurnalbanua.com</t>
  </si>
  <si>
    <t xml:space="preserve">TransJ Jangkau Depok Lagi, Rute 9H Kini Layani Tanah Baru-Pasar Minggu - detikNews</t>
  </si>
  <si>
    <t xml:space="preserve">Tags : Arkais Festival Banjarmasin S Situs pemberitaan online Jurnal Banua telah memiliki badan hukum dan terdaftar di Kemenkumham RI. Semua produk pemberitaan diolah melalui proses jurnalistik yang p</t>
  </si>
  <si>
    <t xml:space="preserve">KAKINEWS.ID, BANJARMASIN – Pemerintah Kota Banjarmasin terus mendukung pelestarian budaya dan penguatan kerukunan antarwarga. Hal itu ditunjukkan melalui kehadiran Sekretaris Daerah Kota Banjarmasin, </t>
  </si>
  <si>
    <t xml:space="preserve">Balikpapan - Kunjungan wisatawan ke Balikpapan menurun pada awal 2026. Disporapar mencatat Januari-Maret hanya 29.250 orang, jauh lebih rendah dibanding periode sebelumnya. Angka tersebut menurun dras</t>
  </si>
  <si>
    <t xml:space="preserve">KOTAKU, BALIKPAPAN-Kota Balikpapan, Provinsi Kalimantan Timur (Kaltim) mulai mematangkan persiapan sebagai tuan rumah Pekan Olahraga dan Seni Perusahaan Air Minum Nasional (PORPAMNAS) IX tahun 2026. K</t>
  </si>
  <si>
    <t xml:space="preserve">KOTAKU, BALIKPAPAN-Menjelang musim libur sekolah yang tinggal menghitung pekan, Dinas Pemuda, Olahraga, dan Pariwisata (Disporapar) Kota Balikpapan, Provinsi Kalimantan Timur (Kaltim), mengingatkan se</t>
  </si>
  <si>
    <t xml:space="preserve">https://nomorsatukaltim.disway.id/hukum/read/73224/sidang-perdana-pembunuhan-penjaga-toko-kelontong-di-balikpapan-jpu-ajukan-dakwaan-berlapis</t>
  </si>
  <si>
    <t xml:space="preserve">3 Tempat Makan Siang Enak di Menteng, Traveler Wajib Cobain - Tribun Travel</t>
  </si>
  <si>
    <t xml:space="preserve">Adv Diskominfo Kukar Adv Diskominfo Kutim Adv Diskominfo Kukar Adv Diskominfo Kutim Terdakwa kasus pembunuhan, H Mansyur (61)   dengan korban penjaga toko kelontong memasuki ruang sidang PN Balikpapan</t>
  </si>
  <si>
    <t xml:space="preserve">https://arusbawah.co/wajib-dicoba-8-rekomendasi-dubai-chewy-cookie-yang-lagi-viral-di-samarinda</t>
  </si>
  <si>
    <t xml:space="preserve">5 Tempat Makan Tertua di Jalan Sabang, Ada RM Padang Sejak 1958! - detikFood</t>
  </si>
  <si>
    <t xml:space="preserve">ARUSBAWAH.CO&amp;nbsp;-&amp;nbsp;Beberapa waktu belakangan sejak pertengahan 2025, Dubai Chewy Cookie menjadi salah satu dessert atau makanan manis yang sedan...</t>
  </si>
  <si>
    <t xml:space="preserve">https://mediaindonesia.com/nusantara/900465/nelayan-jenebora-ppu-hadapi-tekanan-aktivitas-kapal-industri-di-teluk-balikpapan</t>
  </si>
  <si>
    <t xml:space="preserve">Terungkap, dari 16 unit rumah temuan Ombudsman RI, cuma tiga unit berstatus barang milik negara. NELAYAN yang tergabung dalam Aliansi Nelayan Indonesia (ANI) Masyarakat Jenebora, Kabupaten Penajam Pas</t>
  </si>
  <si>
    <t xml:space="preserve">https://pusaranmedia.com/read/50960/viral-dunia-medis-tak-berempati-idi-balikpapan-ingatkan-dokter-dan-nakes-untuk-jaga-etika</t>
  </si>
  <si>
    <t xml:space="preserve">Menelusuri Daftar Restoran Omakase Sushi Terbaik di Jakarta dengan Cita Rasa Autentik Kelas Dunia - jogja.disway.id - Disway Jogja</t>
  </si>
  <si>
    <t xml:space="preserve">Reporter: Achmad Fadillah | Editor: Buniyamin BALIKPAPAN - Dunia medis tengah menjadi sorotan setelah viralnya sebuah unggahan di platform Threads yang berisi keluhan seorang warganet karena belum men</t>
  </si>
  <si>
    <t xml:space="preserve">https://nomorsatukaltim.disway.id/ekonomi/read/75027/rupiah-melemah-tak-surutkan-minat-warga-balikpapan-ke-mal-pengunjung-e-walk-dan-pentacity-tembus-128-juta</t>
  </si>
  <si>
    <t xml:space="preserve">5 Restoran Chinese Food Autentik di Jakarta, Ada yang Berdiri Sejak 1925 - detikFood</t>
  </si>
  <si>
    <t xml:space="preserve">Adv Diskominfo Kukar Adv Diskominfo Kutim Adv Diskominfo Kukar Adv Diskominfo Kutim Meski rupiah melemah terhadap USD, kunjungan ke e-Walk Balikpapan masih tinggi.-Chandra/ Nomorsatukaltim- BALIKPAPAN</t>
  </si>
  <si>
    <t xml:space="preserve">https://www.detik.com/kalimantan/hukum-dan-kriminal/d-8682136/perempuan-di-balikpapan-ngaku-8-kali-dianiaya-oknum-polisi-selama-hts</t>
  </si>
  <si>
    <t xml:space="preserve">Viral Toko Kelontong di Kemayoran Diacak-acak Warga, Polisi: Ada Kesalahpahaman - Kompas.com</t>
  </si>
  <si>
    <t xml:space="preserve">Perempuan di Balikpapan, NA (21), mengaku mengalami penganiayaan oleh oknum polisi berinisial RZ (22). Mereka diketahui menjalin hubungan tanpa status (HTS).</t>
  </si>
  <si>
    <t xml:space="preserve">Adv Diskominfo Kukar Adv Diskominfo Kutim Adv Diskominfo Kukar Adv Diskominfo Kutim Pasar Tumpah Pringgodani di Teritip, Balikpapan Timur.-Awal/Nomorsatukaltim- BALIKPAPAN, NOMORSATUKALTIM - Sebelum m</t>
  </si>
  <si>
    <t xml:space="preserve">https://nomorsatukaltim.disway.id/hukum/read/77710/tangisan-maaf-tersangka-duel-maut-pasar-sepinggan-balikpapan-tak-bikin-luluh-istri-korban-alibi-aja-itu</t>
  </si>
  <si>
    <t xml:space="preserve">Viral Prajurit TNI Rusak Warung di Kemayoran, Kasus Berakhir Damai - RCTI+</t>
  </si>
  <si>
    <t xml:space="preserve">Adv Diskominfo Kukar Adv Diskominfo Kutim Adv Diskominfo Kukar Adv Diskominfo Kutim Tersangka pembunuhan di Pasar Sepinggan Balikpapan (kanan) dan istri korban (kiri) saat rekonstruksi di halaman Mapo</t>
  </si>
  <si>
    <t xml:space="preserve">https://regional.kompas.com/read/2026/04/22/214337378/viral-video-cekcok-di-polresta-balikpapan-kapolda-pertimbangkan-langkah?page=all</t>
  </si>
  <si>
    <t xml:space="preserve">Toko Kelontong di Kemayoran Diacak-acak, TNI AD Akui Ada Keterlibatan Anggotanya - SINDOnews Daerah</t>
  </si>
  <si>
    <t xml:space="preserve">Viral Video Cekcok di Polresta Balikpapan: Kapolda Pertimbangkan Langkah Hukum, Warga Mengadu ke DPR RI BALIKPAPAN, KOMPAS.com –Viral video perselisihan warga dengan oknum polisi di Polresta Balikpapa</t>
  </si>
  <si>
    <t xml:space="preserve">https://kotaku.co.id/penataan-pkl-pasar-pandan-sari-digenjot-wawali-balikpapan-minta-pengawasan-tak-kendor/</t>
  </si>
  <si>
    <t xml:space="preserve">Viral Toko Kelontong di Kemayoran Diacak-acak, TNI AD Akui Ada Anggotanya Terlibat - Kompas.com</t>
  </si>
  <si>
    <t xml:space="preserve">KOTAKU, BALIKPAPAN-Aktivitas pedagang kaki lima (PKL) yang berjualan hingga memenuhi trotoar dan bahu jalan di kawasan Pasar Pandan Sari kembali menjadi perhatian Pemerintah Kota (Pemkot) Balikpapan, </t>
  </si>
  <si>
    <t xml:space="preserve">KOTAKU, BALIKPAPAN-Kota Balikpapan, Provinsi Kalimantan Timur (Kaltim) menjadi daerah pertama yang dipercaya sebagai tuan rumah Festival Kemudahan dan Perlindungan Usaha Mikro 2026 yang digelar Kement</t>
  </si>
  <si>
    <t xml:space="preserve">https://arusbawah.co/12-rekomendasi-cafe-dengan-view-sungai-mahakam-di-samarinda-ada-yang-buka-24-jam-cocok-buat-nongkrong-sambil-nikmati-sunset</t>
  </si>
  <si>
    <t xml:space="preserve">5 Lokasi Hunting Buku Murah di Jakarta, dari Spot Legendaris sampai Toko Hidden Gem - Jawa Pos Metropolitan</t>
  </si>
  <si>
    <t xml:space="preserve">ARUSBAWAH.CO&amp;nbsp;-&amp;nbsp;Tak hanya menawarkan kopi dan aneka makanan, sejumlah cafe di Samarinda juga menghadirkan panorama Sungai Mahakam yang memanj...</t>
  </si>
  <si>
    <t xml:space="preserve">https://arusbawah.co/16-rekomendasi-kopitiam-di-samarinda-yang-wajib-dicoba-cocok-buat-sarapan-hingga-nongkrong</t>
  </si>
  <si>
    <t xml:space="preserve">Kapolsek pastikan asap hitam di Pasar Baru akibat korsleting gardu - antaranews.com</t>
  </si>
  <si>
    <t xml:space="preserve">ARUSBAWAH.CO&amp;nbsp;-&amp;nbsp;Menikmati secangkir kopi di kopitiam kini menjadi salah satu pilihan masyarakat untuk mengawali hari maupun bersantai bersama...</t>
  </si>
  <si>
    <t xml:space="preserve">https://arusbawah.co/rekomendasi-5-tempat-es-kacang-merah-favorit-di-samarinda</t>
  </si>
  <si>
    <t xml:space="preserve">Kepulan Asap di Pasar Baru Jakpus Dipastikan Akibat Korsleting - MetroTVNews.com</t>
  </si>
  <si>
    <t xml:space="preserve">ARUSBAWAH.CO -&amp;nbsp;Cuaca panas Kota Tepian rasanya kurang lengkap tanpa semangkuk es kacang merah yang dingin, manis, dan legit.Minuman penyegar berb...</t>
  </si>
  <si>
    <t xml:space="preserve">https://arusbawah.co/10-rekomendasi-guest-house-di-samarinda-yang-nyaman-untuk-liburan-lokasi-strategis-dan-fasilitas-lengkap?page=full</t>
  </si>
  <si>
    <t xml:space="preserve">Viral Asap Hitam Menyembur dari Bawah Tanah di Pasar Baru, Ini Penyebabnya - topik.id</t>
  </si>
  <si>
    <t xml:space="preserve">topik.id</t>
  </si>
  <si>
    <t xml:space="preserve">ARUSBAWAH.CO&amp;nbsp;-&amp;nbsp;Sedang mencari guest house di Samarinda untuk tempat menginap saat liburan? Selain menawarkan tarif yang umumnya lebih terjan...</t>
  </si>
  <si>
    <t xml:space="preserve">SAMARINDA.NIAGA.ASIA — Pemkot Samarinda mesti terus berkreasi untuk mendongkrak pendapatan asli daerah (PAD). Salah satunya dengan melirik potensi wisata alam dan dataran atau perbukitan tinggi. Doron</t>
  </si>
  <si>
    <t xml:space="preserve">BERITA DAERAH · 1 Jul 2026 16:00 WITA · Komisi II DPRD Kota Samarinda menggelar rapat kerja bersama Dinas Pemuda, Olahraga, dan Pariwisata (Disporapar) untuk membahas pengembangan sektor pariwisata, k</t>
  </si>
  <si>
    <t xml:space="preserve">https://www.sijogja.com/hukum-kriminal/18417191752/viral-skandal-malpraktik-di-rsud-aws-samarinda-diduga-ada-tindakan-fatal-kawat-2-cm-tertinggal-di-jantung-pasien</t>
  </si>
  <si>
    <t xml:space="preserve">Cookies hingga Jajan Pasar yang Diincar Turis Malaysia saat ke Jakarta - detikFood</t>
  </si>
  <si>
    <t xml:space="preserve">SiJOGJA.COM : Sebagian publik di media sosial tengah ramai menyoroti akun media sosial resmi milik RSUD Abdul Wahab Sjahranie (AWS) Samarinda yang ramai digeruduk warganet. Bukan tanpa sebab, RSUD AWS</t>
  </si>
  <si>
    <t xml:space="preserve">https://kaltim.tribunnews.com/tribun-etam/1160353/viral-tulisan-tangan-mahasiswi-unmul-samarinda-disebut-mirip-alur-jahitan-dosen-beri-catatan-khusus</t>
  </si>
  <si>
    <t xml:space="preserve">kaltim.tribunnews.com</t>
  </si>
  <si>
    <t xml:space="preserve">Viral Preman Palak Sopir Bajaj di Tanah Abang, Polisi Tangkap Pelaku - cnnindonesia.com</t>
  </si>
  <si>
    <t xml:space="preserve">Belum punya akun? Daftar Akun Download TribunX untuk Android &amp; iOS TRIBUNKALTIM.CO – Sebuah unggahan yang menampilkan tulisan tangan seorang mahasiswi menjadi viral di media sosial karena bentuknya ya</t>
  </si>
  <si>
    <t xml:space="preserve">https://regional.kompas.com/read/2026/07/07/205436678/pria-di-samarinda-jadi-spesialis-pembobol-toko-ganti-penampilan-4-kali?page=all</t>
  </si>
  <si>
    <t xml:space="preserve">Festival Sasa Bakso Vaganza 2026, Hadirkan 50 Bakso Legendaris sampai Viral di GBK - cantika.com</t>
  </si>
  <si>
    <t xml:space="preserve">cantika.com</t>
  </si>
  <si>
    <t xml:space="preserve">Pria di Samarinda Jadi Spesialis Pembobol Toko, Ganti Penampilan 4 Kali dalam Satu Malam SAMARINDA, KOMPAS.com – Kasus pencurian dengan kekerasan di Toko Swalayan, Samarinda Utara yang sempat viral ak</t>
  </si>
  <si>
    <t xml:space="preserve">https://jurnalborneo.com/licin-bak-belut-pembobol-swalayan-viral-di-samarinda-kerap-ganti-penampilan-saat-beraksi/</t>
  </si>
  <si>
    <t xml:space="preserve">Daftar Event Jakarta Awal Mei 2026: Festival Kuliner hingga Pameran Industri Besar - Koran Jakarta ®</t>
  </si>
  <si>
    <t xml:space="preserve">SAMARINDA – Pelaku pembobolan toko yang sempat viral di Samarinda usai melukai dua karyawan Swalayan Anas akhirnya berhasil diringkus jajaran Polsek Sungai Pinang bersama Satreskrim Polresta Samarinda</t>
  </si>
  <si>
    <t xml:space="preserve">https://nomorsatukaltim.disway.id/hukum/read/76687/pria-23-tahun-bobol-6-toko-di-samarinda-lukai-korban-karena-kepergok</t>
  </si>
  <si>
    <t xml:space="preserve">Dugaan penistaan agama di festival musik, sejumlah pihak dilaporkan - antaranews.com</t>
  </si>
  <si>
    <t xml:space="preserve">Adv Diskominfo Kukar Adv Diskominfo Kutim Adv Diskominfo Kukar Adv Diskominfo Kutim Polisi menunjukkan barang bukti yang dsita dari tersangka.-Mayang Sari/ Nomorsatukaltim- SAMARINDA, NOMORSATUKALTIM </t>
  </si>
  <si>
    <t xml:space="preserve">https://kaltimetam.id/terungkap-perampok-swalayan-anas-diduga-sudah-enam-kali-membobol-toko-di-samarinda-dalam-tiga-bulan/</t>
  </si>
  <si>
    <t xml:space="preserve">kaltimetam.id</t>
  </si>
  <si>
    <t xml:space="preserve">Festival Sasa Bakso Vaganza 2026 Kembali Digelar, Hadirkan 50 Pedagang Bakso dari Seluruh Indonesia ‎ - olenka.id</t>
  </si>
  <si>
    <t xml:space="preserve">Samarinda, Kaltimetam.id – Pengungkapan kasus pencurian dengan kekerasan (curas) di Toko Swalayan Anas mengungkap fakta yang lebih besar dari dugaan awal. Polisi menyebut pelaku utama berinisial DY (2</t>
  </si>
  <si>
    <t xml:space="preserve">https://www.berandaindonesia.id/2026/07/08/ninja-pembobol-toko-di-samarinda-akhirnya-tertangkap</t>
  </si>
  <si>
    <t xml:space="preserve">50 Bakso Legendaris dan Viral Kumpul di GBK pada 25-26 Juli 2026 - Kompas.com</t>
  </si>
  <si>
    <t xml:space="preserve">SAMARINDA – Pelarian DY (23), pelaku pembobolan toko yang sempat membuat geger warga Samarinda, resmi berakhir. Pria yang dikenal “licin” karena aksi nekatnya disertai kekerasan tersebut diringkus tim</t>
  </si>
  <si>
    <t xml:space="preserve">https://korankaltim.com/read/patroli/91528/polisi-ungkap-modus-pelaku-pembobolan-toko-di-samarinda-pantau-motor-parkir-hingga-ganti-baju-empat-kali</t>
  </si>
  <si>
    <t xml:space="preserve">Sukses Gelar Festival Burger Dunia, Aldi Taher: Ajang Silaturahmi - VOI.ID</t>
  </si>
  <si>
    <t xml:space="preserve">Kedua pelaku saat diamankan oleh pihak Polsek Sungai pinang (Adnan Abdul/Korankaltim.com) Grup Telegram Koran Kaltim Kedua pelaku saat diamankan oleh pihak Polsek Sungai pinang (Adnan Abdul/Korankalti</t>
  </si>
  <si>
    <t xml:space="preserve">https://jurnalborneo.com/polresta-samarinda-ringkus-residivis-pembobol-toko-pelaku-beraksi-di-6-lokasi/</t>
  </si>
  <si>
    <t xml:space="preserve">45 Tenant Hits Ramaikan Gebyar Kuliner Jakarta Halal Vol 3 di Living World Pekanbaru - cakaplah.com</t>
  </si>
  <si>
    <t xml:space="preserve">SAMARINDA – Satreskrim Polresta Samarinda mengungkap pelaku pembobolan toko yang sempat viral setelah melakukan pencurian disertai kekerasan terhadap dua karyawan Swalayan Anas di Jalan Bengkuring Ray</t>
  </si>
  <si>
    <t xml:space="preserve">https://borneoflash.com/2026/09/23/usai-video-bersitegang-dengan-satpol-pp-viral-oknum-tni-diperiksa-denpom</t>
  </si>
  <si>
    <t xml:space="preserve">Festival Kali Pasir dinilai dapat menjadi ikon budaya Jakarta - antaranews.com</t>
  </si>
  <si>
    <t xml:space="preserve">BorneoFlash.com , SAMARINDA — Komandan Kodim (Dandim) 0901/Samarinda Kolonel Inf Arif Hermad menyampaikan permintaan maaf setelah video yang memperlihatkan ketegangan antara seorang anggota TNI dan pe</t>
  </si>
  <si>
    <t xml:space="preserve">https://korankaltim.com/read/patroli/91756/-viral-di-medsos-lima-preman-pemalak-dan-pencuri-solar-di-sungai-mahakam-diciduk-polisi</t>
  </si>
  <si>
    <t xml:space="preserve">5 Chinese Food Halal di Jakarta Barat, Ada yang Legendaris Sejak 1958! - detikFood</t>
  </si>
  <si>
    <t xml:space="preserve">Kelima pelaku saat diamankan oleh pihak Satpolairud Polresta Samarinda. (Foto: Adnan Abdul/Korankaltim.com) Grup Telegram Koran Kaltim Kelima pelaku saat diamankan oleh pihak Satpolairud Polresta Sama</t>
  </si>
  <si>
    <t xml:space="preserve">https://nomorsatukaltim.disway.id/ekonomi/read/80147/e-commerce-mengubah-pola-belanja-pasar-pagi-samarinda-perlu-bangun-daya-tarik-baru</t>
  </si>
  <si>
    <t xml:space="preserve">7 Kuliner Malam Enak di Daerah Jakarta Barat yang Legendaris - Kompas.com</t>
  </si>
  <si>
    <t xml:space="preserve">Adv Diskominfo Kukar Adv Diskominfo Kutim Adv Diskominfo Kukar Adv Diskominfo Kutim Pengamat Tata Kota ITK, Farid Nurrahman menilai, perkembangan e-commerce ikut mengubah cara masyarakat melakukan tra</t>
  </si>
  <si>
    <t xml:space="preserve">Catatan Rizal Effendi HARI RABU , 5 Agustus 2026 saya ke Samarinda. Saya memenuhi undangan Wakil Dekan Fakultas Ekonomi &amp; Bisnis (FEB) Bidang Kemahasiswaan, Alumni dan Kerjasama Unmul, Rian Hilmawan u</t>
  </si>
  <si>
    <t xml:space="preserve">RRI.CO.ID, Samarinda – Aktivitas di Pasar Tungging, Samarinda Seberang, menjadi perhatian masyarakat setelah sejumlah foto dan video keramaian pasar tersebut viral di media sosial. Dalam pantauan rri.</t>
  </si>
  <si>
    <t xml:space="preserve">https://borneoflash.com/2026/07/22/patroli-gabungan-sasar-pmks-satpol-pp-amankan-manusia-silver-dan-anak-jalanan-di-samarinda</t>
  </si>
  <si>
    <t xml:space="preserve">Hangat Berempah! 5 Soto Tangkar Legendaris di Jakarta yang Kelezatannya Masih Sama - detikFood</t>
  </si>
  <si>
    <t xml:space="preserve">BorneoFlash.com , SAMARINDA – Tim gabungan yang terdiri dari Satpol PP Kota Samarinda , TNI, Polri, Denpom, dan Satpol PP Provinsi Kalimantan Timur menggelar patroli cipta kondisi pada Rabu (22/7/2026</t>
  </si>
  <si>
    <t xml:space="preserve">BINTANGTENGGARA - Viral video oknum TNI bersitegang dengan Kepala Satuan Polisi Pamong Praja ( Kasatpol PP ) Samarinda, Anis Siswantini saat penertiban sebuah tempat yang diduga menjual minuman keras </t>
  </si>
  <si>
    <t xml:space="preserve">https://borneoflash.com/2026/06/06/daya-beli-warga-samarinda-menurun-pedagang-pasar-tradisional-keluhkan-omzet-terjun-bebas</t>
  </si>
  <si>
    <t xml:space="preserve">Polisi usut dugaan pencurian raket padel di Tamansari Jakbar - antaranews.com</t>
  </si>
  <si>
    <t xml:space="preserve">BorneoFlash.com , SAMARINDA – Aktivitas perdagangan di sejumlah pasar tradisional Kota Samarinda mengalami perlambatan dalam beberapa bulan terakhir. Kondisi tersebut dirasakan langsung oleh para peda</t>
  </si>
  <si>
    <t xml:space="preserve">Kaltim.akurasi.id, Samarinda – Lontaran ucapan yang dinilai tidak pantas dari salah seorang petugas keamanan Pasar Pagi Samarinda terhadap seorang jurnalis menjadi sorotan setelah videonya beredar di </t>
  </si>
  <si>
    <t xml:space="preserve">Samarinda, Klausa.co – Perseteruan antara petugas keamanan dan seorang perempuan yang disebut berasal dari salah satu media di Samarinda di kawasan Pasar Pagi, menjadi perhatian Dinas Perdagangan (Dis</t>
  </si>
  <si>
    <t xml:space="preserve">Reporter: Tri Agustini | Editor: Bambang Irawan SAMARINDA – Dinas Perdagangan Kota Samarinda angkat bicara terkait kondisi pedagang yang berjualan hingga meluber ke tengah koridor Pasar Pagi. Fenomena</t>
  </si>
  <si>
    <t xml:space="preserve">Catatan Rizal Effendi HARI RABU, 5 Agustus 2026 saya ke Samarinda. Saya memenuhi undangan Wakil Dekan Fakultas Ekonomi &amp; Bisnis (FEB) Bidang Kemahasiswaan, Alumni dan Kerjasama Unmul, Rian Hilmawan un</t>
  </si>
  <si>
    <t xml:space="preserve">Samarinda, Busam.ID — Polemik antara petugas keamanan dan media Busam.ID di kawasan Pasar Pagi Samarinda akhirnya memasuki babak baru. Setelah sempat viral di media sosial, persoalan tersebut berujung</t>
  </si>
  <si>
    <t xml:space="preserve">https://borneoflash.com/2026/06/08/harga-plastik-mulai-melandai-pedagang-pasar-segiri-sebut-penurunan-terasa-sejak-tiga-hari-terakhir</t>
  </si>
  <si>
    <t xml:space="preserve">5 Gemblong Viral yang Legit Lembut, Jajanan Ndeso Naik Daun Lagi! - detikFood</t>
  </si>
  <si>
    <t xml:space="preserve">BorneoFlash.com , SAMARINDA – Harga plastik yang selama beberapa waktu terakhir sempat mengalami kenaikan kini mulai menunjukkan tren penurunan di tingkat pedagang Samarinda . Perubahan harga tersebut</t>
  </si>
  <si>
    <t xml:space="preserve">Seorang wanita di Samarinda, Kalimantan Timur, sempat diikat di tiang listrik setelah diduga mencuri sayuran milik pedagang di Pasar Segiri. Aksi tersebut terekam video warga dan viral di media sosial</t>
  </si>
  <si>
    <t xml:space="preserve">https://borneoflash.com/2026/09/26/penempatan-lapak-pasar-pagi-masih-bermasalah-disdag-samarinda-bentuk-tim-penataan</t>
  </si>
  <si>
    <t xml:space="preserve">Sudis LH Jakbar Pasang Spanduk Larangan Buang Sampah di Sekitar Pasar Kopro - Kota Administrasi Jakarta Barat</t>
  </si>
  <si>
    <t xml:space="preserve">Kota Administrasi Jakarta Barat</t>
  </si>
  <si>
    <t xml:space="preserve">BorneoFlash.com , SAMARINDA — Persoalan penempatan lapak di Pasar Pagi Samarinda masih menjadi perhatian Pemerintah Kota (Pemkot) Samarinda. Sejumlah pedagang diketahui belum menempati lapak yang tela</t>
  </si>
  <si>
    <t xml:space="preserve">https://borneoflash.com/2026/06/08/harga-bawang-di-samarinda-naik-drastis-pedagang-keluhkan-pasokan-dan-cuaca-apa-penyebabnya</t>
  </si>
  <si>
    <t xml:space="preserve">Polisi Sudah Kantongi Identitas Pelaku Pengeroyokan Maut di Pasar Grogol - Liputan6.com</t>
  </si>
  <si>
    <t xml:space="preserve">BorneoFlash.com , SAMARINDA – Kenaikan harga bawang merah dan bawang putih mulai dirasakan masyarakat di Kota Samarinda . Dalam beberapa hari terakhir, harga kedua komoditas tersebut meningkat cukup t</t>
  </si>
  <si>
    <t xml:space="preserve">RRI.CO.ID, Paser - Setelah menunggu kepastian ketersediaan anggaran, Dinas Pemuda Olahraga dan Pariwisata (Disporapar) Kabupaten Paser, melalui Bidang Ekonomi Kreatif (Ekraf), akan menggelar Expo seba</t>
  </si>
  <si>
    <t xml:space="preserve">https://regional.kompas.com/read/2026/06/24/124348878/samarinda-half-marathon-gagal-digelar-pasutri-penyelenggara-event?page=all</t>
  </si>
  <si>
    <t xml:space="preserve">Sambut HUT Jakarta, Bakal Ada Festival Wisata Kuliner Malam Glodok - cnnindonesia.com</t>
  </si>
  <si>
    <t xml:space="preserve">Samarinda Half Marathon Gagal Digelar, Pasutri Penyelenggara Event Dilaporkan ke Polisi SAMARINDA, KOMPAS.com - NO dan AW, pasangan suami istri (pasutri) yang menyelenggarakan event lari Samarinda Hal</t>
  </si>
  <si>
    <t xml:space="preserve">https://katakaltim.com/1700-pendaftar-event-lari-di-samarinda-diduga-penipuan-2-orang-kini-diperiksa-</t>
  </si>
  <si>
    <t xml:space="preserve">katakaltim.com</t>
  </si>
  <si>
    <t xml:space="preserve">Festival Jakarta Great Sale 2026 Resmi Dibuka - Infobanknews</t>
  </si>
  <si>
    <t xml:space="preserve">Infobanknews</t>
  </si>
  <si>
    <t xml:space="preserve">Kuasa Hukum Terduga Pelaku Penipuan Event Running, Tino Heidel Lampulembang, Mendampingi terduga pelaku menjalani pemeriksaan di Polresta Samarinda, Selasa (23/6/2026) (Dok: Deni/katakaltim) SAMARINDA</t>
  </si>
  <si>
    <t xml:space="preserve">https://bontangpost.id/samarinda-half-marathon-batal-digelar-dua-terduga-penyelenggara-akhirnya-serahkan-diri-ke-polisi/</t>
  </si>
  <si>
    <t xml:space="preserve">bontangpost.id</t>
  </si>
  <si>
    <t xml:space="preserve">Denny Sumargo Gelar Festival Seru: Ada Konser Musik Bertabur Bintang! - detikHOT</t>
  </si>
  <si>
    <t xml:space="preserve">detikHOT</t>
  </si>
  <si>
    <t xml:space="preserve">Didampingi Penasihat Hukum, NO dan AW, dua terduga pelaku penyelenggara Samarinda Half Marathon datang ke Mapolresta Samarinda. (kis/sapos) BONTANGPOST.ID, Samarinda – Batalnya pelaksanaan Samarinda H</t>
  </si>
  <si>
    <t xml:space="preserve">https://korankaltim.com/read/samarinda/91023/even-batal-digelar-penyelenggara-samarinda-half-marathon-diperiksa-polisi</t>
  </si>
  <si>
    <t xml:space="preserve">Pungli Pak Ogah di Jalan Ring Road Jakbar yang Meresahkan - Kompas.com</t>
  </si>
  <si>
    <t xml:space="preserve">Terduga pelaku di dampingin Kuasa Hukum nya saat diperiksa di Polresta Samarinda. (Foto: Adnan Abdul/Korankaltim.com) Grup Telegram Koran Kaltim Terduga pelaku di dampingin Kuasa Hukum nya saat diperi</t>
  </si>
  <si>
    <t xml:space="preserve">https://kaltimfaktual.co/terduga-pelaku-eo-event-lari-di-samarinda-serahkan-diri-ke-polresta-polisi-dalami-dugaan-penipuan-peserta/</t>
  </si>
  <si>
    <t xml:space="preserve">5 Kuliner Enak di kawasan Rawamangun, Ada Bakmi Tasik hingga Soto Bening - detikFood</t>
  </si>
  <si>
    <t xml:space="preserve">Kasus dugaan penipuan dalam sebuah event lari di Samarinda memasuki perkembangan baru. Terduga pihak penyelenggara atau Event Organizer (EO) dilaporkan telah menyerahkan diri ke Polresta Samarinda unt</t>
  </si>
  <si>
    <t xml:space="preserve">https://regional.kompas.com/read/2026/06/24/152819578/kasus-samarinda-half-marathon-naik-penyidikan-polisi-sebut-kerugian-capai?page=all</t>
  </si>
  <si>
    <t xml:space="preserve">7 Kuliner Rawamangun Terenak, Dari Legendaris Hingga Kekinian - Kompas.com</t>
  </si>
  <si>
    <t xml:space="preserve">Kasus Samarinda Half Marathon Naik Penyidikan, Polisi Sebut Kerugian Capai Ratusan Juta SAMARINDA, KOMPAS.com - Polresta Samarinda sedang mengusut dugaan penggelapan dalam penyelenggaraan Samarinda Ha</t>
  </si>
  <si>
    <t xml:space="preserve">https://nomorsatukaltim.disway.id/samarinda/read/76119/usai-gagal-gelar-samarinda-half-marathon-pasutri-terduga-pelaku-penuhi-panggilan-polisi</t>
  </si>
  <si>
    <t xml:space="preserve">Spot Seafood Baru yang Wajib Dicoba di Pulogebang, Jakarta Timur Halaman all - Kompasiana.com</t>
  </si>
  <si>
    <t xml:space="preserve">Adv Diskominfo Kukar Adv Diskominfo Kutim Adv Diskominfo Kukar Adv Diskominfo Kutim Ilustrasi lari maraton.-istimewa- SAMARINDA, NOMORSATUKALTIM – Kasus dugaan penggelapan dana penyelenggaraan Samarin</t>
  </si>
  <si>
    <t xml:space="preserve">https://kaltimfaktual.co/peserta-lari-lapor-polisi-dugaan-penipuan-event-di-samarinda-masih-didalami/</t>
  </si>
  <si>
    <t xml:space="preserve">Blusukan ke Jatinegara, Jangan Lupa Coba 7 Kuliner Legendaris Ini! - detikFood</t>
  </si>
  <si>
    <t xml:space="preserve">Kasus dugaan penipuan dalam sebuah event lari di Samarinda terus bergulir. Seorang peserta resmi melapor ke Polresta Samarinda setelah mengaku dirugikan oleh penyelenggara kegiatan yang dinilai tidak </t>
  </si>
  <si>
    <t xml:space="preserve">https://regional.kompas.com/read/2026/07/02/060300478/tersangka-penipuan-samarinda-half-marathon-rp-481-juta-tak-ditahan-polisi?page=all</t>
  </si>
  <si>
    <t xml:space="preserve">Kuliner Viral di Jaktim! Daging Asap yang Smoky Mulai Rp30 Ribuan - detikFood</t>
  </si>
  <si>
    <t xml:space="preserve">Tersangka Penipuan Samarinda Half Marathon Rp 481 Juta Tak Ditahan, Polisi Ungkap Alasannya SAMARINDA, KOMPAS.com – Polresta Samarinda memutuskan tidak menahan tersangka berinisial V dalam kasus batal</t>
  </si>
  <si>
    <t xml:space="preserve">https://afu.id/nusantara/adu-mulut-babinsa-dan-kasatpol-pp-samarinda-saat-tertibkan-kafe-viral-dandim-minta-maaf</t>
  </si>
  <si>
    <t xml:space="preserve">Mantan Pegawai IT Sukses Jadi Petani hingga Kuliner Daging Asap Viral di Jaktim - detikFood</t>
  </si>
  <si>
    <t xml:space="preserve">Nikmati fitur lengkap distribusi bias, newsletter, pemberitahuan berita Penulis: Fadhlan Robbani Â· Reporter: Fadhlan Robbani Viralnya video adu mulut antara Babinsa Karang Asam Ulu dan Kepala Satpol </t>
  </si>
  <si>
    <t xml:space="preserve">WARTA Pontianak – rumah makan gratis Habib menerima kunjungan Wakil Kepala Badan Gizi Nasional Republik Indonesia Bidang Operasional Pemenuhan Gizi, Irjen Sony Sanjaya bersama rombongan Badan Gizi Nas</t>
  </si>
  <si>
    <t xml:space="preserve">Berwisata ke suatu daerah rasanya belum lengkap tanpa mencicipi kuliner khasnya. Begitu pula saat berkunjung ke Pontianak, Kalimantan Barat. Kota Khatulistiwa ini menawarkan beragam pilihan kuliner ya</t>
  </si>
  <si>
    <t xml:space="preserve">https://www.suarakalbar.co.id/2026/04/sampah-berlabel-toko-buah-viral-di-medsos-pemilik-didenda-satpol-pp/</t>
  </si>
  <si>
    <t xml:space="preserve">Viral Pria di Jaktim Dibacok, 2 Pelaku Ditangkap Kurang dari 24 Jam - detikNews</t>
  </si>
  <si>
    <t xml:space="preserve">Pontianak (Suara Kalbar) – Kelalaian dalam pengelolaan sampah membuat seorang pemilik toko buah di Jalan WR Supratman, Kecamatan Pontianak Selatan, harus menerima sanksi denda dari Satuan Polisi Pamon</t>
  </si>
  <si>
    <t xml:space="preserve">https://sekadau.suarakalbar.co.id/2026/04/viral-sampah-di-parit-pemilik-toko-buah.html</t>
  </si>
  <si>
    <t xml:space="preserve">sekadau.suarakalbar.co.id</t>
  </si>
  <si>
    <t xml:space="preserve">Polres Jaktim Akan Periksa Polisi yang Diduga Intimidasi Pedagang Pasar Kramat Jati - Kompas.com</t>
  </si>
  <si>
    <t xml:space="preserve">Kasus ini mencuat usai warga menemukan sampah yang masih berlabel nama toko dan menyebarkannya di media sosial. Temuan tersebut langsung ditindaklanjuti oleh Satuan Polisi Pamong Praja (Satpol PP) Kot</t>
  </si>
  <si>
    <t xml:space="preserve">https://rri.co.id/pontianak/wisata/2600425/bonjour-au-revoir-ibukota-belanja-dunia</t>
  </si>
  <si>
    <t xml:space="preserve">Viral Video Oknum Perwira Polisi Diduga Intimidasi Pedagang Pasar Induk Kramat Jati - Poskotaonline</t>
  </si>
  <si>
    <t xml:space="preserve">RRI.CO.ID, Pontianak - Pecinta belanja pasti akan menyukai Paris, salah satu pusat mode dunia, di mana apa pun yang sedang naik daun di sana biasanya akan langsung diikuti oleh tempat-tempat lain. Bil</t>
  </si>
  <si>
    <t xml:space="preserve">https://kalbaronline.com/2026/09/21/warga-pontianak-mulai-berhemat-belanja-di-pasar-imbas-harga-sayur-melonjak</t>
  </si>
  <si>
    <t xml:space="preserve">Gunungan Sampah di Pasar Induk Kramat Jati Tuntas Dibersihkan - Beritajakarta.id</t>
  </si>
  <si>
    <t xml:space="preserve">https://kalbar.suara.com/read/2026/04/27/222046/5-tips-berburu-sarapan-enak-di-pontianak-datang-lebih-pagi-sebelum-menu-favorit-habis</t>
  </si>
  <si>
    <t xml:space="preserve">kalbar.suara.com</t>
  </si>
  <si>
    <t xml:space="preserve">Polisi Selidiki Viral Teror Kotoran Sapi 'Usir' Pedagang di Jaktim - detikNews</t>
  </si>
  <si>
    <t xml:space="preserve">SuaraKalbar.id - Bagi warga Pontianak , pasar tradisional bukan hanya tempat belanja kebutuhan harian. Di sana, tersimpan banyak kuliner pagi yang menggoda lidah sekaligus ramah di kantong. Mulai dari</t>
  </si>
  <si>
    <t xml:space="preserve">Cerita serupa datang dari La Gramma. Toko kue ini mengaku semakin mudah melayani lonjakan permintaan saat momen besar seperti Imlek maupun Lebaran karena proses distribusi yang lebih praktis. Menurut </t>
  </si>
  <si>
    <t xml:space="preserve">https://wartapontianak.pikiran-rakyat.com/kalbar/pr-11710472507/gerakan-asri-gerindra-dorong-pasar-bersih-jadi-penopang-pertumbuhan-ekonomi</t>
  </si>
  <si>
    <t xml:space="preserve">Longsor Bantargebang dan Masalah Sampah DKI Butuh Evaluasi Total - RM.ID</t>
  </si>
  <si>
    <t xml:space="preserve">WARTA PONTIANAK – Gerakan asri Partai Gerindra mendorong kebersihan pasar menjadi bagian dari upaya menjaga kenyamanan masyarakat sekaligus mendukung perputaran ekonomi pedagang. Gerakan tersebut dibu</t>
  </si>
  <si>
    <t xml:space="preserve">Ilustrasi. (Foto: Lion Parcel) Berita Terkini, Eksklusif di WhatsApp Inilah.com Kota Pontianak, Kalimantan Barat, tak pernah kehabisan daya tarik lewat ragam kuliner dan oleh-oleh khasnya. Seiring den</t>
  </si>
  <si>
    <t xml:space="preserve">https://pontianak.suarakalbar.co.id/2026/04/video-viral-dugaan-pelecehan-di.html</t>
  </si>
  <si>
    <t xml:space="preserve">Buntut Unggahan AI, Lurah Kalisari Dicopot Sementara - Inilah.com</t>
  </si>
  <si>
    <t xml:space="preserve">Korban yang identitasnya disamarkan sebagai Bunga akhirnya resmi melaporkan terduga pelaku, yang juga disamarkan sebagai Iyan, ke Mapolres Mempawah pada Senin (30/3/2026). Kapolres Mempawah AKBP Jonat</t>
  </si>
  <si>
    <t xml:space="preserve">https://www.pontianaknews.com/daerah/527502340/tiga-pelari-pontianak-tantang-diri-tempuh-350-kilometer-menuju-kuching</t>
  </si>
  <si>
    <t xml:space="preserve">www.pontianaknews.com</t>
  </si>
  <si>
    <t xml:space="preserve">Viral Pedagang di Jaktim Diteror Kotoran Sapi, Korban Diimbau Lapor Polisi - detikNews</t>
  </si>
  <si>
    <t xml:space="preserve">PONTIANAKNEWS.COM (PONTIANAK) – Tradisi merayakan kemerdekaan dengan cara berbeda kembali berlanjut. Tiga pelari asal Pontianak menantang diri menempuh jarak sekitar 350 kilometer dari Pontianak, Indo</t>
  </si>
  <si>
    <t xml:space="preserve">Photo source: @sopbuntutibusamino Kawasan Senayan dikenal sebagai salah satu area di Jakarta yang memiliki image mewah. Karena itu, dibandingkan daerah lain di ibu kota, kuliner di Senayan dan sekitar</t>
  </si>
  <si>
    <t xml:space="preserve">indoBRITA,manado-Pemerintah Kota (Pemkot) Manado dibawah kepemimpinan Wali Kota Andrei Angouw dan Wakil Walikota dr. Richard Sualang, sungguh luar biasa melakukan terobosan, untuk kemajuan Kota bahkan</t>
  </si>
  <si>
    <t xml:space="preserve">https://www.tripzilla.id/hotel-di-manado-terbaik/26877</t>
  </si>
  <si>
    <t xml:space="preserve">Promosikan Budaya Indonesia Timur, Edha Management Gelar Zumba Multiday Event - RRI.co.id</t>
  </si>
  <si>
    <t xml:space="preserve">Opsi seperti apa yang menjadi pertimbangan kamu dapatkan saat memilih akomodasi di kota yang kamu kunjungi? Lokasi strategis, fasilitas lengkap, harga terjangkau, ramah keluarga, atau faktor lainnya? </t>
  </si>
  <si>
    <t xml:space="preserve">https://rri.co.id/manado/hukum/kriminalitas/2384260/polsek-tikala-amankan-tiga-pemuda-terkait-video-viral-perkelahian</t>
  </si>
  <si>
    <t xml:space="preserve">Lowongan Kerja Juli 2026 di Jakarta Timur Career Fest, Bisa Daftar Online dan Offline - GenPI.co - GenPI.co</t>
  </si>
  <si>
    <t xml:space="preserve">RRI.CO.ID : Manado – Polsek Tikala jajaran Polresta Manado bergerak cepat menindaklanjuti beredarnya video perkelahian antar pemuda yang viral di media sosial Facebook. Dalam penanganan tersebut, poli</t>
  </si>
  <si>
    <t xml:space="preserve">Manado, IDN Times - Seorang lelaki sempat membuat keributan di Manado Town Square, Kota Manado, Sulawesi Utara, pada Senin, 15 Juni 2026 malam. Pria yang diduga menderita gangguan jiwa (ODGJ) tersebut</t>
  </si>
  <si>
    <t xml:space="preserve">https://kontras.id/2026/07/31/video-viral-berujung-damai-tuduhan-terhadap-viktor-posangi-akhirnya-diklarifikasi-dan-dicabut/</t>
  </si>
  <si>
    <t xml:space="preserve">kontras.id</t>
  </si>
  <si>
    <t xml:space="preserve">8 Event Seru di Jabodetabek 4–6 September 2026 untuk Keluarga - Mommies Daily</t>
  </si>
  <si>
    <t xml:space="preserve">Kontras.id , (Boltara) – Polemik yang sempat menyita perhatian publik akibat beredarnya video di media sosial pada Selasa 28 Juli 2026 akhirnya berakhir damai. Seluruh pihak yang terlibat memilih meny</t>
  </si>
  <si>
    <t xml:space="preserve">https://beritamanado.com/perempuan-muda-masturbasi-mencuri-odgj/</t>
  </si>
  <si>
    <t xml:space="preserve">Gubernur DKI Jakarta dan Walikota Jaktim Akan Hadir di "Hajatan Otista Ke-2 2026", Gubernur Siap Jadi Keynote Speaker Isu Pilah Sampah - Kicaunews</t>
  </si>
  <si>
    <t xml:space="preserve">Kicaunews</t>
  </si>
  <si>
    <t xml:space="preserve">Penulis: Tim Redaksi Sebuah video rekaman kamera pengawas (CCTV) mendadak viral di media sosial. Video tersebut memperlihatkan aksi seorang perempuan yang tepergok mencuri di sebuah toko di kawasan Ci</t>
  </si>
  <si>
    <t xml:space="preserve">https://manado.tribunnews.com/bolmut/1886341/viral-asn-pemkab-boltara-dituduh-mencuri-di-pusat-perbelanjaan-manado-ini-respons-oknum-dan-bkpsdm</t>
  </si>
  <si>
    <t xml:space="preserve">9 Rekomendasi Seafood di Jakarta yang Wajib Dikunjungi! - Bank Mega Syariah</t>
  </si>
  <si>
    <t xml:space="preserve">Belum punya akun? Daftar Akun Download TribunX untuk Android &amp; iOS TRIBUNMANADO.COM, BOLTARA - Kedisiplinan Aparatur Sipil Negara (ASN) di Kabupaten Bolaang Mongondow Utara (Boltara), Sulawesi Utara, </t>
  </si>
  <si>
    <t xml:space="preserve">https://detikmanado.com/sasar-pasar-digital-pertamina-latih-20-umkm-di-manado/</t>
  </si>
  <si>
    <t xml:space="preserve">detikmanado.com</t>
  </si>
  <si>
    <t xml:space="preserve">5 Tempat Makan Nasi Kandar Autentik di Jakarta, Harganya Mulai Rp30 Ribuan - detikFood</t>
  </si>
  <si>
    <t xml:space="preserve">Manado, DetikManado.com — PT Pertamina Patra Niaga Regional Sulawesi bergerak cepat mendorong pelaku Usaha Mikro, Kecil, dan Menengah (UMKM) di Sulawesi Utara agar naik kelas. Melalui Sales Area Manad</t>
  </si>
  <si>
    <t xml:space="preserve">https://manado.tribunnews.com/sulawesi-utara/1878545/dirut-pd-pasar-manado-lucky-senduk-siapkan-laporan-polisi-bantah-postingan-viral-soal-gubernur-ysk</t>
  </si>
  <si>
    <t xml:space="preserve">5 Rekomendasi Rumah Makan Padang di Jakarta, Pilihan untuk Makan Siang - Kompas.com</t>
  </si>
  <si>
    <t xml:space="preserve">Belum punya akun? Daftar Akun Download TribunX untuk Android &amp; iOS TRIBUNMANADO.CO.ID - Direktur Utama PD Pasar Manado Lucky Senduk , buka suara terkait beredarnya unggahan di media sosial yang mencat</t>
  </si>
  <si>
    <t xml:space="preserve">https://manado.tribunnews.com/manado/1886525/wawancara-eksklusif-dirut-pd-pasar-manado-lucky-senduk-masa-kecil-pekarjaan-hingga-isu-viral</t>
  </si>
  <si>
    <t xml:space="preserve">5 Tempat Makan Enak di Jaksel yang Cocok Buat Nongkrong Pulang Kerja - detikFood</t>
  </si>
  <si>
    <t xml:space="preserve">Belum punya akun? Daftar Akun Download TribunX untuk Android &amp; iOS TRIBUNMANADO.CO.ID - Direktur Utama PD Pasar Manado Lucky Senduk membagikan kisah hidup dan perjalanan kariernya dalam Podcast dengan</t>
  </si>
  <si>
    <t xml:space="preserve">https://beritamanado.com/berita-manado-hari-ini-28-april-2026/</t>
  </si>
  <si>
    <t xml:space="preserve">7 Tempat Makan Legendaris di Jakarta, Sudah Eksis Sebelum Indonesia Merdeka - detikFood</t>
  </si>
  <si>
    <t xml:space="preserve">Penulis: Jenly Wenur Hari yang padat di Sulawesi Utara, Selasa 28 April 2026. Dari pelemahan Rupiah ke Rp17.237 yang mengancam harga bahan pokok, pemeriksaan Ketua Sinode GMIM atas kasus Rp5,2 miliar,</t>
  </si>
  <si>
    <t xml:space="preserve">https://manado.tribunnews.com/manado/1885508/sempat-dicabut-kini-pagar-pembatas-di-pasar-bersehati-manado-dipasang-perumda-pedagang-mengeluh</t>
  </si>
  <si>
    <t xml:space="preserve">Menjelajahi Surga Kuliner Jakarta, Tempat Makan Legendaris Dekat Stasiun Sudirman - jogja.disway.id - Disway Jogja</t>
  </si>
  <si>
    <t xml:space="preserve">Belum punya akun? Daftar Akun Download TribunX untuk Android &amp; iOS TRIBUNMANADO.CO.ID - Pagar pembatas di kawasan Pasar Bersehati , Kota Manado , Provinsi Sulawesi Utara (Sulut), tepatnya di lapak pen</t>
  </si>
  <si>
    <t xml:space="preserve">https://video.tribunnews.com/news/926227/update-harga-cabai-rawit-di-pasar-bersehati-manado-saat-ini-rp-85-ribu-normalnya-rp-45-50-ribu</t>
  </si>
  <si>
    <t xml:space="preserve">Makan Paling Hits di Jakarta Selatan Destinasi Kuliner Viral di Blok M - jogja.disway.id - Disway Jogja</t>
  </si>
  <si>
    <t xml:space="preserve">Belum punya akun? Daftar Akun Download Aplikasi TribunX di AppStore dan PlayStore Download aplikasi berita TribunX di Play Store atau App Store untuk dapatkan pengalaman baru TRIBUN-VIDEO.COM - Setiap</t>
  </si>
  <si>
    <t xml:space="preserve">https://www.mediajambinews.com/nasional/66117231613/detik-detik-kepanikan-warga-di-manado-saat-gempa-magnitudo-77-gara-gara-tanah-goyang-lari-dari-kamar-mandi</t>
  </si>
  <si>
    <t xml:space="preserve">www.mediajambinews.com</t>
  </si>
  <si>
    <t xml:space="preserve">Ops Nila Jaya 2026, Sat Narkoba Polres Jakut Tindak Sejumlah Toko Kosmetik Yang Jualin Obat Terlarang, 4 Orang Beserta 4.212 Butir Obaya Dibawa ke Makopolres - lampuhijau.co.id</t>
  </si>
  <si>
    <t xml:space="preserve">MediajambiNews.com - Sebagian publik di media sosial dibuat terperangah dengan insiden tak terduga saat gempa besar mengguncang wilayah Manado , Sulawesi Utara ( Sulut ), pada Senin, 8 Juni 2026. Sebe</t>
  </si>
  <si>
    <t xml:space="preserve">Keindahan matahari terbenam atau sunset di Kota Manado dalam setahun terakhir menjadi fenomena yang sulit diabaikan. Bukan hanya wisatawan, warga lokal hingga para perantau pun ramai membagikan momen </t>
  </si>
  <si>
    <t xml:space="preserve">RRI.CO.ID, Jayapura - Warung Bunda sebagai salah satu destinasi kuliner, menawarkan sajian olahan ikan cita rasa khas di kawasan Entrop, Jayapura. Tempat makan ini telah menarik perhatian masyarakat, </t>
  </si>
  <si>
    <t xml:space="preserve">https://www.rumah123.com/biaya-hidup/jayapura/</t>
  </si>
  <si>
    <t xml:space="preserve">Viral Ibu Bonceng Anak Dilempar Molotov di Koja Jakut, Polisi Buru Pelaku - RCTI+</t>
  </si>
  <si>
    <t xml:space="preserve">Lihat estimasi biaya hidup bulanan di Jayapura , mulai dari hunian, transportasi, hingga kebutuhan sehari-hari. Estimasi biaya hidup bulanan tidak termasuk cicilan atau pembelian properti 1 Keluarga (</t>
  </si>
  <si>
    <t xml:space="preserve">RRI.CO.ID, Jayapura - Laoban Jayapura, hadir sebagai destinasi kuliner baru yang menarik perhatian di Kota Jayapura. Resto ini resmi dibuka pada akhir April 2026 dan langsung mencuri minat para pecint</t>
  </si>
  <si>
    <t xml:space="preserve">RRI.CO.ID, Jayapura - Kuliner laksa kini menjadi salah satu pilihan menarik bagi pecinta makanan berkuah di Jayapura . Cita rasanya yang kaya rempah dan gurih cocok dinikmati kapan saja, baik saat san</t>
  </si>
  <si>
    <t xml:space="preserve">RRI.CO.ID, Jayapura - The Roof Jayapura menjadi salah satu destinasi kuliner yang menawarkan pengalaman bersantap berbeda di Kota Jayapura. Berlokasi di lantai 11 Front One Hotel, Ruko Pacific Permai </t>
  </si>
  <si>
    <t xml:space="preserve">RRI.CO.ID, Jayapura - You Need Mee Jayapura, menjadi salah satu destinasi kuliner yang sedang naik daun di kalangan pecinta mie pedas. Tempat ini berlokasi strategis di Cibo-Land Entrop , tepat di sam</t>
  </si>
  <si>
    <t xml:space="preserve">RRI.CO.ID, Jayapura - One Cloud Coffe &amp; Eatery kian ramai menjadi salah satu destinasi nongkrong favorit anak muda. Tempatnya yang estetik dan instagramable menjadi daya tarik utama ditambah sajian ko</t>
  </si>
  <si>
    <t xml:space="preserve">RRI.CO.ID, Jayapura - Onigiri Babaibun Jayapura, hadir sebagai salah satu UMKM kuliner yang menawarkan cita rasa khas Jepang di Jayapura. Berlokasi di kawasan Doyo, dekat Polres Jayapura, tempat ini m</t>
  </si>
  <si>
    <t xml:space="preserve">RRI.CO.ID, Jayapura - Kota Jayapura kini punya pilihan kuliner yang tak sekadar soal makanan. Rindu Alam Papua (RAP) restoran dan cafe di kawasan Holtekamp, Distrik Muara Tami, hadir dengan konsep hea</t>
  </si>
  <si>
    <t xml:space="preserve">RRI.CO.ID, Jayapura - One Cloud Coffee &amp; Eatery, menjadi salah satu tempat nongkrong yang mulai mencuri perhatian di Kota Jayapura. Kafe ini menawarkan suasana nyaman dengan konsep modern, yang cocok </t>
  </si>
  <si>
    <t xml:space="preserve">https://rri.co.id/jayapura/regional/2601088/pemkot-tingkatkan-kompetensi-pramusaji-sektor-pariwisata</t>
  </si>
  <si>
    <t xml:space="preserve">Geger Challenge Hafalan Surat Ad-Dhuha Ditukar Miras, Polisi Panggil EO dan MC Konser The Sounds Project - VIVA.co.id</t>
  </si>
  <si>
    <t xml:space="preserve">RRI.CO.ID, Jayapura – Dinas Pariwisata Kota Jayapura menggelar sertifikasi pramusaji untuk meningkatkan kompetensi dan profesionalisme tenaga kerja di sektor pariwisata. Kegiatan yang berlangsung pada</t>
  </si>
  <si>
    <t xml:space="preserve">https://www.jpnn.com/news/kapal-pesiar-sh-minerva-tiba-di-jayapura-bea-cukai-optimalkan-pengawasan-pelayanan</t>
  </si>
  <si>
    <t xml:space="preserve">Polisi Selidiki Dugaan Penistaan Agama di Festival Musik The Sounds Project Ancol - Media Indonesia</t>
  </si>
  <si>
    <t xml:space="preserve">jpnn.com , JAYAPURA - Kedatangan kapal pesiar internasional SH Minerva di Pelabuhan Jayapura pada Rabu (15/4) menjadi bagian dari meningkatnya aktivitas wisata internasional di Papua. Kapal berbendera</t>
  </si>
  <si>
    <t xml:space="preserve">https://jogja.suaramerdeka.com/nasional/1816975817/jadwal-kapal-tanto-intim-line-jakarta-bitung-ternate-makassar-ambon-surabaya-ternate-hingga-jayapura-april-2026</t>
  </si>
  <si>
    <t xml:space="preserve">jogja.suaramerdeka.com</t>
  </si>
  <si>
    <t xml:space="preserve">Viral Challenge Hafalan Alquran Berhadiah Miras, Polisi Turun Tangan - politikindonesia.id</t>
  </si>
  <si>
    <t xml:space="preserve">politikindonesia.id</t>
  </si>
  <si>
    <t xml:space="preserve">jogja.suaramerdeka.com - Perputaran roda ekonomi dan distribusi logistik di negara kepulauan seperti Indonesia sangat bergantung pada kelancaran transportasi maritim. Mengingat jarak antar pulau yang </t>
  </si>
  <si>
    <t xml:space="preserve">https://fajarpapua.com/2026/04/18/viral-di-medsos-siswi-smp-negeri-2-sentani-hilang-hp-aktif-terakhir-di-lokasi-bandara/</t>
  </si>
  <si>
    <t xml:space="preserve">Daftar 5 Orang Terlapor Kasus Hafalan Al-Quran Ditukar Miras - cnnindonesia.com</t>
  </si>
  <si>
    <t xml:space="preserve">Jayapura ,fajarpapua.com - Viral di media sosial Facebook kabar hilangnya seorang siswi kelas 9 SMP Negeri 2 Sentani bernama Nurhalizha. Hingga kini, siswi tersebut belum ditemukan atau kembali ke rum</t>
  </si>
  <si>
    <t xml:space="preserve">https://batam.tribunnews.com/nasional/688829/serapan-anggaran-apbd-kota-jayapura-2026-masih-rendah-belanja-pegawai-terbesar</t>
  </si>
  <si>
    <t xml:space="preserve">batam.tribunnews.com</t>
  </si>
  <si>
    <t xml:space="preserve">MC dan EO The Sounds Project Diperiksa Polisi Buntut Challenge Hafalan Al-Qur'an Berhadiah Miras - Suara.com</t>
  </si>
  <si>
    <t xml:space="preserve">Belum punya akun? Daftar Akun Download TribunX untuk Android &amp; iOS TRIBUNBATAM.id - Realisasi belanja APBD Kota Jayapura hingga semester pertama 2026 masih tergolong rendah. Berdasarkan data DJPK Keme</t>
  </si>
  <si>
    <t xml:space="preserve">https://regional.kompas.com/read/2026/07/17/061543378/protes-sampah-tak-diangkut-mama-mama-hamburkan-sampah-ke-jalan-di-pasar</t>
  </si>
  <si>
    <t xml:space="preserve">3 Tempat Makan di Surabaya, Ada Rawon dan Nasi Empal Legendaris - Tribun Travel</t>
  </si>
  <si>
    <t xml:space="preserve">Protes Sampah Tak Diangkut, Mama-Mama Hamburkan Sampah ke Jalan di Pasar Lama Sentani SENTANI, KOMPAS.com – Puluhan mama-mama Papua yang berjualan di Pasar Lama Sentani, Kabupaten Jayapura, menghambur</t>
  </si>
  <si>
    <t xml:space="preserve">Berita Papua, Jayapura — Bupati Jayapura, Yunus Wonda, menegaskan bahwa tindakan pemalangan aset pemerintah yang digunakan untuk kepentingan publik seperti jalan, kantor, rumah sakit, sekolah, dan ger</t>
  </si>
  <si>
    <t xml:space="preserve">Pesan ‘Tolak PSN’ hasil kreativitas para pemuda di Kampung Piala Dunia Dok IX Kali, Kota Jayapura. –Jubi/Sudjarwo Husain Langit-langit gang pun semarak oleh juntaian bendera kecil warna-warni yang men</t>
  </si>
  <si>
    <t xml:space="preserve">TRIBUNTRAVEL.COM - Solo dikenal sebagai salah satu kota kuliner di Jawa Tengah yang memiliki banyak pilihan sarapan tradisional. Salah satu menu yang paling mudah ditemukan pada pagi hari adalah soto </t>
  </si>
  <si>
    <t xml:space="preserve">https://beritajatim.com/tak-sekadar-sup-mengenal-sejarah-kuliner-timlo-solo-dan-5-rekomendasi-tempat-makan-legendaris</t>
  </si>
  <si>
    <t xml:space="preserve">10 Restoran Baru di Surabaya April 2026 - nibble.id</t>
  </si>
  <si>
    <t xml:space="preserve">Solo, Beritajatim.com – Jika Yogyakarta identik dengan gudeg, maka Solo memiliki satu sajian berkuah yang tak kalah melegenda, yakni timlo Solo. Makanan khas Kota Bengawan ini menjadi favorit warga lo</t>
  </si>
  <si>
    <t xml:space="preserve">Solo itu kota yang sering bikin orang lupa diet, lupa waktu, dan kadang lupa niat pulang cepat. Di balik citranya sebagai kota budaya, kota ini juga menyimpan satu warisan yang tak kalah penting. Sala</t>
  </si>
  <si>
    <t xml:space="preserve">diswayjogja.id - Merencanakan sebuah agenda perjalanan liburan edukatif ke destinasi kebudayaan terbaru di Kota Surakarta selalu menghadirkan pengalaman rekreasi yang menyegarkan pikiran dan memperkay</t>
  </si>
  <si>
    <t xml:space="preserve">Sejumlah rusa yang berada di Taman Sriwedari, Solo, Jawa Tengah, terlihat mencari makanan dari tempat sampah. Hal itu pun menjadi viral di media sosial hingga memicu respons Pemerintah Kota (Pemkot) S</t>
  </si>
  <si>
    <t xml:space="preserve">Solo dikenal sebagai salah satu kota di Jawa Tengah yang memiliki kekayaan kuliner tradisional. Bahkan beberapa warung makan legendaris ini sudah eksis sejak zaman Belanda. Berkunjung ke Surakarta ata</t>
  </si>
  <si>
    <t xml:space="preserve">TRIBUNTRAVEL.COM - Solo dikenal sebagai salah satu kota di Jawa Tengah yang memiliki kekayaan kuliner tradisional dan cocok untuk berburu sarapan enak . Bagi wisatawan yang sedang berada di Kota Solo,</t>
  </si>
  <si>
    <t xml:space="preserve">https://jogja.disway.id/gaya-hidup/read/699937/tempat-makan-siang-di-solo-jadi-destinasi-variatif-untuk-istirahat-yang-nyaman-dan-berkesan</t>
  </si>
  <si>
    <t xml:space="preserve">10 Restoran Baru di Surabaya Juni 2026 - nibble.id</t>
  </si>
  <si>
    <t xml:space="preserve">Warung Selat Legendaris-- diswayjogja.id - Solo, yang sering dijuluki sebagai "The Soul of Java", menawarkan pengalaman hidup yang unik di mana tradisi luhur dan modernitas berbaur dengan sangat harmo</t>
  </si>
  <si>
    <t xml:space="preserve">TRIBUNTRAVEL.COM - Bagi wisatawan yang baru tiba di Kota Solo melalui Stasiun Solo Balapan , mencari tempat makan siang enak tentu menjadi salah satu kebutuhan utama. Ada sejumlah pilihan kuliner deka</t>
  </si>
  <si>
    <t xml:space="preserve">Bagi para pencinta olahan daging ayam dengan tekstur empuk hingga ke bagian tulangnya, Warung Makan Bu Las merupakan destinasi kuliner yang pantang untuk dilewatkan begitu saja. Warung ini sangat popu</t>
  </si>
  <si>
    <t xml:space="preserve">Selat Solo Mbak Lies-- diswayjogja.id - Kota Solo selalu punya cara unik untuk memikat hati siapa pun yang datang berkunjung. Selain keramahan penduduknya dan kemegahan keraton, kota ini merupakan sur</t>
  </si>
  <si>
    <t xml:space="preserve">Viral rusa di Taman Sriwedari, Kota Solo, mengais makanan dari tempat sampah. Pihak Pemerintah Kota (Pemkot) Surakarta kemudian turun tangan untuk melakukan penanganan. Dilansir detikJateng , momen te</t>
  </si>
  <si>
    <t xml:space="preserve">TRIBUNTRAVEL.COM - Antusiasme liburan ke Solo semakin meningkat dengan hadirnya pengalaman unik yang memadukan hiburan dan adrenalin tinggi. Salah satu yang tengah ramai diperbincangkan adalah pengala</t>
  </si>
  <si>
    <t xml:space="preserve">https://travel.detik.com/travel-news/d-8508802/wisata-solo-tercoreng-juru-parkir-getok-tarif-di-sriwedari</t>
  </si>
  <si>
    <t xml:space="preserve">5 Ide Liburan Akhir Pekan ke Bali yang Praktis dari Surabaya - Suara.com</t>
  </si>
  <si>
    <t xml:space="preserve">Wisata Solo ternoda oleh ulah juru parkir yang mengenakan getok tarif kepada pengguna kendaraan di Kota Solo. Tarif parkir menjadi dua kali lipat dari biasanya. Peristiwa itu diunggah oleh akun Instag</t>
  </si>
  <si>
    <t xml:space="preserve">Kalau liburan ke Solo , jangan cuma pulang bawa oleh-oleh batik atau kuliner legendarisnya saja. Kota yang dikenal dengan nuansa budaya Jawa yang kental ini ternyata juga punya banyak spot foto esteti</t>
  </si>
  <si>
    <t xml:space="preserve">https://bisnis.espos.id/strategi-branding-destinasi-wisata-belajar-dari-program-72-jam-di-solo-2238749</t>
  </si>
  <si>
    <t xml:space="preserve">bisnis.espos.id</t>
  </si>
  <si>
    <t xml:space="preserve">Wisata Kuliner Surabaya Paling Nagih Favorit Warga Lokal dengan Harga Bersahabat - jogja.disway.id - Disway Jogja</t>
  </si>
  <si>
    <t xml:space="preserve">Esposin, SOLO -- Dalam persaingan industri pariwisata saat ini, strategi branding memiliki peran penting dalam membentuk identitas sekaligus meningkatkan daya tarik sebuah destinasi. Seiring berkemban</t>
  </si>
  <si>
    <t xml:space="preserve">TRIBUNTRAVEL.COM - Liburan ke Kota Solo semakin menarik dengan hadirnya destinasi wisata keluarga yang sedang viral. Banyak wisatawan memanfaatkan momen liburan akhir pekan untuk mengunjungi tempat se</t>
  </si>
  <si>
    <t xml:space="preserve">Tahir Solo Museum Nunggak PBB Rp 600 Juta, Wali Kota Respati: Mohon Penuhi Kewajiban SOLO, KOMPAS.com - Tahir Solo Museum, Jawa Tengah belum membayar Pajak Bumi dan Bangunan Perdesaan dan Perkotaan (P</t>
  </si>
  <si>
    <t xml:space="preserve">Keluhan pengunjung terkait dugaan tarif parkir tidak sesuai ketentuan di kawasan Tahir Solo Museum viral di media sosial.-Istimewa- SOLO, diswayjayeng.id – Kota Solo menambah destinasi budaya baru den</t>
  </si>
  <si>
    <t xml:space="preserve">TRIBUNTRAVEL.COM - Tahir Solo Museum menjadi destinasi wisata edukasi terbaru di Kota Solo yang resmi dibuka pada hari ini, Sabtu (25/7/2026). Kehadiran Tahir Solo Museum tentu langsung menarik perhat</t>
  </si>
  <si>
    <t xml:space="preserve">Museum Tahir Solo Jawa Tengah memamerkan fosil dinosaurus asli asal Provinsi Sichuan China yang menjadi koleksi perdana di Indonesia. Pameran ini menampilkan spesies Omeisaurus tianfuensis dengan panj</t>
  </si>
  <si>
    <t xml:space="preserve">https://regional.kompas.com/read/2026/07/29/070000178/toko-sepatu-solo-ini-pernah-membuat-sepatu-soekarno-jenderal-sudirman-masih?page=all</t>
  </si>
  <si>
    <t xml:space="preserve">Liburan Hemat di Surabaya dengan 5 Destinasi Gratis di Surabaya Ini - Suara Surabaya</t>
  </si>
  <si>
    <t xml:space="preserve">Toko Sepatu Solo Ini Pernah Membuat Sepatu Soekarno-Jenderal Sudirman, Masih Eksis hingga Kini SOLO, KOMPAS.com - Toko Sepatu Sadinoe menjadi satu dari sedikit usaha keluarga di Solo yang mampu bertah</t>
  </si>
  <si>
    <t xml:space="preserve">https://jateng.disway.id/disway-solo/read/719585/viral-dikira-perampokan-ternyata-begini-modus-pelaku-gondol-emas-di-toko-nusukan</t>
  </si>
  <si>
    <t xml:space="preserve">Staycation Rp 1,1 Juta Bisa Nikmati Sky Beach Club di Hotel Viral Surabaya - detikcom</t>
  </si>
  <si>
    <t xml:space="preserve">Kasi Humas Polresta Solo, AKP Lingga Ramadhan-Istimewa- SOLO, diswayjateng.id – Kehebohan sempat terjadi di sebuah toko emas di kawasan Jalan Pierre Tendean, Kelurahan Nusukan, Banjarsari, Solo, Rabu </t>
  </si>
  <si>
    <t xml:space="preserve">https://www.detik.com/jateng/berita/d-8446885/viral-tarif-parkir-ngepruk-di-kawasan-isi-dishub-solo-tarik-kta-jukir</t>
  </si>
  <si>
    <t xml:space="preserve">5 Tempat Wisata Ramah Anak di Surabaya, Cocok untuk Liburan Keluarga - Tribun Travel</t>
  </si>
  <si>
    <t xml:space="preserve">Viral keluhan terkait tarif parkir yang ' ngepruk' atau tidak sesuai aturan di dekat kampus Institut Seni Indonesia (ISI) Solo. Keluhan tarif parkir tersebut diungkapkan oleh akun Threads dengan nama </t>
  </si>
  <si>
    <t xml:space="preserve">https://jateng.disway.id/disway-solo/read/720305/pelaku-pencurian-di-toko-emas-nusukan-solo-residivis-11-kali-masuk-penjara</t>
  </si>
  <si>
    <t xml:space="preserve">Detik-Detik Pengeroyokan Wisatawan Surabaya di Malang - cnnindonesia.com</t>
  </si>
  <si>
    <t xml:space="preserve">Pria yang telah 11 kali keluar masuk penjara kembali ditangkap Polresta Solo setelah terlibat dalam sejumlah kasus pencurian di wilayah Solo.-Istimewa- SOLO, diswayjateng.id - Pelaku pencurian di Toko</t>
  </si>
  <si>
    <t xml:space="preserve">Kota Solo tidak hanya dikenal sebagai kota budaya dan kuliner, tetapi juga menjadi surga tersembunyi bagi para pecinta literasi. Bagi detikers yang sedang mencari toko buku Solo, kini tersedia berbaga</t>
  </si>
  <si>
    <t xml:space="preserve">Untuk produk tekstil, pengalaman belanja di toko oleh-oleh di Solo juga mencakup pusat batik ternama. Anda bisa mengunjungi Pasar Klewer untuk harga grosir, Kampung Batik Laweyan dan Kauman untuk meli</t>
  </si>
  <si>
    <t xml:space="preserve">https://news.detik.com/berita/d-8543227/belanja-bareng-istri-anak-oknum-guru-di-sukoharjo-diduga-lecehkan-spg</t>
  </si>
  <si>
    <t xml:space="preserve">Penjaga Toko Madura di Siwalankerto Surabaya Ditemukan Meninggal, Sempat Cekcok dengan Suami - surabaya.kompas.com</t>
  </si>
  <si>
    <t xml:space="preserve">Seorang oknum guru PPPK salah satu sekolah dasar (SD) di Kartasura, Sukoharjo, diduga melakukan pelecehan seksual terhadap seorang sales promotion girl (SPG) di toko swalayan. Guru tersebut mendapat s</t>
  </si>
  <si>
    <t xml:space="preserve">https://rri.co.id/surakarta/regional/2754121/pemkot-surakarta-siap-ubah-tata-kelola-parkir-pasca-viral-kasus-pungli-triwindu</t>
  </si>
  <si>
    <t xml:space="preserve">7 Fakta Viral Massa Ormas Hendak Rebut Ruko Milik Warga di Surabaya - detikcom</t>
  </si>
  <si>
    <t xml:space="preserve">RRI.CO.ID, SURAKARTA — Pemerintah Kota Surakarta merespons tegas dugaan penarikan retribusi parkir melebihi ketentuan oleh diduga petugas keamanan di Pasar Triwindu pada Selasa, 22 September 2026. Wal</t>
  </si>
  <si>
    <t xml:space="preserve">https://jateng.harianjogja.com/r-1251923/video-pembacokan-di-pasar-kliwon-solo-viral-polisi-buru-pelaku</t>
  </si>
  <si>
    <t xml:space="preserve">jateng.harianjogja.com</t>
  </si>
  <si>
    <t xml:space="preserve">Viral Truk KDMP Ambil Sembako di Gudang Ritel Raksasa, Netizen Ramai Pertanyakan Komitmen Pemberdayaan UMKM Desa! - Radar Jember</t>
  </si>
  <si>
    <t xml:space="preserve">Radar Jember</t>
  </si>
  <si>
    <t xml:space="preserve">Harianjogja.com, SOLO Aksi kekerasan berupa pembacokan di kawasan Semanggi, Pasar Kliwon, Solo, Selasa (7/4/2026), viral di media sosial dan memicu kehebohan publik.Peristiwa tersebut menyebabkan seor</t>
  </si>
  <si>
    <t xml:space="preserve">https://surakarta.suara.com/read/2026/04/09/063049/viral-duel-parang-di-pasar-klitikan-solo-5-fakta-mengejutkan-korban-luka-parah-di-wajah</t>
  </si>
  <si>
    <t xml:space="preserve">surakarta.suara.com</t>
  </si>
  <si>
    <t xml:space="preserve">Modus Bukti Transfer Palsu, Pria Surabaya Ditangkap usai Tipu Toko HP Denpasar - detikcom</t>
  </si>
  <si>
    <t xml:space="preserve">SuaraSurakarta.id - Insiden duel dua pria menggunakan parang di kawasan Pasar Klitikan Notoharjo mendadak viral di media sosial. Peristiwa yang terjadi pada Selasa (7/4/2026) pagi ini mengundang perha</t>
  </si>
  <si>
    <t xml:space="preserve">https://regional.kompas.com/image/2026/09/23/055209778/wali-kota-solo-buka-suara-soal-video-viral-oknum-satpam-pasar-triwindu</t>
  </si>
  <si>
    <t xml:space="preserve">Ketika Diabetes Menjadi Titik Balik: Langkah Lidia dan Koffiku Menapak Pasar Luar Negeri - beritajatim.com</t>
  </si>
  <si>
    <t xml:space="preserve">SOLO, MettaNEWS – Uleg Bazar Kuliner 2026 kembali hadir untuk tahun ketiga dengan membawa pengalaman kuliner dan hiburan yang lebih meriah bagi masyarakat Solo Raya. Setelah sukses digelar di Makassar</t>
  </si>
  <si>
    <t xml:space="preserve">Semarak gelaran Uleg Bazar Kuliner 2026 di Pamedan Pura Mangkunegaran Surakarta, Jawa Tengah, yang dibuka Kamis malam, 14 Mei 2026. Acara akan berlangsung hingga Minggu, 17 Mei 2026.   (Panitia Uleg B</t>
  </si>
  <si>
    <t xml:space="preserve">SOLO, MettaNEWS — The Park Mall Solo kembali menghadirkan pengalaman kuliner spesial bagi masyarakat melalui festival kuliner bertajuk RASAFORIA. Event yang digelar di Main Atrium The Park Mall Solo i</t>
  </si>
  <si>
    <t xml:space="preserve">RRI.CO.ID, Surakarta - Uleg Bazar Kuliner (UBK) 2026 digelar di Pamedan Pura Mangkunegaran mulai 14 hingga 17 Mei 2026. Event kuliner tersebut menghadirkan puluhan kuliner nusantara, kuliner pedas, hi</t>
  </si>
  <si>
    <t xml:space="preserve">Tembok-tembok di Rumah Tahanan Negara Kelas I Solo berubah menjadi kanvas raksasa penuh warna saat festival grafiti internasional Meeting of Styles (MOS) 2026-Istimewa- SOLO, diswayjateng.com -- Tembo</t>
  </si>
  <si>
    <t xml:space="preserve">https://rri.co.id/cirebon/regional/2549047/tren-kuliner-viral-dongkrak-kunjungan-wisatawan-ke-cirebon</t>
  </si>
  <si>
    <t xml:space="preserve">Video Adu Mulut Satpol PP dan Petugas Pasar Tembok Dukuh Surabaya Viral - beritajatim.com</t>
  </si>
  <si>
    <t xml:space="preserve">RRI.CO.ID, Cirebon – Fenomena kuliner viral dan tempat nongkrong yang Instagramable dinilai turut mendorong meningkatnya kunjungan wisatawan ke Kabupaten Cirebon. Media sosial menjadi salah satu fakto</t>
  </si>
  <si>
    <t xml:space="preserve">Tempat sarapan enak dan viral di Cirebon, dari ketan bumbu, ayam goreng, nasi jamblang hingga bubur hangat yang buka 24 jam.-google.com- RADARCIREBON.COM – Pagi hari terasa belum lengkap tanpa menikma</t>
  </si>
  <si>
    <t xml:space="preserve">Video keributan antara pengunjung tempat makan dan pengamen di salah satu tempat makan di sekitar kawasan GTC Cirebon viral di media sosial. Keributan itu berujung adu jotos karena diduga pengamen tid</t>
  </si>
  <si>
    <t xml:space="preserve">Rekomendasi rumah makan enak dekat Tol Ciperna, Cirebon. Ilustrasi-Freepik- RADARCIREBON.COM – Bagi para pengguna jalan tol yang melintas di wilayah Cirebon, khususnya di sekitar Gerbang Tol Ciperna ,</t>
  </si>
  <si>
    <t xml:space="preserve">Polisi menangkap satu pengamen terlibat keributan di GTC Cirebon. Satu pelaku lain masih diburu. Keributan dipicu penolakan pemberian uang oleh pengunjung.</t>
  </si>
  <si>
    <t xml:space="preserve">Foto hanya ilustrasi.-Freepik- RADARCIREBON.COM – Wisata kuliner di Cirebon selalu punya daya tarik tersendiri. Terutama saat malam hari. Ketika aktivitas masyarakat mulai melambat, justru deretan war</t>
  </si>
  <si>
    <t xml:space="preserve">Sebuah keributan antara pengunjung dan pengamen di GTC Cirebon viral setelah adu mulut berujung baku hantam. Polisi kini menyelidiki insiden tersebut.</t>
  </si>
  <si>
    <t xml:space="preserve">Tempat tongkrongan nuansa alam di Cirebon 2026 dengan suasana sejuk, view sawah, danau hingga city light, cocok untuk nongkrong dan healing. Foto ilustrasi-Freepik- RADARCIREBON.COM – Mencari tempat n</t>
  </si>
  <si>
    <t xml:space="preserve">Polisi menangkap dua pengamen yang terlibat adu jotos dengan pengunjung di tempat makan di kawasan GTC Kota Cirebon. Kedua pelaku ditangkap kurang dari 24 jam setelah video keributan tersebut viral di</t>
  </si>
  <si>
    <t xml:space="preserve">Pelanggan memilih makanan di Rumah Makan Nasi Jamblang Mang Dul Cirebon.-@nasijamblang_mangdul-Instagram RADARCIREBON.COM – Mencari rekomendasi nasi jamblang di Cirebon untuk makan siang bukan hal sul</t>
  </si>
  <si>
    <t xml:space="preserve">Grand Opening Cita Rasa Amak di Jalan Sukasari No. 49/07, Kelurahan Sukapura, Kecamatan Kejaksan Kota Cirebon, Jumat (10/4/2026). -Apridista Siti Ramdhani-Radarcirebon.com RADARCIREBON.COM – Pilihan r</t>
  </si>
  <si>
    <t xml:space="preserve">Pemkot Cirebon meresmikan Gapura Pecinan sekaligus menggelar Festival Kuliner dan Budaya Kenduri Kue Bulan Tahun 2026, Sabtu (26/9/2026). -Cecep Nacepi-Radar Cirebon CIREBON, RADARCIREBON.COM – Pemeri</t>
  </si>
  <si>
    <t xml:space="preserve">Cirebon (18/9) – Musim kemarau membawa perubahan tak terduga bagi Embung Wanakaya di Kecamatan Tengah Tani, Kabupaten Cirebon. Embung yang biasanya dipenuhi air kini mengering dan berubah menjadi hamp</t>
  </si>
  <si>
    <t xml:space="preserve">Wisata di Cirebon yang lagi hits 2026 dengan beragam pilihan menarik, mulai dari Kejawanan, Keraton Kasepuhan, Goa Sunyaragi, hingga Batik Trusmi dan Makam Suna</t>
  </si>
  <si>
    <t xml:space="preserve">Mediacirebon.id – Perjalanan wisata ke Cirebon kini semakin praktis dan nyaman dengan menggunakan kereta api. Kehadiran Stasiun Cirebon dan Stasiun Cirebon Prujakan sebagai pintu masuk utama ke Kota U</t>
  </si>
  <si>
    <t xml:space="preserve">https://mediacirebon.id/kota-cirebon-tuan-rumah-grand-final-putera-puteri-wisata-indonesia-2026/</t>
  </si>
  <si>
    <t xml:space="preserve">7 Tempat Wisata Kuliner Viral di Bandung yang Wajib Dicoba Saat Liburan - Chanelmuslim.com</t>
  </si>
  <si>
    <t xml:space="preserve">Mediacirebon.id – Ajang pemilihan duta wisata dan budaya tingkat Nasional Grand Final Putera Puteri Wisata Indonesia (PPWI) 2026 berlangsung di Kota Cirebon. Grand Final PPWI 2026 berlangsung di Black</t>
  </si>
  <si>
    <t xml:space="preserve">https://mediacirebon.id/permudah-wisatawan-ke-destinasi-wisata-phri-usul-ada-bentor-wisata/</t>
  </si>
  <si>
    <t xml:space="preserve">Baru Buka, 5 Tempat Makan di Bandung Ini Langsung Antre! - detikFood</t>
  </si>
  <si>
    <t xml:space="preserve">Mediacirebon.id – Perhimpunan Hotel dan Restoran Indonesia (PHRI) Kota Cirebon mengusulkan ke pemerintah kota menyediakan becak motor (Bentor) wisata. Agar wisatawan mudah mengakses destinasi wisata. </t>
  </si>
  <si>
    <t xml:space="preserve">Mediacirebon.id – Pemerintah Kabupaten Cirebon sukses menyulap kawasan Taman Parkir Sumber menjadi ruang publik sekaligus destinasi hiburan alternatif yang representatif bagi masyarakat luas. Melalui </t>
  </si>
  <si>
    <t xml:space="preserve">Mediacirebon.id – Pengelola Cirebon Waterland akan kembali memakai nama Taman Ade Irma Suryani. Perubahan nama diharapkan mampu mendongkrak kunjungan wisatawan di tempat ini. Mengingat obyek wisata ya</t>
  </si>
  <si>
    <t xml:space="preserve">Mediacirebon.id – Dewan Pimpinan Daerah Badan Komunikasi Pemuda Remaja Masjid Indonesia (DPD BKPRMI) menggelar Wisata Anak Yatim ke Bandung. Program sosial tersebut secara resmi dilepas oleh Ketua Tim</t>
  </si>
  <si>
    <t xml:space="preserve">Susi, pedagang di Museum Linggarjati, berjuang di tengah sepinya pengunjung pasca-COVID-19. Ia berharap museum kembali ramai dan harga tiket lebih terjangkau.</t>
  </si>
  <si>
    <t xml:space="preserve">https://www.polisinews.com/2026/09/14/bertopeng-toko-butik-sebuah-rumah-di-desa-gua-lor-cirebon-diduga-jual-miras/</t>
  </si>
  <si>
    <t xml:space="preserve">www.polisinews.com</t>
  </si>
  <si>
    <t xml:space="preserve">7 Rekomendasi Tempat Makan di Bandung yang Diprediksi Jadi Favorit Wisatawan pada 2027 - karawangbekasi.disway.id - karawang bekasi disway</t>
  </si>
  <si>
    <t xml:space="preserve">karawang bekasi disway</t>
  </si>
  <si>
    <t xml:space="preserve">SCROLL TO CONTINUE WITH CONTENT Muhammad Taufik - Jurnalis Senin, 14 September 2026 -  06:07											 WIB POLISI NEWS | CIREBON. Peredaran minuman keras (miras) yang diduga dijual bebas kembali menj</t>
  </si>
  <si>
    <t xml:space="preserve">https://radarcirebon.disway.id/kota-cirebon/read/219044/60-tahun-bertahan-pemilik-toko-kain-legend-di-cirebon-sunil-textile-mengungkap-fakta-terkini</t>
  </si>
  <si>
    <t xml:space="preserve">7 Tempat Wisata Gratis di Kota Bandung - detikcom</t>
  </si>
  <si>
    <t xml:space="preserve">Pembeli sedang memilih kain di Sunil Textile Cirebon, Senin (13/4/2026).-Apridista Siti Ramdhani-Radarcirebon.com RADARCIREBON.COM – Menjaga eksistensi usaha hingga puluhan tahun tentu bukan perkara m</t>
  </si>
  <si>
    <t xml:space="preserve">https://radarcirebon.disway.id/insiden-24-jam/read/230455/operasi-pekat-polres-cirebon-kota-sita-201-botol-miras-dari-toko-di-tengah-tani</t>
  </si>
  <si>
    <t xml:space="preserve">8 Tempat Wisata Bandung untuk Liburan Akhir Pekan - riaurealita.com</t>
  </si>
  <si>
    <t xml:space="preserve">Operasi Pekat Polres Cirebon Kota Sita 201 Botol Miras dari Toko di Tengah Tani-Istimewa-radarcirebon CIREBON , RADARCIREBON.COM - Polres CIREBON Kota melalui Satuan Reserse Narkoba melaksanakan Opera</t>
  </si>
  <si>
    <t xml:space="preserve">Sampah Menggunung hingga 2 Meter di Pasar, Warga Cirebon Keluhkan Bau Menyengat dan Jalan Tertutup CIREBON, KOMPAS.com – Tumpukan sampah setinggi sekitar dua meter di belakang Pasar Rumput Plumbon, De</t>
  </si>
  <si>
    <t xml:space="preserve">Aksi pengamen ancam pengunjung kuliner di Cirebon-Tangkapan Layar- RADARCIREBON.COM – Sebuah video yang memperlihatkan keributan antara oknum pengamen dan pengunjung di kawasan kuliner Gunungsari Trad</t>
  </si>
  <si>
    <t xml:space="preserve">Mediacirebon.id – Unit Reskrim Polsek Cirebon Selatan Timur Polres Cirebon Kota mengamankan seorang pelaku pencurian yang selama ini meresahkan para pedagang di Pasar Jagasatru, Kota Cirebon. aksi pel</t>
  </si>
  <si>
    <t xml:space="preserve">https://fajarcirebon.com/robi-kusinar-tembus-pasar-musik-internasional/</t>
  </si>
  <si>
    <t xml:space="preserve">Menjelajah Rekomendasi Wisata Kuliner Legendaris Bandung Makanan Tempo Doeloe Ikonik - jogja.disway.id - Disway Jogja</t>
  </si>
  <si>
    <t xml:space="preserve">KAB.CIREBON, (FC).- Penyanyi dan pencipta lagu asal Desa Kaliwulu, Kecamatan Plered, Kabupaten Cirebon, Robi Kusinar, berhasil menembus pasar internasional melalui sejumlah karya yang viral di berbaga</t>
  </si>
  <si>
    <t xml:space="preserve">https://mediacirebon.id/46-lapak-pasar-tegalgubug-cirebon-ludes-terbakar/</t>
  </si>
  <si>
    <t xml:space="preserve">Bisa Jalan Kaki, Spot Dekat Stasiun Bandung Ini Favorit Warlok! - tripzilla.id</t>
  </si>
  <si>
    <t xml:space="preserve">Mediacirebon.id – Sebanyak 45 lapak pedagang di Blok E dan satu kios di blok H Pasar Sandang Tegalgubug, Kabupaten Cirebon dilalap si jago merah pada Sabtu (1/8/2026) malam. Kebakaran yang kedua ini d</t>
  </si>
  <si>
    <t xml:space="preserve">KOTA CIREBON, (FC).- Sebuah video yang memperlihatkan keributan antara oknum pengamen dan pengunjung di kawasan kuliner Gunungsari Trade Centre (GTC), Pasar Gunungsari, Kota Cirebon, viral di media so</t>
  </si>
  <si>
    <t xml:space="preserve">Pasar Tumaritis Cirebon, Pasar Artisan Pertama yang Menghadirkan Harmoni Kuliner, Literasi, hingga Karya Warga Binaan Rutan  ​-Abdullah -Radar Cirebon CIREBON, RADARCIREBON.COM – Sebuah inovasi kreati</t>
  </si>
  <si>
    <t xml:space="preserve">Gusti Ratu Mawar Kartina Bersama Gusti Ratu Raja Latifah, menolak pembangunan pasar darurat di depan Keraton Kanoman Cirebon. -Dede Adhitama-Radarcirebon.com RADARCIREBON.COM – Polemik rencana pembang</t>
  </si>
  <si>
    <t xml:space="preserve">https://mediacirebon.id/event-olahraga-okupansi-hotel-naik-di-kota-cirebon/</t>
  </si>
  <si>
    <t xml:space="preserve">8 Toko Cokelat di Bandung, Legitnya Sampai ke Hati - nibble.id</t>
  </si>
  <si>
    <t xml:space="preserve">Mediacirebon.id – Event olahraga di Kota C irebonyang berlangsung pada bulan lalu berdampak positif bagi pelaku usaha perhotelan. Terbukti event Pekan Olahraga dan Seni Daerah Perbatasan (PORSENITAS) </t>
  </si>
  <si>
    <t xml:space="preserve">https://bandung.kompas.com/read/2026/06/16/191542678/wakil-ketua-dprd-cirebon-minta-maaf-usai-komentar-gembrot-ke-emak-emak?page=all</t>
  </si>
  <si>
    <t xml:space="preserve">Itinerary 3H2M Liburan di Bandung ke Berbagai Tempat Viral dan Hits - tripzilla.id</t>
  </si>
  <si>
    <t xml:space="preserve">Wakil Ketua DPRD Cirebon Minta Maaf usai Komentar "Gembrot" ke Emak-emak Pengkritik MBG CIREBON, KOMPAS.com – Wakil Ketua DPRD Kabupaten Cirebon dari Fraksi Gerindra, Nana Kencanawati, meminta maaf se</t>
  </si>
  <si>
    <t xml:space="preserve">https://jabar.idntimes.com/news/jawa-barat/beda-pendapat-soal-mbg-politisi-gerindra-di-cirebon-pilih-ejek-fisik-00-t298z-f2qw3n</t>
  </si>
  <si>
    <t xml:space="preserve">jabar.idntimes.com</t>
  </si>
  <si>
    <t xml:space="preserve">Mulai dari Hidden Gem Pasar Cihapit hingga Jajanan Hits Viral di Bandung - jogja.disway.id - Disway Jogja</t>
  </si>
  <si>
    <t xml:space="preserve">Cirebon, IDN Times - Wakil Ketua Dewan Perwakilan Rakyat Daerah (DPRD) Kabupaten Cirebon dari Fraksi Gerindra, Nana Kencanawati, menjadi sasaran kritik publik setelah komentarnya terhadap seorang pere</t>
  </si>
  <si>
    <t xml:space="preserve">https://mediacirebon.id/nonton-songlist-festival-cirebon-dapat-diskon-tiket-30-persen/</t>
  </si>
  <si>
    <t xml:space="preserve">Viral Lapak Kios di Cisarua Bandung Porak-poranda Tersapu Angin Helikopter - detikNews</t>
  </si>
  <si>
    <t xml:space="preserve">Mediacirebon.id – Daerah Operasi 3 Cirebon memberikan promo spesial berupa diskon tiket kereta api eksekutif hingga 30 persen bagi masyarakat yang menghadiri Event Songlist Festival yang berlangsung d</t>
  </si>
  <si>
    <t xml:space="preserve">Mediacirebon.id – Trikarsa Fest 2026 akan berlangsung pada 14-17 Agustus 2026 di Grage Mall Cirebon. Event pengembangan CEF (Ciayumajakuning Entrepreneur Festival) ini akan diisi dengan kegiatan kreat</t>
  </si>
  <si>
    <t xml:space="preserve">Mediacirebon.id – Hari jadi ke-599 Cirebon yang berlangsung dari tanggal 15 sampai 24 Juni 2026 berlangsung semarak. Terlebih perayaan hari jadi Cirebon dibarengi dengan Pekan Olahraga dan Seni Antar </t>
  </si>
  <si>
    <t xml:space="preserve">TRIKARSA Fest 2026 digelar di Grage Mall Cirebon pada 14-17 Agustus 2026, menghadirkan UMKM, kompetisi kreatif, QRIS Tap, GPM Online, dan hiburan menarik.-Apridista Siti Ramdhani-Radarcirebon.com RADA</t>
  </si>
  <si>
    <t xml:space="preserve">https://mediacirebon.id/dewa-19-akan-konser-lagi-di-cirebon-begini-cara-beli-tiketnya/</t>
  </si>
  <si>
    <t xml:space="preserve">Rekomendasi Tempat Makan di Medan yang Murah dan Enak, Dijamin Bikin Nagih! - Hipwee</t>
  </si>
  <si>
    <t xml:space="preserve">Mediacirebon.id – Dewa 19 rencananya kembali manggung di Cirebon pada 31 Oktober 2026. Kali ini konser Dewa 19 rencananya akan berlangsung di lapangan Arhanud 14, Jalan Pilang Raya, Kabupaten Cirebon.</t>
  </si>
  <si>
    <t xml:space="preserve">Salah satu mantan penyerang Persib, Tantan, mengaku penasaran dengan cita rasa olahan hidangan Warung Sangu Alun-Alun di Tasikmalaya yang kerap berseliweran bahkan viral di media sosial. harapanrakyat</t>
  </si>
  <si>
    <t xml:space="preserve">Tonjong Canyon di Desa Nagrog, Kecamatan Cipatujah, Kabupaten Tasikmalaya, Jawa Barat, semakin dikenal sebagai salah satu destinasi wisata alam yang menarik perhatian. Ngarai alami dengan tebing batu </t>
  </si>
  <si>
    <t xml:space="preserve">Fakta Gua Safarwadi Tasikmalaya, Wisata Religi yang Disebut Punya Jalan Tembus ke Mekkah KOMPAS.com - Gua Safarwadi di Tasikmalaya, Jawa Barat, sempat menjadi perhatian publik karena disebut memiliki </t>
  </si>
  <si>
    <t xml:space="preserve">SuaraJabar.id - Masih segar dalam ingatan publik video berdurasi 4 menit 47 detik yang memperlihatkan seorang pria berjaket hitam sedang "berkuasa" di kawasan wisata Citiis , Padakembang, Tasikmalaya </t>
  </si>
  <si>
    <t xml:space="preserve">Jembatan Cirahong ini sebenarnya adalah aset heritage yang sangat berharga. Jika ditata lebih rapi lagi, ini bisa menjadi destinasi wisata baru yang meningkatkan pendapatan bagi daerah. harapanrakyat.</t>
  </si>
  <si>
    <t xml:space="preserve">https://www.mandalapos.co.id/viral-video-asusila-libatkan-pelajar-di-kabupaten-tasikmalaya-sekolah-lakukan-pendampingan-psikologis/</t>
  </si>
  <si>
    <t xml:space="preserve">www.mandalapos.co.id</t>
  </si>
  <si>
    <t xml:space="preserve">Depot Pard'y Petemon Rekomendasi Kwetiau Medan Halal di Surabaya - RRI.co.id</t>
  </si>
  <si>
    <t xml:space="preserve">Tasikmalaya, Mandalapos.co.id – Jagat maya di Kabupaten Tasikmalaya dihebohkan dengan beredarnya video bermuatan asusila yang diduga melibatkan seorang pelajar perempuan. Video berdurasi sekitar 46 de</t>
  </si>
  <si>
    <t xml:space="preserve">https://www.detiksumsel.com/nasional/97417186123/rekening-bca-rp160-juta-raib-dprd-tasikmalaya-ikut-soroti-kasus-nasabah</t>
  </si>
  <si>
    <t xml:space="preserve">www.detiksumsel.com</t>
  </si>
  <si>
    <t xml:space="preserve">Kuliner Hits Batam, 5 Pizza Viral yang Wajib Masuk List - Jawa Pos</t>
  </si>
  <si>
    <t xml:space="preserve">Detiksumsel.com - Kasus dugaan peretasan rekening mobile banking milik nasabah Bank Central Asia ( BCA ) di Kota Tasikmalaya tengah menjadi perhatian publik. Seorang nasabah bernama Endang Abdul Komar</t>
  </si>
  <si>
    <t xml:space="preserve">https://kabartasikmalaya.pikiran-rakyat.com/kabar-tasikmalaya/pr-32510355397/puncak-hari-jadi-kabupaten-tasikmalaya-ke-394-dimeriahkan-panji-sakti-dan-st12-tasik-sukses-cetak-rekor-muri</t>
  </si>
  <si>
    <t xml:space="preserve">kabartasikmalaya.pikiran-rakyat.com</t>
  </si>
  <si>
    <t xml:space="preserve">Sebuah video rekaman CCTV yang memperlihatkan dugaan aksi pencurian di sebuah rumah makan di Batam viral di media sosial. Dalam rekaman tersebut, terlihat seorang pria mengambil beberapa lauk dari etalase secara berulang, sebelum kemudian me - facebook.com</t>
  </si>
  <si>
    <t xml:space="preserve">KABAR-TASIKMALAYA.COM - Pemerintah Kabupaten (Pemkab) Tasikmalaya berhasil memecahkan Rekor Dunia Museum Rekor-Dunia Indonesia (MURI) untuk kategori sajian opak terbanyak. Penghargaan tersebut diserah</t>
  </si>
  <si>
    <t xml:space="preserve">Belum punya akun? Daftar Akun Download TribunX untuk Android &amp; iOS Laporan Wartawan TribunPriangan.com, Jaenal Abidin TRIBUNPRIANGAN.COM, KOTA TASIKMALAYA - Pemerintah Kota Tasikmalaya matangkan penat</t>
  </si>
  <si>
    <t xml:space="preserve">https://www.viva.co.id/berita/nasional/1893635-viral-tertangkap-basah-mau-curi-uang-di-toko-wanita-ini-mendadak-lepas-celana-dan-akting-jadi-odgj</t>
  </si>
  <si>
    <t xml:space="preserve">10 Kafe Vintage di Medan, Suasananya Jadul dan Tenang - IDN Times Sumut</t>
  </si>
  <si>
    <t xml:space="preserve">Tasikmalaya , VIVA – Aksi nekat seorang wanita muda di Kabupaten Tasikmalaya mendadak viral di media sosial setelah terekam kamera CCTV saat mencoba melakukan pencurian di sebuah warung beras. GULIR U</t>
  </si>
  <si>
    <t xml:space="preserve">https://www.detik.com/jabar/hukum-dan-kriminal/d-8445971/gagal-mencuri-perempuan-di-tasikmalaya-malah-buka-celana-di-jalan</t>
  </si>
  <si>
    <t xml:space="preserve">5 Tempat Wisata di Medan yang Lagi Hits 2026, Cocok untuk Liburan dan Foto-Foto - sumut.indozone.id</t>
  </si>
  <si>
    <t xml:space="preserve">Seorang perempuan berusia 21 tahun kepergok mencoba mencuri di toko beras Tasikmalaya. Setelah ditangkap, ia melakukan tindakan asusila di depan umum.</t>
  </si>
  <si>
    <t xml:space="preserve">https://news.detik.com/berita/d-8446128/kepergok-hendak-mencuri-wanita-di-tasikmalaya-malah-nekat-buka-celana</t>
  </si>
  <si>
    <t xml:space="preserve">Lewat Wisata Kuliner dan Muslim Friendly Tourism, Taiwan Bidik Potensi Wisatawan Medan - VIVA Medan</t>
  </si>
  <si>
    <t xml:space="preserve">Seorang wanita berinisial MA (21) gagal mencuri di sebuah toko beras di kawasan Citeureup, Kabupaten Tasikmalaya , Jawa Barat (Jabar). Pelaku membuka celananya saat aksinya terciduk. "Ya, betul, pas k</t>
  </si>
  <si>
    <t xml:space="preserve">https://www.detik.com/jabar/berita/d-8677746/jejak-terakhir-pria-bertato-di-pasar-ciawi-tasikmalaya</t>
  </si>
  <si>
    <t xml:space="preserve">Langkah T.Robi Angkat Pariwisata Medan,APEKSI 2026 Diproyeksikan Dongkrak Kunjungan Wisata - POSKOTASUMATERA.COM</t>
  </si>
  <si>
    <t xml:space="preserve">Seorang pria ditemukan tewas di Pasar Ciawi, Tasikmalaya. Tiga orang ditangkap terkait dugaan penganiayaan. Identitas korban masih dalam penyelidikan.</t>
  </si>
  <si>
    <t xml:space="preserve">Kota.Tasik (kilangbara.com)-Diera digital seperti zaman now yang riuh diruang medsos. Tentunya, lagu menjadi media yang paling ampuh. Dapat, dengan cepat mempromosikan icon atau identitas kota ke pang</t>
  </si>
  <si>
    <t xml:space="preserve">https://radartasik.id/2026/09/20/daya-beli-melemah-bisnis-pusat-perbelanjaan-di-tasikmalaya-tetap-bergeliat/</t>
  </si>
  <si>
    <t xml:space="preserve">radartasik.id</t>
  </si>
  <si>
    <t xml:space="preserve">Video Viral Perwira Polisi di Kelab Malam Medan, AKBP HS Berdalih Penyelidikan Kasus - Liputan6.com</t>
  </si>
  <si>
    <t xml:space="preserve">TASIKMALAYA, RADARTASIK.ID – Di tengah penurunan daya beli masyarakat dan lesunya kondisi perekonomian nasional, bisnis pusat perbelanjaan di Tasikmalaya dinilai masih tetap bergeliat. Ketua Asosiasi </t>
  </si>
  <si>
    <t xml:space="preserve">https://lintaspriangan.com/priangan-timur/berita-tasikmalaya/wanita-buka-celana-di-tasikmalaya-kepergok-mencuri/</t>
  </si>
  <si>
    <t xml:space="preserve">lintaspriangan.com</t>
  </si>
  <si>
    <t xml:space="preserve">‎Pagelaran Permainan Kulcapi Suku Karo Pecahkan Rekor Dunia - hariansib.com</t>
  </si>
  <si>
    <t xml:space="preserve">lintaspriangan.com , BERITA TASIKMALAYA . Warga Singaparna, Kabupaten Tasikmalaya, dihebohkan dengan peristiwa tak biasa yang melibatkan seorang perempuan muda. Aksi wanita buka celana di Tasikmalaya </t>
  </si>
  <si>
    <t xml:space="preserve">https://www.detik.com/jabar/berita/d-8535388/warga-keluhkan-jalan-rusak-di-pasar-cikurubuk-tak-kunjung-diperbaiki</t>
  </si>
  <si>
    <t xml:space="preserve">Kondisi jalan rusak dan drainase buruk di Pasar Cikurubuk, Tasikmalaya, mengganggu aktivitas ekonomi. Perbaikan baru diajukan, masyarakat harus bersabar.</t>
  </si>
  <si>
    <t xml:space="preserve">https://www.suaralandak.co.id/pengemis-tasikmalaya-borong-emas-puluhan-juta</t>
  </si>
  <si>
    <t xml:space="preserve">Viral Toko Kelontong Dibobol, 2 Pelaku Ditangkap Polsek Medan Area - Oke Medan</t>
  </si>
  <si>
    <t xml:space="preserve">Oke Medan</t>
  </si>
  <si>
    <t xml:space="preserve">Aksi seorang wanita pengemis paruh baya bernama Ceu Epon (50) memborong perhiasan emas senilai puluhan juta rupiah secara tunai di sebuah toko mewah mendadak viral di media sosial pada akhir September</t>
  </si>
  <si>
    <t xml:space="preserve">https://mediaindonesia.com/nusantara/887925/video-viral-preman-palak-sopir-bus-di-tasikmalaya-dan-ciamis-ternyata-hoaks</t>
  </si>
  <si>
    <t xml:space="preserve">Viral Perempuan Berhijab Sandera Karyawan PS Store Medan, Todong Pakai Golok hingga Buat Pingsan - Suara.com</t>
  </si>
  <si>
    <t xml:space="preserve">Terungkap, dari 16 unit rumah temuan Ombudsman RI, cuma tiga unit berstatus barang milik negara. SEORANG preman melawan sopir bus dan penumpang dipalak viral dari sebuah video hoaks di media sosial Ti</t>
  </si>
  <si>
    <t xml:space="preserve">http://kilangbara.com/2026/04/04/3-hari-disuguhi-musisi-top-diky-candra-bisa-dongkrak-pad-kota-tasik-episentrum-priatim/</t>
  </si>
  <si>
    <t xml:space="preserve">Jelang HUT Ke-81 RI, Warga Medan Berburu Aksesori Kemerdekaan di Toko Acai - Viral24.co.id</t>
  </si>
  <si>
    <t xml:space="preserve">Kota.Tasik (kilangbara.com)-Selama 3 hari secara berturut-turut Kota Tasikmalaya. Disuguhi, oleh konser akbar dari sejumlah musisi top ibukota. Mulai, dari Charly Van Houten di Sunny Resto, Jumat 3 Ap</t>
  </si>
  <si>
    <t xml:space="preserve">https://wartaekonomi.co.id/read623670/viral-warga-protes-jalan-rusak-di-tasikmalaya-dedi-mulyadi-itu-jalan-kabupaten</t>
  </si>
  <si>
    <t xml:space="preserve">Tertipu Akun TikTok Palsu, Wanita di Medan Ancam Karyawan Toko Seluler dengan Golok - jurnalpatrolinews.co.id</t>
  </si>
  <si>
    <t xml:space="preserve">Gubernur Jawa Barat Dedi Mulyadi merespons aksi protes warga terkait ruas jalan sepanjang 800 meter di Tasikmalaya yang tidak ikut diperbaiki dalam proyek pengaspalan. Dedi memastikan ruas jalan terse</t>
  </si>
  <si>
    <t xml:space="preserve">https://www.rmoljabar.id/geruduk-dprd-kota-tasikmalaya-ojol-priangan-timur-sampaikan-empat-tuntutan</t>
  </si>
  <si>
    <t xml:space="preserve">www.rmoljabar.id</t>
  </si>
  <si>
    <t xml:space="preserve">Hari Pertama Sekolah, Siswa Baru SMAN 4 Medan Masih Berseragam SMP - Orbitdigitaldaily</t>
  </si>
  <si>
    <t xml:space="preserve">Orbitdigitaldaily</t>
  </si>
  <si>
    <t xml:space="preserve">Ratusan pengemudi ojek online (ojol) motor dan mobil yang tergabung dalam Paguyuban Online Bersatu (POB) Priangan Timur mendatangi Gedung DPRD Kota Tasikmalaya, Selasa, 15 September 2026 siang. Mereka</t>
  </si>
  <si>
    <t xml:space="preserve">https://health.detik.com/diet/d-8601142/viral-perjalanan-diet-pria-tasik-pangkas-47-kg-bb-sempat-di-angka-140-kg</t>
  </si>
  <si>
    <t xml:space="preserve">Dulu Tempat Berburu 'Monza' Kini Mal Pelayanan Publik Medan, Satu Gedung Segala Urusan Selesai - hariansib.com</t>
  </si>
  <si>
    <t xml:space="preserve">Seorang pria asal Tasikmalaya berhasil menurunkan berat badannya sebanyak 47 kg. Dia mengunggah video transisi perubahan berat badannya ke media sosial dan mendapat banyak respons positif dari netizen</t>
  </si>
  <si>
    <t xml:space="preserve">https://www.detik.com/jabar/berita/d-8677675/bukan-sekadar-beasiswa-genzi-ika-unpad-siapkan-calon-pemimpin</t>
  </si>
  <si>
    <t xml:space="preserve">Sebuah video yang memperlihatkan perdebatan antara seorang pelanggan dan karyawan sebuah minimarket di Jalan Karya Wisata, Medan, viral di media sosial dan menjadi perhatian warganet. Berdasarkan narasi yang beredar, pelanggan mengaku tenga - facebook.com</t>
  </si>
  <si>
    <t xml:space="preserve">Program Beasiswa GENZI UPZ IKA Unpad hadir dengan fokus pada pembentukan karakter dan kepemimpinan. 50 mahasiswa terpilih akan mendapatkan pembinaan intensif.</t>
  </si>
  <si>
    <t xml:space="preserve">batampos – Dunia kuliner Kota Batam terus berkembang dengan hadirnya berbagai tempat makan baru yang menawarkan konsep dan cita rasa berbeda. Sejumlah restoran dan cafe juga mengusung pengalaman bersa</t>
  </si>
  <si>
    <t xml:space="preserve">Scan this QR or download app from: BATAM , iNewsBatam.id - Bagi masyarakat Batam dan para pelancong yang rindu akan cita rasa kuliner tradisional, Warung Nasi Pedas (WNP) di Athena Restaurant, Pacific</t>
  </si>
  <si>
    <t xml:space="preserve">Provinsi</t>
  </si>
  <si>
    <t xml:space="preserve">Jumlah tempat</t>
  </si>
  <si>
    <t xml:space="preserve">Viral eksplisit</t>
  </si>
  <si>
    <t xml:space="preserve">Tanpa provinsi (luar negeri / tidak jelas)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</si>
</sst>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sz val="11"/>
      <name val="Noto Sans CJK SC"/>
      <family val="2"/>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2"/>
  </cols>
  <sheetData>
    <row r="1" customFormat="false" ht="15" hidden="false" customHeight="false" outlineLevel="0" collapsed="false">
      <c r="A1" s="1" t="s">
        <v>0</v>
      </c>
      <c r="B1" s="1" t="s">
        <v>1</v>
      </c>
    </row>
    <row r="2" customFormat="false" ht="15" hidden="false" customHeight="false" outlineLevel="0" collapsed="false">
      <c r="A2" s="2" t="s">
        <v>2</v>
      </c>
      <c r="B2" s="2" t="n">
        <f aca="false">COUNTA(Artikel!A2:A2182)</f>
        <v>2181</v>
      </c>
    </row>
    <row r="3" customFormat="false" ht="15" hidden="false" customHeight="false" outlineLevel="0" collapsed="false">
      <c r="A3" s="2" t="s">
        <v>3</v>
      </c>
      <c r="B3" s="2" t="n">
        <f aca="false">COUNTIF(Artikel!C2:C2182,"&gt;0")</f>
        <v>1049</v>
      </c>
    </row>
    <row r="4" customFormat="false" ht="15" hidden="false" customHeight="false" outlineLevel="0" collapsed="false">
      <c r="A4" s="2" t="s">
        <v>4</v>
      </c>
      <c r="B4" s="2" t="n">
        <f aca="false">COUNTA(Tempat!A2:A1789)</f>
        <v>1788</v>
      </c>
    </row>
    <row r="5" customFormat="false" ht="15" hidden="false" customHeight="false" outlineLevel="0" collapsed="false">
      <c r="A5" s="2" t="s">
        <v>5</v>
      </c>
      <c r="B5" s="2" t="n">
        <f aca="false">COUNTIF(Tempat!Q2:Q1789,"Ya")</f>
        <v>492</v>
      </c>
    </row>
    <row r="6" customFormat="false" ht="15" hidden="false" customHeight="false" outlineLevel="0" collapsed="false">
      <c r="A6" s="2" t="s">
        <v>6</v>
      </c>
      <c r="B6" s="2" t="n">
        <f aca="false">COUNTIF(Tempat!D2:D1789,"Kafe")</f>
        <v>216</v>
      </c>
    </row>
    <row r="7" customFormat="false" ht="15" hidden="false" customHeight="false" outlineLevel="0" collapsed="false">
      <c r="A7" s="2" t="s">
        <v>7</v>
      </c>
      <c r="B7" s="2" t="n">
        <f aca="false">COUNTIF(Tempat!D2:D1789,"Restoran")</f>
        <v>583</v>
      </c>
    </row>
    <row r="8" customFormat="false" ht="15" hidden="false" customHeight="false" outlineLevel="0" collapsed="false">
      <c r="A8" s="2" t="s">
        <v>8</v>
      </c>
      <c r="B8" s="2" t="n">
        <f aca="false">COUNTIF(Tempat!D2:D1789,"Wisata Alam")</f>
        <v>380</v>
      </c>
    </row>
    <row r="9" customFormat="false" ht="15" hidden="false" customHeight="false" outlineLevel="0" collapsed="false">
      <c r="A9" s="2" t="s">
        <v>9</v>
      </c>
      <c r="B9" s="2" t="n">
        <f aca="false">COUNTIF(Tempat!D2:D1789,"Museum")</f>
        <v>110</v>
      </c>
    </row>
    <row r="10" customFormat="false" ht="15" hidden="false" customHeight="false" outlineLevel="0" collapsed="false">
      <c r="A10" s="2" t="s">
        <v>10</v>
      </c>
      <c r="B10" s="2" t="n">
        <f aca="false">COUNTIF(Tempat!D2:D1789,"Wahana")</f>
        <v>53</v>
      </c>
    </row>
    <row r="11" customFormat="false" ht="15" hidden="false" customHeight="false" outlineLevel="0" collapsed="false">
      <c r="A11" s="2" t="s">
        <v>11</v>
      </c>
      <c r="B11" s="2" t="n">
        <f aca="false">COUNTIF(Tempat!D2:D1789,"Pameran")</f>
        <v>204</v>
      </c>
    </row>
    <row r="12" customFormat="false" ht="15" hidden="false" customHeight="false" outlineLevel="0" collapsed="false">
      <c r="A12" s="2" t="s">
        <v>12</v>
      </c>
      <c r="B12" s="2" t="n">
        <f aca="false">COUNTIF(Tempat!D2:D1789,"lainnya")</f>
        <v>242</v>
      </c>
    </row>
    <row r="13" customFormat="false" ht="15" hidden="false" customHeight="false" outlineLevel="0" collapsed="false">
      <c r="A13" s="2" t="s">
        <v>13</v>
      </c>
      <c r="B13" s="2" t="n">
        <f aca="false">COUNTIF(Artikel!K2:K2182,"Sesuai")</f>
        <v>282</v>
      </c>
    </row>
    <row r="14" customFormat="false" ht="15" hidden="false" customHeight="false" outlineLevel="0" collapsed="false">
      <c r="A14" s="2" t="s">
        <v>14</v>
      </c>
      <c r="B14" s="2" t="n">
        <f aca="false">COUNTIF(Artikel!K2:K2182,"Ragu")</f>
        <v>58</v>
      </c>
    </row>
    <row r="15" customFormat="false" ht="15" hidden="false" customHeight="false" outlineLevel="0" collapsed="false">
      <c r="A15" s="2" t="s">
        <v>15</v>
      </c>
      <c r="B15" s="2" t="n">
        <f aca="false">COUNTIF(Artikel!K2:K2182,"Tidak sesuai (isi = judul artikel N-1)")</f>
        <v>426</v>
      </c>
    </row>
    <row r="16" customFormat="false" ht="15" hidden="false" customHeight="false" outlineLevel="0" collapsed="false">
      <c r="A16" s="2" t="s">
        <v>16</v>
      </c>
      <c r="B16" s="2" t="n">
        <f aca="false">COUNTIF(Artikel!K2:K2182,"Tidak sesuai")</f>
        <v>1415</v>
      </c>
    </row>
    <row r="17" customFormat="false" ht="15" hidden="false" customHeight="false" outlineLevel="0" collapsed="false">
      <c r="A17" s="2"/>
      <c r="B17" s="2"/>
    </row>
    <row r="18" customFormat="false" ht="15" hidden="false" customHeight="false" outlineLevel="0" collapsed="false">
      <c r="A18" s="2" t="s">
        <v>17</v>
      </c>
      <c r="B18" s="2"/>
    </row>
    <row r="19" customFormat="false" ht="15" hidden="false" customHeight="false" outlineLevel="0" collapsed="false">
      <c r="A19" s="2" t="s">
        <v>18</v>
      </c>
      <c r="B19" s="2"/>
    </row>
    <row r="20" customFormat="false" ht="15" hidden="false" customHeight="false" outlineLevel="0" collapsed="false">
      <c r="A20" s="2" t="s">
        <v>19</v>
      </c>
      <c r="B20" s="2"/>
    </row>
    <row r="21" customFormat="false" ht="15" hidden="false" customHeight="false" outlineLevel="0" collapsed="false">
      <c r="A21" s="2" t="s">
        <v>20</v>
      </c>
      <c r="B21" s="2"/>
    </row>
    <row r="22" customFormat="false" ht="15" hidden="false" customHeight="false" outlineLevel="0" collapsed="false">
      <c r="A22" s="2" t="s">
        <v>21</v>
      </c>
      <c r="B22" s="2"/>
    </row>
    <row r="24" customFormat="false" ht="15" hidden="false" customHeight="false" outlineLevel="0" collapsed="false">
      <c r="A24" s="2" t="s">
        <v>22</v>
      </c>
    </row>
    <row r="25" customFormat="false" ht="15" hidden="false" customHeight="false" outlineLevel="0" collapsed="false">
      <c r="A25" s="2" t="s">
        <v>23</v>
      </c>
    </row>
    <row r="26" customFormat="false" ht="15" hidden="false" customHeight="false" outlineLevel="0" collapsed="false">
      <c r="A26" s="2" t="s">
        <v>24</v>
      </c>
    </row>
    <row r="27" customFormat="false" ht="15" hidden="false" customHeight="false" outlineLevel="0" collapsed="false">
      <c r="A27" s="2" t="s">
        <v>25</v>
      </c>
    </row>
    <row r="28" customFormat="false" ht="15" hidden="false" customHeight="false" outlineLevel="0" collapsed="false">
      <c r="A28"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7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32"/>
    <col collapsed="false" customWidth="true" hidden="false" outlineLevel="0" max="4" min="4" style="0" width="12"/>
    <col collapsed="false" customWidth="true" hidden="false" outlineLevel="0" max="5" min="5" style="0" width="34"/>
    <col collapsed="false" customWidth="true" hidden="false" outlineLevel="0" max="7" min="6" style="0" width="18"/>
    <col collapsed="false" customWidth="true" hidden="false" outlineLevel="0" max="8" min="8" style="0" width="24"/>
    <col collapsed="false" customWidth="true" hidden="false" outlineLevel="0" max="9" min="9" style="0" width="20"/>
    <col collapsed="false" customWidth="true" hidden="false" outlineLevel="0" max="11" min="10" style="0" width="10"/>
    <col collapsed="false" customWidth="true" hidden="false" outlineLevel="0" max="12" min="12" style="0" width="20"/>
    <col collapsed="false" customWidth="true" hidden="false" outlineLevel="0" max="13" min="13" style="0" width="14"/>
    <col collapsed="false" customWidth="true" hidden="false" outlineLevel="0" max="14" min="14" style="0" width="30"/>
    <col collapsed="false" customWidth="true" hidden="false" outlineLevel="0" max="15" min="15" style="0" width="45"/>
    <col collapsed="false" customWidth="true" hidden="false" outlineLevel="0" max="16" min="16" style="0" width="18"/>
    <col collapsed="false" customWidth="true" hidden="false" outlineLevel="0" max="18" min="17" style="0" width="10"/>
    <col collapsed="false" customWidth="true" hidden="false" outlineLevel="0" max="19" min="19" style="0" width="45"/>
    <col collapsed="false" customWidth="true" hidden="false" outlineLevel="0" max="20" min="20" style="0" width="20"/>
    <col collapsed="false" customWidth="true" hidden="false" outlineLevel="0" max="21" min="21" style="0" width="45"/>
    <col collapsed="false" customWidth="true" hidden="false" outlineLevel="0" max="22" min="22" style="0" width="18"/>
    <col collapsed="false" customWidth="true" hidden="false" outlineLevel="0" max="23" min="23" style="0" width="12"/>
    <col collapsed="false" customWidth="true" hidden="false" outlineLevel="0" max="24" min="24" style="0" width="30"/>
  </cols>
  <sheetData>
    <row r="1" customFormat="false" ht="39.55" hidden="false" customHeight="false" outlineLevel="0" collapsed="false">
      <c r="A1" s="3" t="s">
        <v>27</v>
      </c>
      <c r="B1" s="3" t="s">
        <v>28</v>
      </c>
      <c r="C1" s="3" t="s">
        <v>29</v>
      </c>
      <c r="D1" s="3" t="s">
        <v>30</v>
      </c>
      <c r="E1" s="3" t="s">
        <v>31</v>
      </c>
      <c r="F1" s="3" t="s">
        <v>32</v>
      </c>
      <c r="G1" s="3" t="s">
        <v>33</v>
      </c>
      <c r="H1" s="3" t="s">
        <v>34</v>
      </c>
      <c r="I1" s="3" t="s">
        <v>35</v>
      </c>
      <c r="J1" s="3" t="s">
        <v>36</v>
      </c>
      <c r="K1" s="3" t="s">
        <v>37</v>
      </c>
      <c r="L1" s="3" t="s">
        <v>38</v>
      </c>
      <c r="M1" s="3" t="s">
        <v>39</v>
      </c>
      <c r="N1" s="3" t="s">
        <v>40</v>
      </c>
      <c r="O1" s="3" t="s">
        <v>41</v>
      </c>
      <c r="P1" s="3" t="s">
        <v>42</v>
      </c>
      <c r="Q1" s="3" t="s">
        <v>43</v>
      </c>
      <c r="R1" s="3" t="s">
        <v>44</v>
      </c>
      <c r="S1" s="3" t="s">
        <v>45</v>
      </c>
      <c r="T1" s="3" t="s">
        <v>46</v>
      </c>
      <c r="U1" s="3" t="s">
        <v>47</v>
      </c>
      <c r="V1" s="3" t="s">
        <v>48</v>
      </c>
      <c r="W1" s="3" t="s">
        <v>49</v>
      </c>
      <c r="X1" s="3" t="s">
        <v>50</v>
      </c>
    </row>
    <row r="2" customFormat="false" ht="15" hidden="false" customHeight="false" outlineLevel="0" collapsed="false">
      <c r="A2" s="2" t="n">
        <v>1</v>
      </c>
      <c r="B2" s="2" t="s">
        <v>51</v>
      </c>
      <c r="C2" s="2" t="s">
        <v>52</v>
      </c>
      <c r="D2" s="2" t="s">
        <v>53</v>
      </c>
      <c r="E2" s="2" t="s">
        <v>54</v>
      </c>
      <c r="F2" s="2" t="s">
        <v>55</v>
      </c>
      <c r="G2" s="2" t="s">
        <v>56</v>
      </c>
      <c r="H2" s="2" t="s">
        <v>57</v>
      </c>
      <c r="I2" s="2" t="s">
        <v>58</v>
      </c>
      <c r="J2" s="2" t="n">
        <v>-6.605</v>
      </c>
      <c r="K2" s="2" t="n">
        <v>106.8</v>
      </c>
      <c r="L2" s="2" t="s">
        <v>59</v>
      </c>
      <c r="M2" s="2" t="s">
        <v>60</v>
      </c>
      <c r="N2" s="2"/>
      <c r="O2" s="2" t="s">
        <v>61</v>
      </c>
      <c r="P2" s="2"/>
      <c r="Q2" s="2" t="s">
        <v>62</v>
      </c>
      <c r="R2" s="2" t="n">
        <v>0.9</v>
      </c>
      <c r="S2" s="2" t="s">
        <v>63</v>
      </c>
      <c r="T2" s="2" t="s">
        <v>64</v>
      </c>
      <c r="U2" s="2" t="s">
        <v>65</v>
      </c>
      <c r="V2" s="2" t="s">
        <v>66</v>
      </c>
      <c r="W2" s="2" t="s">
        <v>67</v>
      </c>
      <c r="X2" s="2" t="s">
        <v>68</v>
      </c>
    </row>
    <row r="3" customFormat="false" ht="15" hidden="false" customHeight="false" outlineLevel="0" collapsed="false">
      <c r="A3" s="2" t="n">
        <v>1</v>
      </c>
      <c r="B3" s="2" t="s">
        <v>51</v>
      </c>
      <c r="C3" s="2" t="s">
        <v>69</v>
      </c>
      <c r="D3" s="2" t="s">
        <v>53</v>
      </c>
      <c r="E3" s="2" t="s">
        <v>70</v>
      </c>
      <c r="F3" s="2" t="s">
        <v>71</v>
      </c>
      <c r="G3" s="2" t="s">
        <v>72</v>
      </c>
      <c r="H3" s="2" t="s">
        <v>73</v>
      </c>
      <c r="I3" s="2" t="s">
        <v>74</v>
      </c>
      <c r="J3" s="2" t="n">
        <v>-6.209</v>
      </c>
      <c r="K3" s="2" t="n">
        <v>106.81</v>
      </c>
      <c r="L3" s="2" t="s">
        <v>59</v>
      </c>
      <c r="M3" s="2" t="s">
        <v>60</v>
      </c>
      <c r="N3" s="2" t="s">
        <v>75</v>
      </c>
      <c r="O3" s="2" t="s">
        <v>76</v>
      </c>
      <c r="P3" s="2"/>
      <c r="Q3" s="2" t="s">
        <v>62</v>
      </c>
      <c r="R3" s="2" t="n">
        <v>0.9</v>
      </c>
      <c r="S3" s="2" t="s">
        <v>63</v>
      </c>
      <c r="T3" s="2" t="s">
        <v>64</v>
      </c>
      <c r="U3" s="2" t="s">
        <v>65</v>
      </c>
      <c r="V3" s="2" t="s">
        <v>66</v>
      </c>
      <c r="W3" s="2" t="s">
        <v>67</v>
      </c>
      <c r="X3" s="2" t="s">
        <v>68</v>
      </c>
    </row>
    <row r="4" customFormat="false" ht="15" hidden="false" customHeight="false" outlineLevel="0" collapsed="false">
      <c r="A4" s="2" t="n">
        <v>1</v>
      </c>
      <c r="B4" s="2" t="s">
        <v>51</v>
      </c>
      <c r="C4" s="2" t="s">
        <v>77</v>
      </c>
      <c r="D4" s="2" t="s">
        <v>53</v>
      </c>
      <c r="E4" s="2" t="s">
        <v>78</v>
      </c>
      <c r="F4" s="2" t="s">
        <v>79</v>
      </c>
      <c r="G4" s="2" t="s">
        <v>80</v>
      </c>
      <c r="H4" s="2" t="s">
        <v>73</v>
      </c>
      <c r="I4" s="2" t="s">
        <v>74</v>
      </c>
      <c r="J4" s="2" t="n">
        <v>-6.188</v>
      </c>
      <c r="K4" s="2" t="n">
        <v>106.827</v>
      </c>
      <c r="L4" s="2" t="s">
        <v>59</v>
      </c>
      <c r="M4" s="2" t="s">
        <v>60</v>
      </c>
      <c r="N4" s="2"/>
      <c r="O4" s="2" t="s">
        <v>81</v>
      </c>
      <c r="P4" s="2"/>
      <c r="Q4" s="2" t="s">
        <v>62</v>
      </c>
      <c r="R4" s="2" t="n">
        <v>0.9</v>
      </c>
      <c r="S4" s="2" t="s">
        <v>63</v>
      </c>
      <c r="T4" s="2" t="s">
        <v>64</v>
      </c>
      <c r="U4" s="2" t="s">
        <v>65</v>
      </c>
      <c r="V4" s="2" t="s">
        <v>66</v>
      </c>
      <c r="W4" s="2" t="s">
        <v>67</v>
      </c>
      <c r="X4" s="2" t="s">
        <v>68</v>
      </c>
    </row>
    <row r="5" customFormat="false" ht="15" hidden="false" customHeight="false" outlineLevel="0" collapsed="false">
      <c r="A5" s="2" t="n">
        <v>1</v>
      </c>
      <c r="B5" s="2" t="s">
        <v>51</v>
      </c>
      <c r="C5" s="2" t="s">
        <v>82</v>
      </c>
      <c r="D5" s="2" t="s">
        <v>53</v>
      </c>
      <c r="E5" s="2" t="s">
        <v>83</v>
      </c>
      <c r="F5" s="2"/>
      <c r="G5" s="2" t="s">
        <v>56</v>
      </c>
      <c r="H5" s="2" t="s">
        <v>57</v>
      </c>
      <c r="I5" s="2" t="s">
        <v>58</v>
      </c>
      <c r="J5" s="2" t="n">
        <v>-6.598</v>
      </c>
      <c r="K5" s="2" t="n">
        <v>106.797</v>
      </c>
      <c r="L5" s="2" t="s">
        <v>84</v>
      </c>
      <c r="M5" s="2" t="s">
        <v>60</v>
      </c>
      <c r="N5" s="2" t="s">
        <v>85</v>
      </c>
      <c r="O5" s="2" t="s">
        <v>86</v>
      </c>
      <c r="P5" s="2"/>
      <c r="Q5" s="2" t="s">
        <v>62</v>
      </c>
      <c r="R5" s="2" t="n">
        <v>0.85</v>
      </c>
      <c r="S5" s="2" t="s">
        <v>63</v>
      </c>
      <c r="T5" s="2" t="s">
        <v>64</v>
      </c>
      <c r="U5" s="2" t="s">
        <v>65</v>
      </c>
      <c r="V5" s="2" t="s">
        <v>66</v>
      </c>
      <c r="W5" s="2" t="s">
        <v>67</v>
      </c>
      <c r="X5" s="2" t="s">
        <v>68</v>
      </c>
    </row>
    <row r="6" customFormat="false" ht="15" hidden="false" customHeight="false" outlineLevel="0" collapsed="false">
      <c r="A6" s="2" t="n">
        <v>2</v>
      </c>
      <c r="B6" s="2" t="s">
        <v>51</v>
      </c>
      <c r="C6" s="2" t="s">
        <v>87</v>
      </c>
      <c r="D6" s="2" t="s">
        <v>53</v>
      </c>
      <c r="E6" s="2" t="s">
        <v>88</v>
      </c>
      <c r="F6" s="2" t="s">
        <v>89</v>
      </c>
      <c r="G6" s="2" t="s">
        <v>90</v>
      </c>
      <c r="H6" s="2" t="s">
        <v>91</v>
      </c>
      <c r="I6" s="2" t="s">
        <v>92</v>
      </c>
      <c r="J6" s="2" t="n">
        <v>-7.806</v>
      </c>
      <c r="K6" s="2" t="n">
        <v>110.367</v>
      </c>
      <c r="L6" s="2" t="s">
        <v>59</v>
      </c>
      <c r="M6" s="2" t="s">
        <v>60</v>
      </c>
      <c r="N6" s="2"/>
      <c r="O6" s="2" t="s">
        <v>93</v>
      </c>
      <c r="P6" s="2"/>
      <c r="Q6" s="2" t="s">
        <v>62</v>
      </c>
      <c r="R6" s="2" t="n">
        <v>0.9</v>
      </c>
      <c r="S6" s="2" t="s">
        <v>94</v>
      </c>
      <c r="T6" s="2" t="s">
        <v>95</v>
      </c>
      <c r="U6" s="2" t="s">
        <v>96</v>
      </c>
      <c r="V6" s="2" t="s">
        <v>97</v>
      </c>
      <c r="W6" s="2" t="s">
        <v>98</v>
      </c>
      <c r="X6" s="2" t="s">
        <v>68</v>
      </c>
    </row>
    <row r="7" customFormat="false" ht="15" hidden="false" customHeight="false" outlineLevel="0" collapsed="false">
      <c r="A7" s="2" t="n">
        <v>2</v>
      </c>
      <c r="B7" s="2" t="s">
        <v>51</v>
      </c>
      <c r="C7" s="2" t="s">
        <v>99</v>
      </c>
      <c r="D7" s="2" t="s">
        <v>53</v>
      </c>
      <c r="E7" s="2" t="s">
        <v>100</v>
      </c>
      <c r="F7" s="2"/>
      <c r="G7" s="2"/>
      <c r="H7" s="2" t="s">
        <v>91</v>
      </c>
      <c r="I7" s="2" t="s">
        <v>92</v>
      </c>
      <c r="J7" s="2" t="n">
        <v>-7.797</v>
      </c>
      <c r="K7" s="2" t="n">
        <v>110.37</v>
      </c>
      <c r="L7" s="2" t="s">
        <v>101</v>
      </c>
      <c r="M7" s="2" t="s">
        <v>60</v>
      </c>
      <c r="N7" s="2"/>
      <c r="O7" s="2" t="s">
        <v>102</v>
      </c>
      <c r="P7" s="2"/>
      <c r="Q7" s="2" t="s">
        <v>62</v>
      </c>
      <c r="R7" s="2" t="n">
        <v>0.8</v>
      </c>
      <c r="S7" s="2" t="s">
        <v>94</v>
      </c>
      <c r="T7" s="2" t="s">
        <v>95</v>
      </c>
      <c r="U7" s="2" t="s">
        <v>96</v>
      </c>
      <c r="V7" s="2" t="s">
        <v>97</v>
      </c>
      <c r="W7" s="2" t="s">
        <v>98</v>
      </c>
      <c r="X7" s="2" t="s">
        <v>68</v>
      </c>
    </row>
    <row r="8" customFormat="false" ht="15" hidden="false" customHeight="false" outlineLevel="0" collapsed="false">
      <c r="A8" s="2" t="n">
        <v>3</v>
      </c>
      <c r="B8" s="2" t="s">
        <v>51</v>
      </c>
      <c r="C8" s="2" t="s">
        <v>103</v>
      </c>
      <c r="D8" s="2" t="s">
        <v>53</v>
      </c>
      <c r="E8" s="2" t="s">
        <v>104</v>
      </c>
      <c r="F8" s="2" t="s">
        <v>105</v>
      </c>
      <c r="G8" s="2" t="s">
        <v>106</v>
      </c>
      <c r="H8" s="2" t="s">
        <v>107</v>
      </c>
      <c r="I8" s="2" t="s">
        <v>58</v>
      </c>
      <c r="J8" s="2" t="n">
        <v>-6.928</v>
      </c>
      <c r="K8" s="2" t="n">
        <v>107.62</v>
      </c>
      <c r="L8" s="2" t="s">
        <v>59</v>
      </c>
      <c r="M8" s="2" t="s">
        <v>60</v>
      </c>
      <c r="N8" s="2"/>
      <c r="O8" s="2" t="s">
        <v>108</v>
      </c>
      <c r="P8" s="2" t="s">
        <v>109</v>
      </c>
      <c r="Q8" s="2" t="s">
        <v>110</v>
      </c>
      <c r="R8" s="2" t="n">
        <v>0.9</v>
      </c>
      <c r="S8" s="2" t="s">
        <v>111</v>
      </c>
      <c r="T8" s="2" t="s">
        <v>112</v>
      </c>
      <c r="U8" s="2" t="s">
        <v>113</v>
      </c>
      <c r="V8" s="2" t="s">
        <v>114</v>
      </c>
      <c r="W8" s="2" t="s">
        <v>115</v>
      </c>
      <c r="X8" s="2" t="s">
        <v>68</v>
      </c>
    </row>
    <row r="9" customFormat="false" ht="15" hidden="false" customHeight="false" outlineLevel="0" collapsed="false">
      <c r="A9" s="2" t="n">
        <v>3</v>
      </c>
      <c r="B9" s="2" t="s">
        <v>51</v>
      </c>
      <c r="C9" s="2" t="s">
        <v>116</v>
      </c>
      <c r="D9" s="2" t="s">
        <v>53</v>
      </c>
      <c r="E9" s="2" t="s">
        <v>117</v>
      </c>
      <c r="F9" s="2"/>
      <c r="G9" s="2"/>
      <c r="H9" s="2" t="s">
        <v>107</v>
      </c>
      <c r="I9" s="2" t="s">
        <v>58</v>
      </c>
      <c r="J9" s="2" t="n">
        <v>-6.917</v>
      </c>
      <c r="K9" s="2" t="n">
        <v>107.619</v>
      </c>
      <c r="L9" s="2" t="s">
        <v>101</v>
      </c>
      <c r="M9" s="2" t="s">
        <v>60</v>
      </c>
      <c r="N9" s="2" t="s">
        <v>118</v>
      </c>
      <c r="O9" s="2" t="s">
        <v>119</v>
      </c>
      <c r="P9" s="2" t="s">
        <v>109</v>
      </c>
      <c r="Q9" s="2" t="s">
        <v>110</v>
      </c>
      <c r="R9" s="2" t="n">
        <v>0.85</v>
      </c>
      <c r="S9" s="2" t="s">
        <v>111</v>
      </c>
      <c r="T9" s="2" t="s">
        <v>112</v>
      </c>
      <c r="U9" s="2" t="s">
        <v>113</v>
      </c>
      <c r="V9" s="2" t="s">
        <v>114</v>
      </c>
      <c r="W9" s="2" t="s">
        <v>115</v>
      </c>
      <c r="X9" s="2" t="s">
        <v>68</v>
      </c>
    </row>
    <row r="10" customFormat="false" ht="15" hidden="false" customHeight="false" outlineLevel="0" collapsed="false">
      <c r="A10" s="2" t="n">
        <v>4</v>
      </c>
      <c r="B10" s="2" t="s">
        <v>51</v>
      </c>
      <c r="C10" s="2" t="s">
        <v>120</v>
      </c>
      <c r="D10" s="2" t="s">
        <v>121</v>
      </c>
      <c r="E10" s="2" t="s">
        <v>122</v>
      </c>
      <c r="F10" s="2" t="s">
        <v>123</v>
      </c>
      <c r="G10" s="2" t="s">
        <v>72</v>
      </c>
      <c r="H10" s="2" t="s">
        <v>73</v>
      </c>
      <c r="I10" s="2" t="s">
        <v>74</v>
      </c>
      <c r="J10" s="2" t="n">
        <v>-6.2186</v>
      </c>
      <c r="K10" s="2" t="n">
        <v>106.8019</v>
      </c>
      <c r="L10" s="2" t="s">
        <v>124</v>
      </c>
      <c r="M10" s="2" t="s">
        <v>60</v>
      </c>
      <c r="N10" s="2" t="s">
        <v>125</v>
      </c>
      <c r="O10" s="2" t="s">
        <v>126</v>
      </c>
      <c r="P10" s="2" t="s">
        <v>127</v>
      </c>
      <c r="Q10" s="2" t="s">
        <v>110</v>
      </c>
      <c r="R10" s="2" t="n">
        <v>0.9</v>
      </c>
      <c r="S10" s="2" t="s">
        <v>128</v>
      </c>
      <c r="T10" s="2" t="s">
        <v>129</v>
      </c>
      <c r="U10" s="2" t="s">
        <v>130</v>
      </c>
      <c r="V10" s="2" t="s">
        <v>131</v>
      </c>
      <c r="W10" s="2" t="s">
        <v>132</v>
      </c>
      <c r="X10" s="2" t="s">
        <v>68</v>
      </c>
    </row>
    <row r="11" customFormat="false" ht="15" hidden="false" customHeight="false" outlineLevel="0" collapsed="false">
      <c r="A11" s="2" t="n">
        <v>4</v>
      </c>
      <c r="B11" s="2" t="s">
        <v>51</v>
      </c>
      <c r="C11" s="2" t="s">
        <v>133</v>
      </c>
      <c r="D11" s="2" t="s">
        <v>134</v>
      </c>
      <c r="E11" s="2" t="s">
        <v>135</v>
      </c>
      <c r="F11" s="2" t="s">
        <v>123</v>
      </c>
      <c r="G11" s="2" t="s">
        <v>72</v>
      </c>
      <c r="H11" s="2" t="s">
        <v>73</v>
      </c>
      <c r="I11" s="2" t="s">
        <v>74</v>
      </c>
      <c r="J11" s="2" t="n">
        <v>-6.2186</v>
      </c>
      <c r="K11" s="2" t="n">
        <v>106.8019</v>
      </c>
      <c r="L11" s="2" t="s">
        <v>124</v>
      </c>
      <c r="M11" s="2" t="s">
        <v>60</v>
      </c>
      <c r="N11" s="2" t="s">
        <v>125</v>
      </c>
      <c r="O11" s="2" t="s">
        <v>136</v>
      </c>
      <c r="P11" s="2"/>
      <c r="Q11" s="2" t="s">
        <v>110</v>
      </c>
      <c r="R11" s="2" t="n">
        <v>0.75</v>
      </c>
      <c r="S11" s="2" t="s">
        <v>128</v>
      </c>
      <c r="T11" s="2" t="s">
        <v>129</v>
      </c>
      <c r="U11" s="2" t="s">
        <v>130</v>
      </c>
      <c r="V11" s="2" t="s">
        <v>131</v>
      </c>
      <c r="W11" s="2" t="s">
        <v>132</v>
      </c>
      <c r="X11" s="2" t="s">
        <v>68</v>
      </c>
    </row>
    <row r="12" customFormat="false" ht="15" hidden="false" customHeight="false" outlineLevel="0" collapsed="false">
      <c r="A12" s="2" t="n">
        <v>4</v>
      </c>
      <c r="B12" s="2" t="s">
        <v>51</v>
      </c>
      <c r="C12" s="2" t="s">
        <v>137</v>
      </c>
      <c r="D12" s="2" t="s">
        <v>53</v>
      </c>
      <c r="E12" s="2" t="s">
        <v>135</v>
      </c>
      <c r="F12" s="2" t="s">
        <v>123</v>
      </c>
      <c r="G12" s="2" t="s">
        <v>72</v>
      </c>
      <c r="H12" s="2" t="s">
        <v>73</v>
      </c>
      <c r="I12" s="2" t="s">
        <v>74</v>
      </c>
      <c r="J12" s="2" t="n">
        <v>-6.2186</v>
      </c>
      <c r="K12" s="2" t="n">
        <v>106.8019</v>
      </c>
      <c r="L12" s="2" t="s">
        <v>124</v>
      </c>
      <c r="M12" s="2" t="s">
        <v>60</v>
      </c>
      <c r="N12" s="2" t="s">
        <v>125</v>
      </c>
      <c r="O12" s="2" t="s">
        <v>138</v>
      </c>
      <c r="P12" s="2"/>
      <c r="Q12" s="2" t="s">
        <v>110</v>
      </c>
      <c r="R12" s="2" t="n">
        <v>0.75</v>
      </c>
      <c r="S12" s="2" t="s">
        <v>128</v>
      </c>
      <c r="T12" s="2" t="s">
        <v>129</v>
      </c>
      <c r="U12" s="2" t="s">
        <v>130</v>
      </c>
      <c r="V12" s="2" t="s">
        <v>131</v>
      </c>
      <c r="W12" s="2" t="s">
        <v>132</v>
      </c>
      <c r="X12" s="2" t="s">
        <v>68</v>
      </c>
    </row>
    <row r="13" customFormat="false" ht="15" hidden="false" customHeight="false" outlineLevel="0" collapsed="false">
      <c r="A13" s="2" t="n">
        <v>4</v>
      </c>
      <c r="B13" s="2" t="s">
        <v>51</v>
      </c>
      <c r="C13" s="2" t="s">
        <v>139</v>
      </c>
      <c r="D13" s="2" t="s">
        <v>134</v>
      </c>
      <c r="E13" s="2" t="s">
        <v>135</v>
      </c>
      <c r="F13" s="2" t="s">
        <v>123</v>
      </c>
      <c r="G13" s="2" t="s">
        <v>72</v>
      </c>
      <c r="H13" s="2" t="s">
        <v>73</v>
      </c>
      <c r="I13" s="2" t="s">
        <v>74</v>
      </c>
      <c r="J13" s="2" t="n">
        <v>-6.2186</v>
      </c>
      <c r="K13" s="2" t="n">
        <v>106.8019</v>
      </c>
      <c r="L13" s="2" t="s">
        <v>124</v>
      </c>
      <c r="M13" s="2" t="s">
        <v>60</v>
      </c>
      <c r="N13" s="2" t="s">
        <v>125</v>
      </c>
      <c r="O13" s="2" t="s">
        <v>140</v>
      </c>
      <c r="P13" s="2"/>
      <c r="Q13" s="2" t="s">
        <v>110</v>
      </c>
      <c r="R13" s="2" t="n">
        <v>0.7</v>
      </c>
      <c r="S13" s="2" t="s">
        <v>128</v>
      </c>
      <c r="T13" s="2" t="s">
        <v>129</v>
      </c>
      <c r="U13" s="2" t="s">
        <v>130</v>
      </c>
      <c r="V13" s="2" t="s">
        <v>131</v>
      </c>
      <c r="W13" s="2" t="s">
        <v>132</v>
      </c>
      <c r="X13" s="2" t="s">
        <v>68</v>
      </c>
    </row>
    <row r="14" customFormat="false" ht="15" hidden="false" customHeight="false" outlineLevel="0" collapsed="false">
      <c r="A14" s="2" t="n">
        <v>4</v>
      </c>
      <c r="B14" s="2" t="s">
        <v>51</v>
      </c>
      <c r="C14" s="2" t="s">
        <v>141</v>
      </c>
      <c r="D14" s="2" t="s">
        <v>134</v>
      </c>
      <c r="E14" s="2" t="s">
        <v>135</v>
      </c>
      <c r="F14" s="2" t="s">
        <v>123</v>
      </c>
      <c r="G14" s="2" t="s">
        <v>72</v>
      </c>
      <c r="H14" s="2" t="s">
        <v>73</v>
      </c>
      <c r="I14" s="2" t="s">
        <v>74</v>
      </c>
      <c r="J14" s="2" t="n">
        <v>-6.2186</v>
      </c>
      <c r="K14" s="2" t="n">
        <v>106.8019</v>
      </c>
      <c r="L14" s="2" t="s">
        <v>124</v>
      </c>
      <c r="M14" s="2" t="s">
        <v>60</v>
      </c>
      <c r="N14" s="2" t="s">
        <v>125</v>
      </c>
      <c r="O14" s="2" t="s">
        <v>142</v>
      </c>
      <c r="P14" s="2"/>
      <c r="Q14" s="2" t="s">
        <v>110</v>
      </c>
      <c r="R14" s="2" t="n">
        <v>0.7</v>
      </c>
      <c r="S14" s="2" t="s">
        <v>128</v>
      </c>
      <c r="T14" s="2" t="s">
        <v>129</v>
      </c>
      <c r="U14" s="2" t="s">
        <v>130</v>
      </c>
      <c r="V14" s="2" t="s">
        <v>131</v>
      </c>
      <c r="W14" s="2" t="s">
        <v>132</v>
      </c>
      <c r="X14" s="2" t="s">
        <v>68</v>
      </c>
    </row>
    <row r="15" customFormat="false" ht="15" hidden="false" customHeight="false" outlineLevel="0" collapsed="false">
      <c r="A15" s="2" t="n">
        <v>4</v>
      </c>
      <c r="B15" s="2" t="s">
        <v>51</v>
      </c>
      <c r="C15" s="2" t="s">
        <v>143</v>
      </c>
      <c r="D15" s="2" t="s">
        <v>134</v>
      </c>
      <c r="E15" s="2" t="s">
        <v>135</v>
      </c>
      <c r="F15" s="2" t="s">
        <v>123</v>
      </c>
      <c r="G15" s="2" t="s">
        <v>72</v>
      </c>
      <c r="H15" s="2" t="s">
        <v>73</v>
      </c>
      <c r="I15" s="2" t="s">
        <v>74</v>
      </c>
      <c r="J15" s="2" t="n">
        <v>-6.2186</v>
      </c>
      <c r="K15" s="2" t="n">
        <v>106.8019</v>
      </c>
      <c r="L15" s="2" t="s">
        <v>124</v>
      </c>
      <c r="M15" s="2" t="s">
        <v>60</v>
      </c>
      <c r="N15" s="2" t="s">
        <v>125</v>
      </c>
      <c r="O15" s="2" t="s">
        <v>144</v>
      </c>
      <c r="P15" s="2"/>
      <c r="Q15" s="2" t="s">
        <v>110</v>
      </c>
      <c r="R15" s="2" t="n">
        <v>0.7</v>
      </c>
      <c r="S15" s="2" t="s">
        <v>128</v>
      </c>
      <c r="T15" s="2" t="s">
        <v>129</v>
      </c>
      <c r="U15" s="2" t="s">
        <v>130</v>
      </c>
      <c r="V15" s="2" t="s">
        <v>131</v>
      </c>
      <c r="W15" s="2" t="s">
        <v>132</v>
      </c>
      <c r="X15" s="2" t="s">
        <v>68</v>
      </c>
    </row>
    <row r="16" customFormat="false" ht="15" hidden="false" customHeight="false" outlineLevel="0" collapsed="false">
      <c r="A16" s="2" t="n">
        <v>4</v>
      </c>
      <c r="B16" s="2" t="s">
        <v>51</v>
      </c>
      <c r="C16" s="2" t="s">
        <v>145</v>
      </c>
      <c r="D16" s="2" t="s">
        <v>53</v>
      </c>
      <c r="E16" s="2" t="s">
        <v>135</v>
      </c>
      <c r="F16" s="2" t="s">
        <v>123</v>
      </c>
      <c r="G16" s="2" t="s">
        <v>72</v>
      </c>
      <c r="H16" s="2" t="s">
        <v>73</v>
      </c>
      <c r="I16" s="2" t="s">
        <v>74</v>
      </c>
      <c r="J16" s="2" t="n">
        <v>-6.2186</v>
      </c>
      <c r="K16" s="2" t="n">
        <v>106.8019</v>
      </c>
      <c r="L16" s="2" t="s">
        <v>124</v>
      </c>
      <c r="M16" s="2" t="s">
        <v>60</v>
      </c>
      <c r="N16" s="2" t="s">
        <v>125</v>
      </c>
      <c r="O16" s="2" t="s">
        <v>146</v>
      </c>
      <c r="P16" s="2"/>
      <c r="Q16" s="2" t="s">
        <v>110</v>
      </c>
      <c r="R16" s="2" t="n">
        <v>0.7</v>
      </c>
      <c r="S16" s="2" t="s">
        <v>128</v>
      </c>
      <c r="T16" s="2" t="s">
        <v>129</v>
      </c>
      <c r="U16" s="2" t="s">
        <v>130</v>
      </c>
      <c r="V16" s="2" t="s">
        <v>131</v>
      </c>
      <c r="W16" s="2" t="s">
        <v>132</v>
      </c>
      <c r="X16" s="2" t="s">
        <v>68</v>
      </c>
    </row>
    <row r="17" customFormat="false" ht="15" hidden="false" customHeight="false" outlineLevel="0" collapsed="false">
      <c r="A17" s="2" t="n">
        <v>4</v>
      </c>
      <c r="B17" s="2" t="s">
        <v>51</v>
      </c>
      <c r="C17" s="2" t="s">
        <v>147</v>
      </c>
      <c r="D17" s="2" t="s">
        <v>53</v>
      </c>
      <c r="E17" s="2" t="s">
        <v>135</v>
      </c>
      <c r="F17" s="2" t="s">
        <v>123</v>
      </c>
      <c r="G17" s="2" t="s">
        <v>72</v>
      </c>
      <c r="H17" s="2" t="s">
        <v>73</v>
      </c>
      <c r="I17" s="2" t="s">
        <v>74</v>
      </c>
      <c r="J17" s="2" t="n">
        <v>-6.2186</v>
      </c>
      <c r="K17" s="2" t="n">
        <v>106.8019</v>
      </c>
      <c r="L17" s="2" t="s">
        <v>124</v>
      </c>
      <c r="M17" s="2" t="s">
        <v>60</v>
      </c>
      <c r="N17" s="2" t="s">
        <v>125</v>
      </c>
      <c r="O17" s="2" t="s">
        <v>148</v>
      </c>
      <c r="P17" s="2"/>
      <c r="Q17" s="2" t="s">
        <v>110</v>
      </c>
      <c r="R17" s="2" t="n">
        <v>0.7</v>
      </c>
      <c r="S17" s="2" t="s">
        <v>128</v>
      </c>
      <c r="T17" s="2" t="s">
        <v>129</v>
      </c>
      <c r="U17" s="2" t="s">
        <v>130</v>
      </c>
      <c r="V17" s="2" t="s">
        <v>131</v>
      </c>
      <c r="W17" s="2" t="s">
        <v>132</v>
      </c>
      <c r="X17" s="2" t="s">
        <v>68</v>
      </c>
    </row>
    <row r="18" customFormat="false" ht="15" hidden="false" customHeight="false" outlineLevel="0" collapsed="false">
      <c r="A18" s="2" t="n">
        <v>5</v>
      </c>
      <c r="B18" s="2" t="s">
        <v>51</v>
      </c>
      <c r="C18" s="2" t="s">
        <v>149</v>
      </c>
      <c r="D18" s="2" t="s">
        <v>53</v>
      </c>
      <c r="E18" s="2" t="s">
        <v>150</v>
      </c>
      <c r="F18" s="2" t="s">
        <v>151</v>
      </c>
      <c r="G18" s="2" t="s">
        <v>152</v>
      </c>
      <c r="H18" s="2" t="s">
        <v>153</v>
      </c>
      <c r="I18" s="2" t="s">
        <v>58</v>
      </c>
      <c r="J18" s="2" t="n">
        <v>-6.26</v>
      </c>
      <c r="K18" s="2" t="n">
        <v>106.988</v>
      </c>
      <c r="L18" s="2" t="s">
        <v>59</v>
      </c>
      <c r="M18" s="2" t="s">
        <v>60</v>
      </c>
      <c r="N18" s="2"/>
      <c r="O18" s="2" t="s">
        <v>154</v>
      </c>
      <c r="P18" s="2"/>
      <c r="Q18" s="2" t="s">
        <v>62</v>
      </c>
      <c r="R18" s="2" t="n">
        <v>0.8</v>
      </c>
      <c r="S18" s="2" t="s">
        <v>155</v>
      </c>
      <c r="T18" s="2" t="s">
        <v>156</v>
      </c>
      <c r="U18" s="2" t="s">
        <v>157</v>
      </c>
      <c r="V18" s="2" t="s">
        <v>158</v>
      </c>
      <c r="W18" s="2" t="s">
        <v>159</v>
      </c>
      <c r="X18" s="2" t="s">
        <v>160</v>
      </c>
    </row>
    <row r="19" customFormat="false" ht="15" hidden="false" customHeight="false" outlineLevel="0" collapsed="false">
      <c r="A19" s="2" t="n">
        <v>5</v>
      </c>
      <c r="B19" s="2" t="s">
        <v>51</v>
      </c>
      <c r="C19" s="2" t="s">
        <v>161</v>
      </c>
      <c r="D19" s="2" t="s">
        <v>53</v>
      </c>
      <c r="E19" s="2" t="s">
        <v>162</v>
      </c>
      <c r="F19" s="2"/>
      <c r="G19" s="2"/>
      <c r="H19" s="2" t="s">
        <v>153</v>
      </c>
      <c r="I19" s="2" t="s">
        <v>58</v>
      </c>
      <c r="J19" s="2" t="n">
        <v>-6.238</v>
      </c>
      <c r="K19" s="2" t="n">
        <v>106.976</v>
      </c>
      <c r="L19" s="2" t="s">
        <v>101</v>
      </c>
      <c r="M19" s="2" t="s">
        <v>60</v>
      </c>
      <c r="N19" s="2" t="s">
        <v>163</v>
      </c>
      <c r="O19" s="2" t="s">
        <v>164</v>
      </c>
      <c r="P19" s="2"/>
      <c r="Q19" s="2" t="s">
        <v>62</v>
      </c>
      <c r="R19" s="2" t="n">
        <v>0.85</v>
      </c>
      <c r="S19" s="2" t="s">
        <v>155</v>
      </c>
      <c r="T19" s="2" t="s">
        <v>156</v>
      </c>
      <c r="U19" s="2" t="s">
        <v>157</v>
      </c>
      <c r="V19" s="2" t="s">
        <v>158</v>
      </c>
      <c r="W19" s="2" t="s">
        <v>159</v>
      </c>
      <c r="X19" s="2" t="s">
        <v>160</v>
      </c>
    </row>
    <row r="20" customFormat="false" ht="15" hidden="false" customHeight="false" outlineLevel="0" collapsed="false">
      <c r="A20" s="2" t="n">
        <v>5</v>
      </c>
      <c r="B20" s="2" t="s">
        <v>51</v>
      </c>
      <c r="C20" s="2" t="s">
        <v>165</v>
      </c>
      <c r="D20" s="2" t="s">
        <v>53</v>
      </c>
      <c r="E20" s="2" t="s">
        <v>166</v>
      </c>
      <c r="F20" s="2" t="s">
        <v>167</v>
      </c>
      <c r="G20" s="2" t="s">
        <v>152</v>
      </c>
      <c r="H20" s="2" t="s">
        <v>153</v>
      </c>
      <c r="I20" s="2" t="s">
        <v>58</v>
      </c>
      <c r="J20" s="2" t="n">
        <v>-6.268</v>
      </c>
      <c r="K20" s="2" t="n">
        <v>106.97</v>
      </c>
      <c r="L20" s="2" t="s">
        <v>59</v>
      </c>
      <c r="M20" s="2" t="s">
        <v>60</v>
      </c>
      <c r="N20" s="2"/>
      <c r="O20" s="2" t="s">
        <v>168</v>
      </c>
      <c r="P20" s="2"/>
      <c r="Q20" s="2" t="s">
        <v>62</v>
      </c>
      <c r="R20" s="2" t="n">
        <v>0.8</v>
      </c>
      <c r="S20" s="2" t="s">
        <v>155</v>
      </c>
      <c r="T20" s="2" t="s">
        <v>156</v>
      </c>
      <c r="U20" s="2" t="s">
        <v>157</v>
      </c>
      <c r="V20" s="2" t="s">
        <v>158</v>
      </c>
      <c r="W20" s="2" t="s">
        <v>159</v>
      </c>
      <c r="X20" s="2" t="s">
        <v>160</v>
      </c>
    </row>
    <row r="21" customFormat="false" ht="15" hidden="false" customHeight="false" outlineLevel="0" collapsed="false">
      <c r="A21" s="2" t="n">
        <v>6</v>
      </c>
      <c r="B21" s="2" t="s">
        <v>51</v>
      </c>
      <c r="C21" s="2" t="s">
        <v>169</v>
      </c>
      <c r="D21" s="2" t="s">
        <v>53</v>
      </c>
      <c r="E21" s="2" t="s">
        <v>170</v>
      </c>
      <c r="F21" s="2"/>
      <c r="G21" s="2"/>
      <c r="H21" s="2" t="s">
        <v>171</v>
      </c>
      <c r="I21" s="2" t="s">
        <v>172</v>
      </c>
      <c r="J21" s="2" t="n">
        <v>-7.45</v>
      </c>
      <c r="K21" s="2" t="n">
        <v>109.17</v>
      </c>
      <c r="L21" s="2" t="s">
        <v>101</v>
      </c>
      <c r="M21" s="2" t="s">
        <v>60</v>
      </c>
      <c r="N21" s="2" t="s">
        <v>173</v>
      </c>
      <c r="O21" s="2" t="s">
        <v>174</v>
      </c>
      <c r="P21" s="2"/>
      <c r="Q21" s="2" t="s">
        <v>62</v>
      </c>
      <c r="R21" s="2" t="n">
        <v>0.75</v>
      </c>
      <c r="S21" s="2" t="s">
        <v>175</v>
      </c>
      <c r="T21" s="2" t="s">
        <v>176</v>
      </c>
      <c r="U21" s="2" t="s">
        <v>177</v>
      </c>
      <c r="V21" s="2" t="s">
        <v>178</v>
      </c>
      <c r="W21" s="2" t="s">
        <v>132</v>
      </c>
      <c r="X21" s="2" t="s">
        <v>68</v>
      </c>
    </row>
    <row r="22" customFormat="false" ht="15" hidden="false" customHeight="false" outlineLevel="0" collapsed="false">
      <c r="A22" s="2" t="n">
        <v>7</v>
      </c>
      <c r="B22" s="2" t="s">
        <v>51</v>
      </c>
      <c r="C22" s="2" t="s">
        <v>179</v>
      </c>
      <c r="D22" s="2" t="s">
        <v>53</v>
      </c>
      <c r="E22" s="2" t="s">
        <v>180</v>
      </c>
      <c r="F22" s="2" t="s">
        <v>181</v>
      </c>
      <c r="G22" s="2" t="s">
        <v>182</v>
      </c>
      <c r="H22" s="2" t="s">
        <v>183</v>
      </c>
      <c r="I22" s="2" t="s">
        <v>184</v>
      </c>
      <c r="J22" s="2" t="n">
        <v>-7.439</v>
      </c>
      <c r="K22" s="2" t="n">
        <v>112.696</v>
      </c>
      <c r="L22" s="2" t="s">
        <v>59</v>
      </c>
      <c r="M22" s="2" t="s">
        <v>60</v>
      </c>
      <c r="N22" s="2"/>
      <c r="O22" s="2" t="s">
        <v>185</v>
      </c>
      <c r="P22" s="2"/>
      <c r="Q22" s="2" t="s">
        <v>62</v>
      </c>
      <c r="R22" s="2" t="n">
        <v>0.85</v>
      </c>
      <c r="S22" s="2" t="s">
        <v>186</v>
      </c>
      <c r="T22" s="2" t="s">
        <v>187</v>
      </c>
      <c r="U22" s="2" t="s">
        <v>188</v>
      </c>
      <c r="V22" s="2" t="s">
        <v>189</v>
      </c>
      <c r="W22" s="2" t="s">
        <v>190</v>
      </c>
      <c r="X22" s="2" t="s">
        <v>68</v>
      </c>
    </row>
    <row r="23" customFormat="false" ht="15" hidden="false" customHeight="false" outlineLevel="0" collapsed="false">
      <c r="A23" s="2" t="n">
        <v>7</v>
      </c>
      <c r="B23" s="2" t="s">
        <v>51</v>
      </c>
      <c r="C23" s="2" t="s">
        <v>191</v>
      </c>
      <c r="D23" s="2" t="s">
        <v>53</v>
      </c>
      <c r="E23" s="2" t="s">
        <v>192</v>
      </c>
      <c r="F23" s="2"/>
      <c r="G23" s="2" t="s">
        <v>182</v>
      </c>
      <c r="H23" s="2" t="s">
        <v>183</v>
      </c>
      <c r="I23" s="2" t="s">
        <v>184</v>
      </c>
      <c r="J23" s="2" t="n">
        <v>-7.45</v>
      </c>
      <c r="K23" s="2" t="n">
        <v>112.715</v>
      </c>
      <c r="L23" s="2" t="s">
        <v>84</v>
      </c>
      <c r="M23" s="2" t="s">
        <v>60</v>
      </c>
      <c r="N23" s="2"/>
      <c r="O23" s="2" t="s">
        <v>193</v>
      </c>
      <c r="P23" s="2"/>
      <c r="Q23" s="2" t="s">
        <v>62</v>
      </c>
      <c r="R23" s="2" t="n">
        <v>0.6</v>
      </c>
      <c r="S23" s="2" t="s">
        <v>186</v>
      </c>
      <c r="T23" s="2" t="s">
        <v>187</v>
      </c>
      <c r="U23" s="2" t="s">
        <v>188</v>
      </c>
      <c r="V23" s="2" t="s">
        <v>189</v>
      </c>
      <c r="W23" s="2" t="s">
        <v>190</v>
      </c>
      <c r="X23" s="2" t="s">
        <v>68</v>
      </c>
    </row>
    <row r="24" customFormat="false" ht="15" hidden="false" customHeight="false" outlineLevel="0" collapsed="false">
      <c r="A24" s="2" t="n">
        <v>8</v>
      </c>
      <c r="B24" s="2" t="s">
        <v>51</v>
      </c>
      <c r="C24" s="2" t="s">
        <v>194</v>
      </c>
      <c r="D24" s="2" t="s">
        <v>53</v>
      </c>
      <c r="E24" s="2" t="s">
        <v>195</v>
      </c>
      <c r="F24" s="2" t="s">
        <v>196</v>
      </c>
      <c r="G24" s="2" t="s">
        <v>197</v>
      </c>
      <c r="H24" s="2" t="s">
        <v>198</v>
      </c>
      <c r="I24" s="2" t="s">
        <v>74</v>
      </c>
      <c r="J24" s="2" t="n">
        <v>-6.196</v>
      </c>
      <c r="K24" s="2" t="n">
        <v>106.887</v>
      </c>
      <c r="L24" s="2" t="s">
        <v>59</v>
      </c>
      <c r="M24" s="2" t="s">
        <v>60</v>
      </c>
      <c r="N24" s="2"/>
      <c r="O24" s="2" t="s">
        <v>199</v>
      </c>
      <c r="P24" s="2"/>
      <c r="Q24" s="2" t="s">
        <v>62</v>
      </c>
      <c r="R24" s="2" t="n">
        <v>0.8</v>
      </c>
      <c r="S24" s="2" t="s">
        <v>200</v>
      </c>
      <c r="T24" s="2" t="s">
        <v>201</v>
      </c>
      <c r="U24" s="2" t="s">
        <v>202</v>
      </c>
      <c r="V24" s="2" t="s">
        <v>203</v>
      </c>
      <c r="W24" s="2" t="s">
        <v>204</v>
      </c>
      <c r="X24" s="2" t="s">
        <v>68</v>
      </c>
    </row>
    <row r="25" customFormat="false" ht="15" hidden="false" customHeight="false" outlineLevel="0" collapsed="false">
      <c r="A25" s="2" t="n">
        <v>8</v>
      </c>
      <c r="B25" s="2" t="s">
        <v>51</v>
      </c>
      <c r="C25" s="2" t="s">
        <v>205</v>
      </c>
      <c r="D25" s="2" t="s">
        <v>53</v>
      </c>
      <c r="E25" s="2" t="s">
        <v>206</v>
      </c>
      <c r="F25" s="2" t="s">
        <v>207</v>
      </c>
      <c r="G25" s="2" t="s">
        <v>208</v>
      </c>
      <c r="H25" s="2" t="s">
        <v>198</v>
      </c>
      <c r="I25" s="2" t="s">
        <v>74</v>
      </c>
      <c r="J25" s="2" t="n">
        <v>-6.229</v>
      </c>
      <c r="K25" s="2" t="n">
        <v>106.892</v>
      </c>
      <c r="L25" s="2" t="s">
        <v>59</v>
      </c>
      <c r="M25" s="2" t="s">
        <v>60</v>
      </c>
      <c r="N25" s="2"/>
      <c r="O25" s="2" t="s">
        <v>209</v>
      </c>
      <c r="P25" s="2"/>
      <c r="Q25" s="2" t="s">
        <v>62</v>
      </c>
      <c r="R25" s="2" t="n">
        <v>0.8</v>
      </c>
      <c r="S25" s="2" t="s">
        <v>200</v>
      </c>
      <c r="T25" s="2" t="s">
        <v>201</v>
      </c>
      <c r="U25" s="2" t="s">
        <v>202</v>
      </c>
      <c r="V25" s="2" t="s">
        <v>203</v>
      </c>
      <c r="W25" s="2" t="s">
        <v>204</v>
      </c>
      <c r="X25" s="2" t="s">
        <v>68</v>
      </c>
    </row>
    <row r="26" customFormat="false" ht="15" hidden="false" customHeight="false" outlineLevel="0" collapsed="false">
      <c r="A26" s="2" t="n">
        <v>8</v>
      </c>
      <c r="B26" s="2" t="s">
        <v>51</v>
      </c>
      <c r="C26" s="2" t="s">
        <v>210</v>
      </c>
      <c r="D26" s="2" t="s">
        <v>53</v>
      </c>
      <c r="E26" s="2" t="s">
        <v>211</v>
      </c>
      <c r="F26" s="2" t="s">
        <v>196</v>
      </c>
      <c r="G26" s="2" t="s">
        <v>197</v>
      </c>
      <c r="H26" s="2" t="s">
        <v>198</v>
      </c>
      <c r="I26" s="2" t="s">
        <v>74</v>
      </c>
      <c r="J26" s="2" t="n">
        <v>-6.196</v>
      </c>
      <c r="K26" s="2" t="n">
        <v>106.887</v>
      </c>
      <c r="L26" s="2" t="s">
        <v>59</v>
      </c>
      <c r="M26" s="2" t="s">
        <v>60</v>
      </c>
      <c r="N26" s="2"/>
      <c r="O26" s="2" t="s">
        <v>212</v>
      </c>
      <c r="P26" s="2"/>
      <c r="Q26" s="2" t="s">
        <v>62</v>
      </c>
      <c r="R26" s="2" t="n">
        <v>0.8</v>
      </c>
      <c r="S26" s="2" t="s">
        <v>200</v>
      </c>
      <c r="T26" s="2" t="s">
        <v>201</v>
      </c>
      <c r="U26" s="2" t="s">
        <v>202</v>
      </c>
      <c r="V26" s="2" t="s">
        <v>203</v>
      </c>
      <c r="W26" s="2" t="s">
        <v>204</v>
      </c>
      <c r="X26" s="2" t="s">
        <v>68</v>
      </c>
    </row>
    <row r="27" customFormat="false" ht="15" hidden="false" customHeight="false" outlineLevel="0" collapsed="false">
      <c r="A27" s="2" t="n">
        <v>8</v>
      </c>
      <c r="B27" s="2" t="s">
        <v>51</v>
      </c>
      <c r="C27" s="2" t="s">
        <v>213</v>
      </c>
      <c r="D27" s="2" t="s">
        <v>53</v>
      </c>
      <c r="E27" s="2" t="s">
        <v>214</v>
      </c>
      <c r="F27" s="2"/>
      <c r="G27" s="2" t="s">
        <v>215</v>
      </c>
      <c r="H27" s="2" t="s">
        <v>198</v>
      </c>
      <c r="I27" s="2" t="s">
        <v>74</v>
      </c>
      <c r="J27" s="2" t="n">
        <v>-6.23</v>
      </c>
      <c r="K27" s="2" t="n">
        <v>106.915</v>
      </c>
      <c r="L27" s="2" t="s">
        <v>84</v>
      </c>
      <c r="M27" s="2" t="s">
        <v>60</v>
      </c>
      <c r="N27" s="2"/>
      <c r="O27" s="2" t="s">
        <v>216</v>
      </c>
      <c r="P27" s="2"/>
      <c r="Q27" s="2" t="s">
        <v>62</v>
      </c>
      <c r="R27" s="2" t="n">
        <v>0.8</v>
      </c>
      <c r="S27" s="2" t="s">
        <v>200</v>
      </c>
      <c r="T27" s="2" t="s">
        <v>201</v>
      </c>
      <c r="U27" s="2" t="s">
        <v>202</v>
      </c>
      <c r="V27" s="2" t="s">
        <v>203</v>
      </c>
      <c r="W27" s="2" t="s">
        <v>204</v>
      </c>
      <c r="X27" s="2" t="s">
        <v>68</v>
      </c>
    </row>
    <row r="28" customFormat="false" ht="15" hidden="false" customHeight="false" outlineLevel="0" collapsed="false">
      <c r="A28" s="2" t="n">
        <v>8</v>
      </c>
      <c r="B28" s="2" t="s">
        <v>51</v>
      </c>
      <c r="C28" s="2" t="s">
        <v>217</v>
      </c>
      <c r="D28" s="2" t="s">
        <v>134</v>
      </c>
      <c r="E28" s="2" t="s">
        <v>218</v>
      </c>
      <c r="F28" s="2" t="s">
        <v>219</v>
      </c>
      <c r="G28" s="2" t="s">
        <v>220</v>
      </c>
      <c r="H28" s="2" t="s">
        <v>198</v>
      </c>
      <c r="I28" s="2" t="s">
        <v>74</v>
      </c>
      <c r="J28" s="2" t="n">
        <v>-6.364</v>
      </c>
      <c r="K28" s="2" t="n">
        <v>106.883</v>
      </c>
      <c r="L28" s="2" t="s">
        <v>59</v>
      </c>
      <c r="M28" s="2" t="s">
        <v>60</v>
      </c>
      <c r="N28" s="2"/>
      <c r="O28" s="2" t="s">
        <v>221</v>
      </c>
      <c r="P28" s="2"/>
      <c r="Q28" s="2" t="s">
        <v>62</v>
      </c>
      <c r="R28" s="2" t="n">
        <v>0.8</v>
      </c>
      <c r="S28" s="2" t="s">
        <v>200</v>
      </c>
      <c r="T28" s="2" t="s">
        <v>201</v>
      </c>
      <c r="U28" s="2" t="s">
        <v>202</v>
      </c>
      <c r="V28" s="2" t="s">
        <v>203</v>
      </c>
      <c r="W28" s="2" t="s">
        <v>204</v>
      </c>
      <c r="X28" s="2" t="s">
        <v>68</v>
      </c>
    </row>
    <row r="29" customFormat="false" ht="15" hidden="false" customHeight="false" outlineLevel="0" collapsed="false">
      <c r="A29" s="2" t="n">
        <v>9</v>
      </c>
      <c r="B29" s="2" t="s">
        <v>51</v>
      </c>
      <c r="C29" s="2" t="s">
        <v>222</v>
      </c>
      <c r="D29" s="2" t="s">
        <v>53</v>
      </c>
      <c r="E29" s="2" t="s">
        <v>223</v>
      </c>
      <c r="F29" s="2"/>
      <c r="G29" s="2"/>
      <c r="H29" s="2" t="s">
        <v>224</v>
      </c>
      <c r="I29" s="2" t="s">
        <v>184</v>
      </c>
      <c r="J29" s="2" t="n">
        <v>-7.98</v>
      </c>
      <c r="K29" s="2" t="n">
        <v>112.63</v>
      </c>
      <c r="L29" s="2" t="s">
        <v>101</v>
      </c>
      <c r="M29" s="2" t="s">
        <v>60</v>
      </c>
      <c r="N29" s="2" t="s">
        <v>225</v>
      </c>
      <c r="O29" s="2" t="s">
        <v>226</v>
      </c>
      <c r="P29" s="2"/>
      <c r="Q29" s="2" t="s">
        <v>62</v>
      </c>
      <c r="R29" s="2" t="n">
        <v>0.9</v>
      </c>
      <c r="S29" s="2" t="s">
        <v>227</v>
      </c>
      <c r="T29" s="2" t="s">
        <v>228</v>
      </c>
      <c r="U29" s="2" t="s">
        <v>229</v>
      </c>
      <c r="V29" s="2" t="s">
        <v>230</v>
      </c>
      <c r="W29" s="2" t="s">
        <v>231</v>
      </c>
      <c r="X29" s="2" t="s">
        <v>68</v>
      </c>
    </row>
    <row r="30" customFormat="false" ht="15" hidden="false" customHeight="false" outlineLevel="0" collapsed="false">
      <c r="A30" s="2" t="n">
        <v>9</v>
      </c>
      <c r="B30" s="2" t="s">
        <v>51</v>
      </c>
      <c r="C30" s="2" t="s">
        <v>232</v>
      </c>
      <c r="D30" s="2" t="s">
        <v>53</v>
      </c>
      <c r="E30" s="2" t="s">
        <v>223</v>
      </c>
      <c r="F30" s="2"/>
      <c r="G30" s="2"/>
      <c r="H30" s="2" t="s">
        <v>224</v>
      </c>
      <c r="I30" s="2" t="s">
        <v>184</v>
      </c>
      <c r="J30" s="2" t="n">
        <v>-7.98</v>
      </c>
      <c r="K30" s="2" t="n">
        <v>112.63</v>
      </c>
      <c r="L30" s="2" t="s">
        <v>101</v>
      </c>
      <c r="M30" s="2" t="s">
        <v>60</v>
      </c>
      <c r="N30" s="2" t="s">
        <v>225</v>
      </c>
      <c r="O30" s="2" t="s">
        <v>233</v>
      </c>
      <c r="P30" s="2"/>
      <c r="Q30" s="2" t="s">
        <v>62</v>
      </c>
      <c r="R30" s="2" t="n">
        <v>0.85</v>
      </c>
      <c r="S30" s="2" t="s">
        <v>227</v>
      </c>
      <c r="T30" s="2" t="s">
        <v>228</v>
      </c>
      <c r="U30" s="2" t="s">
        <v>229</v>
      </c>
      <c r="V30" s="2" t="s">
        <v>230</v>
      </c>
      <c r="W30" s="2" t="s">
        <v>231</v>
      </c>
      <c r="X30" s="2" t="s">
        <v>68</v>
      </c>
    </row>
    <row r="31" customFormat="false" ht="15" hidden="false" customHeight="false" outlineLevel="0" collapsed="false">
      <c r="A31" s="2" t="n">
        <v>9</v>
      </c>
      <c r="B31" s="2" t="s">
        <v>51</v>
      </c>
      <c r="C31" s="2" t="s">
        <v>234</v>
      </c>
      <c r="D31" s="2" t="s">
        <v>53</v>
      </c>
      <c r="E31" s="2" t="s">
        <v>223</v>
      </c>
      <c r="F31" s="2"/>
      <c r="G31" s="2"/>
      <c r="H31" s="2" t="s">
        <v>224</v>
      </c>
      <c r="I31" s="2" t="s">
        <v>184</v>
      </c>
      <c r="J31" s="2" t="n">
        <v>-7.98</v>
      </c>
      <c r="K31" s="2" t="n">
        <v>112.63</v>
      </c>
      <c r="L31" s="2" t="s">
        <v>101</v>
      </c>
      <c r="M31" s="2" t="s">
        <v>60</v>
      </c>
      <c r="N31" s="2" t="s">
        <v>225</v>
      </c>
      <c r="O31" s="2" t="s">
        <v>235</v>
      </c>
      <c r="P31" s="2"/>
      <c r="Q31" s="2" t="s">
        <v>62</v>
      </c>
      <c r="R31" s="2" t="n">
        <v>0.8</v>
      </c>
      <c r="S31" s="2" t="s">
        <v>227</v>
      </c>
      <c r="T31" s="2" t="s">
        <v>228</v>
      </c>
      <c r="U31" s="2" t="s">
        <v>229</v>
      </c>
      <c r="V31" s="2" t="s">
        <v>230</v>
      </c>
      <c r="W31" s="2" t="s">
        <v>231</v>
      </c>
      <c r="X31" s="2" t="s">
        <v>68</v>
      </c>
    </row>
    <row r="32" customFormat="false" ht="15" hidden="false" customHeight="false" outlineLevel="0" collapsed="false">
      <c r="A32" s="2" t="n">
        <v>10</v>
      </c>
      <c r="B32" s="2" t="s">
        <v>51</v>
      </c>
      <c r="C32" s="2" t="s">
        <v>236</v>
      </c>
      <c r="D32" s="2" t="s">
        <v>53</v>
      </c>
      <c r="E32" s="2" t="s">
        <v>237</v>
      </c>
      <c r="F32" s="2"/>
      <c r="G32" s="2"/>
      <c r="H32" s="2"/>
      <c r="I32" s="2" t="s">
        <v>238</v>
      </c>
      <c r="J32" s="2" t="n">
        <v>-6.405</v>
      </c>
      <c r="K32" s="2" t="n">
        <v>106.064</v>
      </c>
      <c r="L32" s="2" t="s">
        <v>239</v>
      </c>
      <c r="M32" s="2" t="s">
        <v>60</v>
      </c>
      <c r="N32" s="2" t="s">
        <v>240</v>
      </c>
      <c r="O32" s="2" t="s">
        <v>241</v>
      </c>
      <c r="P32" s="2"/>
      <c r="Q32" s="2" t="s">
        <v>62</v>
      </c>
      <c r="R32" s="2" t="n">
        <v>0.8</v>
      </c>
      <c r="S32" s="2" t="s">
        <v>242</v>
      </c>
      <c r="T32" s="2" t="s">
        <v>243</v>
      </c>
      <c r="U32" s="2" t="s">
        <v>244</v>
      </c>
      <c r="V32" s="2" t="s">
        <v>245</v>
      </c>
      <c r="W32" s="2" t="s">
        <v>246</v>
      </c>
      <c r="X32" s="2" t="s">
        <v>68</v>
      </c>
    </row>
    <row r="33" customFormat="false" ht="15" hidden="false" customHeight="false" outlineLevel="0" collapsed="false">
      <c r="A33" s="2" t="n">
        <v>10</v>
      </c>
      <c r="B33" s="2" t="s">
        <v>51</v>
      </c>
      <c r="C33" s="2" t="s">
        <v>247</v>
      </c>
      <c r="D33" s="2" t="s">
        <v>53</v>
      </c>
      <c r="E33" s="2" t="s">
        <v>248</v>
      </c>
      <c r="F33" s="2" t="s">
        <v>249</v>
      </c>
      <c r="G33" s="2" t="s">
        <v>250</v>
      </c>
      <c r="H33" s="2" t="s">
        <v>251</v>
      </c>
      <c r="I33" s="2" t="s">
        <v>238</v>
      </c>
      <c r="J33" s="2" t="n">
        <v>-6.302</v>
      </c>
      <c r="K33" s="2" t="n">
        <v>106.68</v>
      </c>
      <c r="L33" s="2" t="s">
        <v>59</v>
      </c>
      <c r="M33" s="2" t="s">
        <v>60</v>
      </c>
      <c r="N33" s="2" t="s">
        <v>252</v>
      </c>
      <c r="O33" s="2" t="s">
        <v>253</v>
      </c>
      <c r="P33" s="2"/>
      <c r="Q33" s="2" t="s">
        <v>62</v>
      </c>
      <c r="R33" s="2" t="n">
        <v>0.8</v>
      </c>
      <c r="S33" s="2" t="s">
        <v>242</v>
      </c>
      <c r="T33" s="2" t="s">
        <v>243</v>
      </c>
      <c r="U33" s="2" t="s">
        <v>244</v>
      </c>
      <c r="V33" s="2" t="s">
        <v>245</v>
      </c>
      <c r="W33" s="2" t="s">
        <v>246</v>
      </c>
      <c r="X33" s="2" t="s">
        <v>68</v>
      </c>
    </row>
    <row r="34" customFormat="false" ht="15" hidden="false" customHeight="false" outlineLevel="0" collapsed="false">
      <c r="A34" s="2" t="n">
        <v>11</v>
      </c>
      <c r="B34" s="2" t="s">
        <v>51</v>
      </c>
      <c r="C34" s="2" t="s">
        <v>254</v>
      </c>
      <c r="D34" s="2" t="s">
        <v>53</v>
      </c>
      <c r="E34" s="2" t="s">
        <v>255</v>
      </c>
      <c r="F34" s="2" t="s">
        <v>256</v>
      </c>
      <c r="G34" s="2" t="s">
        <v>257</v>
      </c>
      <c r="H34" s="2" t="s">
        <v>258</v>
      </c>
      <c r="I34" s="2" t="s">
        <v>184</v>
      </c>
      <c r="J34" s="2" t="n">
        <v>-7.65</v>
      </c>
      <c r="K34" s="2" t="n">
        <v>111.33</v>
      </c>
      <c r="L34" s="2" t="s">
        <v>59</v>
      </c>
      <c r="M34" s="2" t="s">
        <v>60</v>
      </c>
      <c r="N34" s="2"/>
      <c r="O34" s="2" t="s">
        <v>259</v>
      </c>
      <c r="P34" s="2"/>
      <c r="Q34" s="2" t="s">
        <v>62</v>
      </c>
      <c r="R34" s="2" t="n">
        <v>0.9</v>
      </c>
      <c r="S34" s="2" t="s">
        <v>260</v>
      </c>
      <c r="T34" s="2" t="s">
        <v>95</v>
      </c>
      <c r="U34" s="2" t="s">
        <v>261</v>
      </c>
      <c r="V34" s="2" t="s">
        <v>97</v>
      </c>
      <c r="W34" s="2" t="s">
        <v>262</v>
      </c>
      <c r="X34" s="2" t="s">
        <v>68</v>
      </c>
    </row>
    <row r="35" customFormat="false" ht="15" hidden="false" customHeight="false" outlineLevel="0" collapsed="false">
      <c r="A35" s="2" t="n">
        <v>12</v>
      </c>
      <c r="B35" s="2" t="s">
        <v>51</v>
      </c>
      <c r="C35" s="2" t="s">
        <v>263</v>
      </c>
      <c r="D35" s="2" t="s">
        <v>53</v>
      </c>
      <c r="E35" s="2" t="s">
        <v>264</v>
      </c>
      <c r="F35" s="2" t="s">
        <v>265</v>
      </c>
      <c r="G35" s="2" t="s">
        <v>266</v>
      </c>
      <c r="H35" s="2" t="s">
        <v>267</v>
      </c>
      <c r="I35" s="2" t="s">
        <v>58</v>
      </c>
      <c r="J35" s="2" t="n">
        <v>-7.213</v>
      </c>
      <c r="K35" s="2" t="n">
        <v>107.905</v>
      </c>
      <c r="L35" s="2" t="s">
        <v>59</v>
      </c>
      <c r="M35" s="2" t="s">
        <v>60</v>
      </c>
      <c r="N35" s="2"/>
      <c r="O35" s="2" t="s">
        <v>268</v>
      </c>
      <c r="P35" s="2"/>
      <c r="Q35" s="2" t="s">
        <v>62</v>
      </c>
      <c r="R35" s="2" t="n">
        <v>0.9</v>
      </c>
      <c r="S35" s="2" t="s">
        <v>269</v>
      </c>
      <c r="T35" s="2" t="s">
        <v>64</v>
      </c>
      <c r="U35" s="2" t="s">
        <v>270</v>
      </c>
      <c r="V35" s="2" t="s">
        <v>66</v>
      </c>
      <c r="W35" s="2" t="s">
        <v>271</v>
      </c>
      <c r="X35" s="2" t="s">
        <v>68</v>
      </c>
    </row>
    <row r="36" customFormat="false" ht="15" hidden="false" customHeight="false" outlineLevel="0" collapsed="false">
      <c r="A36" s="2" t="n">
        <v>12</v>
      </c>
      <c r="B36" s="2" t="s">
        <v>51</v>
      </c>
      <c r="C36" s="2" t="s">
        <v>272</v>
      </c>
      <c r="D36" s="2" t="s">
        <v>53</v>
      </c>
      <c r="E36" s="2" t="s">
        <v>273</v>
      </c>
      <c r="F36" s="2"/>
      <c r="G36" s="2" t="s">
        <v>266</v>
      </c>
      <c r="H36" s="2" t="s">
        <v>267</v>
      </c>
      <c r="I36" s="2" t="s">
        <v>58</v>
      </c>
      <c r="J36" s="2" t="n">
        <v>-7.215</v>
      </c>
      <c r="K36" s="2" t="n">
        <v>107.9</v>
      </c>
      <c r="L36" s="2" t="s">
        <v>84</v>
      </c>
      <c r="M36" s="2" t="s">
        <v>60</v>
      </c>
      <c r="N36" s="2"/>
      <c r="O36" s="2" t="s">
        <v>274</v>
      </c>
      <c r="P36" s="2"/>
      <c r="Q36" s="2" t="s">
        <v>62</v>
      </c>
      <c r="R36" s="2" t="n">
        <v>0.85</v>
      </c>
      <c r="S36" s="2" t="s">
        <v>269</v>
      </c>
      <c r="T36" s="2" t="s">
        <v>64</v>
      </c>
      <c r="U36" s="2" t="s">
        <v>270</v>
      </c>
      <c r="V36" s="2" t="s">
        <v>66</v>
      </c>
      <c r="W36" s="2" t="s">
        <v>271</v>
      </c>
      <c r="X36" s="2" t="s">
        <v>68</v>
      </c>
    </row>
    <row r="37" customFormat="false" ht="15" hidden="false" customHeight="false" outlineLevel="0" collapsed="false">
      <c r="A37" s="2" t="n">
        <v>13</v>
      </c>
      <c r="B37" s="2" t="s">
        <v>51</v>
      </c>
      <c r="C37" s="2" t="s">
        <v>275</v>
      </c>
      <c r="D37" s="2" t="s">
        <v>53</v>
      </c>
      <c r="E37" s="2" t="s">
        <v>276</v>
      </c>
      <c r="F37" s="2" t="s">
        <v>277</v>
      </c>
      <c r="G37" s="2" t="s">
        <v>278</v>
      </c>
      <c r="H37" s="2" t="s">
        <v>279</v>
      </c>
      <c r="I37" s="2" t="s">
        <v>58</v>
      </c>
      <c r="J37" s="2" t="n">
        <v>-6.37</v>
      </c>
      <c r="K37" s="2" t="n">
        <v>106.83</v>
      </c>
      <c r="L37" s="2" t="s">
        <v>59</v>
      </c>
      <c r="M37" s="2" t="s">
        <v>60</v>
      </c>
      <c r="N37" s="2"/>
      <c r="O37" s="2" t="s">
        <v>280</v>
      </c>
      <c r="P37" s="2"/>
      <c r="Q37" s="2" t="s">
        <v>62</v>
      </c>
      <c r="R37" s="2" t="n">
        <v>0.9</v>
      </c>
      <c r="S37" s="2" t="s">
        <v>281</v>
      </c>
      <c r="T37" s="2" t="s">
        <v>156</v>
      </c>
      <c r="U37" s="2" t="s">
        <v>282</v>
      </c>
      <c r="V37" s="2" t="s">
        <v>158</v>
      </c>
      <c r="W37" s="2" t="s">
        <v>283</v>
      </c>
      <c r="X37" s="2" t="s">
        <v>68</v>
      </c>
    </row>
    <row r="38" customFormat="false" ht="15" hidden="false" customHeight="false" outlineLevel="0" collapsed="false">
      <c r="A38" s="2" t="n">
        <v>13</v>
      </c>
      <c r="B38" s="2" t="s">
        <v>51</v>
      </c>
      <c r="C38" s="2" t="s">
        <v>284</v>
      </c>
      <c r="D38" s="2" t="s">
        <v>53</v>
      </c>
      <c r="E38" s="2" t="s">
        <v>285</v>
      </c>
      <c r="F38" s="2"/>
      <c r="G38" s="2" t="s">
        <v>286</v>
      </c>
      <c r="H38" s="2" t="s">
        <v>279</v>
      </c>
      <c r="I38" s="2" t="s">
        <v>58</v>
      </c>
      <c r="J38" s="2" t="n">
        <v>-6.4</v>
      </c>
      <c r="K38" s="2" t="n">
        <v>106.765</v>
      </c>
      <c r="L38" s="2" t="s">
        <v>84</v>
      </c>
      <c r="M38" s="2" t="s">
        <v>60</v>
      </c>
      <c r="N38" s="2" t="s">
        <v>287</v>
      </c>
      <c r="O38" s="2" t="s">
        <v>288</v>
      </c>
      <c r="P38" s="2"/>
      <c r="Q38" s="2" t="s">
        <v>62</v>
      </c>
      <c r="R38" s="2" t="n">
        <v>0.85</v>
      </c>
      <c r="S38" s="2" t="s">
        <v>281</v>
      </c>
      <c r="T38" s="2" t="s">
        <v>156</v>
      </c>
      <c r="U38" s="2" t="s">
        <v>282</v>
      </c>
      <c r="V38" s="2" t="s">
        <v>158</v>
      </c>
      <c r="W38" s="2" t="s">
        <v>283</v>
      </c>
      <c r="X38" s="2" t="s">
        <v>68</v>
      </c>
    </row>
    <row r="39" customFormat="false" ht="15" hidden="false" customHeight="false" outlineLevel="0" collapsed="false">
      <c r="A39" s="2" t="n">
        <v>13</v>
      </c>
      <c r="B39" s="2" t="s">
        <v>51</v>
      </c>
      <c r="C39" s="2" t="s">
        <v>289</v>
      </c>
      <c r="D39" s="2" t="s">
        <v>53</v>
      </c>
      <c r="E39" s="2" t="s">
        <v>290</v>
      </c>
      <c r="F39" s="2"/>
      <c r="G39" s="2"/>
      <c r="H39" s="2" t="s">
        <v>279</v>
      </c>
      <c r="I39" s="2" t="s">
        <v>58</v>
      </c>
      <c r="J39" s="2" t="n">
        <v>-6.402</v>
      </c>
      <c r="K39" s="2" t="n">
        <v>106.795</v>
      </c>
      <c r="L39" s="2" t="s">
        <v>101</v>
      </c>
      <c r="M39" s="2" t="s">
        <v>60</v>
      </c>
      <c r="N39" s="2"/>
      <c r="O39" s="2" t="s">
        <v>291</v>
      </c>
      <c r="P39" s="2"/>
      <c r="Q39" s="2" t="s">
        <v>62</v>
      </c>
      <c r="R39" s="2" t="n">
        <v>0.8</v>
      </c>
      <c r="S39" s="2" t="s">
        <v>281</v>
      </c>
      <c r="T39" s="2" t="s">
        <v>156</v>
      </c>
      <c r="U39" s="2" t="s">
        <v>282</v>
      </c>
      <c r="V39" s="2" t="s">
        <v>158</v>
      </c>
      <c r="W39" s="2" t="s">
        <v>283</v>
      </c>
      <c r="X39" s="2" t="s">
        <v>68</v>
      </c>
    </row>
    <row r="40" customFormat="false" ht="15" hidden="false" customHeight="false" outlineLevel="0" collapsed="false">
      <c r="A40" s="2" t="n">
        <v>14</v>
      </c>
      <c r="B40" s="2" t="s">
        <v>51</v>
      </c>
      <c r="C40" s="2" t="s">
        <v>292</v>
      </c>
      <c r="D40" s="2" t="s">
        <v>53</v>
      </c>
      <c r="E40" s="2" t="s">
        <v>293</v>
      </c>
      <c r="F40" s="2" t="s">
        <v>294</v>
      </c>
      <c r="G40" s="2" t="s">
        <v>295</v>
      </c>
      <c r="H40" s="2" t="s">
        <v>296</v>
      </c>
      <c r="I40" s="2" t="s">
        <v>58</v>
      </c>
      <c r="J40" s="2" t="n">
        <v>-6.504</v>
      </c>
      <c r="K40" s="2" t="n">
        <v>106.745</v>
      </c>
      <c r="L40" s="2" t="s">
        <v>84</v>
      </c>
      <c r="M40" s="2" t="s">
        <v>60</v>
      </c>
      <c r="N40" s="2"/>
      <c r="O40" s="2" t="s">
        <v>297</v>
      </c>
      <c r="P40" s="2" t="s">
        <v>298</v>
      </c>
      <c r="Q40" s="2" t="s">
        <v>62</v>
      </c>
      <c r="R40" s="2" t="n">
        <v>0.85</v>
      </c>
      <c r="S40" s="2" t="s">
        <v>299</v>
      </c>
      <c r="T40" s="2" t="s">
        <v>112</v>
      </c>
      <c r="U40" s="2" t="s">
        <v>300</v>
      </c>
      <c r="V40" s="2" t="s">
        <v>114</v>
      </c>
      <c r="W40" s="2" t="s">
        <v>301</v>
      </c>
      <c r="X40" s="2" t="s">
        <v>68</v>
      </c>
    </row>
    <row r="41" customFormat="false" ht="15" hidden="false" customHeight="false" outlineLevel="0" collapsed="false">
      <c r="A41" s="2" t="n">
        <v>14</v>
      </c>
      <c r="B41" s="2" t="s">
        <v>51</v>
      </c>
      <c r="C41" s="2" t="s">
        <v>302</v>
      </c>
      <c r="D41" s="2" t="s">
        <v>134</v>
      </c>
      <c r="E41" s="2" t="s">
        <v>303</v>
      </c>
      <c r="F41" s="2" t="s">
        <v>304</v>
      </c>
      <c r="G41" s="2" t="s">
        <v>305</v>
      </c>
      <c r="H41" s="2" t="s">
        <v>296</v>
      </c>
      <c r="I41" s="2" t="s">
        <v>58</v>
      </c>
      <c r="J41" s="2" t="n">
        <v>-6.66</v>
      </c>
      <c r="K41" s="2" t="n">
        <v>106.9</v>
      </c>
      <c r="L41" s="2" t="s">
        <v>84</v>
      </c>
      <c r="M41" s="2" t="s">
        <v>60</v>
      </c>
      <c r="N41" s="2"/>
      <c r="O41" s="2" t="s">
        <v>306</v>
      </c>
      <c r="P41" s="2" t="s">
        <v>298</v>
      </c>
      <c r="Q41" s="2" t="s">
        <v>62</v>
      </c>
      <c r="R41" s="2" t="n">
        <v>0.85</v>
      </c>
      <c r="S41" s="2" t="s">
        <v>299</v>
      </c>
      <c r="T41" s="2" t="s">
        <v>112</v>
      </c>
      <c r="U41" s="2" t="s">
        <v>300</v>
      </c>
      <c r="V41" s="2" t="s">
        <v>114</v>
      </c>
      <c r="W41" s="2" t="s">
        <v>301</v>
      </c>
      <c r="X41" s="2" t="s">
        <v>68</v>
      </c>
    </row>
    <row r="42" customFormat="false" ht="15" hidden="false" customHeight="false" outlineLevel="0" collapsed="false">
      <c r="A42" s="2" t="n">
        <v>14</v>
      </c>
      <c r="B42" s="2" t="s">
        <v>51</v>
      </c>
      <c r="C42" s="2" t="s">
        <v>307</v>
      </c>
      <c r="D42" s="2" t="s">
        <v>53</v>
      </c>
      <c r="E42" s="2" t="s">
        <v>308</v>
      </c>
      <c r="F42" s="2"/>
      <c r="G42" s="2" t="s">
        <v>309</v>
      </c>
      <c r="H42" s="2" t="s">
        <v>57</v>
      </c>
      <c r="I42" s="2" t="s">
        <v>58</v>
      </c>
      <c r="J42" s="2" t="n">
        <v>-6.63</v>
      </c>
      <c r="K42" s="2" t="n">
        <v>106.81</v>
      </c>
      <c r="L42" s="2" t="s">
        <v>84</v>
      </c>
      <c r="M42" s="2" t="s">
        <v>60</v>
      </c>
      <c r="N42" s="2"/>
      <c r="O42" s="2" t="s">
        <v>310</v>
      </c>
      <c r="P42" s="2" t="s">
        <v>298</v>
      </c>
      <c r="Q42" s="2" t="s">
        <v>62</v>
      </c>
      <c r="R42" s="2" t="n">
        <v>0.8</v>
      </c>
      <c r="S42" s="2" t="s">
        <v>299</v>
      </c>
      <c r="T42" s="2" t="s">
        <v>112</v>
      </c>
      <c r="U42" s="2" t="s">
        <v>300</v>
      </c>
      <c r="V42" s="2" t="s">
        <v>114</v>
      </c>
      <c r="W42" s="2" t="s">
        <v>301</v>
      </c>
      <c r="X42" s="2" t="s">
        <v>68</v>
      </c>
    </row>
    <row r="43" customFormat="false" ht="15" hidden="false" customHeight="false" outlineLevel="0" collapsed="false">
      <c r="A43" s="2" t="n">
        <v>14</v>
      </c>
      <c r="B43" s="2" t="s">
        <v>51</v>
      </c>
      <c r="C43" s="2" t="s">
        <v>311</v>
      </c>
      <c r="D43" s="2" t="s">
        <v>134</v>
      </c>
      <c r="E43" s="2" t="s">
        <v>308</v>
      </c>
      <c r="F43" s="2"/>
      <c r="G43" s="2" t="s">
        <v>309</v>
      </c>
      <c r="H43" s="2" t="s">
        <v>57</v>
      </c>
      <c r="I43" s="2" t="s">
        <v>58</v>
      </c>
      <c r="J43" s="2" t="n">
        <v>-6.63</v>
      </c>
      <c r="K43" s="2" t="n">
        <v>106.81</v>
      </c>
      <c r="L43" s="2" t="s">
        <v>84</v>
      </c>
      <c r="M43" s="2" t="s">
        <v>60</v>
      </c>
      <c r="N43" s="2"/>
      <c r="O43" s="2" t="s">
        <v>312</v>
      </c>
      <c r="P43" s="2"/>
      <c r="Q43" s="2" t="s">
        <v>62</v>
      </c>
      <c r="R43" s="2" t="n">
        <v>0.5</v>
      </c>
      <c r="S43" s="2" t="s">
        <v>299</v>
      </c>
      <c r="T43" s="2" t="s">
        <v>112</v>
      </c>
      <c r="U43" s="2" t="s">
        <v>300</v>
      </c>
      <c r="V43" s="2" t="s">
        <v>114</v>
      </c>
      <c r="W43" s="2" t="s">
        <v>301</v>
      </c>
      <c r="X43" s="2" t="s">
        <v>68</v>
      </c>
    </row>
    <row r="44" customFormat="false" ht="15" hidden="false" customHeight="false" outlineLevel="0" collapsed="false">
      <c r="A44" s="2" t="n">
        <v>14</v>
      </c>
      <c r="B44" s="2" t="s">
        <v>51</v>
      </c>
      <c r="C44" s="2" t="s">
        <v>313</v>
      </c>
      <c r="D44" s="2" t="s">
        <v>134</v>
      </c>
      <c r="E44" s="2" t="s">
        <v>308</v>
      </c>
      <c r="F44" s="2"/>
      <c r="G44" s="2" t="s">
        <v>309</v>
      </c>
      <c r="H44" s="2" t="s">
        <v>57</v>
      </c>
      <c r="I44" s="2" t="s">
        <v>58</v>
      </c>
      <c r="J44" s="2" t="n">
        <v>-6.63</v>
      </c>
      <c r="K44" s="2" t="n">
        <v>106.81</v>
      </c>
      <c r="L44" s="2" t="s">
        <v>84</v>
      </c>
      <c r="M44" s="2" t="s">
        <v>60</v>
      </c>
      <c r="N44" s="2"/>
      <c r="O44" s="2" t="s">
        <v>312</v>
      </c>
      <c r="P44" s="2"/>
      <c r="Q44" s="2" t="s">
        <v>62</v>
      </c>
      <c r="R44" s="2" t="n">
        <v>0.5</v>
      </c>
      <c r="S44" s="2" t="s">
        <v>299</v>
      </c>
      <c r="T44" s="2" t="s">
        <v>112</v>
      </c>
      <c r="U44" s="2" t="s">
        <v>300</v>
      </c>
      <c r="V44" s="2" t="s">
        <v>114</v>
      </c>
      <c r="W44" s="2" t="s">
        <v>301</v>
      </c>
      <c r="X44" s="2" t="s">
        <v>68</v>
      </c>
    </row>
    <row r="45" customFormat="false" ht="15" hidden="false" customHeight="false" outlineLevel="0" collapsed="false">
      <c r="A45" s="2" t="n">
        <v>15</v>
      </c>
      <c r="B45" s="2" t="s">
        <v>51</v>
      </c>
      <c r="C45" s="2" t="s">
        <v>314</v>
      </c>
      <c r="D45" s="2" t="s">
        <v>53</v>
      </c>
      <c r="E45" s="2" t="s">
        <v>315</v>
      </c>
      <c r="F45" s="2"/>
      <c r="G45" s="2" t="s">
        <v>316</v>
      </c>
      <c r="H45" s="2" t="s">
        <v>317</v>
      </c>
      <c r="I45" s="2" t="s">
        <v>74</v>
      </c>
      <c r="J45" s="2" t="n">
        <v>-6.16</v>
      </c>
      <c r="K45" s="2" t="n">
        <v>106.905</v>
      </c>
      <c r="L45" s="2" t="s">
        <v>84</v>
      </c>
      <c r="M45" s="2" t="s">
        <v>60</v>
      </c>
      <c r="N45" s="2"/>
      <c r="O45" s="2" t="s">
        <v>318</v>
      </c>
      <c r="P45" s="2"/>
      <c r="Q45" s="2" t="s">
        <v>62</v>
      </c>
      <c r="R45" s="2" t="n">
        <v>0.6</v>
      </c>
      <c r="S45" s="2" t="s">
        <v>319</v>
      </c>
      <c r="T45" s="2" t="s">
        <v>176</v>
      </c>
      <c r="U45" s="2" t="s">
        <v>320</v>
      </c>
      <c r="V45" s="2" t="s">
        <v>178</v>
      </c>
      <c r="W45" s="2" t="s">
        <v>321</v>
      </c>
      <c r="X45" s="2" t="s">
        <v>68</v>
      </c>
    </row>
    <row r="46" customFormat="false" ht="15" hidden="false" customHeight="false" outlineLevel="0" collapsed="false">
      <c r="A46" s="2" t="n">
        <v>15</v>
      </c>
      <c r="B46" s="2" t="s">
        <v>51</v>
      </c>
      <c r="C46" s="2" t="s">
        <v>322</v>
      </c>
      <c r="D46" s="2" t="s">
        <v>53</v>
      </c>
      <c r="E46" s="2" t="s">
        <v>315</v>
      </c>
      <c r="F46" s="2"/>
      <c r="G46" s="2" t="s">
        <v>316</v>
      </c>
      <c r="H46" s="2" t="s">
        <v>317</v>
      </c>
      <c r="I46" s="2" t="s">
        <v>74</v>
      </c>
      <c r="J46" s="2" t="n">
        <v>-6.16</v>
      </c>
      <c r="K46" s="2" t="n">
        <v>106.905</v>
      </c>
      <c r="L46" s="2" t="s">
        <v>84</v>
      </c>
      <c r="M46" s="2" t="s">
        <v>60</v>
      </c>
      <c r="N46" s="2"/>
      <c r="O46" s="2" t="s">
        <v>318</v>
      </c>
      <c r="P46" s="2"/>
      <c r="Q46" s="2" t="s">
        <v>62</v>
      </c>
      <c r="R46" s="2" t="n">
        <v>0.55</v>
      </c>
      <c r="S46" s="2" t="s">
        <v>319</v>
      </c>
      <c r="T46" s="2" t="s">
        <v>176</v>
      </c>
      <c r="U46" s="2" t="s">
        <v>320</v>
      </c>
      <c r="V46" s="2" t="s">
        <v>178</v>
      </c>
      <c r="W46" s="2" t="s">
        <v>321</v>
      </c>
      <c r="X46" s="2" t="s">
        <v>68</v>
      </c>
    </row>
    <row r="47" customFormat="false" ht="15" hidden="false" customHeight="false" outlineLevel="0" collapsed="false">
      <c r="A47" s="2" t="n">
        <v>16</v>
      </c>
      <c r="B47" s="2" t="s">
        <v>51</v>
      </c>
      <c r="C47" s="2" t="s">
        <v>323</v>
      </c>
      <c r="D47" s="2" t="s">
        <v>53</v>
      </c>
      <c r="E47" s="2" t="s">
        <v>324</v>
      </c>
      <c r="F47" s="2"/>
      <c r="G47" s="2"/>
      <c r="H47" s="2" t="s">
        <v>325</v>
      </c>
      <c r="I47" s="2" t="s">
        <v>326</v>
      </c>
      <c r="J47" s="2" t="n">
        <v>-2.976</v>
      </c>
      <c r="K47" s="2" t="n">
        <v>104.775</v>
      </c>
      <c r="L47" s="2" t="s">
        <v>101</v>
      </c>
      <c r="M47" s="2" t="s">
        <v>60</v>
      </c>
      <c r="N47" s="2" t="s">
        <v>327</v>
      </c>
      <c r="O47" s="2" t="s">
        <v>328</v>
      </c>
      <c r="P47" s="2"/>
      <c r="Q47" s="2" t="s">
        <v>62</v>
      </c>
      <c r="R47" s="2" t="n">
        <v>0.85</v>
      </c>
      <c r="S47" s="2" t="s">
        <v>329</v>
      </c>
      <c r="T47" s="2" t="s">
        <v>243</v>
      </c>
      <c r="U47" s="2" t="s">
        <v>330</v>
      </c>
      <c r="V47" s="2" t="s">
        <v>245</v>
      </c>
      <c r="W47" s="2" t="s">
        <v>331</v>
      </c>
      <c r="X47" s="2" t="s">
        <v>68</v>
      </c>
    </row>
    <row r="48" customFormat="false" ht="15" hidden="false" customHeight="false" outlineLevel="0" collapsed="false">
      <c r="A48" s="2" t="n">
        <v>16</v>
      </c>
      <c r="B48" s="2" t="s">
        <v>51</v>
      </c>
      <c r="C48" s="2" t="s">
        <v>332</v>
      </c>
      <c r="D48" s="2" t="s">
        <v>53</v>
      </c>
      <c r="E48" s="2" t="s">
        <v>333</v>
      </c>
      <c r="F48" s="2"/>
      <c r="G48" s="2" t="s">
        <v>334</v>
      </c>
      <c r="H48" s="2" t="s">
        <v>325</v>
      </c>
      <c r="I48" s="2" t="s">
        <v>326</v>
      </c>
      <c r="J48" s="2" t="n">
        <v>-2.979</v>
      </c>
      <c r="K48" s="2" t="n">
        <v>104.755</v>
      </c>
      <c r="L48" s="2" t="s">
        <v>124</v>
      </c>
      <c r="M48" s="2" t="s">
        <v>60</v>
      </c>
      <c r="N48" s="2"/>
      <c r="O48" s="2" t="s">
        <v>335</v>
      </c>
      <c r="P48" s="2"/>
      <c r="Q48" s="2" t="s">
        <v>62</v>
      </c>
      <c r="R48" s="2" t="n">
        <v>0.8</v>
      </c>
      <c r="S48" s="2" t="s">
        <v>329</v>
      </c>
      <c r="T48" s="2" t="s">
        <v>243</v>
      </c>
      <c r="U48" s="2" t="s">
        <v>330</v>
      </c>
      <c r="V48" s="2" t="s">
        <v>245</v>
      </c>
      <c r="W48" s="2" t="s">
        <v>331</v>
      </c>
      <c r="X48" s="2" t="s">
        <v>68</v>
      </c>
    </row>
    <row r="49" customFormat="false" ht="15" hidden="false" customHeight="false" outlineLevel="0" collapsed="false">
      <c r="A49" s="2" t="n">
        <v>17</v>
      </c>
      <c r="B49" s="2" t="s">
        <v>51</v>
      </c>
      <c r="C49" s="2" t="s">
        <v>336</v>
      </c>
      <c r="D49" s="2" t="s">
        <v>53</v>
      </c>
      <c r="E49" s="2" t="s">
        <v>337</v>
      </c>
      <c r="F49" s="2" t="s">
        <v>338</v>
      </c>
      <c r="G49" s="2" t="s">
        <v>339</v>
      </c>
      <c r="H49" s="2" t="s">
        <v>107</v>
      </c>
      <c r="I49" s="2" t="s">
        <v>58</v>
      </c>
      <c r="J49" s="2" t="n">
        <v>-6.883</v>
      </c>
      <c r="K49" s="2" t="n">
        <v>107.59</v>
      </c>
      <c r="L49" s="2" t="s">
        <v>59</v>
      </c>
      <c r="M49" s="2" t="s">
        <v>340</v>
      </c>
      <c r="N49" s="2"/>
      <c r="O49" s="2" t="s">
        <v>341</v>
      </c>
      <c r="P49" s="2" t="s">
        <v>109</v>
      </c>
      <c r="Q49" s="2" t="s">
        <v>110</v>
      </c>
      <c r="R49" s="2" t="n">
        <v>0.9</v>
      </c>
      <c r="S49" s="2" t="s">
        <v>342</v>
      </c>
      <c r="T49" s="2" t="s">
        <v>156</v>
      </c>
      <c r="U49" s="2" t="s">
        <v>343</v>
      </c>
      <c r="V49" s="2" t="s">
        <v>158</v>
      </c>
      <c r="W49" s="2" t="s">
        <v>344</v>
      </c>
      <c r="X49" s="2" t="s">
        <v>68</v>
      </c>
    </row>
    <row r="50" customFormat="false" ht="15" hidden="false" customHeight="false" outlineLevel="0" collapsed="false">
      <c r="A50" s="2" t="n">
        <v>17</v>
      </c>
      <c r="B50" s="2" t="s">
        <v>51</v>
      </c>
      <c r="C50" s="2" t="s">
        <v>345</v>
      </c>
      <c r="D50" s="2" t="s">
        <v>53</v>
      </c>
      <c r="E50" s="2" t="s">
        <v>346</v>
      </c>
      <c r="F50" s="2" t="s">
        <v>347</v>
      </c>
      <c r="G50" s="2" t="s">
        <v>348</v>
      </c>
      <c r="H50" s="2" t="s">
        <v>107</v>
      </c>
      <c r="I50" s="2" t="s">
        <v>58</v>
      </c>
      <c r="J50" s="2" t="n">
        <v>-6.903</v>
      </c>
      <c r="K50" s="2" t="n">
        <v>107.625</v>
      </c>
      <c r="L50" s="2" t="s">
        <v>59</v>
      </c>
      <c r="M50" s="2" t="s">
        <v>60</v>
      </c>
      <c r="N50" s="2"/>
      <c r="O50" s="2" t="s">
        <v>349</v>
      </c>
      <c r="P50" s="2"/>
      <c r="Q50" s="2" t="s">
        <v>110</v>
      </c>
      <c r="R50" s="2" t="n">
        <v>0.85</v>
      </c>
      <c r="S50" s="2" t="s">
        <v>342</v>
      </c>
      <c r="T50" s="2" t="s">
        <v>156</v>
      </c>
      <c r="U50" s="2" t="s">
        <v>343</v>
      </c>
      <c r="V50" s="2" t="s">
        <v>158</v>
      </c>
      <c r="W50" s="2" t="s">
        <v>344</v>
      </c>
      <c r="X50" s="2" t="s">
        <v>68</v>
      </c>
    </row>
    <row r="51" customFormat="false" ht="15" hidden="false" customHeight="false" outlineLevel="0" collapsed="false">
      <c r="A51" s="2" t="n">
        <v>17</v>
      </c>
      <c r="B51" s="2" t="s">
        <v>51</v>
      </c>
      <c r="C51" s="2" t="s">
        <v>350</v>
      </c>
      <c r="D51" s="2" t="s">
        <v>351</v>
      </c>
      <c r="E51" s="2" t="s">
        <v>352</v>
      </c>
      <c r="F51" s="2" t="s">
        <v>347</v>
      </c>
      <c r="G51" s="2" t="s">
        <v>348</v>
      </c>
      <c r="H51" s="2" t="s">
        <v>107</v>
      </c>
      <c r="I51" s="2" t="s">
        <v>58</v>
      </c>
      <c r="J51" s="2" t="n">
        <v>-6.903</v>
      </c>
      <c r="K51" s="2" t="n">
        <v>107.625</v>
      </c>
      <c r="L51" s="2" t="s">
        <v>59</v>
      </c>
      <c r="M51" s="2" t="s">
        <v>60</v>
      </c>
      <c r="N51" s="2"/>
      <c r="O51" s="2" t="s">
        <v>353</v>
      </c>
      <c r="P51" s="2"/>
      <c r="Q51" s="2" t="s">
        <v>110</v>
      </c>
      <c r="R51" s="2" t="n">
        <v>0.8</v>
      </c>
      <c r="S51" s="2" t="s">
        <v>342</v>
      </c>
      <c r="T51" s="2" t="s">
        <v>156</v>
      </c>
      <c r="U51" s="2" t="s">
        <v>343</v>
      </c>
      <c r="V51" s="2" t="s">
        <v>158</v>
      </c>
      <c r="W51" s="2" t="s">
        <v>344</v>
      </c>
      <c r="X51" s="2" t="s">
        <v>68</v>
      </c>
    </row>
    <row r="52" customFormat="false" ht="15" hidden="false" customHeight="false" outlineLevel="0" collapsed="false">
      <c r="A52" s="2" t="n">
        <v>18</v>
      </c>
      <c r="B52" s="2" t="s">
        <v>51</v>
      </c>
      <c r="C52" s="2" t="s">
        <v>354</v>
      </c>
      <c r="D52" s="2" t="s">
        <v>53</v>
      </c>
      <c r="E52" s="2" t="s">
        <v>355</v>
      </c>
      <c r="F52" s="2"/>
      <c r="G52" s="2"/>
      <c r="H52" s="2" t="s">
        <v>356</v>
      </c>
      <c r="I52" s="2" t="s">
        <v>172</v>
      </c>
      <c r="J52" s="2" t="n">
        <v>-7.633</v>
      </c>
      <c r="K52" s="2" t="n">
        <v>109.6</v>
      </c>
      <c r="L52" s="2" t="s">
        <v>101</v>
      </c>
      <c r="M52" s="2" t="s">
        <v>60</v>
      </c>
      <c r="N52" s="2"/>
      <c r="O52" s="2" t="s">
        <v>357</v>
      </c>
      <c r="P52" s="2"/>
      <c r="Q52" s="2" t="s">
        <v>62</v>
      </c>
      <c r="R52" s="2" t="n">
        <v>0.75</v>
      </c>
      <c r="S52" s="2" t="s">
        <v>358</v>
      </c>
      <c r="T52" s="2" t="s">
        <v>243</v>
      </c>
      <c r="U52" s="2" t="s">
        <v>359</v>
      </c>
      <c r="V52" s="2" t="s">
        <v>245</v>
      </c>
      <c r="W52" s="2" t="s">
        <v>360</v>
      </c>
      <c r="X52" s="2" t="s">
        <v>68</v>
      </c>
    </row>
    <row r="53" customFormat="false" ht="15" hidden="false" customHeight="false" outlineLevel="0" collapsed="false">
      <c r="A53" s="2" t="n">
        <v>18</v>
      </c>
      <c r="B53" s="2" t="s">
        <v>51</v>
      </c>
      <c r="C53" s="2" t="s">
        <v>361</v>
      </c>
      <c r="D53" s="2" t="s">
        <v>53</v>
      </c>
      <c r="E53" s="2" t="s">
        <v>355</v>
      </c>
      <c r="F53" s="2"/>
      <c r="G53" s="2"/>
      <c r="H53" s="2" t="s">
        <v>356</v>
      </c>
      <c r="I53" s="2" t="s">
        <v>172</v>
      </c>
      <c r="J53" s="2" t="n">
        <v>-7.633</v>
      </c>
      <c r="K53" s="2" t="n">
        <v>109.6</v>
      </c>
      <c r="L53" s="2" t="s">
        <v>101</v>
      </c>
      <c r="M53" s="2" t="s">
        <v>60</v>
      </c>
      <c r="N53" s="2"/>
      <c r="O53" s="2" t="s">
        <v>362</v>
      </c>
      <c r="P53" s="2"/>
      <c r="Q53" s="2" t="s">
        <v>62</v>
      </c>
      <c r="R53" s="2" t="n">
        <v>0.8</v>
      </c>
      <c r="S53" s="2" t="s">
        <v>358</v>
      </c>
      <c r="T53" s="2" t="s">
        <v>243</v>
      </c>
      <c r="U53" s="2" t="s">
        <v>359</v>
      </c>
      <c r="V53" s="2" t="s">
        <v>245</v>
      </c>
      <c r="W53" s="2" t="s">
        <v>360</v>
      </c>
      <c r="X53" s="2" t="s">
        <v>68</v>
      </c>
    </row>
    <row r="54" customFormat="false" ht="15" hidden="false" customHeight="false" outlineLevel="0" collapsed="false">
      <c r="A54" s="2" t="n">
        <v>19</v>
      </c>
      <c r="B54" s="2" t="s">
        <v>51</v>
      </c>
      <c r="C54" s="2" t="s">
        <v>363</v>
      </c>
      <c r="D54" s="2" t="s">
        <v>53</v>
      </c>
      <c r="E54" s="2" t="s">
        <v>364</v>
      </c>
      <c r="F54" s="2"/>
      <c r="G54" s="2" t="s">
        <v>365</v>
      </c>
      <c r="H54" s="2" t="s">
        <v>366</v>
      </c>
      <c r="I54" s="2" t="s">
        <v>238</v>
      </c>
      <c r="J54" s="2" t="n">
        <v>-6.23</v>
      </c>
      <c r="K54" s="2" t="n">
        <v>106.708</v>
      </c>
      <c r="L54" s="2" t="s">
        <v>84</v>
      </c>
      <c r="M54" s="2" t="s">
        <v>60</v>
      </c>
      <c r="N54" s="2"/>
      <c r="O54" s="2" t="s">
        <v>367</v>
      </c>
      <c r="P54" s="2"/>
      <c r="Q54" s="2" t="s">
        <v>110</v>
      </c>
      <c r="R54" s="2" t="n">
        <v>0.85</v>
      </c>
      <c r="S54" s="2" t="s">
        <v>368</v>
      </c>
      <c r="T54" s="2" t="s">
        <v>64</v>
      </c>
      <c r="U54" s="2" t="s">
        <v>369</v>
      </c>
      <c r="V54" s="2" t="s">
        <v>66</v>
      </c>
      <c r="W54" s="2" t="s">
        <v>370</v>
      </c>
      <c r="X54" s="2" t="s">
        <v>68</v>
      </c>
    </row>
    <row r="55" customFormat="false" ht="15" hidden="false" customHeight="false" outlineLevel="0" collapsed="false">
      <c r="A55" s="2" t="n">
        <v>19</v>
      </c>
      <c r="B55" s="2" t="s">
        <v>51</v>
      </c>
      <c r="C55" s="2" t="s">
        <v>371</v>
      </c>
      <c r="D55" s="2" t="s">
        <v>53</v>
      </c>
      <c r="E55" s="2" t="s">
        <v>372</v>
      </c>
      <c r="F55" s="2" t="s">
        <v>373</v>
      </c>
      <c r="G55" s="2" t="s">
        <v>373</v>
      </c>
      <c r="H55" s="2" t="s">
        <v>366</v>
      </c>
      <c r="I55" s="2" t="s">
        <v>238</v>
      </c>
      <c r="J55" s="2" t="n">
        <v>-6.22</v>
      </c>
      <c r="K55" s="2" t="n">
        <v>106.72</v>
      </c>
      <c r="L55" s="2" t="s">
        <v>84</v>
      </c>
      <c r="M55" s="2" t="s">
        <v>60</v>
      </c>
      <c r="N55" s="2" t="s">
        <v>374</v>
      </c>
      <c r="O55" s="2" t="s">
        <v>375</v>
      </c>
      <c r="P55" s="2"/>
      <c r="Q55" s="2" t="s">
        <v>110</v>
      </c>
      <c r="R55" s="2" t="n">
        <v>0.8</v>
      </c>
      <c r="S55" s="2" t="s">
        <v>368</v>
      </c>
      <c r="T55" s="2" t="s">
        <v>64</v>
      </c>
      <c r="U55" s="2" t="s">
        <v>369</v>
      </c>
      <c r="V55" s="2" t="s">
        <v>66</v>
      </c>
      <c r="W55" s="2" t="s">
        <v>370</v>
      </c>
      <c r="X55" s="2" t="s">
        <v>68</v>
      </c>
    </row>
    <row r="56" customFormat="false" ht="15" hidden="false" customHeight="false" outlineLevel="0" collapsed="false">
      <c r="A56" s="2" t="n">
        <v>19</v>
      </c>
      <c r="B56" s="2" t="s">
        <v>51</v>
      </c>
      <c r="C56" s="2" t="s">
        <v>376</v>
      </c>
      <c r="D56" s="2" t="s">
        <v>53</v>
      </c>
      <c r="E56" s="2" t="s">
        <v>377</v>
      </c>
      <c r="F56" s="2" t="s">
        <v>378</v>
      </c>
      <c r="G56" s="2" t="s">
        <v>365</v>
      </c>
      <c r="H56" s="2" t="s">
        <v>366</v>
      </c>
      <c r="I56" s="2" t="s">
        <v>238</v>
      </c>
      <c r="J56" s="2" t="n">
        <v>-6.225</v>
      </c>
      <c r="K56" s="2" t="n">
        <v>106.705</v>
      </c>
      <c r="L56" s="2" t="s">
        <v>59</v>
      </c>
      <c r="M56" s="2" t="s">
        <v>60</v>
      </c>
      <c r="N56" s="2"/>
      <c r="O56" s="2" t="s">
        <v>379</v>
      </c>
      <c r="P56" s="2"/>
      <c r="Q56" s="2" t="s">
        <v>110</v>
      </c>
      <c r="R56" s="2" t="n">
        <v>0.9</v>
      </c>
      <c r="S56" s="2" t="s">
        <v>368</v>
      </c>
      <c r="T56" s="2" t="s">
        <v>64</v>
      </c>
      <c r="U56" s="2" t="s">
        <v>369</v>
      </c>
      <c r="V56" s="2" t="s">
        <v>66</v>
      </c>
      <c r="W56" s="2" t="s">
        <v>370</v>
      </c>
      <c r="X56" s="2" t="s">
        <v>68</v>
      </c>
    </row>
    <row r="57" customFormat="false" ht="15" hidden="false" customHeight="false" outlineLevel="0" collapsed="false">
      <c r="A57" s="2" t="n">
        <v>21</v>
      </c>
      <c r="B57" s="2" t="s">
        <v>51</v>
      </c>
      <c r="C57" s="2" t="s">
        <v>380</v>
      </c>
      <c r="D57" s="2" t="s">
        <v>121</v>
      </c>
      <c r="E57" s="2" t="s">
        <v>381</v>
      </c>
      <c r="F57" s="2" t="s">
        <v>382</v>
      </c>
      <c r="G57" s="2" t="s">
        <v>383</v>
      </c>
      <c r="H57" s="2" t="s">
        <v>384</v>
      </c>
      <c r="I57" s="2" t="s">
        <v>385</v>
      </c>
      <c r="J57" s="2" t="n">
        <v>3.583</v>
      </c>
      <c r="K57" s="2" t="n">
        <v>98.665</v>
      </c>
      <c r="L57" s="2" t="s">
        <v>84</v>
      </c>
      <c r="M57" s="2" t="s">
        <v>60</v>
      </c>
      <c r="N57" s="2" t="s">
        <v>386</v>
      </c>
      <c r="O57" s="2" t="s">
        <v>387</v>
      </c>
      <c r="P57" s="2" t="s">
        <v>388</v>
      </c>
      <c r="Q57" s="2" t="s">
        <v>110</v>
      </c>
      <c r="R57" s="2" t="n">
        <v>0.9</v>
      </c>
      <c r="S57" s="2" t="s">
        <v>389</v>
      </c>
      <c r="T57" s="2" t="s">
        <v>390</v>
      </c>
      <c r="U57" s="2" t="s">
        <v>391</v>
      </c>
      <c r="V57" s="2" t="s">
        <v>392</v>
      </c>
      <c r="W57" s="2" t="s">
        <v>132</v>
      </c>
      <c r="X57" s="2" t="s">
        <v>68</v>
      </c>
    </row>
    <row r="58" customFormat="false" ht="15" hidden="false" customHeight="false" outlineLevel="0" collapsed="false">
      <c r="A58" s="2" t="n">
        <v>21</v>
      </c>
      <c r="B58" s="2" t="s">
        <v>51</v>
      </c>
      <c r="C58" s="2" t="s">
        <v>393</v>
      </c>
      <c r="D58" s="2" t="s">
        <v>351</v>
      </c>
      <c r="E58" s="2" t="s">
        <v>394</v>
      </c>
      <c r="F58" s="2" t="s">
        <v>382</v>
      </c>
      <c r="G58" s="2" t="s">
        <v>383</v>
      </c>
      <c r="H58" s="2" t="s">
        <v>384</v>
      </c>
      <c r="I58" s="2" t="s">
        <v>385</v>
      </c>
      <c r="J58" s="2" t="n">
        <v>3.583</v>
      </c>
      <c r="K58" s="2" t="n">
        <v>98.665</v>
      </c>
      <c r="L58" s="2" t="s">
        <v>84</v>
      </c>
      <c r="M58" s="2" t="s">
        <v>60</v>
      </c>
      <c r="N58" s="2" t="s">
        <v>386</v>
      </c>
      <c r="O58" s="2" t="s">
        <v>395</v>
      </c>
      <c r="P58" s="2"/>
      <c r="Q58" s="2" t="s">
        <v>110</v>
      </c>
      <c r="R58" s="2" t="n">
        <v>0.6</v>
      </c>
      <c r="S58" s="2" t="s">
        <v>389</v>
      </c>
      <c r="T58" s="2" t="s">
        <v>390</v>
      </c>
      <c r="U58" s="2" t="s">
        <v>391</v>
      </c>
      <c r="V58" s="2" t="s">
        <v>392</v>
      </c>
      <c r="W58" s="2" t="s">
        <v>132</v>
      </c>
      <c r="X58" s="2" t="s">
        <v>68</v>
      </c>
    </row>
    <row r="59" customFormat="false" ht="15" hidden="false" customHeight="false" outlineLevel="0" collapsed="false">
      <c r="A59" s="2" t="n">
        <v>21</v>
      </c>
      <c r="B59" s="2" t="s">
        <v>51</v>
      </c>
      <c r="C59" s="2" t="s">
        <v>396</v>
      </c>
      <c r="D59" s="2" t="s">
        <v>134</v>
      </c>
      <c r="E59" s="2" t="s">
        <v>394</v>
      </c>
      <c r="F59" s="2" t="s">
        <v>382</v>
      </c>
      <c r="G59" s="2" t="s">
        <v>383</v>
      </c>
      <c r="H59" s="2" t="s">
        <v>384</v>
      </c>
      <c r="I59" s="2" t="s">
        <v>385</v>
      </c>
      <c r="J59" s="2" t="n">
        <v>3.583</v>
      </c>
      <c r="K59" s="2" t="n">
        <v>98.665</v>
      </c>
      <c r="L59" s="2" t="s">
        <v>84</v>
      </c>
      <c r="M59" s="2" t="s">
        <v>60</v>
      </c>
      <c r="N59" s="2" t="s">
        <v>386</v>
      </c>
      <c r="O59" s="2" t="s">
        <v>397</v>
      </c>
      <c r="P59" s="2"/>
      <c r="Q59" s="2" t="s">
        <v>62</v>
      </c>
      <c r="R59" s="2" t="n">
        <v>0.6</v>
      </c>
      <c r="S59" s="2" t="s">
        <v>389</v>
      </c>
      <c r="T59" s="2" t="s">
        <v>390</v>
      </c>
      <c r="U59" s="2" t="s">
        <v>391</v>
      </c>
      <c r="V59" s="2" t="s">
        <v>392</v>
      </c>
      <c r="W59" s="2" t="s">
        <v>132</v>
      </c>
      <c r="X59" s="2" t="s">
        <v>68</v>
      </c>
    </row>
    <row r="60" customFormat="false" ht="15" hidden="false" customHeight="false" outlineLevel="0" collapsed="false">
      <c r="A60" s="2" t="n">
        <v>22</v>
      </c>
      <c r="B60" s="2" t="s">
        <v>51</v>
      </c>
      <c r="C60" s="2" t="s">
        <v>398</v>
      </c>
      <c r="D60" s="2" t="s">
        <v>134</v>
      </c>
      <c r="E60" s="2" t="s">
        <v>399</v>
      </c>
      <c r="F60" s="2" t="s">
        <v>400</v>
      </c>
      <c r="G60" s="2" t="s">
        <v>401</v>
      </c>
      <c r="H60" s="2" t="s">
        <v>402</v>
      </c>
      <c r="I60" s="2" t="s">
        <v>403</v>
      </c>
      <c r="J60" s="2" t="n">
        <v>-5.55</v>
      </c>
      <c r="K60" s="2" t="n">
        <v>119.95</v>
      </c>
      <c r="L60" s="2" t="s">
        <v>84</v>
      </c>
      <c r="M60" s="2" t="s">
        <v>60</v>
      </c>
      <c r="N60" s="2"/>
      <c r="O60" s="2" t="s">
        <v>404</v>
      </c>
      <c r="P60" s="2"/>
      <c r="Q60" s="2" t="s">
        <v>110</v>
      </c>
      <c r="R60" s="2" t="n">
        <v>0.9</v>
      </c>
      <c r="S60" s="2" t="s">
        <v>405</v>
      </c>
      <c r="T60" s="2" t="s">
        <v>406</v>
      </c>
      <c r="U60" s="2" t="s">
        <v>407</v>
      </c>
      <c r="V60" s="2" t="s">
        <v>408</v>
      </c>
      <c r="W60" s="2" t="s">
        <v>262</v>
      </c>
      <c r="X60" s="2" t="s">
        <v>68</v>
      </c>
    </row>
    <row r="61" customFormat="false" ht="15" hidden="false" customHeight="false" outlineLevel="0" collapsed="false">
      <c r="A61" s="2" t="n">
        <v>22</v>
      </c>
      <c r="B61" s="2" t="s">
        <v>51</v>
      </c>
      <c r="C61" s="2" t="s">
        <v>409</v>
      </c>
      <c r="D61" s="2" t="s">
        <v>410</v>
      </c>
      <c r="E61" s="2" t="s">
        <v>411</v>
      </c>
      <c r="F61" s="2"/>
      <c r="G61" s="2"/>
      <c r="H61" s="2" t="s">
        <v>402</v>
      </c>
      <c r="I61" s="2" t="s">
        <v>403</v>
      </c>
      <c r="J61" s="2" t="n">
        <v>-5.48</v>
      </c>
      <c r="K61" s="2" t="n">
        <v>119.99</v>
      </c>
      <c r="L61" s="2" t="s">
        <v>101</v>
      </c>
      <c r="M61" s="2" t="s">
        <v>340</v>
      </c>
      <c r="N61" s="2"/>
      <c r="O61" s="2" t="s">
        <v>412</v>
      </c>
      <c r="P61" s="2"/>
      <c r="Q61" s="2" t="s">
        <v>62</v>
      </c>
      <c r="R61" s="2" t="n">
        <v>0.5</v>
      </c>
      <c r="S61" s="2" t="s">
        <v>405</v>
      </c>
      <c r="T61" s="2" t="s">
        <v>406</v>
      </c>
      <c r="U61" s="2" t="s">
        <v>407</v>
      </c>
      <c r="V61" s="2" t="s">
        <v>408</v>
      </c>
      <c r="W61" s="2" t="s">
        <v>262</v>
      </c>
      <c r="X61" s="2" t="s">
        <v>68</v>
      </c>
    </row>
    <row r="62" customFormat="false" ht="15" hidden="false" customHeight="false" outlineLevel="0" collapsed="false">
      <c r="A62" s="2" t="n">
        <v>23</v>
      </c>
      <c r="B62" s="2" t="s">
        <v>51</v>
      </c>
      <c r="C62" s="2" t="s">
        <v>413</v>
      </c>
      <c r="D62" s="2" t="s">
        <v>53</v>
      </c>
      <c r="E62" s="2" t="s">
        <v>414</v>
      </c>
      <c r="F62" s="2"/>
      <c r="G62" s="2"/>
      <c r="H62" s="2"/>
      <c r="I62" s="2" t="s">
        <v>74</v>
      </c>
      <c r="J62" s="2" t="n">
        <v>-6.2</v>
      </c>
      <c r="K62" s="2" t="n">
        <v>106.845</v>
      </c>
      <c r="L62" s="2" t="s">
        <v>239</v>
      </c>
      <c r="M62" s="2" t="s">
        <v>60</v>
      </c>
      <c r="N62" s="2" t="s">
        <v>415</v>
      </c>
      <c r="O62" s="2" t="s">
        <v>416</v>
      </c>
      <c r="P62" s="2"/>
      <c r="Q62" s="2" t="s">
        <v>110</v>
      </c>
      <c r="R62" s="2" t="n">
        <v>0.8</v>
      </c>
      <c r="S62" s="2" t="s">
        <v>417</v>
      </c>
      <c r="T62" s="2" t="s">
        <v>418</v>
      </c>
      <c r="U62" s="2" t="s">
        <v>419</v>
      </c>
      <c r="V62" s="2" t="s">
        <v>420</v>
      </c>
      <c r="W62" s="2" t="s">
        <v>421</v>
      </c>
      <c r="X62" s="2" t="s">
        <v>68</v>
      </c>
    </row>
    <row r="63" customFormat="false" ht="15" hidden="false" customHeight="false" outlineLevel="0" collapsed="false">
      <c r="A63" s="2" t="n">
        <v>24</v>
      </c>
      <c r="B63" s="2" t="s">
        <v>51</v>
      </c>
      <c r="C63" s="2" t="s">
        <v>422</v>
      </c>
      <c r="D63" s="2" t="s">
        <v>351</v>
      </c>
      <c r="E63" s="2" t="s">
        <v>423</v>
      </c>
      <c r="F63" s="2" t="s">
        <v>424</v>
      </c>
      <c r="G63" s="2" t="s">
        <v>425</v>
      </c>
      <c r="H63" s="2" t="s">
        <v>426</v>
      </c>
      <c r="I63" s="2" t="s">
        <v>74</v>
      </c>
      <c r="J63" s="2" t="n">
        <v>-6.244</v>
      </c>
      <c r="K63" s="2" t="n">
        <v>106.8</v>
      </c>
      <c r="L63" s="2" t="s">
        <v>124</v>
      </c>
      <c r="M63" s="2" t="s">
        <v>60</v>
      </c>
      <c r="N63" s="2"/>
      <c r="O63" s="2" t="s">
        <v>427</v>
      </c>
      <c r="P63" s="2"/>
      <c r="Q63" s="2" t="s">
        <v>110</v>
      </c>
      <c r="R63" s="2" t="n">
        <v>0.85</v>
      </c>
      <c r="S63" s="2" t="s">
        <v>428</v>
      </c>
      <c r="T63" s="2" t="s">
        <v>156</v>
      </c>
      <c r="U63" s="2" t="s">
        <v>429</v>
      </c>
      <c r="V63" s="2" t="s">
        <v>158</v>
      </c>
      <c r="W63" s="2" t="s">
        <v>430</v>
      </c>
      <c r="X63" s="2" t="s">
        <v>68</v>
      </c>
    </row>
    <row r="64" customFormat="false" ht="15" hidden="false" customHeight="false" outlineLevel="0" collapsed="false">
      <c r="A64" s="2" t="n">
        <v>24</v>
      </c>
      <c r="B64" s="2" t="s">
        <v>51</v>
      </c>
      <c r="C64" s="2" t="s">
        <v>145</v>
      </c>
      <c r="D64" s="2" t="s">
        <v>53</v>
      </c>
      <c r="E64" s="2" t="s">
        <v>431</v>
      </c>
      <c r="F64" s="2" t="s">
        <v>424</v>
      </c>
      <c r="G64" s="2" t="s">
        <v>425</v>
      </c>
      <c r="H64" s="2" t="s">
        <v>426</v>
      </c>
      <c r="I64" s="2" t="s">
        <v>74</v>
      </c>
      <c r="J64" s="2" t="n">
        <v>-6.244</v>
      </c>
      <c r="K64" s="2" t="n">
        <v>106.8</v>
      </c>
      <c r="L64" s="2" t="s">
        <v>124</v>
      </c>
      <c r="M64" s="2" t="s">
        <v>60</v>
      </c>
      <c r="N64" s="2"/>
      <c r="O64" s="2" t="s">
        <v>432</v>
      </c>
      <c r="P64" s="2"/>
      <c r="Q64" s="2" t="s">
        <v>110</v>
      </c>
      <c r="R64" s="2" t="n">
        <v>0.85</v>
      </c>
      <c r="S64" s="2" t="s">
        <v>428</v>
      </c>
      <c r="T64" s="2" t="s">
        <v>156</v>
      </c>
      <c r="U64" s="2" t="s">
        <v>429</v>
      </c>
      <c r="V64" s="2" t="s">
        <v>158</v>
      </c>
      <c r="W64" s="2" t="s">
        <v>430</v>
      </c>
      <c r="X64" s="2" t="s">
        <v>68</v>
      </c>
    </row>
    <row r="65" customFormat="false" ht="15" hidden="false" customHeight="false" outlineLevel="0" collapsed="false">
      <c r="A65" s="2" t="n">
        <v>24</v>
      </c>
      <c r="B65" s="2" t="s">
        <v>51</v>
      </c>
      <c r="C65" s="2" t="s">
        <v>433</v>
      </c>
      <c r="D65" s="2" t="s">
        <v>134</v>
      </c>
      <c r="E65" s="2" t="s">
        <v>431</v>
      </c>
      <c r="F65" s="2" t="s">
        <v>424</v>
      </c>
      <c r="G65" s="2" t="s">
        <v>425</v>
      </c>
      <c r="H65" s="2" t="s">
        <v>426</v>
      </c>
      <c r="I65" s="2" t="s">
        <v>74</v>
      </c>
      <c r="J65" s="2" t="n">
        <v>-6.244</v>
      </c>
      <c r="K65" s="2" t="n">
        <v>106.8</v>
      </c>
      <c r="L65" s="2" t="s">
        <v>124</v>
      </c>
      <c r="M65" s="2" t="s">
        <v>60</v>
      </c>
      <c r="N65" s="2"/>
      <c r="O65" s="2" t="s">
        <v>434</v>
      </c>
      <c r="P65" s="2"/>
      <c r="Q65" s="2" t="s">
        <v>110</v>
      </c>
      <c r="R65" s="2" t="n">
        <v>0.85</v>
      </c>
      <c r="S65" s="2" t="s">
        <v>428</v>
      </c>
      <c r="T65" s="2" t="s">
        <v>156</v>
      </c>
      <c r="U65" s="2" t="s">
        <v>429</v>
      </c>
      <c r="V65" s="2" t="s">
        <v>158</v>
      </c>
      <c r="W65" s="2" t="s">
        <v>430</v>
      </c>
      <c r="X65" s="2" t="s">
        <v>68</v>
      </c>
    </row>
    <row r="66" customFormat="false" ht="15" hidden="false" customHeight="false" outlineLevel="0" collapsed="false">
      <c r="A66" s="2" t="n">
        <v>24</v>
      </c>
      <c r="B66" s="2" t="s">
        <v>51</v>
      </c>
      <c r="C66" s="2" t="s">
        <v>435</v>
      </c>
      <c r="D66" s="2" t="s">
        <v>351</v>
      </c>
      <c r="E66" s="2" t="s">
        <v>431</v>
      </c>
      <c r="F66" s="2" t="s">
        <v>424</v>
      </c>
      <c r="G66" s="2" t="s">
        <v>425</v>
      </c>
      <c r="H66" s="2" t="s">
        <v>426</v>
      </c>
      <c r="I66" s="2" t="s">
        <v>74</v>
      </c>
      <c r="J66" s="2" t="n">
        <v>-6.244</v>
      </c>
      <c r="K66" s="2" t="n">
        <v>106.8</v>
      </c>
      <c r="L66" s="2" t="s">
        <v>124</v>
      </c>
      <c r="M66" s="2" t="s">
        <v>60</v>
      </c>
      <c r="N66" s="2"/>
      <c r="O66" s="2" t="s">
        <v>436</v>
      </c>
      <c r="P66" s="2"/>
      <c r="Q66" s="2" t="s">
        <v>110</v>
      </c>
      <c r="R66" s="2" t="n">
        <v>0.8</v>
      </c>
      <c r="S66" s="2" t="s">
        <v>428</v>
      </c>
      <c r="T66" s="2" t="s">
        <v>156</v>
      </c>
      <c r="U66" s="2" t="s">
        <v>429</v>
      </c>
      <c r="V66" s="2" t="s">
        <v>158</v>
      </c>
      <c r="W66" s="2" t="s">
        <v>430</v>
      </c>
      <c r="X66" s="2" t="s">
        <v>68</v>
      </c>
    </row>
    <row r="67" customFormat="false" ht="15" hidden="false" customHeight="false" outlineLevel="0" collapsed="false">
      <c r="A67" s="2" t="n">
        <v>25</v>
      </c>
      <c r="B67" s="2" t="s">
        <v>51</v>
      </c>
      <c r="C67" s="2" t="s">
        <v>120</v>
      </c>
      <c r="D67" s="2" t="s">
        <v>121</v>
      </c>
      <c r="E67" s="2" t="s">
        <v>437</v>
      </c>
      <c r="F67" s="2" t="s">
        <v>123</v>
      </c>
      <c r="G67" s="2" t="s">
        <v>72</v>
      </c>
      <c r="H67" s="2" t="s">
        <v>73</v>
      </c>
      <c r="I67" s="2" t="s">
        <v>74</v>
      </c>
      <c r="J67" s="2" t="n">
        <v>-6.2186</v>
      </c>
      <c r="K67" s="2" t="n">
        <v>106.8019</v>
      </c>
      <c r="L67" s="2" t="s">
        <v>124</v>
      </c>
      <c r="M67" s="2" t="s">
        <v>60</v>
      </c>
      <c r="N67" s="2" t="s">
        <v>125</v>
      </c>
      <c r="O67" s="2" t="s">
        <v>438</v>
      </c>
      <c r="P67" s="2" t="s">
        <v>439</v>
      </c>
      <c r="Q67" s="2" t="s">
        <v>110</v>
      </c>
      <c r="R67" s="2" t="n">
        <v>0.9</v>
      </c>
      <c r="S67" s="2" t="s">
        <v>440</v>
      </c>
      <c r="T67" s="2" t="s">
        <v>64</v>
      </c>
      <c r="U67" s="2" t="s">
        <v>441</v>
      </c>
      <c r="V67" s="2" t="s">
        <v>66</v>
      </c>
      <c r="W67" s="2" t="s">
        <v>67</v>
      </c>
      <c r="X67" s="2" t="s">
        <v>68</v>
      </c>
    </row>
    <row r="68" customFormat="false" ht="15" hidden="false" customHeight="false" outlineLevel="0" collapsed="false">
      <c r="A68" s="2" t="n">
        <v>25</v>
      </c>
      <c r="B68" s="2" t="s">
        <v>51</v>
      </c>
      <c r="C68" s="2" t="s">
        <v>133</v>
      </c>
      <c r="D68" s="2" t="s">
        <v>134</v>
      </c>
      <c r="E68" s="2" t="s">
        <v>135</v>
      </c>
      <c r="F68" s="2" t="s">
        <v>123</v>
      </c>
      <c r="G68" s="2" t="s">
        <v>72</v>
      </c>
      <c r="H68" s="2" t="s">
        <v>73</v>
      </c>
      <c r="I68" s="2" t="s">
        <v>74</v>
      </c>
      <c r="J68" s="2" t="n">
        <v>-6.2186</v>
      </c>
      <c r="K68" s="2" t="n">
        <v>106.8019</v>
      </c>
      <c r="L68" s="2" t="s">
        <v>124</v>
      </c>
      <c r="M68" s="2" t="s">
        <v>60</v>
      </c>
      <c r="N68" s="2" t="s">
        <v>125</v>
      </c>
      <c r="O68" s="2" t="s">
        <v>442</v>
      </c>
      <c r="P68" s="2"/>
      <c r="Q68" s="2" t="s">
        <v>110</v>
      </c>
      <c r="R68" s="2" t="n">
        <v>0.85</v>
      </c>
      <c r="S68" s="2" t="s">
        <v>440</v>
      </c>
      <c r="T68" s="2" t="s">
        <v>64</v>
      </c>
      <c r="U68" s="2" t="s">
        <v>441</v>
      </c>
      <c r="V68" s="2" t="s">
        <v>66</v>
      </c>
      <c r="W68" s="2" t="s">
        <v>67</v>
      </c>
      <c r="X68" s="2" t="s">
        <v>68</v>
      </c>
    </row>
    <row r="69" customFormat="false" ht="15" hidden="false" customHeight="false" outlineLevel="0" collapsed="false">
      <c r="A69" s="2" t="n">
        <v>25</v>
      </c>
      <c r="B69" s="2" t="s">
        <v>51</v>
      </c>
      <c r="C69" s="2" t="s">
        <v>137</v>
      </c>
      <c r="D69" s="2" t="s">
        <v>53</v>
      </c>
      <c r="E69" s="2" t="s">
        <v>443</v>
      </c>
      <c r="F69" s="2" t="s">
        <v>424</v>
      </c>
      <c r="G69" s="2" t="s">
        <v>425</v>
      </c>
      <c r="H69" s="2" t="s">
        <v>426</v>
      </c>
      <c r="I69" s="2" t="s">
        <v>74</v>
      </c>
      <c r="J69" s="2" t="n">
        <v>-6.244</v>
      </c>
      <c r="K69" s="2" t="n">
        <v>106.8</v>
      </c>
      <c r="L69" s="2" t="s">
        <v>124</v>
      </c>
      <c r="M69" s="2" t="s">
        <v>60</v>
      </c>
      <c r="N69" s="2"/>
      <c r="O69" s="2" t="s">
        <v>444</v>
      </c>
      <c r="P69" s="2"/>
      <c r="Q69" s="2" t="s">
        <v>110</v>
      </c>
      <c r="R69" s="2" t="n">
        <v>0.85</v>
      </c>
      <c r="S69" s="2" t="s">
        <v>440</v>
      </c>
      <c r="T69" s="2" t="s">
        <v>64</v>
      </c>
      <c r="U69" s="2" t="s">
        <v>441</v>
      </c>
      <c r="V69" s="2" t="s">
        <v>66</v>
      </c>
      <c r="W69" s="2" t="s">
        <v>67</v>
      </c>
      <c r="X69" s="2" t="s">
        <v>68</v>
      </c>
    </row>
    <row r="70" customFormat="false" ht="15" hidden="false" customHeight="false" outlineLevel="0" collapsed="false">
      <c r="A70" s="2" t="n">
        <v>25</v>
      </c>
      <c r="B70" s="2" t="s">
        <v>51</v>
      </c>
      <c r="C70" s="2" t="s">
        <v>139</v>
      </c>
      <c r="D70" s="2" t="s">
        <v>134</v>
      </c>
      <c r="E70" s="2" t="s">
        <v>445</v>
      </c>
      <c r="F70" s="2"/>
      <c r="G70" s="2"/>
      <c r="H70" s="2"/>
      <c r="I70" s="2"/>
      <c r="J70" s="2"/>
      <c r="K70" s="2"/>
      <c r="L70" s="2"/>
      <c r="M70" s="2" t="s">
        <v>340</v>
      </c>
      <c r="N70" s="2" t="s">
        <v>446</v>
      </c>
      <c r="O70" s="2" t="s">
        <v>447</v>
      </c>
      <c r="P70" s="2"/>
      <c r="Q70" s="2" t="s">
        <v>62</v>
      </c>
      <c r="R70" s="2" t="n">
        <v>0.75</v>
      </c>
      <c r="S70" s="2" t="s">
        <v>440</v>
      </c>
      <c r="T70" s="2" t="s">
        <v>64</v>
      </c>
      <c r="U70" s="2" t="s">
        <v>441</v>
      </c>
      <c r="V70" s="2" t="s">
        <v>66</v>
      </c>
      <c r="W70" s="2" t="s">
        <v>67</v>
      </c>
      <c r="X70" s="2" t="s">
        <v>68</v>
      </c>
    </row>
    <row r="71" customFormat="false" ht="15" hidden="false" customHeight="false" outlineLevel="0" collapsed="false">
      <c r="A71" s="2" t="n">
        <v>25</v>
      </c>
      <c r="B71" s="2" t="s">
        <v>51</v>
      </c>
      <c r="C71" s="2" t="s">
        <v>141</v>
      </c>
      <c r="D71" s="2" t="s">
        <v>134</v>
      </c>
      <c r="E71" s="2" t="s">
        <v>135</v>
      </c>
      <c r="F71" s="2" t="s">
        <v>123</v>
      </c>
      <c r="G71" s="2" t="s">
        <v>72</v>
      </c>
      <c r="H71" s="2" t="s">
        <v>73</v>
      </c>
      <c r="I71" s="2" t="s">
        <v>74</v>
      </c>
      <c r="J71" s="2" t="n">
        <v>-6.2186</v>
      </c>
      <c r="K71" s="2" t="n">
        <v>106.8019</v>
      </c>
      <c r="L71" s="2" t="s">
        <v>124</v>
      </c>
      <c r="M71" s="2" t="s">
        <v>60</v>
      </c>
      <c r="N71" s="2" t="s">
        <v>125</v>
      </c>
      <c r="O71" s="2" t="s">
        <v>448</v>
      </c>
      <c r="P71" s="2"/>
      <c r="Q71" s="2" t="s">
        <v>62</v>
      </c>
      <c r="R71" s="2" t="n">
        <v>0.75</v>
      </c>
      <c r="S71" s="2" t="s">
        <v>440</v>
      </c>
      <c r="T71" s="2" t="s">
        <v>64</v>
      </c>
      <c r="U71" s="2" t="s">
        <v>441</v>
      </c>
      <c r="V71" s="2" t="s">
        <v>66</v>
      </c>
      <c r="W71" s="2" t="s">
        <v>67</v>
      </c>
      <c r="X71" s="2" t="s">
        <v>68</v>
      </c>
    </row>
    <row r="72" customFormat="false" ht="15" hidden="false" customHeight="false" outlineLevel="0" collapsed="false">
      <c r="A72" s="2" t="n">
        <v>26</v>
      </c>
      <c r="B72" s="2" t="s">
        <v>51</v>
      </c>
      <c r="C72" s="2" t="s">
        <v>449</v>
      </c>
      <c r="D72" s="2" t="s">
        <v>53</v>
      </c>
      <c r="E72" s="2" t="s">
        <v>450</v>
      </c>
      <c r="F72" s="2" t="s">
        <v>347</v>
      </c>
      <c r="G72" s="2" t="s">
        <v>348</v>
      </c>
      <c r="H72" s="2" t="s">
        <v>107</v>
      </c>
      <c r="I72" s="2" t="s">
        <v>58</v>
      </c>
      <c r="J72" s="2" t="n">
        <v>-6.903</v>
      </c>
      <c r="K72" s="2" t="n">
        <v>107.625</v>
      </c>
      <c r="L72" s="2" t="s">
        <v>59</v>
      </c>
      <c r="M72" s="2" t="s">
        <v>60</v>
      </c>
      <c r="N72" s="2"/>
      <c r="O72" s="2" t="s">
        <v>451</v>
      </c>
      <c r="P72" s="2"/>
      <c r="Q72" s="2" t="s">
        <v>62</v>
      </c>
      <c r="R72" s="2" t="n">
        <v>0.8</v>
      </c>
      <c r="S72" s="2" t="s">
        <v>452</v>
      </c>
      <c r="T72" s="2" t="s">
        <v>453</v>
      </c>
      <c r="U72" s="2" t="s">
        <v>454</v>
      </c>
      <c r="V72" s="2" t="s">
        <v>455</v>
      </c>
      <c r="W72" s="2" t="s">
        <v>159</v>
      </c>
      <c r="X72" s="2" t="s">
        <v>68</v>
      </c>
    </row>
    <row r="73" customFormat="false" ht="15" hidden="false" customHeight="false" outlineLevel="0" collapsed="false">
      <c r="A73" s="2" t="n">
        <v>26</v>
      </c>
      <c r="B73" s="2" t="s">
        <v>51</v>
      </c>
      <c r="C73" s="2" t="s">
        <v>456</v>
      </c>
      <c r="D73" s="2" t="s">
        <v>53</v>
      </c>
      <c r="E73" s="2" t="s">
        <v>450</v>
      </c>
      <c r="F73" s="2" t="s">
        <v>347</v>
      </c>
      <c r="G73" s="2" t="s">
        <v>348</v>
      </c>
      <c r="H73" s="2" t="s">
        <v>107</v>
      </c>
      <c r="I73" s="2" t="s">
        <v>58</v>
      </c>
      <c r="J73" s="2" t="n">
        <v>-6.903</v>
      </c>
      <c r="K73" s="2" t="n">
        <v>107.625</v>
      </c>
      <c r="L73" s="2" t="s">
        <v>59</v>
      </c>
      <c r="M73" s="2" t="s">
        <v>60</v>
      </c>
      <c r="N73" s="2"/>
      <c r="O73" s="2" t="s">
        <v>457</v>
      </c>
      <c r="P73" s="2"/>
      <c r="Q73" s="2" t="s">
        <v>62</v>
      </c>
      <c r="R73" s="2" t="n">
        <v>0.8</v>
      </c>
      <c r="S73" s="2" t="s">
        <v>452</v>
      </c>
      <c r="T73" s="2" t="s">
        <v>453</v>
      </c>
      <c r="U73" s="2" t="s">
        <v>454</v>
      </c>
      <c r="V73" s="2" t="s">
        <v>455</v>
      </c>
      <c r="W73" s="2" t="s">
        <v>159</v>
      </c>
      <c r="X73" s="2" t="s">
        <v>68</v>
      </c>
    </row>
    <row r="74" customFormat="false" ht="15" hidden="false" customHeight="false" outlineLevel="0" collapsed="false">
      <c r="A74" s="2" t="n">
        <v>26</v>
      </c>
      <c r="B74" s="2" t="s">
        <v>51</v>
      </c>
      <c r="C74" s="2" t="s">
        <v>458</v>
      </c>
      <c r="D74" s="2" t="s">
        <v>53</v>
      </c>
      <c r="E74" s="2" t="s">
        <v>450</v>
      </c>
      <c r="F74" s="2" t="s">
        <v>347</v>
      </c>
      <c r="G74" s="2" t="s">
        <v>348</v>
      </c>
      <c r="H74" s="2" t="s">
        <v>107</v>
      </c>
      <c r="I74" s="2" t="s">
        <v>58</v>
      </c>
      <c r="J74" s="2" t="n">
        <v>-6.903</v>
      </c>
      <c r="K74" s="2" t="n">
        <v>107.625</v>
      </c>
      <c r="L74" s="2" t="s">
        <v>59</v>
      </c>
      <c r="M74" s="2" t="s">
        <v>60</v>
      </c>
      <c r="N74" s="2"/>
      <c r="O74" s="2" t="s">
        <v>459</v>
      </c>
      <c r="P74" s="2"/>
      <c r="Q74" s="2" t="s">
        <v>62</v>
      </c>
      <c r="R74" s="2" t="n">
        <v>0.8</v>
      </c>
      <c r="S74" s="2" t="s">
        <v>452</v>
      </c>
      <c r="T74" s="2" t="s">
        <v>453</v>
      </c>
      <c r="U74" s="2" t="s">
        <v>454</v>
      </c>
      <c r="V74" s="2" t="s">
        <v>455</v>
      </c>
      <c r="W74" s="2" t="s">
        <v>159</v>
      </c>
      <c r="X74" s="2" t="s">
        <v>68</v>
      </c>
    </row>
    <row r="75" customFormat="false" ht="15" hidden="false" customHeight="false" outlineLevel="0" collapsed="false">
      <c r="A75" s="2" t="n">
        <v>26</v>
      </c>
      <c r="B75" s="2" t="s">
        <v>51</v>
      </c>
      <c r="C75" s="2" t="s">
        <v>460</v>
      </c>
      <c r="D75" s="2" t="s">
        <v>53</v>
      </c>
      <c r="E75" s="2" t="s">
        <v>450</v>
      </c>
      <c r="F75" s="2" t="s">
        <v>347</v>
      </c>
      <c r="G75" s="2" t="s">
        <v>348</v>
      </c>
      <c r="H75" s="2" t="s">
        <v>107</v>
      </c>
      <c r="I75" s="2" t="s">
        <v>58</v>
      </c>
      <c r="J75" s="2" t="n">
        <v>-6.903</v>
      </c>
      <c r="K75" s="2" t="n">
        <v>107.625</v>
      </c>
      <c r="L75" s="2" t="s">
        <v>59</v>
      </c>
      <c r="M75" s="2" t="s">
        <v>60</v>
      </c>
      <c r="N75" s="2"/>
      <c r="O75" s="2" t="s">
        <v>461</v>
      </c>
      <c r="P75" s="2"/>
      <c r="Q75" s="2" t="s">
        <v>62</v>
      </c>
      <c r="R75" s="2" t="n">
        <v>0.8</v>
      </c>
      <c r="S75" s="2" t="s">
        <v>452</v>
      </c>
      <c r="T75" s="2" t="s">
        <v>453</v>
      </c>
      <c r="U75" s="2" t="s">
        <v>454</v>
      </c>
      <c r="V75" s="2" t="s">
        <v>455</v>
      </c>
      <c r="W75" s="2" t="s">
        <v>159</v>
      </c>
      <c r="X75" s="2" t="s">
        <v>68</v>
      </c>
    </row>
    <row r="76" customFormat="false" ht="15" hidden="false" customHeight="false" outlineLevel="0" collapsed="false">
      <c r="A76" s="2" t="n">
        <v>26</v>
      </c>
      <c r="B76" s="2" t="s">
        <v>51</v>
      </c>
      <c r="C76" s="2" t="s">
        <v>462</v>
      </c>
      <c r="D76" s="2" t="s">
        <v>134</v>
      </c>
      <c r="E76" s="2" t="s">
        <v>450</v>
      </c>
      <c r="F76" s="2" t="s">
        <v>347</v>
      </c>
      <c r="G76" s="2" t="s">
        <v>348</v>
      </c>
      <c r="H76" s="2" t="s">
        <v>107</v>
      </c>
      <c r="I76" s="2" t="s">
        <v>58</v>
      </c>
      <c r="J76" s="2" t="n">
        <v>-6.903</v>
      </c>
      <c r="K76" s="2" t="n">
        <v>107.625</v>
      </c>
      <c r="L76" s="2" t="s">
        <v>59</v>
      </c>
      <c r="M76" s="2" t="s">
        <v>60</v>
      </c>
      <c r="N76" s="2"/>
      <c r="O76" s="2" t="s">
        <v>463</v>
      </c>
      <c r="P76" s="2"/>
      <c r="Q76" s="2" t="s">
        <v>62</v>
      </c>
      <c r="R76" s="2" t="n">
        <v>0.8</v>
      </c>
      <c r="S76" s="2" t="s">
        <v>452</v>
      </c>
      <c r="T76" s="2" t="s">
        <v>453</v>
      </c>
      <c r="U76" s="2" t="s">
        <v>454</v>
      </c>
      <c r="V76" s="2" t="s">
        <v>455</v>
      </c>
      <c r="W76" s="2" t="s">
        <v>159</v>
      </c>
      <c r="X76" s="2" t="s">
        <v>68</v>
      </c>
    </row>
    <row r="77" customFormat="false" ht="15" hidden="false" customHeight="false" outlineLevel="0" collapsed="false">
      <c r="A77" s="2" t="n">
        <v>26</v>
      </c>
      <c r="B77" s="2" t="s">
        <v>51</v>
      </c>
      <c r="C77" s="2" t="s">
        <v>464</v>
      </c>
      <c r="D77" s="2" t="s">
        <v>53</v>
      </c>
      <c r="E77" s="2" t="s">
        <v>450</v>
      </c>
      <c r="F77" s="2" t="s">
        <v>347</v>
      </c>
      <c r="G77" s="2" t="s">
        <v>348</v>
      </c>
      <c r="H77" s="2" t="s">
        <v>107</v>
      </c>
      <c r="I77" s="2" t="s">
        <v>58</v>
      </c>
      <c r="J77" s="2" t="n">
        <v>-6.903</v>
      </c>
      <c r="K77" s="2" t="n">
        <v>107.625</v>
      </c>
      <c r="L77" s="2" t="s">
        <v>59</v>
      </c>
      <c r="M77" s="2" t="s">
        <v>60</v>
      </c>
      <c r="N77" s="2"/>
      <c r="O77" s="2" t="s">
        <v>465</v>
      </c>
      <c r="P77" s="2"/>
      <c r="Q77" s="2" t="s">
        <v>62</v>
      </c>
      <c r="R77" s="2" t="n">
        <v>0.8</v>
      </c>
      <c r="S77" s="2" t="s">
        <v>452</v>
      </c>
      <c r="T77" s="2" t="s">
        <v>453</v>
      </c>
      <c r="U77" s="2" t="s">
        <v>454</v>
      </c>
      <c r="V77" s="2" t="s">
        <v>455</v>
      </c>
      <c r="W77" s="2" t="s">
        <v>159</v>
      </c>
      <c r="X77" s="2" t="s">
        <v>68</v>
      </c>
    </row>
    <row r="78" customFormat="false" ht="15" hidden="false" customHeight="false" outlineLevel="0" collapsed="false">
      <c r="A78" s="2" t="n">
        <v>26</v>
      </c>
      <c r="B78" s="2" t="s">
        <v>51</v>
      </c>
      <c r="C78" s="2" t="s">
        <v>466</v>
      </c>
      <c r="D78" s="2" t="s">
        <v>53</v>
      </c>
      <c r="E78" s="2" t="s">
        <v>450</v>
      </c>
      <c r="F78" s="2" t="s">
        <v>347</v>
      </c>
      <c r="G78" s="2" t="s">
        <v>348</v>
      </c>
      <c r="H78" s="2" t="s">
        <v>107</v>
      </c>
      <c r="I78" s="2" t="s">
        <v>58</v>
      </c>
      <c r="J78" s="2" t="n">
        <v>-6.903</v>
      </c>
      <c r="K78" s="2" t="n">
        <v>107.625</v>
      </c>
      <c r="L78" s="2" t="s">
        <v>59</v>
      </c>
      <c r="M78" s="2" t="s">
        <v>60</v>
      </c>
      <c r="N78" s="2"/>
      <c r="O78" s="2" t="s">
        <v>467</v>
      </c>
      <c r="P78" s="2"/>
      <c r="Q78" s="2" t="s">
        <v>62</v>
      </c>
      <c r="R78" s="2" t="n">
        <v>0.8</v>
      </c>
      <c r="S78" s="2" t="s">
        <v>452</v>
      </c>
      <c r="T78" s="2" t="s">
        <v>453</v>
      </c>
      <c r="U78" s="2" t="s">
        <v>454</v>
      </c>
      <c r="V78" s="2" t="s">
        <v>455</v>
      </c>
      <c r="W78" s="2" t="s">
        <v>159</v>
      </c>
      <c r="X78" s="2" t="s">
        <v>68</v>
      </c>
    </row>
    <row r="79" customFormat="false" ht="15" hidden="false" customHeight="false" outlineLevel="0" collapsed="false">
      <c r="A79" s="2" t="n">
        <v>27</v>
      </c>
      <c r="B79" s="2" t="s">
        <v>51</v>
      </c>
      <c r="C79" s="2" t="s">
        <v>468</v>
      </c>
      <c r="D79" s="2" t="s">
        <v>53</v>
      </c>
      <c r="E79" s="2" t="s">
        <v>469</v>
      </c>
      <c r="F79" s="2" t="s">
        <v>470</v>
      </c>
      <c r="G79" s="2" t="s">
        <v>237</v>
      </c>
      <c r="H79" s="2" t="s">
        <v>366</v>
      </c>
      <c r="I79" s="2" t="s">
        <v>238</v>
      </c>
      <c r="J79" s="2" t="n">
        <v>-6.176</v>
      </c>
      <c r="K79" s="2" t="n">
        <v>106.632</v>
      </c>
      <c r="L79" s="2" t="s">
        <v>59</v>
      </c>
      <c r="M79" s="2" t="s">
        <v>60</v>
      </c>
      <c r="N79" s="2"/>
      <c r="O79" s="2" t="s">
        <v>471</v>
      </c>
      <c r="P79" s="2"/>
      <c r="Q79" s="2" t="s">
        <v>62</v>
      </c>
      <c r="R79" s="2" t="n">
        <v>0.9</v>
      </c>
      <c r="S79" s="2" t="s">
        <v>472</v>
      </c>
      <c r="T79" s="2" t="s">
        <v>473</v>
      </c>
      <c r="U79" s="2" t="s">
        <v>474</v>
      </c>
      <c r="V79" s="2" t="s">
        <v>475</v>
      </c>
      <c r="W79" s="2" t="s">
        <v>476</v>
      </c>
      <c r="X79" s="2" t="s">
        <v>68</v>
      </c>
    </row>
    <row r="80" customFormat="false" ht="15" hidden="false" customHeight="false" outlineLevel="0" collapsed="false">
      <c r="A80" s="2" t="n">
        <v>29</v>
      </c>
      <c r="B80" s="2" t="s">
        <v>51</v>
      </c>
      <c r="C80" s="2" t="s">
        <v>477</v>
      </c>
      <c r="D80" s="2" t="s">
        <v>121</v>
      </c>
      <c r="E80" s="2" t="s">
        <v>478</v>
      </c>
      <c r="F80" s="2"/>
      <c r="G80" s="2"/>
      <c r="H80" s="2" t="s">
        <v>479</v>
      </c>
      <c r="I80" s="2" t="s">
        <v>403</v>
      </c>
      <c r="J80" s="2" t="n">
        <v>-5.147</v>
      </c>
      <c r="K80" s="2" t="n">
        <v>119.432</v>
      </c>
      <c r="L80" s="2" t="s">
        <v>101</v>
      </c>
      <c r="M80" s="2" t="s">
        <v>340</v>
      </c>
      <c r="N80" s="2" t="s">
        <v>480</v>
      </c>
      <c r="O80" s="2" t="s">
        <v>481</v>
      </c>
      <c r="P80" s="2" t="s">
        <v>482</v>
      </c>
      <c r="Q80" s="2" t="s">
        <v>110</v>
      </c>
      <c r="R80" s="2" t="n">
        <v>0.85</v>
      </c>
      <c r="S80" s="2" t="s">
        <v>483</v>
      </c>
      <c r="T80" s="2" t="s">
        <v>484</v>
      </c>
      <c r="U80" s="2" t="s">
        <v>485</v>
      </c>
      <c r="V80" s="2" t="s">
        <v>486</v>
      </c>
      <c r="W80" s="2" t="s">
        <v>487</v>
      </c>
      <c r="X80" s="2" t="s">
        <v>68</v>
      </c>
    </row>
    <row r="81" customFormat="false" ht="15" hidden="false" customHeight="false" outlineLevel="0" collapsed="false">
      <c r="A81" s="2" t="n">
        <v>31</v>
      </c>
      <c r="B81" s="2" t="s">
        <v>488</v>
      </c>
      <c r="C81" s="2" t="s">
        <v>489</v>
      </c>
      <c r="D81" s="2" t="s">
        <v>134</v>
      </c>
      <c r="E81" s="2" t="s">
        <v>290</v>
      </c>
      <c r="F81" s="2"/>
      <c r="G81" s="2"/>
      <c r="H81" s="2" t="s">
        <v>279</v>
      </c>
      <c r="I81" s="2" t="s">
        <v>58</v>
      </c>
      <c r="J81" s="2" t="n">
        <v>-6.402</v>
      </c>
      <c r="K81" s="2" t="n">
        <v>106.795</v>
      </c>
      <c r="L81" s="2" t="s">
        <v>101</v>
      </c>
      <c r="M81" s="2" t="s">
        <v>60</v>
      </c>
      <c r="N81" s="2"/>
      <c r="O81" s="2" t="s">
        <v>490</v>
      </c>
      <c r="P81" s="2"/>
      <c r="Q81" s="2" t="s">
        <v>110</v>
      </c>
      <c r="R81" s="2" t="n">
        <v>0.85</v>
      </c>
      <c r="S81" s="2" t="s">
        <v>491</v>
      </c>
      <c r="T81" s="2" t="s">
        <v>492</v>
      </c>
      <c r="U81" s="2" t="s">
        <v>493</v>
      </c>
      <c r="V81" s="2" t="s">
        <v>494</v>
      </c>
      <c r="W81" s="2" t="s">
        <v>495</v>
      </c>
      <c r="X81" s="2" t="s">
        <v>68</v>
      </c>
    </row>
    <row r="82" customFormat="false" ht="15" hidden="false" customHeight="false" outlineLevel="0" collapsed="false">
      <c r="A82" s="2" t="n">
        <v>31</v>
      </c>
      <c r="B82" s="2" t="s">
        <v>488</v>
      </c>
      <c r="C82" s="2" t="s">
        <v>496</v>
      </c>
      <c r="D82" s="2" t="s">
        <v>53</v>
      </c>
      <c r="E82" s="2" t="s">
        <v>290</v>
      </c>
      <c r="F82" s="2"/>
      <c r="G82" s="2"/>
      <c r="H82" s="2" t="s">
        <v>279</v>
      </c>
      <c r="I82" s="2" t="s">
        <v>58</v>
      </c>
      <c r="J82" s="2" t="n">
        <v>-6.402</v>
      </c>
      <c r="K82" s="2" t="n">
        <v>106.795</v>
      </c>
      <c r="L82" s="2" t="s">
        <v>101</v>
      </c>
      <c r="M82" s="2" t="s">
        <v>60</v>
      </c>
      <c r="N82" s="2"/>
      <c r="O82" s="2" t="s">
        <v>497</v>
      </c>
      <c r="P82" s="2"/>
      <c r="Q82" s="2" t="s">
        <v>110</v>
      </c>
      <c r="R82" s="2" t="n">
        <v>0.75</v>
      </c>
      <c r="S82" s="2" t="s">
        <v>491</v>
      </c>
      <c r="T82" s="2" t="s">
        <v>492</v>
      </c>
      <c r="U82" s="2" t="s">
        <v>493</v>
      </c>
      <c r="V82" s="2" t="s">
        <v>494</v>
      </c>
      <c r="W82" s="2" t="s">
        <v>495</v>
      </c>
      <c r="X82" s="2" t="s">
        <v>68</v>
      </c>
    </row>
    <row r="83" customFormat="false" ht="15" hidden="false" customHeight="false" outlineLevel="0" collapsed="false">
      <c r="A83" s="2" t="n">
        <v>31</v>
      </c>
      <c r="B83" s="2" t="s">
        <v>488</v>
      </c>
      <c r="C83" s="2" t="s">
        <v>498</v>
      </c>
      <c r="D83" s="2" t="s">
        <v>134</v>
      </c>
      <c r="E83" s="2" t="s">
        <v>290</v>
      </c>
      <c r="F83" s="2"/>
      <c r="G83" s="2"/>
      <c r="H83" s="2" t="s">
        <v>279</v>
      </c>
      <c r="I83" s="2" t="s">
        <v>58</v>
      </c>
      <c r="J83" s="2" t="n">
        <v>-6.402</v>
      </c>
      <c r="K83" s="2" t="n">
        <v>106.795</v>
      </c>
      <c r="L83" s="2" t="s">
        <v>101</v>
      </c>
      <c r="M83" s="2" t="s">
        <v>60</v>
      </c>
      <c r="N83" s="2"/>
      <c r="O83" s="2" t="s">
        <v>499</v>
      </c>
      <c r="P83" s="2"/>
      <c r="Q83" s="2" t="s">
        <v>110</v>
      </c>
      <c r="R83" s="2" t="n">
        <v>0.85</v>
      </c>
      <c r="S83" s="2" t="s">
        <v>491</v>
      </c>
      <c r="T83" s="2" t="s">
        <v>492</v>
      </c>
      <c r="U83" s="2" t="s">
        <v>493</v>
      </c>
      <c r="V83" s="2" t="s">
        <v>494</v>
      </c>
      <c r="W83" s="2" t="s">
        <v>495</v>
      </c>
      <c r="X83" s="2" t="s">
        <v>68</v>
      </c>
    </row>
    <row r="84" customFormat="false" ht="15" hidden="false" customHeight="false" outlineLevel="0" collapsed="false">
      <c r="A84" s="2" t="n">
        <v>32</v>
      </c>
      <c r="B84" s="2" t="s">
        <v>488</v>
      </c>
      <c r="C84" s="2" t="s">
        <v>500</v>
      </c>
      <c r="D84" s="2" t="s">
        <v>351</v>
      </c>
      <c r="E84" s="2" t="s">
        <v>423</v>
      </c>
      <c r="F84" s="2" t="s">
        <v>424</v>
      </c>
      <c r="G84" s="2" t="s">
        <v>425</v>
      </c>
      <c r="H84" s="2" t="s">
        <v>426</v>
      </c>
      <c r="I84" s="2" t="s">
        <v>74</v>
      </c>
      <c r="J84" s="2" t="n">
        <v>-6.244</v>
      </c>
      <c r="K84" s="2" t="n">
        <v>106.8</v>
      </c>
      <c r="L84" s="2" t="s">
        <v>124</v>
      </c>
      <c r="M84" s="2" t="s">
        <v>60</v>
      </c>
      <c r="N84" s="2"/>
      <c r="O84" s="2" t="s">
        <v>501</v>
      </c>
      <c r="P84" s="2"/>
      <c r="Q84" s="2" t="s">
        <v>110</v>
      </c>
      <c r="R84" s="2" t="n">
        <v>0.8</v>
      </c>
      <c r="S84" s="2" t="s">
        <v>502</v>
      </c>
      <c r="T84" s="2" t="s">
        <v>503</v>
      </c>
      <c r="U84" s="2" t="s">
        <v>504</v>
      </c>
      <c r="V84" s="2" t="s">
        <v>505</v>
      </c>
      <c r="W84" s="2" t="s">
        <v>506</v>
      </c>
      <c r="X84" s="2" t="s">
        <v>507</v>
      </c>
    </row>
    <row r="85" customFormat="false" ht="15" hidden="false" customHeight="false" outlineLevel="0" collapsed="false">
      <c r="A85" s="2" t="n">
        <v>33</v>
      </c>
      <c r="B85" s="2" t="s">
        <v>488</v>
      </c>
      <c r="C85" s="2" t="s">
        <v>350</v>
      </c>
      <c r="D85" s="2" t="s">
        <v>351</v>
      </c>
      <c r="E85" s="2" t="s">
        <v>508</v>
      </c>
      <c r="F85" s="2" t="s">
        <v>347</v>
      </c>
      <c r="G85" s="2" t="s">
        <v>348</v>
      </c>
      <c r="H85" s="2" t="s">
        <v>107</v>
      </c>
      <c r="I85" s="2" t="s">
        <v>58</v>
      </c>
      <c r="J85" s="2" t="n">
        <v>-6.903</v>
      </c>
      <c r="K85" s="2" t="n">
        <v>107.625</v>
      </c>
      <c r="L85" s="2" t="s">
        <v>59</v>
      </c>
      <c r="M85" s="2" t="s">
        <v>60</v>
      </c>
      <c r="N85" s="2"/>
      <c r="O85" s="2" t="s">
        <v>509</v>
      </c>
      <c r="P85" s="2"/>
      <c r="Q85" s="2" t="s">
        <v>110</v>
      </c>
      <c r="R85" s="2" t="n">
        <v>0.85</v>
      </c>
      <c r="S85" s="2" t="s">
        <v>510</v>
      </c>
      <c r="T85" s="2" t="s">
        <v>453</v>
      </c>
      <c r="U85" s="2" t="s">
        <v>511</v>
      </c>
      <c r="V85" s="2" t="s">
        <v>455</v>
      </c>
      <c r="W85" s="2" t="s">
        <v>512</v>
      </c>
      <c r="X85" s="2" t="s">
        <v>68</v>
      </c>
    </row>
    <row r="86" customFormat="false" ht="15" hidden="false" customHeight="false" outlineLevel="0" collapsed="false">
      <c r="A86" s="2" t="n">
        <v>33</v>
      </c>
      <c r="B86" s="2" t="s">
        <v>488</v>
      </c>
      <c r="C86" s="2" t="s">
        <v>513</v>
      </c>
      <c r="D86" s="2" t="s">
        <v>134</v>
      </c>
      <c r="E86" s="2" t="s">
        <v>508</v>
      </c>
      <c r="F86" s="2" t="s">
        <v>347</v>
      </c>
      <c r="G86" s="2" t="s">
        <v>348</v>
      </c>
      <c r="H86" s="2" t="s">
        <v>107</v>
      </c>
      <c r="I86" s="2" t="s">
        <v>58</v>
      </c>
      <c r="J86" s="2" t="n">
        <v>-6.903</v>
      </c>
      <c r="K86" s="2" t="n">
        <v>107.625</v>
      </c>
      <c r="L86" s="2" t="s">
        <v>59</v>
      </c>
      <c r="M86" s="2" t="s">
        <v>60</v>
      </c>
      <c r="N86" s="2"/>
      <c r="O86" s="2" t="s">
        <v>514</v>
      </c>
      <c r="P86" s="2"/>
      <c r="Q86" s="2" t="s">
        <v>110</v>
      </c>
      <c r="R86" s="2" t="n">
        <v>0.8</v>
      </c>
      <c r="S86" s="2" t="s">
        <v>510</v>
      </c>
      <c r="T86" s="2" t="s">
        <v>453</v>
      </c>
      <c r="U86" s="2" t="s">
        <v>511</v>
      </c>
      <c r="V86" s="2" t="s">
        <v>455</v>
      </c>
      <c r="W86" s="2" t="s">
        <v>512</v>
      </c>
      <c r="X86" s="2" t="s">
        <v>68</v>
      </c>
    </row>
    <row r="87" customFormat="false" ht="15" hidden="false" customHeight="false" outlineLevel="0" collapsed="false">
      <c r="A87" s="2" t="n">
        <v>33</v>
      </c>
      <c r="B87" s="2" t="s">
        <v>488</v>
      </c>
      <c r="C87" s="2" t="s">
        <v>515</v>
      </c>
      <c r="D87" s="2" t="s">
        <v>53</v>
      </c>
      <c r="E87" s="2" t="s">
        <v>508</v>
      </c>
      <c r="F87" s="2" t="s">
        <v>347</v>
      </c>
      <c r="G87" s="2" t="s">
        <v>348</v>
      </c>
      <c r="H87" s="2" t="s">
        <v>107</v>
      </c>
      <c r="I87" s="2" t="s">
        <v>58</v>
      </c>
      <c r="J87" s="2" t="n">
        <v>-6.903</v>
      </c>
      <c r="K87" s="2" t="n">
        <v>107.625</v>
      </c>
      <c r="L87" s="2" t="s">
        <v>59</v>
      </c>
      <c r="M87" s="2" t="s">
        <v>60</v>
      </c>
      <c r="N87" s="2"/>
      <c r="O87" s="2" t="s">
        <v>516</v>
      </c>
      <c r="P87" s="2"/>
      <c r="Q87" s="2" t="s">
        <v>62</v>
      </c>
      <c r="R87" s="2" t="n">
        <v>0.5</v>
      </c>
      <c r="S87" s="2" t="s">
        <v>510</v>
      </c>
      <c r="T87" s="2" t="s">
        <v>453</v>
      </c>
      <c r="U87" s="2" t="s">
        <v>511</v>
      </c>
      <c r="V87" s="2" t="s">
        <v>455</v>
      </c>
      <c r="W87" s="2" t="s">
        <v>512</v>
      </c>
      <c r="X87" s="2" t="s">
        <v>68</v>
      </c>
    </row>
    <row r="88" customFormat="false" ht="15" hidden="false" customHeight="false" outlineLevel="0" collapsed="false">
      <c r="A88" s="2" t="n">
        <v>33</v>
      </c>
      <c r="B88" s="2" t="s">
        <v>488</v>
      </c>
      <c r="C88" s="2" t="s">
        <v>517</v>
      </c>
      <c r="D88" s="2" t="s">
        <v>53</v>
      </c>
      <c r="E88" s="2" t="s">
        <v>508</v>
      </c>
      <c r="F88" s="2" t="s">
        <v>347</v>
      </c>
      <c r="G88" s="2" t="s">
        <v>348</v>
      </c>
      <c r="H88" s="2" t="s">
        <v>107</v>
      </c>
      <c r="I88" s="2" t="s">
        <v>58</v>
      </c>
      <c r="J88" s="2" t="n">
        <v>-6.903</v>
      </c>
      <c r="K88" s="2" t="n">
        <v>107.625</v>
      </c>
      <c r="L88" s="2" t="s">
        <v>59</v>
      </c>
      <c r="M88" s="2" t="s">
        <v>60</v>
      </c>
      <c r="N88" s="2"/>
      <c r="O88" s="2" t="s">
        <v>516</v>
      </c>
      <c r="P88" s="2"/>
      <c r="Q88" s="2" t="s">
        <v>62</v>
      </c>
      <c r="R88" s="2" t="n">
        <v>0.5</v>
      </c>
      <c r="S88" s="2" t="s">
        <v>510</v>
      </c>
      <c r="T88" s="2" t="s">
        <v>453</v>
      </c>
      <c r="U88" s="2" t="s">
        <v>511</v>
      </c>
      <c r="V88" s="2" t="s">
        <v>455</v>
      </c>
      <c r="W88" s="2" t="s">
        <v>512</v>
      </c>
      <c r="X88" s="2" t="s">
        <v>68</v>
      </c>
    </row>
    <row r="89" customFormat="false" ht="15" hidden="false" customHeight="false" outlineLevel="0" collapsed="false">
      <c r="A89" s="2" t="n">
        <v>33</v>
      </c>
      <c r="B89" s="2" t="s">
        <v>488</v>
      </c>
      <c r="C89" s="2" t="s">
        <v>518</v>
      </c>
      <c r="D89" s="2" t="s">
        <v>53</v>
      </c>
      <c r="E89" s="2" t="s">
        <v>508</v>
      </c>
      <c r="F89" s="2" t="s">
        <v>347</v>
      </c>
      <c r="G89" s="2" t="s">
        <v>348</v>
      </c>
      <c r="H89" s="2" t="s">
        <v>107</v>
      </c>
      <c r="I89" s="2" t="s">
        <v>58</v>
      </c>
      <c r="J89" s="2" t="n">
        <v>-6.903</v>
      </c>
      <c r="K89" s="2" t="n">
        <v>107.625</v>
      </c>
      <c r="L89" s="2" t="s">
        <v>59</v>
      </c>
      <c r="M89" s="2" t="s">
        <v>60</v>
      </c>
      <c r="N89" s="2"/>
      <c r="O89" s="2" t="s">
        <v>519</v>
      </c>
      <c r="P89" s="2"/>
      <c r="Q89" s="2" t="s">
        <v>110</v>
      </c>
      <c r="R89" s="2" t="n">
        <v>0.8</v>
      </c>
      <c r="S89" s="2" t="s">
        <v>510</v>
      </c>
      <c r="T89" s="2" t="s">
        <v>453</v>
      </c>
      <c r="U89" s="2" t="s">
        <v>511</v>
      </c>
      <c r="V89" s="2" t="s">
        <v>455</v>
      </c>
      <c r="W89" s="2" t="s">
        <v>512</v>
      </c>
      <c r="X89" s="2" t="s">
        <v>68</v>
      </c>
    </row>
    <row r="90" customFormat="false" ht="15" hidden="false" customHeight="false" outlineLevel="0" collapsed="false">
      <c r="A90" s="2" t="n">
        <v>33</v>
      </c>
      <c r="B90" s="2" t="s">
        <v>488</v>
      </c>
      <c r="C90" s="2" t="s">
        <v>520</v>
      </c>
      <c r="D90" s="2" t="s">
        <v>134</v>
      </c>
      <c r="E90" s="2" t="s">
        <v>508</v>
      </c>
      <c r="F90" s="2" t="s">
        <v>347</v>
      </c>
      <c r="G90" s="2" t="s">
        <v>348</v>
      </c>
      <c r="H90" s="2" t="s">
        <v>107</v>
      </c>
      <c r="I90" s="2" t="s">
        <v>58</v>
      </c>
      <c r="J90" s="2" t="n">
        <v>-6.903</v>
      </c>
      <c r="K90" s="2" t="n">
        <v>107.625</v>
      </c>
      <c r="L90" s="2" t="s">
        <v>59</v>
      </c>
      <c r="M90" s="2" t="s">
        <v>60</v>
      </c>
      <c r="N90" s="2"/>
      <c r="O90" s="2" t="s">
        <v>521</v>
      </c>
      <c r="P90" s="2"/>
      <c r="Q90" s="2" t="s">
        <v>110</v>
      </c>
      <c r="R90" s="2" t="n">
        <v>0.7</v>
      </c>
      <c r="S90" s="2" t="s">
        <v>510</v>
      </c>
      <c r="T90" s="2" t="s">
        <v>453</v>
      </c>
      <c r="U90" s="2" t="s">
        <v>511</v>
      </c>
      <c r="V90" s="2" t="s">
        <v>455</v>
      </c>
      <c r="W90" s="2" t="s">
        <v>512</v>
      </c>
      <c r="X90" s="2" t="s">
        <v>68</v>
      </c>
    </row>
    <row r="91" customFormat="false" ht="15" hidden="false" customHeight="false" outlineLevel="0" collapsed="false">
      <c r="A91" s="2" t="n">
        <v>33</v>
      </c>
      <c r="B91" s="2" t="s">
        <v>488</v>
      </c>
      <c r="C91" s="2" t="s">
        <v>522</v>
      </c>
      <c r="D91" s="2" t="s">
        <v>53</v>
      </c>
      <c r="E91" s="2" t="s">
        <v>508</v>
      </c>
      <c r="F91" s="2" t="s">
        <v>347</v>
      </c>
      <c r="G91" s="2" t="s">
        <v>348</v>
      </c>
      <c r="H91" s="2" t="s">
        <v>107</v>
      </c>
      <c r="I91" s="2" t="s">
        <v>58</v>
      </c>
      <c r="J91" s="2" t="n">
        <v>-6.903</v>
      </c>
      <c r="K91" s="2" t="n">
        <v>107.625</v>
      </c>
      <c r="L91" s="2" t="s">
        <v>59</v>
      </c>
      <c r="M91" s="2" t="s">
        <v>60</v>
      </c>
      <c r="N91" s="2"/>
      <c r="O91" s="2" t="s">
        <v>523</v>
      </c>
      <c r="P91" s="2"/>
      <c r="Q91" s="2" t="s">
        <v>110</v>
      </c>
      <c r="R91" s="2" t="n">
        <v>0.85</v>
      </c>
      <c r="S91" s="2" t="s">
        <v>510</v>
      </c>
      <c r="T91" s="2" t="s">
        <v>453</v>
      </c>
      <c r="U91" s="2" t="s">
        <v>511</v>
      </c>
      <c r="V91" s="2" t="s">
        <v>455</v>
      </c>
      <c r="W91" s="2" t="s">
        <v>512</v>
      </c>
      <c r="X91" s="2" t="s">
        <v>68</v>
      </c>
    </row>
    <row r="92" customFormat="false" ht="15" hidden="false" customHeight="false" outlineLevel="0" collapsed="false">
      <c r="A92" s="2" t="n">
        <v>34</v>
      </c>
      <c r="B92" s="2" t="s">
        <v>488</v>
      </c>
      <c r="C92" s="2" t="s">
        <v>524</v>
      </c>
      <c r="D92" s="2" t="s">
        <v>351</v>
      </c>
      <c r="E92" s="2" t="s">
        <v>525</v>
      </c>
      <c r="F92" s="2" t="s">
        <v>526</v>
      </c>
      <c r="G92" s="2" t="s">
        <v>80</v>
      </c>
      <c r="H92" s="2" t="s">
        <v>73</v>
      </c>
      <c r="I92" s="2" t="s">
        <v>74</v>
      </c>
      <c r="J92" s="2" t="n">
        <v>-6.1845</v>
      </c>
      <c r="K92" s="2" t="n">
        <v>106.8265</v>
      </c>
      <c r="L92" s="2" t="s">
        <v>124</v>
      </c>
      <c r="M92" s="2" t="s">
        <v>60</v>
      </c>
      <c r="N92" s="2"/>
      <c r="O92" s="2" t="s">
        <v>527</v>
      </c>
      <c r="P92" s="2"/>
      <c r="Q92" s="2" t="s">
        <v>62</v>
      </c>
      <c r="R92" s="2" t="n">
        <v>0.8</v>
      </c>
      <c r="S92" s="2" t="s">
        <v>528</v>
      </c>
      <c r="T92" s="2" t="s">
        <v>156</v>
      </c>
      <c r="U92" s="2" t="s">
        <v>529</v>
      </c>
      <c r="V92" s="2" t="s">
        <v>158</v>
      </c>
      <c r="W92" s="2" t="s">
        <v>530</v>
      </c>
      <c r="X92" s="2" t="s">
        <v>160</v>
      </c>
    </row>
    <row r="93" customFormat="false" ht="15" hidden="false" customHeight="false" outlineLevel="0" collapsed="false">
      <c r="A93" s="2" t="n">
        <v>35</v>
      </c>
      <c r="B93" s="2" t="s">
        <v>488</v>
      </c>
      <c r="C93" s="2" t="s">
        <v>531</v>
      </c>
      <c r="D93" s="2" t="s">
        <v>53</v>
      </c>
      <c r="E93" s="2" t="s">
        <v>532</v>
      </c>
      <c r="F93" s="2" t="s">
        <v>470</v>
      </c>
      <c r="G93" s="2" t="s">
        <v>237</v>
      </c>
      <c r="H93" s="2" t="s">
        <v>366</v>
      </c>
      <c r="I93" s="2" t="s">
        <v>238</v>
      </c>
      <c r="J93" s="2" t="n">
        <v>-6.176</v>
      </c>
      <c r="K93" s="2" t="n">
        <v>106.632</v>
      </c>
      <c r="L93" s="2" t="s">
        <v>59</v>
      </c>
      <c r="M93" s="2" t="s">
        <v>60</v>
      </c>
      <c r="N93" s="2" t="s">
        <v>533</v>
      </c>
      <c r="O93" s="2" t="s">
        <v>534</v>
      </c>
      <c r="P93" s="2"/>
      <c r="Q93" s="2" t="s">
        <v>62</v>
      </c>
      <c r="R93" s="2" t="n">
        <v>0.85</v>
      </c>
      <c r="S93" s="2" t="s">
        <v>535</v>
      </c>
      <c r="T93" s="2" t="s">
        <v>536</v>
      </c>
      <c r="U93" s="2" t="s">
        <v>537</v>
      </c>
      <c r="V93" s="2" t="s">
        <v>475</v>
      </c>
      <c r="W93" s="2" t="s">
        <v>538</v>
      </c>
      <c r="X93" s="2" t="s">
        <v>68</v>
      </c>
    </row>
    <row r="94" customFormat="false" ht="15" hidden="false" customHeight="false" outlineLevel="0" collapsed="false">
      <c r="A94" s="2" t="n">
        <v>35</v>
      </c>
      <c r="B94" s="2" t="s">
        <v>488</v>
      </c>
      <c r="C94" s="2" t="s">
        <v>539</v>
      </c>
      <c r="D94" s="2" t="s">
        <v>53</v>
      </c>
      <c r="E94" s="2" t="s">
        <v>540</v>
      </c>
      <c r="F94" s="2" t="s">
        <v>470</v>
      </c>
      <c r="G94" s="2" t="s">
        <v>237</v>
      </c>
      <c r="H94" s="2" t="s">
        <v>366</v>
      </c>
      <c r="I94" s="2" t="s">
        <v>238</v>
      </c>
      <c r="J94" s="2" t="n">
        <v>-6.176</v>
      </c>
      <c r="K94" s="2" t="n">
        <v>106.632</v>
      </c>
      <c r="L94" s="2" t="s">
        <v>59</v>
      </c>
      <c r="M94" s="2" t="s">
        <v>60</v>
      </c>
      <c r="N94" s="2"/>
      <c r="O94" s="2" t="s">
        <v>541</v>
      </c>
      <c r="P94" s="2"/>
      <c r="Q94" s="2" t="s">
        <v>62</v>
      </c>
      <c r="R94" s="2" t="n">
        <v>0.85</v>
      </c>
      <c r="S94" s="2" t="s">
        <v>535</v>
      </c>
      <c r="T94" s="2" t="s">
        <v>536</v>
      </c>
      <c r="U94" s="2" t="s">
        <v>537</v>
      </c>
      <c r="V94" s="2" t="s">
        <v>475</v>
      </c>
      <c r="W94" s="2" t="s">
        <v>538</v>
      </c>
      <c r="X94" s="2" t="s">
        <v>68</v>
      </c>
    </row>
    <row r="95" customFormat="false" ht="15" hidden="false" customHeight="false" outlineLevel="0" collapsed="false">
      <c r="A95" s="2" t="n">
        <v>35</v>
      </c>
      <c r="B95" s="2" t="s">
        <v>488</v>
      </c>
      <c r="C95" s="2" t="s">
        <v>542</v>
      </c>
      <c r="D95" s="2" t="s">
        <v>53</v>
      </c>
      <c r="E95" s="2" t="s">
        <v>543</v>
      </c>
      <c r="F95" s="2" t="s">
        <v>470</v>
      </c>
      <c r="G95" s="2" t="s">
        <v>237</v>
      </c>
      <c r="H95" s="2" t="s">
        <v>366</v>
      </c>
      <c r="I95" s="2" t="s">
        <v>238</v>
      </c>
      <c r="J95" s="2" t="n">
        <v>-6.176</v>
      </c>
      <c r="K95" s="2" t="n">
        <v>106.632</v>
      </c>
      <c r="L95" s="2" t="s">
        <v>59</v>
      </c>
      <c r="M95" s="2" t="s">
        <v>60</v>
      </c>
      <c r="N95" s="2" t="s">
        <v>533</v>
      </c>
      <c r="O95" s="2" t="s">
        <v>544</v>
      </c>
      <c r="P95" s="2"/>
      <c r="Q95" s="2" t="s">
        <v>62</v>
      </c>
      <c r="R95" s="2" t="n">
        <v>0.85</v>
      </c>
      <c r="S95" s="2" t="s">
        <v>535</v>
      </c>
      <c r="T95" s="2" t="s">
        <v>536</v>
      </c>
      <c r="U95" s="2" t="s">
        <v>537</v>
      </c>
      <c r="V95" s="2" t="s">
        <v>475</v>
      </c>
      <c r="W95" s="2" t="s">
        <v>538</v>
      </c>
      <c r="X95" s="2" t="s">
        <v>68</v>
      </c>
    </row>
    <row r="96" customFormat="false" ht="15" hidden="false" customHeight="false" outlineLevel="0" collapsed="false">
      <c r="A96" s="2" t="n">
        <v>35</v>
      </c>
      <c r="B96" s="2" t="s">
        <v>488</v>
      </c>
      <c r="C96" s="2" t="s">
        <v>545</v>
      </c>
      <c r="D96" s="2" t="s">
        <v>53</v>
      </c>
      <c r="E96" s="2" t="s">
        <v>546</v>
      </c>
      <c r="F96" s="2" t="s">
        <v>470</v>
      </c>
      <c r="G96" s="2" t="s">
        <v>237</v>
      </c>
      <c r="H96" s="2" t="s">
        <v>366</v>
      </c>
      <c r="I96" s="2" t="s">
        <v>238</v>
      </c>
      <c r="J96" s="2" t="n">
        <v>-6.176</v>
      </c>
      <c r="K96" s="2" t="n">
        <v>106.632</v>
      </c>
      <c r="L96" s="2" t="s">
        <v>59</v>
      </c>
      <c r="M96" s="2" t="s">
        <v>60</v>
      </c>
      <c r="N96" s="2"/>
      <c r="O96" s="2" t="s">
        <v>547</v>
      </c>
      <c r="P96" s="2"/>
      <c r="Q96" s="2" t="s">
        <v>62</v>
      </c>
      <c r="R96" s="2" t="n">
        <v>0.85</v>
      </c>
      <c r="S96" s="2" t="s">
        <v>535</v>
      </c>
      <c r="T96" s="2" t="s">
        <v>536</v>
      </c>
      <c r="U96" s="2" t="s">
        <v>537</v>
      </c>
      <c r="V96" s="2" t="s">
        <v>475</v>
      </c>
      <c r="W96" s="2" t="s">
        <v>538</v>
      </c>
      <c r="X96" s="2" t="s">
        <v>68</v>
      </c>
    </row>
    <row r="97" customFormat="false" ht="15" hidden="false" customHeight="false" outlineLevel="0" collapsed="false">
      <c r="A97" s="2" t="n">
        <v>35</v>
      </c>
      <c r="B97" s="2" t="s">
        <v>488</v>
      </c>
      <c r="C97" s="2" t="s">
        <v>548</v>
      </c>
      <c r="D97" s="2" t="s">
        <v>53</v>
      </c>
      <c r="E97" s="2" t="s">
        <v>549</v>
      </c>
      <c r="F97" s="2"/>
      <c r="G97" s="2" t="s">
        <v>550</v>
      </c>
      <c r="H97" s="2" t="s">
        <v>366</v>
      </c>
      <c r="I97" s="2" t="s">
        <v>238</v>
      </c>
      <c r="J97" s="2" t="n">
        <v>-6.185</v>
      </c>
      <c r="K97" s="2" t="n">
        <v>106.69</v>
      </c>
      <c r="L97" s="2" t="s">
        <v>84</v>
      </c>
      <c r="M97" s="2" t="s">
        <v>60</v>
      </c>
      <c r="N97" s="2"/>
      <c r="O97" s="2" t="s">
        <v>551</v>
      </c>
      <c r="P97" s="2"/>
      <c r="Q97" s="2" t="s">
        <v>62</v>
      </c>
      <c r="R97" s="2" t="n">
        <v>0.8</v>
      </c>
      <c r="S97" s="2" t="s">
        <v>535</v>
      </c>
      <c r="T97" s="2" t="s">
        <v>536</v>
      </c>
      <c r="U97" s="2" t="s">
        <v>537</v>
      </c>
      <c r="V97" s="2" t="s">
        <v>475</v>
      </c>
      <c r="W97" s="2" t="s">
        <v>538</v>
      </c>
      <c r="X97" s="2" t="s">
        <v>68</v>
      </c>
    </row>
    <row r="98" customFormat="false" ht="15" hidden="false" customHeight="false" outlineLevel="0" collapsed="false">
      <c r="A98" s="2" t="n">
        <v>37</v>
      </c>
      <c r="B98" s="2" t="s">
        <v>488</v>
      </c>
      <c r="C98" s="2" t="s">
        <v>552</v>
      </c>
      <c r="D98" s="2" t="s">
        <v>134</v>
      </c>
      <c r="E98" s="2" t="s">
        <v>553</v>
      </c>
      <c r="F98" s="2"/>
      <c r="G98" s="2"/>
      <c r="H98" s="2" t="s">
        <v>553</v>
      </c>
      <c r="I98" s="2" t="s">
        <v>554</v>
      </c>
      <c r="J98" s="2" t="n">
        <v>-3.695</v>
      </c>
      <c r="K98" s="2" t="n">
        <v>128.181</v>
      </c>
      <c r="L98" s="2" t="s">
        <v>101</v>
      </c>
      <c r="M98" s="2" t="s">
        <v>60</v>
      </c>
      <c r="N98" s="2"/>
      <c r="O98" s="2" t="s">
        <v>555</v>
      </c>
      <c r="P98" s="2"/>
      <c r="Q98" s="2" t="s">
        <v>62</v>
      </c>
      <c r="R98" s="2" t="n">
        <v>0.6</v>
      </c>
      <c r="S98" s="2" t="s">
        <v>556</v>
      </c>
      <c r="T98" s="2" t="s">
        <v>95</v>
      </c>
      <c r="U98" s="2" t="s">
        <v>557</v>
      </c>
      <c r="V98" s="2" t="s">
        <v>97</v>
      </c>
      <c r="W98" s="2" t="s">
        <v>321</v>
      </c>
      <c r="X98" s="2" t="s">
        <v>68</v>
      </c>
    </row>
    <row r="99" customFormat="false" ht="15" hidden="false" customHeight="false" outlineLevel="0" collapsed="false">
      <c r="A99" s="2" t="n">
        <v>37</v>
      </c>
      <c r="B99" s="2" t="s">
        <v>488</v>
      </c>
      <c r="C99" s="2" t="s">
        <v>558</v>
      </c>
      <c r="D99" s="2" t="s">
        <v>134</v>
      </c>
      <c r="E99" s="2" t="s">
        <v>553</v>
      </c>
      <c r="F99" s="2"/>
      <c r="G99" s="2"/>
      <c r="H99" s="2" t="s">
        <v>553</v>
      </c>
      <c r="I99" s="2" t="s">
        <v>554</v>
      </c>
      <c r="J99" s="2" t="n">
        <v>-3.695</v>
      </c>
      <c r="K99" s="2" t="n">
        <v>128.181</v>
      </c>
      <c r="L99" s="2" t="s">
        <v>101</v>
      </c>
      <c r="M99" s="2" t="s">
        <v>60</v>
      </c>
      <c r="N99" s="2"/>
      <c r="O99" s="2" t="s">
        <v>559</v>
      </c>
      <c r="P99" s="2"/>
      <c r="Q99" s="2" t="s">
        <v>62</v>
      </c>
      <c r="R99" s="2" t="n">
        <v>0.6</v>
      </c>
      <c r="S99" s="2" t="s">
        <v>556</v>
      </c>
      <c r="T99" s="2" t="s">
        <v>95</v>
      </c>
      <c r="U99" s="2" t="s">
        <v>557</v>
      </c>
      <c r="V99" s="2" t="s">
        <v>97</v>
      </c>
      <c r="W99" s="2" t="s">
        <v>321</v>
      </c>
      <c r="X99" s="2" t="s">
        <v>68</v>
      </c>
    </row>
    <row r="100" customFormat="false" ht="15" hidden="false" customHeight="false" outlineLevel="0" collapsed="false">
      <c r="A100" s="2" t="n">
        <v>37</v>
      </c>
      <c r="B100" s="2" t="s">
        <v>488</v>
      </c>
      <c r="C100" s="2" t="s">
        <v>560</v>
      </c>
      <c r="D100" s="2" t="s">
        <v>53</v>
      </c>
      <c r="E100" s="2" t="s">
        <v>553</v>
      </c>
      <c r="F100" s="2"/>
      <c r="G100" s="2"/>
      <c r="H100" s="2" t="s">
        <v>553</v>
      </c>
      <c r="I100" s="2" t="s">
        <v>554</v>
      </c>
      <c r="J100" s="2" t="n">
        <v>-3.695</v>
      </c>
      <c r="K100" s="2" t="n">
        <v>128.181</v>
      </c>
      <c r="L100" s="2" t="s">
        <v>101</v>
      </c>
      <c r="M100" s="2" t="s">
        <v>60</v>
      </c>
      <c r="N100" s="2"/>
      <c r="O100" s="2" t="s">
        <v>561</v>
      </c>
      <c r="P100" s="2"/>
      <c r="Q100" s="2" t="s">
        <v>110</v>
      </c>
      <c r="R100" s="2" t="n">
        <v>0.75</v>
      </c>
      <c r="S100" s="2" t="s">
        <v>556</v>
      </c>
      <c r="T100" s="2" t="s">
        <v>95</v>
      </c>
      <c r="U100" s="2" t="s">
        <v>557</v>
      </c>
      <c r="V100" s="2" t="s">
        <v>97</v>
      </c>
      <c r="W100" s="2" t="s">
        <v>321</v>
      </c>
      <c r="X100" s="2" t="s">
        <v>68</v>
      </c>
    </row>
    <row r="101" customFormat="false" ht="15" hidden="false" customHeight="false" outlineLevel="0" collapsed="false">
      <c r="A101" s="2" t="n">
        <v>38</v>
      </c>
      <c r="B101" s="2" t="s">
        <v>488</v>
      </c>
      <c r="C101" s="2" t="s">
        <v>562</v>
      </c>
      <c r="D101" s="2" t="s">
        <v>134</v>
      </c>
      <c r="E101" s="2" t="s">
        <v>563</v>
      </c>
      <c r="F101" s="2" t="s">
        <v>564</v>
      </c>
      <c r="G101" s="2" t="s">
        <v>425</v>
      </c>
      <c r="H101" s="2" t="s">
        <v>426</v>
      </c>
      <c r="I101" s="2" t="s">
        <v>74</v>
      </c>
      <c r="J101" s="2" t="n">
        <v>-6.237</v>
      </c>
      <c r="K101" s="2" t="n">
        <v>106.806</v>
      </c>
      <c r="L101" s="2" t="s">
        <v>59</v>
      </c>
      <c r="M101" s="2" t="s">
        <v>60</v>
      </c>
      <c r="N101" s="2" t="s">
        <v>565</v>
      </c>
      <c r="O101" s="2" t="s">
        <v>566</v>
      </c>
      <c r="P101" s="2" t="s">
        <v>567</v>
      </c>
      <c r="Q101" s="2" t="s">
        <v>110</v>
      </c>
      <c r="R101" s="2" t="n">
        <v>0.9</v>
      </c>
      <c r="S101" s="2" t="s">
        <v>568</v>
      </c>
      <c r="T101" s="2" t="s">
        <v>569</v>
      </c>
      <c r="U101" s="2" t="s">
        <v>570</v>
      </c>
      <c r="V101" s="2" t="s">
        <v>571</v>
      </c>
      <c r="W101" s="2" t="s">
        <v>262</v>
      </c>
      <c r="X101" s="2" t="s">
        <v>68</v>
      </c>
    </row>
    <row r="102" customFormat="false" ht="15" hidden="false" customHeight="false" outlineLevel="0" collapsed="false">
      <c r="A102" s="2" t="n">
        <v>39</v>
      </c>
      <c r="B102" s="2" t="s">
        <v>488</v>
      </c>
      <c r="C102" s="2" t="s">
        <v>572</v>
      </c>
      <c r="D102" s="2" t="s">
        <v>134</v>
      </c>
      <c r="E102" s="2" t="s">
        <v>573</v>
      </c>
      <c r="F102" s="2" t="s">
        <v>574</v>
      </c>
      <c r="G102" s="2" t="s">
        <v>575</v>
      </c>
      <c r="H102" s="2" t="s">
        <v>576</v>
      </c>
      <c r="I102" s="2" t="s">
        <v>577</v>
      </c>
      <c r="J102" s="2" t="n">
        <v>-8.689</v>
      </c>
      <c r="K102" s="2" t="n">
        <v>115.168</v>
      </c>
      <c r="L102" s="2" t="s">
        <v>59</v>
      </c>
      <c r="M102" s="2" t="s">
        <v>60</v>
      </c>
      <c r="N102" s="2"/>
      <c r="O102" s="2" t="s">
        <v>578</v>
      </c>
      <c r="P102" s="2"/>
      <c r="Q102" s="2" t="s">
        <v>110</v>
      </c>
      <c r="R102" s="2" t="n">
        <v>0.85</v>
      </c>
      <c r="S102" s="2" t="s">
        <v>579</v>
      </c>
      <c r="T102" s="2" t="s">
        <v>580</v>
      </c>
      <c r="U102" s="2" t="s">
        <v>581</v>
      </c>
      <c r="V102" s="2" t="s">
        <v>582</v>
      </c>
      <c r="W102" s="2" t="s">
        <v>476</v>
      </c>
      <c r="X102" s="2" t="s">
        <v>68</v>
      </c>
    </row>
    <row r="103" customFormat="false" ht="15" hidden="false" customHeight="false" outlineLevel="0" collapsed="false">
      <c r="A103" s="2" t="n">
        <v>40</v>
      </c>
      <c r="B103" s="2" t="s">
        <v>488</v>
      </c>
      <c r="C103" s="2" t="s">
        <v>583</v>
      </c>
      <c r="D103" s="2" t="s">
        <v>134</v>
      </c>
      <c r="E103" s="2" t="s">
        <v>584</v>
      </c>
      <c r="F103" s="2" t="s">
        <v>585</v>
      </c>
      <c r="G103" s="2" t="s">
        <v>586</v>
      </c>
      <c r="H103" s="2" t="s">
        <v>587</v>
      </c>
      <c r="I103" s="2" t="s">
        <v>588</v>
      </c>
      <c r="J103" s="2" t="n">
        <v>-5.42</v>
      </c>
      <c r="K103" s="2" t="n">
        <v>105.265</v>
      </c>
      <c r="L103" s="2" t="s">
        <v>59</v>
      </c>
      <c r="M103" s="2" t="s">
        <v>60</v>
      </c>
      <c r="N103" s="2"/>
      <c r="O103" s="2" t="s">
        <v>589</v>
      </c>
      <c r="P103" s="2" t="s">
        <v>590</v>
      </c>
      <c r="Q103" s="2" t="s">
        <v>110</v>
      </c>
      <c r="R103" s="2" t="n">
        <v>0.9</v>
      </c>
      <c r="S103" s="2" t="s">
        <v>591</v>
      </c>
      <c r="T103" s="2" t="s">
        <v>592</v>
      </c>
      <c r="U103" s="2" t="s">
        <v>593</v>
      </c>
      <c r="V103" s="2" t="s">
        <v>594</v>
      </c>
      <c r="W103" s="2" t="s">
        <v>595</v>
      </c>
      <c r="X103" s="2" t="s">
        <v>68</v>
      </c>
    </row>
    <row r="104" customFormat="false" ht="15" hidden="false" customHeight="false" outlineLevel="0" collapsed="false">
      <c r="A104" s="2" t="n">
        <v>41</v>
      </c>
      <c r="B104" s="2" t="s">
        <v>488</v>
      </c>
      <c r="C104" s="2" t="s">
        <v>596</v>
      </c>
      <c r="D104" s="2" t="s">
        <v>134</v>
      </c>
      <c r="E104" s="2" t="s">
        <v>597</v>
      </c>
      <c r="F104" s="2"/>
      <c r="G104" s="2"/>
      <c r="H104" s="2"/>
      <c r="I104" s="2"/>
      <c r="J104" s="2" t="n">
        <v>21.4187</v>
      </c>
      <c r="K104" s="2" t="n">
        <v>39.8256</v>
      </c>
      <c r="L104" s="2" t="s">
        <v>124</v>
      </c>
      <c r="M104" s="2" t="s">
        <v>340</v>
      </c>
      <c r="N104" s="2" t="s">
        <v>598</v>
      </c>
      <c r="O104" s="2" t="s">
        <v>599</v>
      </c>
      <c r="P104" s="2"/>
      <c r="Q104" s="2" t="s">
        <v>110</v>
      </c>
      <c r="R104" s="2" t="n">
        <v>0.8</v>
      </c>
      <c r="S104" s="2" t="s">
        <v>600</v>
      </c>
      <c r="T104" s="2" t="s">
        <v>601</v>
      </c>
      <c r="U104" s="2" t="s">
        <v>602</v>
      </c>
      <c r="V104" s="2" t="s">
        <v>603</v>
      </c>
      <c r="W104" s="2" t="s">
        <v>604</v>
      </c>
      <c r="X104" s="2" t="s">
        <v>68</v>
      </c>
    </row>
    <row r="105" customFormat="false" ht="15" hidden="false" customHeight="false" outlineLevel="0" collapsed="false">
      <c r="A105" s="2" t="n">
        <v>41</v>
      </c>
      <c r="B105" s="2" t="s">
        <v>488</v>
      </c>
      <c r="C105" s="2" t="s">
        <v>605</v>
      </c>
      <c r="D105" s="2" t="s">
        <v>134</v>
      </c>
      <c r="E105" s="2" t="s">
        <v>606</v>
      </c>
      <c r="F105" s="2"/>
      <c r="G105" s="2"/>
      <c r="H105" s="2"/>
      <c r="I105" s="2"/>
      <c r="J105" s="2" t="n">
        <v>21.389</v>
      </c>
      <c r="K105" s="2" t="n">
        <v>39.858</v>
      </c>
      <c r="L105" s="2" t="s">
        <v>101</v>
      </c>
      <c r="M105" s="2" t="s">
        <v>340</v>
      </c>
      <c r="N105" s="2" t="s">
        <v>607</v>
      </c>
      <c r="O105" s="2" t="s">
        <v>608</v>
      </c>
      <c r="P105" s="2"/>
      <c r="Q105" s="2" t="s">
        <v>110</v>
      </c>
      <c r="R105" s="2" t="n">
        <v>0.75</v>
      </c>
      <c r="S105" s="2" t="s">
        <v>600</v>
      </c>
      <c r="T105" s="2" t="s">
        <v>601</v>
      </c>
      <c r="U105" s="2" t="s">
        <v>602</v>
      </c>
      <c r="V105" s="2" t="s">
        <v>603</v>
      </c>
      <c r="W105" s="2" t="s">
        <v>604</v>
      </c>
      <c r="X105" s="2" t="s">
        <v>68</v>
      </c>
    </row>
    <row r="106" customFormat="false" ht="15" hidden="false" customHeight="false" outlineLevel="0" collapsed="false">
      <c r="A106" s="2" t="n">
        <v>41</v>
      </c>
      <c r="B106" s="2" t="s">
        <v>488</v>
      </c>
      <c r="C106" s="2" t="s">
        <v>609</v>
      </c>
      <c r="D106" s="2" t="s">
        <v>134</v>
      </c>
      <c r="E106" s="2" t="s">
        <v>610</v>
      </c>
      <c r="F106" s="2"/>
      <c r="G106" s="2"/>
      <c r="H106" s="2"/>
      <c r="I106" s="2"/>
      <c r="J106" s="2" t="n">
        <v>21.389</v>
      </c>
      <c r="K106" s="2" t="n">
        <v>39.858</v>
      </c>
      <c r="L106" s="2" t="s">
        <v>101</v>
      </c>
      <c r="M106" s="2" t="s">
        <v>340</v>
      </c>
      <c r="N106" s="2" t="s">
        <v>607</v>
      </c>
      <c r="O106" s="2" t="s">
        <v>611</v>
      </c>
      <c r="P106" s="2"/>
      <c r="Q106" s="2" t="s">
        <v>110</v>
      </c>
      <c r="R106" s="2" t="n">
        <v>0.75</v>
      </c>
      <c r="S106" s="2" t="s">
        <v>600</v>
      </c>
      <c r="T106" s="2" t="s">
        <v>601</v>
      </c>
      <c r="U106" s="2" t="s">
        <v>602</v>
      </c>
      <c r="V106" s="2" t="s">
        <v>603</v>
      </c>
      <c r="W106" s="2" t="s">
        <v>604</v>
      </c>
      <c r="X106" s="2" t="s">
        <v>68</v>
      </c>
    </row>
    <row r="107" customFormat="false" ht="15" hidden="false" customHeight="false" outlineLevel="0" collapsed="false">
      <c r="A107" s="2" t="n">
        <v>41</v>
      </c>
      <c r="B107" s="2" t="s">
        <v>488</v>
      </c>
      <c r="C107" s="2" t="s">
        <v>612</v>
      </c>
      <c r="D107" s="2" t="s">
        <v>134</v>
      </c>
      <c r="E107" s="2" t="s">
        <v>606</v>
      </c>
      <c r="F107" s="2"/>
      <c r="G107" s="2"/>
      <c r="H107" s="2"/>
      <c r="I107" s="2"/>
      <c r="J107" s="2" t="n">
        <v>21.389</v>
      </c>
      <c r="K107" s="2" t="n">
        <v>39.858</v>
      </c>
      <c r="L107" s="2" t="s">
        <v>101</v>
      </c>
      <c r="M107" s="2" t="s">
        <v>340</v>
      </c>
      <c r="N107" s="2" t="s">
        <v>607</v>
      </c>
      <c r="O107" s="2" t="s">
        <v>613</v>
      </c>
      <c r="P107" s="2"/>
      <c r="Q107" s="2" t="s">
        <v>110</v>
      </c>
      <c r="R107" s="2" t="n">
        <v>0.75</v>
      </c>
      <c r="S107" s="2" t="s">
        <v>600</v>
      </c>
      <c r="T107" s="2" t="s">
        <v>601</v>
      </c>
      <c r="U107" s="2" t="s">
        <v>602</v>
      </c>
      <c r="V107" s="2" t="s">
        <v>603</v>
      </c>
      <c r="W107" s="2" t="s">
        <v>604</v>
      </c>
      <c r="X107" s="2" t="s">
        <v>68</v>
      </c>
    </row>
    <row r="108" customFormat="false" ht="15" hidden="false" customHeight="false" outlineLevel="0" collapsed="false">
      <c r="A108" s="2" t="n">
        <v>41</v>
      </c>
      <c r="B108" s="2" t="s">
        <v>488</v>
      </c>
      <c r="C108" s="2" t="s">
        <v>614</v>
      </c>
      <c r="D108" s="2" t="s">
        <v>134</v>
      </c>
      <c r="E108" s="2" t="s">
        <v>615</v>
      </c>
      <c r="F108" s="2"/>
      <c r="G108" s="2"/>
      <c r="H108" s="2"/>
      <c r="I108" s="2"/>
      <c r="J108" s="2" t="n">
        <v>21.543</v>
      </c>
      <c r="K108" s="2" t="n">
        <v>39.173</v>
      </c>
      <c r="L108" s="2" t="s">
        <v>101</v>
      </c>
      <c r="M108" s="2" t="s">
        <v>340</v>
      </c>
      <c r="N108" s="2" t="s">
        <v>616</v>
      </c>
      <c r="O108" s="2" t="s">
        <v>617</v>
      </c>
      <c r="P108" s="2"/>
      <c r="Q108" s="2" t="s">
        <v>110</v>
      </c>
      <c r="R108" s="2" t="n">
        <v>0.75</v>
      </c>
      <c r="S108" s="2" t="s">
        <v>600</v>
      </c>
      <c r="T108" s="2" t="s">
        <v>601</v>
      </c>
      <c r="U108" s="2" t="s">
        <v>602</v>
      </c>
      <c r="V108" s="2" t="s">
        <v>603</v>
      </c>
      <c r="W108" s="2" t="s">
        <v>604</v>
      </c>
      <c r="X108" s="2" t="s">
        <v>68</v>
      </c>
    </row>
    <row r="109" customFormat="false" ht="15" hidden="false" customHeight="false" outlineLevel="0" collapsed="false">
      <c r="A109" s="2" t="n">
        <v>41</v>
      </c>
      <c r="B109" s="2" t="s">
        <v>488</v>
      </c>
      <c r="C109" s="2" t="s">
        <v>618</v>
      </c>
      <c r="D109" s="2" t="s">
        <v>134</v>
      </c>
      <c r="E109" s="2" t="s">
        <v>619</v>
      </c>
      <c r="F109" s="2"/>
      <c r="G109" s="2"/>
      <c r="H109" s="2"/>
      <c r="I109" s="2"/>
      <c r="J109" s="2" t="n">
        <v>24.4672</v>
      </c>
      <c r="K109" s="2" t="n">
        <v>39.6112</v>
      </c>
      <c r="L109" s="2" t="s">
        <v>124</v>
      </c>
      <c r="M109" s="2" t="s">
        <v>340</v>
      </c>
      <c r="N109" s="2" t="s">
        <v>620</v>
      </c>
      <c r="O109" s="2" t="s">
        <v>621</v>
      </c>
      <c r="P109" s="2"/>
      <c r="Q109" s="2" t="s">
        <v>110</v>
      </c>
      <c r="R109" s="2" t="n">
        <v>0.75</v>
      </c>
      <c r="S109" s="2" t="s">
        <v>600</v>
      </c>
      <c r="T109" s="2" t="s">
        <v>601</v>
      </c>
      <c r="U109" s="2" t="s">
        <v>602</v>
      </c>
      <c r="V109" s="2" t="s">
        <v>603</v>
      </c>
      <c r="W109" s="2" t="s">
        <v>604</v>
      </c>
      <c r="X109" s="2" t="s">
        <v>68</v>
      </c>
    </row>
    <row r="110" customFormat="false" ht="15" hidden="false" customHeight="false" outlineLevel="0" collapsed="false">
      <c r="A110" s="2" t="n">
        <v>41</v>
      </c>
      <c r="B110" s="2" t="s">
        <v>488</v>
      </c>
      <c r="C110" s="2" t="s">
        <v>622</v>
      </c>
      <c r="D110" s="2" t="s">
        <v>134</v>
      </c>
      <c r="E110" s="2" t="s">
        <v>623</v>
      </c>
      <c r="F110" s="2"/>
      <c r="G110" s="2"/>
      <c r="H110" s="2"/>
      <c r="I110" s="2"/>
      <c r="J110" s="2" t="n">
        <v>24.467</v>
      </c>
      <c r="K110" s="2" t="n">
        <v>39.611</v>
      </c>
      <c r="L110" s="2" t="s">
        <v>101</v>
      </c>
      <c r="M110" s="2" t="s">
        <v>340</v>
      </c>
      <c r="N110" s="2" t="s">
        <v>624</v>
      </c>
      <c r="O110" s="2" t="s">
        <v>625</v>
      </c>
      <c r="P110" s="2"/>
      <c r="Q110" s="2" t="s">
        <v>110</v>
      </c>
      <c r="R110" s="2" t="n">
        <v>0.75</v>
      </c>
      <c r="S110" s="2" t="s">
        <v>600</v>
      </c>
      <c r="T110" s="2" t="s">
        <v>601</v>
      </c>
      <c r="U110" s="2" t="s">
        <v>602</v>
      </c>
      <c r="V110" s="2" t="s">
        <v>603</v>
      </c>
      <c r="W110" s="2" t="s">
        <v>604</v>
      </c>
      <c r="X110" s="2" t="s">
        <v>68</v>
      </c>
    </row>
    <row r="111" customFormat="false" ht="15" hidden="false" customHeight="false" outlineLevel="0" collapsed="false">
      <c r="A111" s="2" t="n">
        <v>41</v>
      </c>
      <c r="B111" s="2" t="s">
        <v>488</v>
      </c>
      <c r="C111" s="2" t="s">
        <v>626</v>
      </c>
      <c r="D111" s="2" t="s">
        <v>134</v>
      </c>
      <c r="E111" s="2" t="s">
        <v>623</v>
      </c>
      <c r="F111" s="2"/>
      <c r="G111" s="2"/>
      <c r="H111" s="2"/>
      <c r="I111" s="2"/>
      <c r="J111" s="2" t="n">
        <v>24.467</v>
      </c>
      <c r="K111" s="2" t="n">
        <v>39.611</v>
      </c>
      <c r="L111" s="2" t="s">
        <v>101</v>
      </c>
      <c r="M111" s="2" t="s">
        <v>340</v>
      </c>
      <c r="N111" s="2" t="s">
        <v>624</v>
      </c>
      <c r="O111" s="2" t="s">
        <v>627</v>
      </c>
      <c r="P111" s="2"/>
      <c r="Q111" s="2" t="s">
        <v>110</v>
      </c>
      <c r="R111" s="2" t="n">
        <v>0.6</v>
      </c>
      <c r="S111" s="2" t="s">
        <v>600</v>
      </c>
      <c r="T111" s="2" t="s">
        <v>601</v>
      </c>
      <c r="U111" s="2" t="s">
        <v>602</v>
      </c>
      <c r="V111" s="2" t="s">
        <v>603</v>
      </c>
      <c r="W111" s="2" t="s">
        <v>604</v>
      </c>
      <c r="X111" s="2" t="s">
        <v>68</v>
      </c>
    </row>
    <row r="112" customFormat="false" ht="15" hidden="false" customHeight="false" outlineLevel="0" collapsed="false">
      <c r="A112" s="2" t="n">
        <v>43</v>
      </c>
      <c r="B112" s="2" t="s">
        <v>488</v>
      </c>
      <c r="C112" s="2" t="s">
        <v>628</v>
      </c>
      <c r="D112" s="2" t="s">
        <v>351</v>
      </c>
      <c r="E112" s="2" t="s">
        <v>629</v>
      </c>
      <c r="F112" s="2"/>
      <c r="G112" s="2" t="s">
        <v>630</v>
      </c>
      <c r="H112" s="2" t="s">
        <v>631</v>
      </c>
      <c r="I112" s="2" t="s">
        <v>385</v>
      </c>
      <c r="J112" s="2" t="n">
        <v>3.66</v>
      </c>
      <c r="K112" s="2" t="n">
        <v>98.71</v>
      </c>
      <c r="L112" s="2" t="s">
        <v>84</v>
      </c>
      <c r="M112" s="2" t="s">
        <v>340</v>
      </c>
      <c r="N112" s="2"/>
      <c r="O112" s="2" t="s">
        <v>632</v>
      </c>
      <c r="P112" s="2" t="s">
        <v>633</v>
      </c>
      <c r="Q112" s="2" t="s">
        <v>110</v>
      </c>
      <c r="R112" s="2" t="n">
        <v>0.8</v>
      </c>
      <c r="S112" s="2" t="s">
        <v>634</v>
      </c>
      <c r="T112" s="2" t="s">
        <v>635</v>
      </c>
      <c r="U112" s="2" t="s">
        <v>636</v>
      </c>
      <c r="V112" s="2" t="s">
        <v>637</v>
      </c>
      <c r="W112" s="2" t="s">
        <v>595</v>
      </c>
      <c r="X112" s="2" t="s">
        <v>68</v>
      </c>
    </row>
    <row r="113" customFormat="false" ht="15" hidden="false" customHeight="false" outlineLevel="0" collapsed="false">
      <c r="A113" s="2" t="n">
        <v>44</v>
      </c>
      <c r="B113" s="2" t="s">
        <v>488</v>
      </c>
      <c r="C113" s="2" t="s">
        <v>638</v>
      </c>
      <c r="D113" s="2" t="s">
        <v>134</v>
      </c>
      <c r="E113" s="2" t="s">
        <v>639</v>
      </c>
      <c r="F113" s="2"/>
      <c r="G113" s="2" t="s">
        <v>640</v>
      </c>
      <c r="H113" s="2" t="s">
        <v>317</v>
      </c>
      <c r="I113" s="2" t="s">
        <v>74</v>
      </c>
      <c r="J113" s="2" t="n">
        <v>-6.115</v>
      </c>
      <c r="K113" s="2" t="n">
        <v>106.76</v>
      </c>
      <c r="L113" s="2" t="s">
        <v>84</v>
      </c>
      <c r="M113" s="2" t="s">
        <v>60</v>
      </c>
      <c r="N113" s="2" t="s">
        <v>641</v>
      </c>
      <c r="O113" s="2" t="s">
        <v>642</v>
      </c>
      <c r="P113" s="2"/>
      <c r="Q113" s="2" t="s">
        <v>110</v>
      </c>
      <c r="R113" s="2" t="n">
        <v>0.8</v>
      </c>
      <c r="S113" s="2" t="s">
        <v>643</v>
      </c>
      <c r="T113" s="2" t="s">
        <v>644</v>
      </c>
      <c r="U113" s="2" t="s">
        <v>645</v>
      </c>
      <c r="V113" s="2" t="s">
        <v>646</v>
      </c>
      <c r="W113" s="2" t="s">
        <v>647</v>
      </c>
      <c r="X113" s="2" t="s">
        <v>68</v>
      </c>
    </row>
    <row r="114" customFormat="false" ht="15" hidden="false" customHeight="false" outlineLevel="0" collapsed="false">
      <c r="A114" s="2" t="n">
        <v>44</v>
      </c>
      <c r="B114" s="2" t="s">
        <v>488</v>
      </c>
      <c r="C114" s="2" t="s">
        <v>648</v>
      </c>
      <c r="D114" s="2" t="s">
        <v>134</v>
      </c>
      <c r="E114" s="2" t="s">
        <v>649</v>
      </c>
      <c r="F114" s="2"/>
      <c r="G114" s="2" t="s">
        <v>640</v>
      </c>
      <c r="H114" s="2" t="s">
        <v>317</v>
      </c>
      <c r="I114" s="2" t="s">
        <v>74</v>
      </c>
      <c r="J114" s="2" t="n">
        <v>-6.115</v>
      </c>
      <c r="K114" s="2" t="n">
        <v>106.76</v>
      </c>
      <c r="L114" s="2" t="s">
        <v>84</v>
      </c>
      <c r="M114" s="2" t="s">
        <v>60</v>
      </c>
      <c r="N114" s="2" t="s">
        <v>641</v>
      </c>
      <c r="O114" s="2" t="s">
        <v>650</v>
      </c>
      <c r="P114" s="2"/>
      <c r="Q114" s="2" t="s">
        <v>110</v>
      </c>
      <c r="R114" s="2" t="n">
        <v>0.8</v>
      </c>
      <c r="S114" s="2" t="s">
        <v>643</v>
      </c>
      <c r="T114" s="2" t="s">
        <v>644</v>
      </c>
      <c r="U114" s="2" t="s">
        <v>645</v>
      </c>
      <c r="V114" s="2" t="s">
        <v>646</v>
      </c>
      <c r="W114" s="2" t="s">
        <v>647</v>
      </c>
      <c r="X114" s="2" t="s">
        <v>68</v>
      </c>
    </row>
    <row r="115" customFormat="false" ht="15" hidden="false" customHeight="false" outlineLevel="0" collapsed="false">
      <c r="A115" s="2" t="n">
        <v>47</v>
      </c>
      <c r="B115" s="2" t="s">
        <v>488</v>
      </c>
      <c r="C115" s="2" t="s">
        <v>651</v>
      </c>
      <c r="D115" s="2" t="s">
        <v>134</v>
      </c>
      <c r="E115" s="2" t="s">
        <v>652</v>
      </c>
      <c r="F115" s="2" t="s">
        <v>653</v>
      </c>
      <c r="G115" s="2" t="s">
        <v>654</v>
      </c>
      <c r="H115" s="2" t="s">
        <v>655</v>
      </c>
      <c r="I115" s="2" t="s">
        <v>656</v>
      </c>
      <c r="J115" s="2" t="n">
        <v>1.13</v>
      </c>
      <c r="K115" s="2" t="n">
        <v>104.05</v>
      </c>
      <c r="L115" s="2" t="s">
        <v>59</v>
      </c>
      <c r="M115" s="2" t="s">
        <v>60</v>
      </c>
      <c r="N115" s="2"/>
      <c r="O115" s="2" t="s">
        <v>657</v>
      </c>
      <c r="P115" s="2" t="s">
        <v>109</v>
      </c>
      <c r="Q115" s="2" t="s">
        <v>110</v>
      </c>
      <c r="R115" s="2" t="n">
        <v>0.85</v>
      </c>
      <c r="S115" s="2" t="s">
        <v>658</v>
      </c>
      <c r="T115" s="2" t="s">
        <v>659</v>
      </c>
      <c r="U115" s="2" t="s">
        <v>660</v>
      </c>
      <c r="V115" s="2" t="s">
        <v>661</v>
      </c>
      <c r="W115" s="2" t="s">
        <v>662</v>
      </c>
      <c r="X115" s="2" t="s">
        <v>68</v>
      </c>
    </row>
    <row r="116" customFormat="false" ht="15" hidden="false" customHeight="false" outlineLevel="0" collapsed="false">
      <c r="A116" s="2" t="n">
        <v>47</v>
      </c>
      <c r="B116" s="2" t="s">
        <v>488</v>
      </c>
      <c r="C116" s="2" t="s">
        <v>663</v>
      </c>
      <c r="D116" s="2" t="s">
        <v>134</v>
      </c>
      <c r="E116" s="2" t="s">
        <v>664</v>
      </c>
      <c r="F116" s="2" t="s">
        <v>665</v>
      </c>
      <c r="G116" s="2" t="s">
        <v>666</v>
      </c>
      <c r="H116" s="2" t="s">
        <v>655</v>
      </c>
      <c r="I116" s="2" t="s">
        <v>656</v>
      </c>
      <c r="J116" s="2" t="n">
        <v>1.135</v>
      </c>
      <c r="K116" s="2" t="n">
        <v>104.02</v>
      </c>
      <c r="L116" s="2" t="s">
        <v>59</v>
      </c>
      <c r="M116" s="2" t="s">
        <v>60</v>
      </c>
      <c r="N116" s="2"/>
      <c r="O116" s="2" t="s">
        <v>667</v>
      </c>
      <c r="P116" s="2" t="s">
        <v>109</v>
      </c>
      <c r="Q116" s="2" t="s">
        <v>110</v>
      </c>
      <c r="R116" s="2" t="n">
        <v>0.85</v>
      </c>
      <c r="S116" s="2" t="s">
        <v>658</v>
      </c>
      <c r="T116" s="2" t="s">
        <v>659</v>
      </c>
      <c r="U116" s="2" t="s">
        <v>660</v>
      </c>
      <c r="V116" s="2" t="s">
        <v>661</v>
      </c>
      <c r="W116" s="2" t="s">
        <v>662</v>
      </c>
      <c r="X116" s="2" t="s">
        <v>68</v>
      </c>
    </row>
    <row r="117" customFormat="false" ht="15" hidden="false" customHeight="false" outlineLevel="0" collapsed="false">
      <c r="A117" s="2" t="n">
        <v>47</v>
      </c>
      <c r="B117" s="2" t="s">
        <v>488</v>
      </c>
      <c r="C117" s="2" t="s">
        <v>668</v>
      </c>
      <c r="D117" s="2" t="s">
        <v>134</v>
      </c>
      <c r="E117" s="2" t="s">
        <v>669</v>
      </c>
      <c r="F117" s="2" t="s">
        <v>339</v>
      </c>
      <c r="G117" s="2" t="s">
        <v>654</v>
      </c>
      <c r="H117" s="2" t="s">
        <v>655</v>
      </c>
      <c r="I117" s="2" t="s">
        <v>656</v>
      </c>
      <c r="J117" s="2" t="n">
        <v>1.121</v>
      </c>
      <c r="K117" s="2" t="n">
        <v>104.055</v>
      </c>
      <c r="L117" s="2" t="s">
        <v>59</v>
      </c>
      <c r="M117" s="2" t="s">
        <v>60</v>
      </c>
      <c r="N117" s="2"/>
      <c r="O117" s="2" t="s">
        <v>670</v>
      </c>
      <c r="P117" s="2" t="s">
        <v>109</v>
      </c>
      <c r="Q117" s="2" t="s">
        <v>110</v>
      </c>
      <c r="R117" s="2" t="n">
        <v>0.85</v>
      </c>
      <c r="S117" s="2" t="s">
        <v>658</v>
      </c>
      <c r="T117" s="2" t="s">
        <v>659</v>
      </c>
      <c r="U117" s="2" t="s">
        <v>660</v>
      </c>
      <c r="V117" s="2" t="s">
        <v>661</v>
      </c>
      <c r="W117" s="2" t="s">
        <v>662</v>
      </c>
      <c r="X117" s="2" t="s">
        <v>68</v>
      </c>
    </row>
    <row r="118" customFormat="false" ht="15" hidden="false" customHeight="false" outlineLevel="0" collapsed="false">
      <c r="A118" s="2" t="n">
        <v>47</v>
      </c>
      <c r="B118" s="2" t="s">
        <v>488</v>
      </c>
      <c r="C118" s="2" t="s">
        <v>671</v>
      </c>
      <c r="D118" s="2" t="s">
        <v>134</v>
      </c>
      <c r="E118" s="2" t="s">
        <v>672</v>
      </c>
      <c r="F118" s="2" t="s">
        <v>673</v>
      </c>
      <c r="G118" s="2" t="s">
        <v>666</v>
      </c>
      <c r="H118" s="2" t="s">
        <v>655</v>
      </c>
      <c r="I118" s="2" t="s">
        <v>656</v>
      </c>
      <c r="J118" s="2" t="n">
        <v>1.15</v>
      </c>
      <c r="K118" s="2" t="n">
        <v>104.01</v>
      </c>
      <c r="L118" s="2" t="s">
        <v>59</v>
      </c>
      <c r="M118" s="2" t="s">
        <v>60</v>
      </c>
      <c r="N118" s="2"/>
      <c r="O118" s="2" t="s">
        <v>674</v>
      </c>
      <c r="P118" s="2" t="s">
        <v>109</v>
      </c>
      <c r="Q118" s="2" t="s">
        <v>110</v>
      </c>
      <c r="R118" s="2" t="n">
        <v>0.85</v>
      </c>
      <c r="S118" s="2" t="s">
        <v>658</v>
      </c>
      <c r="T118" s="2" t="s">
        <v>659</v>
      </c>
      <c r="U118" s="2" t="s">
        <v>660</v>
      </c>
      <c r="V118" s="2" t="s">
        <v>661</v>
      </c>
      <c r="W118" s="2" t="s">
        <v>662</v>
      </c>
      <c r="X118" s="2" t="s">
        <v>68</v>
      </c>
    </row>
    <row r="119" customFormat="false" ht="15" hidden="false" customHeight="false" outlineLevel="0" collapsed="false">
      <c r="A119" s="2" t="n">
        <v>47</v>
      </c>
      <c r="B119" s="2" t="s">
        <v>488</v>
      </c>
      <c r="C119" s="2" t="s">
        <v>675</v>
      </c>
      <c r="D119" s="2" t="s">
        <v>134</v>
      </c>
      <c r="E119" s="2" t="s">
        <v>676</v>
      </c>
      <c r="F119" s="2" t="s">
        <v>677</v>
      </c>
      <c r="G119" s="2" t="s">
        <v>678</v>
      </c>
      <c r="H119" s="2" t="s">
        <v>655</v>
      </c>
      <c r="I119" s="2" t="s">
        <v>656</v>
      </c>
      <c r="J119" s="2" t="n">
        <v>1.063</v>
      </c>
      <c r="K119" s="2" t="n">
        <v>103.94</v>
      </c>
      <c r="L119" s="2" t="s">
        <v>59</v>
      </c>
      <c r="M119" s="2" t="s">
        <v>60</v>
      </c>
      <c r="N119" s="2"/>
      <c r="O119" s="2" t="s">
        <v>679</v>
      </c>
      <c r="P119" s="2" t="s">
        <v>109</v>
      </c>
      <c r="Q119" s="2" t="s">
        <v>110</v>
      </c>
      <c r="R119" s="2" t="n">
        <v>0.85</v>
      </c>
      <c r="S119" s="2" t="s">
        <v>658</v>
      </c>
      <c r="T119" s="2" t="s">
        <v>659</v>
      </c>
      <c r="U119" s="2" t="s">
        <v>660</v>
      </c>
      <c r="V119" s="2" t="s">
        <v>661</v>
      </c>
      <c r="W119" s="2" t="s">
        <v>662</v>
      </c>
      <c r="X119" s="2" t="s">
        <v>68</v>
      </c>
    </row>
    <row r="120" customFormat="false" ht="15" hidden="false" customHeight="false" outlineLevel="0" collapsed="false">
      <c r="A120" s="2" t="n">
        <v>50</v>
      </c>
      <c r="B120" s="2" t="s">
        <v>488</v>
      </c>
      <c r="C120" s="2" t="s">
        <v>680</v>
      </c>
      <c r="D120" s="2" t="s">
        <v>134</v>
      </c>
      <c r="E120" s="2" t="s">
        <v>681</v>
      </c>
      <c r="F120" s="2"/>
      <c r="G120" s="2"/>
      <c r="H120" s="2" t="s">
        <v>682</v>
      </c>
      <c r="I120" s="2" t="s">
        <v>58</v>
      </c>
      <c r="J120" s="2" t="n">
        <v>-7.615</v>
      </c>
      <c r="K120" s="2" t="n">
        <v>108.495</v>
      </c>
      <c r="L120" s="2" t="s">
        <v>101</v>
      </c>
      <c r="M120" s="2" t="s">
        <v>60</v>
      </c>
      <c r="N120" s="2"/>
      <c r="O120" s="2" t="s">
        <v>683</v>
      </c>
      <c r="P120" s="2"/>
      <c r="Q120" s="2" t="s">
        <v>110</v>
      </c>
      <c r="R120" s="2" t="n">
        <v>0.85</v>
      </c>
      <c r="S120" s="2" t="s">
        <v>684</v>
      </c>
      <c r="T120" s="2" t="s">
        <v>580</v>
      </c>
      <c r="U120" s="2" t="s">
        <v>685</v>
      </c>
      <c r="V120" s="2" t="s">
        <v>582</v>
      </c>
      <c r="W120" s="2" t="s">
        <v>686</v>
      </c>
      <c r="X120" s="2" t="s">
        <v>68</v>
      </c>
    </row>
    <row r="121" customFormat="false" ht="15" hidden="false" customHeight="false" outlineLevel="0" collapsed="false">
      <c r="A121" s="2" t="n">
        <v>53</v>
      </c>
      <c r="B121" s="2" t="s">
        <v>488</v>
      </c>
      <c r="C121" s="2" t="s">
        <v>687</v>
      </c>
      <c r="D121" s="2" t="s">
        <v>134</v>
      </c>
      <c r="E121" s="2" t="s">
        <v>688</v>
      </c>
      <c r="F121" s="2"/>
      <c r="G121" s="2" t="s">
        <v>689</v>
      </c>
      <c r="H121" s="2" t="s">
        <v>279</v>
      </c>
      <c r="I121" s="2" t="s">
        <v>58</v>
      </c>
      <c r="J121" s="2" t="n">
        <v>-6.395</v>
      </c>
      <c r="K121" s="2" t="n">
        <v>106.845</v>
      </c>
      <c r="L121" s="2" t="s">
        <v>84</v>
      </c>
      <c r="M121" s="2" t="s">
        <v>60</v>
      </c>
      <c r="N121" s="2" t="s">
        <v>690</v>
      </c>
      <c r="O121" s="2" t="s">
        <v>691</v>
      </c>
      <c r="P121" s="2" t="s">
        <v>692</v>
      </c>
      <c r="Q121" s="2" t="s">
        <v>110</v>
      </c>
      <c r="R121" s="2" t="n">
        <v>0.85</v>
      </c>
      <c r="S121" s="2" t="s">
        <v>693</v>
      </c>
      <c r="T121" s="2" t="s">
        <v>694</v>
      </c>
      <c r="U121" s="2" t="s">
        <v>695</v>
      </c>
      <c r="V121" s="2" t="s">
        <v>696</v>
      </c>
      <c r="W121" s="2" t="s">
        <v>697</v>
      </c>
      <c r="X121" s="2" t="s">
        <v>68</v>
      </c>
    </row>
    <row r="122" customFormat="false" ht="15" hidden="false" customHeight="false" outlineLevel="0" collapsed="false">
      <c r="A122" s="2" t="n">
        <v>54</v>
      </c>
      <c r="B122" s="2" t="s">
        <v>488</v>
      </c>
      <c r="C122" s="2" t="s">
        <v>698</v>
      </c>
      <c r="D122" s="2" t="s">
        <v>53</v>
      </c>
      <c r="E122" s="2" t="s">
        <v>699</v>
      </c>
      <c r="F122" s="2"/>
      <c r="G122" s="2"/>
      <c r="H122" s="2"/>
      <c r="I122" s="2"/>
      <c r="J122" s="2" t="n">
        <v>36.721</v>
      </c>
      <c r="K122" s="2" t="n">
        <v>-4.421</v>
      </c>
      <c r="L122" s="2" t="s">
        <v>101</v>
      </c>
      <c r="M122" s="2" t="s">
        <v>340</v>
      </c>
      <c r="N122" s="2" t="s">
        <v>700</v>
      </c>
      <c r="O122" s="2" t="s">
        <v>701</v>
      </c>
      <c r="P122" s="2" t="s">
        <v>702</v>
      </c>
      <c r="Q122" s="2" t="s">
        <v>110</v>
      </c>
      <c r="R122" s="2" t="n">
        <v>0.9</v>
      </c>
      <c r="S122" s="2" t="s">
        <v>703</v>
      </c>
      <c r="T122" s="2" t="s">
        <v>64</v>
      </c>
      <c r="U122" s="2" t="s">
        <v>704</v>
      </c>
      <c r="V122" s="2" t="s">
        <v>66</v>
      </c>
      <c r="W122" s="2" t="s">
        <v>98</v>
      </c>
      <c r="X122" s="2" t="s">
        <v>507</v>
      </c>
    </row>
    <row r="123" customFormat="false" ht="15" hidden="false" customHeight="false" outlineLevel="0" collapsed="false">
      <c r="A123" s="2" t="n">
        <v>55</v>
      </c>
      <c r="B123" s="2" t="s">
        <v>488</v>
      </c>
      <c r="C123" s="2" t="s">
        <v>705</v>
      </c>
      <c r="D123" s="2" t="s">
        <v>53</v>
      </c>
      <c r="E123" s="2" t="s">
        <v>706</v>
      </c>
      <c r="F123" s="2" t="s">
        <v>123</v>
      </c>
      <c r="G123" s="2" t="s">
        <v>72</v>
      </c>
      <c r="H123" s="2" t="s">
        <v>73</v>
      </c>
      <c r="I123" s="2" t="s">
        <v>74</v>
      </c>
      <c r="J123" s="2" t="n">
        <v>-6.2255</v>
      </c>
      <c r="K123" s="2" t="n">
        <v>106.7996</v>
      </c>
      <c r="L123" s="2" t="s">
        <v>124</v>
      </c>
      <c r="M123" s="2" t="s">
        <v>60</v>
      </c>
      <c r="N123" s="2" t="s">
        <v>707</v>
      </c>
      <c r="O123" s="2" t="s">
        <v>708</v>
      </c>
      <c r="P123" s="2"/>
      <c r="Q123" s="2" t="s">
        <v>110</v>
      </c>
      <c r="R123" s="2" t="n">
        <v>0.85</v>
      </c>
      <c r="S123" s="2" t="s">
        <v>709</v>
      </c>
      <c r="T123" s="2" t="s">
        <v>710</v>
      </c>
      <c r="U123" s="2" t="s">
        <v>711</v>
      </c>
      <c r="V123" s="2" t="s">
        <v>710</v>
      </c>
      <c r="W123" s="2" t="s">
        <v>67</v>
      </c>
      <c r="X123" s="2" t="s">
        <v>68</v>
      </c>
    </row>
    <row r="124" customFormat="false" ht="15" hidden="false" customHeight="false" outlineLevel="0" collapsed="false">
      <c r="A124" s="2" t="n">
        <v>55</v>
      </c>
      <c r="B124" s="2" t="s">
        <v>488</v>
      </c>
      <c r="C124" s="2" t="s">
        <v>712</v>
      </c>
      <c r="D124" s="2" t="s">
        <v>53</v>
      </c>
      <c r="E124" s="2" t="s">
        <v>713</v>
      </c>
      <c r="F124" s="2" t="s">
        <v>714</v>
      </c>
      <c r="G124" s="2" t="s">
        <v>715</v>
      </c>
      <c r="H124" s="2" t="s">
        <v>716</v>
      </c>
      <c r="I124" s="2" t="s">
        <v>74</v>
      </c>
      <c r="J124" s="2" t="n">
        <v>-6.1776</v>
      </c>
      <c r="K124" s="2" t="n">
        <v>106.7906</v>
      </c>
      <c r="L124" s="2" t="s">
        <v>124</v>
      </c>
      <c r="M124" s="2" t="s">
        <v>60</v>
      </c>
      <c r="N124" s="2" t="s">
        <v>717</v>
      </c>
      <c r="O124" s="2" t="s">
        <v>718</v>
      </c>
      <c r="P124" s="2"/>
      <c r="Q124" s="2" t="s">
        <v>110</v>
      </c>
      <c r="R124" s="2" t="n">
        <v>0.75</v>
      </c>
      <c r="S124" s="2" t="s">
        <v>709</v>
      </c>
      <c r="T124" s="2" t="s">
        <v>710</v>
      </c>
      <c r="U124" s="2" t="s">
        <v>711</v>
      </c>
      <c r="V124" s="2" t="s">
        <v>710</v>
      </c>
      <c r="W124" s="2" t="s">
        <v>67</v>
      </c>
      <c r="X124" s="2" t="s">
        <v>68</v>
      </c>
    </row>
    <row r="125" customFormat="false" ht="15" hidden="false" customHeight="false" outlineLevel="0" collapsed="false">
      <c r="A125" s="2" t="n">
        <v>56</v>
      </c>
      <c r="B125" s="2" t="s">
        <v>488</v>
      </c>
      <c r="C125" s="2" t="s">
        <v>719</v>
      </c>
      <c r="D125" s="2" t="s">
        <v>53</v>
      </c>
      <c r="E125" s="2" t="s">
        <v>720</v>
      </c>
      <c r="F125" s="2"/>
      <c r="G125" s="2"/>
      <c r="H125" s="2" t="s">
        <v>721</v>
      </c>
      <c r="I125" s="2" t="s">
        <v>184</v>
      </c>
      <c r="J125" s="2" t="n">
        <v>-7.645</v>
      </c>
      <c r="K125" s="2" t="n">
        <v>112.908</v>
      </c>
      <c r="L125" s="2" t="s">
        <v>101</v>
      </c>
      <c r="M125" s="2" t="s">
        <v>60</v>
      </c>
      <c r="N125" s="2"/>
      <c r="O125" s="2" t="s">
        <v>722</v>
      </c>
      <c r="P125" s="2" t="s">
        <v>723</v>
      </c>
      <c r="Q125" s="2" t="s">
        <v>110</v>
      </c>
      <c r="R125" s="2" t="n">
        <v>0.75</v>
      </c>
      <c r="S125" s="2" t="s">
        <v>724</v>
      </c>
      <c r="T125" s="2" t="s">
        <v>725</v>
      </c>
      <c r="U125" s="2" t="s">
        <v>726</v>
      </c>
      <c r="V125" s="2" t="s">
        <v>727</v>
      </c>
      <c r="W125" s="2" t="s">
        <v>430</v>
      </c>
      <c r="X125" s="2" t="s">
        <v>68</v>
      </c>
    </row>
    <row r="126" customFormat="false" ht="15" hidden="false" customHeight="false" outlineLevel="0" collapsed="false">
      <c r="A126" s="2" t="n">
        <v>58</v>
      </c>
      <c r="B126" s="2" t="s">
        <v>488</v>
      </c>
      <c r="C126" s="2" t="s">
        <v>728</v>
      </c>
      <c r="D126" s="2" t="s">
        <v>410</v>
      </c>
      <c r="E126" s="2" t="s">
        <v>729</v>
      </c>
      <c r="F126" s="2" t="s">
        <v>730</v>
      </c>
      <c r="G126" s="2" t="s">
        <v>90</v>
      </c>
      <c r="H126" s="2" t="s">
        <v>91</v>
      </c>
      <c r="I126" s="2" t="s">
        <v>92</v>
      </c>
      <c r="J126" s="2" t="n">
        <v>-7.8117</v>
      </c>
      <c r="K126" s="2" t="n">
        <v>110.3633</v>
      </c>
      <c r="L126" s="2" t="s">
        <v>124</v>
      </c>
      <c r="M126" s="2" t="s">
        <v>60</v>
      </c>
      <c r="N126" s="2"/>
      <c r="O126" s="2" t="s">
        <v>731</v>
      </c>
      <c r="P126" s="2" t="s">
        <v>732</v>
      </c>
      <c r="Q126" s="2" t="s">
        <v>110</v>
      </c>
      <c r="R126" s="2" t="n">
        <v>0.7</v>
      </c>
      <c r="S126" s="2" t="s">
        <v>733</v>
      </c>
      <c r="T126" s="2" t="s">
        <v>734</v>
      </c>
      <c r="U126" s="2" t="s">
        <v>735</v>
      </c>
      <c r="V126" s="2" t="s">
        <v>734</v>
      </c>
      <c r="W126" s="2" t="s">
        <v>530</v>
      </c>
      <c r="X126" s="2" t="s">
        <v>68</v>
      </c>
    </row>
    <row r="127" customFormat="false" ht="15" hidden="false" customHeight="false" outlineLevel="0" collapsed="false">
      <c r="A127" s="2" t="n">
        <v>62</v>
      </c>
      <c r="B127" s="2" t="s">
        <v>736</v>
      </c>
      <c r="C127" s="2" t="s">
        <v>737</v>
      </c>
      <c r="D127" s="2" t="s">
        <v>53</v>
      </c>
      <c r="E127" s="2" t="s">
        <v>738</v>
      </c>
      <c r="F127" s="2" t="s">
        <v>730</v>
      </c>
      <c r="G127" s="2" t="s">
        <v>90</v>
      </c>
      <c r="H127" s="2" t="s">
        <v>91</v>
      </c>
      <c r="I127" s="2" t="s">
        <v>92</v>
      </c>
      <c r="J127" s="2" t="n">
        <v>-7.8117</v>
      </c>
      <c r="K127" s="2" t="n">
        <v>110.3633</v>
      </c>
      <c r="L127" s="2" t="s">
        <v>124</v>
      </c>
      <c r="M127" s="2" t="s">
        <v>60</v>
      </c>
      <c r="N127" s="2" t="s">
        <v>739</v>
      </c>
      <c r="O127" s="2" t="s">
        <v>740</v>
      </c>
      <c r="P127" s="2" t="s">
        <v>741</v>
      </c>
      <c r="Q127" s="2" t="s">
        <v>110</v>
      </c>
      <c r="R127" s="2" t="n">
        <v>0.8</v>
      </c>
      <c r="S127" s="2" t="s">
        <v>742</v>
      </c>
      <c r="T127" s="2" t="s">
        <v>743</v>
      </c>
      <c r="U127" s="2" t="s">
        <v>744</v>
      </c>
      <c r="V127" s="2" t="s">
        <v>745</v>
      </c>
      <c r="W127" s="2" t="s">
        <v>159</v>
      </c>
      <c r="X127" s="2" t="s">
        <v>68</v>
      </c>
    </row>
    <row r="128" customFormat="false" ht="15" hidden="false" customHeight="false" outlineLevel="0" collapsed="false">
      <c r="A128" s="2" t="n">
        <v>63</v>
      </c>
      <c r="B128" s="2" t="s">
        <v>736</v>
      </c>
      <c r="C128" s="2" t="s">
        <v>737</v>
      </c>
      <c r="D128" s="2" t="s">
        <v>53</v>
      </c>
      <c r="E128" s="2" t="s">
        <v>746</v>
      </c>
      <c r="F128" s="2" t="s">
        <v>730</v>
      </c>
      <c r="G128" s="2" t="s">
        <v>90</v>
      </c>
      <c r="H128" s="2" t="s">
        <v>91</v>
      </c>
      <c r="I128" s="2" t="s">
        <v>92</v>
      </c>
      <c r="J128" s="2" t="n">
        <v>-7.8117</v>
      </c>
      <c r="K128" s="2" t="n">
        <v>110.3633</v>
      </c>
      <c r="L128" s="2" t="s">
        <v>124</v>
      </c>
      <c r="M128" s="2" t="s">
        <v>60</v>
      </c>
      <c r="N128" s="2"/>
      <c r="O128" s="2" t="s">
        <v>747</v>
      </c>
      <c r="P128" s="2" t="s">
        <v>748</v>
      </c>
      <c r="Q128" s="2" t="s">
        <v>110</v>
      </c>
      <c r="R128" s="2" t="n">
        <v>0.8</v>
      </c>
      <c r="S128" s="2" t="s">
        <v>749</v>
      </c>
      <c r="T128" s="2" t="s">
        <v>743</v>
      </c>
      <c r="U128" s="2" t="s">
        <v>750</v>
      </c>
      <c r="V128" s="2" t="s">
        <v>745</v>
      </c>
      <c r="W128" s="2" t="s">
        <v>751</v>
      </c>
      <c r="X128" s="2" t="s">
        <v>68</v>
      </c>
    </row>
    <row r="129" customFormat="false" ht="15" hidden="false" customHeight="false" outlineLevel="0" collapsed="false">
      <c r="A129" s="2" t="n">
        <v>64</v>
      </c>
      <c r="B129" s="2" t="s">
        <v>736</v>
      </c>
      <c r="C129" s="2" t="s">
        <v>737</v>
      </c>
      <c r="D129" s="2" t="s">
        <v>53</v>
      </c>
      <c r="E129" s="2" t="s">
        <v>752</v>
      </c>
      <c r="F129" s="2" t="s">
        <v>730</v>
      </c>
      <c r="G129" s="2" t="s">
        <v>90</v>
      </c>
      <c r="H129" s="2" t="s">
        <v>91</v>
      </c>
      <c r="I129" s="2" t="s">
        <v>92</v>
      </c>
      <c r="J129" s="2" t="n">
        <v>-7.8117</v>
      </c>
      <c r="K129" s="2" t="n">
        <v>110.3633</v>
      </c>
      <c r="L129" s="2" t="s">
        <v>124</v>
      </c>
      <c r="M129" s="2" t="s">
        <v>60</v>
      </c>
      <c r="N129" s="2" t="s">
        <v>739</v>
      </c>
      <c r="O129" s="2" t="s">
        <v>753</v>
      </c>
      <c r="P129" s="2" t="s">
        <v>754</v>
      </c>
      <c r="Q129" s="2" t="s">
        <v>110</v>
      </c>
      <c r="R129" s="2" t="n">
        <v>0.8</v>
      </c>
      <c r="S129" s="2" t="s">
        <v>755</v>
      </c>
      <c r="T129" s="2" t="s">
        <v>743</v>
      </c>
      <c r="U129" s="2" t="s">
        <v>756</v>
      </c>
      <c r="V129" s="2" t="s">
        <v>745</v>
      </c>
      <c r="W129" s="2" t="s">
        <v>751</v>
      </c>
      <c r="X129" s="2" t="s">
        <v>68</v>
      </c>
    </row>
    <row r="130" customFormat="false" ht="15" hidden="false" customHeight="false" outlineLevel="0" collapsed="false">
      <c r="A130" s="2" t="n">
        <v>65</v>
      </c>
      <c r="B130" s="2" t="s">
        <v>736</v>
      </c>
      <c r="C130" s="2" t="s">
        <v>728</v>
      </c>
      <c r="D130" s="2" t="s">
        <v>410</v>
      </c>
      <c r="E130" s="2" t="s">
        <v>757</v>
      </c>
      <c r="F130" s="2" t="s">
        <v>730</v>
      </c>
      <c r="G130" s="2" t="s">
        <v>90</v>
      </c>
      <c r="H130" s="2" t="s">
        <v>91</v>
      </c>
      <c r="I130" s="2" t="s">
        <v>92</v>
      </c>
      <c r="J130" s="2" t="n">
        <v>-7.8117</v>
      </c>
      <c r="K130" s="2" t="n">
        <v>110.3633</v>
      </c>
      <c r="L130" s="2" t="s">
        <v>124</v>
      </c>
      <c r="M130" s="2" t="s">
        <v>60</v>
      </c>
      <c r="N130" s="2"/>
      <c r="O130" s="2" t="s">
        <v>758</v>
      </c>
      <c r="P130" s="2" t="s">
        <v>748</v>
      </c>
      <c r="Q130" s="2" t="s">
        <v>110</v>
      </c>
      <c r="R130" s="2" t="n">
        <v>0.7</v>
      </c>
      <c r="S130" s="2" t="s">
        <v>759</v>
      </c>
      <c r="T130" s="2" t="s">
        <v>743</v>
      </c>
      <c r="U130" s="2" t="s">
        <v>760</v>
      </c>
      <c r="V130" s="2" t="s">
        <v>745</v>
      </c>
      <c r="W130" s="2" t="s">
        <v>751</v>
      </c>
      <c r="X130" s="2" t="s">
        <v>68</v>
      </c>
    </row>
    <row r="131" customFormat="false" ht="15" hidden="false" customHeight="false" outlineLevel="0" collapsed="false">
      <c r="A131" s="2" t="n">
        <v>66</v>
      </c>
      <c r="B131" s="2" t="s">
        <v>736</v>
      </c>
      <c r="C131" s="2" t="s">
        <v>761</v>
      </c>
      <c r="D131" s="2" t="s">
        <v>53</v>
      </c>
      <c r="E131" s="2" t="s">
        <v>762</v>
      </c>
      <c r="F131" s="2"/>
      <c r="G131" s="2" t="s">
        <v>763</v>
      </c>
      <c r="H131" s="2" t="s">
        <v>716</v>
      </c>
      <c r="I131" s="2" t="s">
        <v>74</v>
      </c>
      <c r="J131" s="2" t="n">
        <v>-6.15</v>
      </c>
      <c r="K131" s="2" t="n">
        <v>106.735</v>
      </c>
      <c r="L131" s="2" t="s">
        <v>84</v>
      </c>
      <c r="M131" s="2" t="s">
        <v>60</v>
      </c>
      <c r="N131" s="2" t="s">
        <v>764</v>
      </c>
      <c r="O131" s="2" t="s">
        <v>765</v>
      </c>
      <c r="P131" s="2" t="s">
        <v>590</v>
      </c>
      <c r="Q131" s="2" t="s">
        <v>110</v>
      </c>
      <c r="R131" s="2" t="n">
        <v>0.9</v>
      </c>
      <c r="S131" s="2" t="s">
        <v>766</v>
      </c>
      <c r="T131" s="2" t="s">
        <v>64</v>
      </c>
      <c r="U131" s="2" t="s">
        <v>767</v>
      </c>
      <c r="V131" s="2" t="s">
        <v>66</v>
      </c>
      <c r="W131" s="2" t="s">
        <v>768</v>
      </c>
      <c r="X131" s="2" t="s">
        <v>160</v>
      </c>
    </row>
    <row r="132" customFormat="false" ht="15" hidden="false" customHeight="false" outlineLevel="0" collapsed="false">
      <c r="A132" s="2" t="n">
        <v>68</v>
      </c>
      <c r="B132" s="2" t="s">
        <v>736</v>
      </c>
      <c r="C132" s="2" t="s">
        <v>769</v>
      </c>
      <c r="D132" s="2" t="s">
        <v>53</v>
      </c>
      <c r="E132" s="2" t="s">
        <v>770</v>
      </c>
      <c r="F132" s="2"/>
      <c r="G132" s="2"/>
      <c r="H132" s="2"/>
      <c r="I132" s="2"/>
      <c r="J132" s="2" t="n">
        <v>26.011</v>
      </c>
      <c r="K132" s="2" t="n">
        <v>-80.149</v>
      </c>
      <c r="L132" s="2" t="s">
        <v>101</v>
      </c>
      <c r="M132" s="2" t="s">
        <v>340</v>
      </c>
      <c r="N132" s="2" t="s">
        <v>771</v>
      </c>
      <c r="O132" s="2" t="s">
        <v>772</v>
      </c>
      <c r="P132" s="2" t="s">
        <v>773</v>
      </c>
      <c r="Q132" s="2" t="s">
        <v>110</v>
      </c>
      <c r="R132" s="2" t="n">
        <v>0.9</v>
      </c>
      <c r="S132" s="2" t="s">
        <v>774</v>
      </c>
      <c r="T132" s="2" t="s">
        <v>64</v>
      </c>
      <c r="U132" s="2" t="s">
        <v>775</v>
      </c>
      <c r="V132" s="2" t="s">
        <v>66</v>
      </c>
      <c r="W132" s="2" t="s">
        <v>776</v>
      </c>
      <c r="X132" s="2" t="s">
        <v>68</v>
      </c>
    </row>
    <row r="133" customFormat="false" ht="15" hidden="false" customHeight="false" outlineLevel="0" collapsed="false">
      <c r="A133" s="2" t="n">
        <v>70</v>
      </c>
      <c r="B133" s="2" t="s">
        <v>736</v>
      </c>
      <c r="C133" s="2" t="s">
        <v>777</v>
      </c>
      <c r="D133" s="2" t="s">
        <v>53</v>
      </c>
      <c r="E133" s="2" t="s">
        <v>778</v>
      </c>
      <c r="F133" s="2"/>
      <c r="G133" s="2"/>
      <c r="H133" s="2"/>
      <c r="I133" s="2"/>
      <c r="J133" s="2" t="n">
        <v>23.022</v>
      </c>
      <c r="K133" s="2" t="n">
        <v>113.122</v>
      </c>
      <c r="L133" s="2" t="s">
        <v>101</v>
      </c>
      <c r="M133" s="2" t="s">
        <v>340</v>
      </c>
      <c r="N133" s="2" t="s">
        <v>779</v>
      </c>
      <c r="O133" s="2" t="s">
        <v>780</v>
      </c>
      <c r="P133" s="2"/>
      <c r="Q133" s="2" t="s">
        <v>110</v>
      </c>
      <c r="R133" s="2" t="n">
        <v>0.9</v>
      </c>
      <c r="S133" s="2" t="s">
        <v>781</v>
      </c>
      <c r="T133" s="2" t="s">
        <v>64</v>
      </c>
      <c r="U133" s="2" t="s">
        <v>782</v>
      </c>
      <c r="V133" s="2" t="s">
        <v>66</v>
      </c>
      <c r="W133" s="2" t="s">
        <v>783</v>
      </c>
      <c r="X133" s="2" t="s">
        <v>68</v>
      </c>
    </row>
    <row r="134" customFormat="false" ht="15" hidden="false" customHeight="false" outlineLevel="0" collapsed="false">
      <c r="A134" s="2" t="n">
        <v>79</v>
      </c>
      <c r="B134" s="2" t="s">
        <v>736</v>
      </c>
      <c r="C134" s="2" t="s">
        <v>784</v>
      </c>
      <c r="D134" s="2" t="s">
        <v>53</v>
      </c>
      <c r="E134" s="2" t="s">
        <v>785</v>
      </c>
      <c r="F134" s="2" t="s">
        <v>786</v>
      </c>
      <c r="G134" s="2" t="s">
        <v>787</v>
      </c>
      <c r="H134" s="2" t="s">
        <v>788</v>
      </c>
      <c r="I134" s="2" t="s">
        <v>58</v>
      </c>
      <c r="J134" s="2" t="n">
        <v>-6.305</v>
      </c>
      <c r="K134" s="2" t="n">
        <v>107.31</v>
      </c>
      <c r="L134" s="2" t="s">
        <v>59</v>
      </c>
      <c r="M134" s="2" t="s">
        <v>60</v>
      </c>
      <c r="N134" s="2"/>
      <c r="O134" s="2" t="s">
        <v>789</v>
      </c>
      <c r="P134" s="2" t="s">
        <v>790</v>
      </c>
      <c r="Q134" s="2" t="s">
        <v>110</v>
      </c>
      <c r="R134" s="2" t="n">
        <v>0.85</v>
      </c>
      <c r="S134" s="2" t="s">
        <v>791</v>
      </c>
      <c r="T134" s="2" t="s">
        <v>792</v>
      </c>
      <c r="U134" s="2" t="s">
        <v>793</v>
      </c>
      <c r="V134" s="2" t="s">
        <v>794</v>
      </c>
      <c r="W134" s="2" t="s">
        <v>795</v>
      </c>
      <c r="X134" s="2" t="s">
        <v>160</v>
      </c>
    </row>
    <row r="135" customFormat="false" ht="15" hidden="false" customHeight="false" outlineLevel="0" collapsed="false">
      <c r="A135" s="2" t="n">
        <v>80</v>
      </c>
      <c r="B135" s="2" t="s">
        <v>736</v>
      </c>
      <c r="C135" s="2" t="s">
        <v>796</v>
      </c>
      <c r="D135" s="2" t="s">
        <v>53</v>
      </c>
      <c r="E135" s="2" t="s">
        <v>797</v>
      </c>
      <c r="F135" s="2" t="s">
        <v>798</v>
      </c>
      <c r="G135" s="2" t="s">
        <v>799</v>
      </c>
      <c r="H135" s="2" t="s">
        <v>800</v>
      </c>
      <c r="I135" s="2" t="s">
        <v>172</v>
      </c>
      <c r="J135" s="2" t="n">
        <v>-6.75</v>
      </c>
      <c r="K135" s="2" t="n">
        <v>111.04</v>
      </c>
      <c r="L135" s="2" t="s">
        <v>101</v>
      </c>
      <c r="M135" s="2" t="s">
        <v>340</v>
      </c>
      <c r="N135" s="2"/>
      <c r="O135" s="2" t="s">
        <v>801</v>
      </c>
      <c r="P135" s="2"/>
      <c r="Q135" s="2" t="s">
        <v>110</v>
      </c>
      <c r="R135" s="2" t="n">
        <v>0.7</v>
      </c>
      <c r="S135" s="2" t="s">
        <v>802</v>
      </c>
      <c r="T135" s="2" t="s">
        <v>803</v>
      </c>
      <c r="U135" s="2" t="s">
        <v>804</v>
      </c>
      <c r="V135" s="2" t="s">
        <v>420</v>
      </c>
      <c r="W135" s="2" t="s">
        <v>805</v>
      </c>
      <c r="X135" s="2" t="s">
        <v>68</v>
      </c>
    </row>
    <row r="136" customFormat="false" ht="15" hidden="false" customHeight="false" outlineLevel="0" collapsed="false">
      <c r="A136" s="2" t="n">
        <v>81</v>
      </c>
      <c r="B136" s="2" t="s">
        <v>736</v>
      </c>
      <c r="C136" s="2" t="s">
        <v>806</v>
      </c>
      <c r="D136" s="2" t="s">
        <v>53</v>
      </c>
      <c r="E136" s="2" t="s">
        <v>807</v>
      </c>
      <c r="F136" s="2"/>
      <c r="G136" s="2"/>
      <c r="H136" s="2" t="s">
        <v>807</v>
      </c>
      <c r="I136" s="2" t="s">
        <v>184</v>
      </c>
      <c r="J136" s="2" t="n">
        <v>-7.87</v>
      </c>
      <c r="K136" s="2" t="n">
        <v>112.527</v>
      </c>
      <c r="L136" s="2" t="s">
        <v>101</v>
      </c>
      <c r="M136" s="2" t="s">
        <v>60</v>
      </c>
      <c r="N136" s="2"/>
      <c r="O136" s="2" t="s">
        <v>808</v>
      </c>
      <c r="P136" s="2"/>
      <c r="Q136" s="2" t="s">
        <v>62</v>
      </c>
      <c r="R136" s="2" t="n">
        <v>0.85</v>
      </c>
      <c r="S136" s="2" t="s">
        <v>809</v>
      </c>
      <c r="T136" s="2" t="s">
        <v>810</v>
      </c>
      <c r="U136" s="2" t="s">
        <v>811</v>
      </c>
      <c r="V136" s="2" t="s">
        <v>812</v>
      </c>
      <c r="W136" s="2" t="s">
        <v>813</v>
      </c>
      <c r="X136" s="2" t="s">
        <v>160</v>
      </c>
    </row>
    <row r="137" customFormat="false" ht="15" hidden="false" customHeight="false" outlineLevel="0" collapsed="false">
      <c r="A137" s="2" t="n">
        <v>83</v>
      </c>
      <c r="B137" s="2" t="s">
        <v>736</v>
      </c>
      <c r="C137" s="2" t="s">
        <v>814</v>
      </c>
      <c r="D137" s="2" t="s">
        <v>53</v>
      </c>
      <c r="E137" s="2" t="s">
        <v>815</v>
      </c>
      <c r="F137" s="2"/>
      <c r="G137" s="2" t="s">
        <v>816</v>
      </c>
      <c r="H137" s="2" t="s">
        <v>426</v>
      </c>
      <c r="I137" s="2" t="s">
        <v>74</v>
      </c>
      <c r="J137" s="2" t="n">
        <v>-6.29</v>
      </c>
      <c r="K137" s="2" t="n">
        <v>106.8</v>
      </c>
      <c r="L137" s="2" t="s">
        <v>84</v>
      </c>
      <c r="M137" s="2" t="s">
        <v>60</v>
      </c>
      <c r="N137" s="2" t="s">
        <v>817</v>
      </c>
      <c r="O137" s="2" t="s">
        <v>818</v>
      </c>
      <c r="P137" s="2"/>
      <c r="Q137" s="2" t="s">
        <v>110</v>
      </c>
      <c r="R137" s="2" t="n">
        <v>0.85</v>
      </c>
      <c r="S137" s="2" t="s">
        <v>819</v>
      </c>
      <c r="T137" s="2" t="s">
        <v>64</v>
      </c>
      <c r="U137" s="2" t="s">
        <v>820</v>
      </c>
      <c r="V137" s="2" t="s">
        <v>66</v>
      </c>
      <c r="W137" s="2" t="s">
        <v>821</v>
      </c>
      <c r="X137" s="2" t="s">
        <v>68</v>
      </c>
    </row>
    <row r="138" customFormat="false" ht="15" hidden="false" customHeight="false" outlineLevel="0" collapsed="false">
      <c r="A138" s="2" t="n">
        <v>88</v>
      </c>
      <c r="B138" s="2" t="s">
        <v>736</v>
      </c>
      <c r="C138" s="2" t="s">
        <v>822</v>
      </c>
      <c r="D138" s="2" t="s">
        <v>53</v>
      </c>
      <c r="E138" s="2" t="s">
        <v>823</v>
      </c>
      <c r="F138" s="2"/>
      <c r="G138" s="2"/>
      <c r="H138" s="2"/>
      <c r="I138" s="2"/>
      <c r="J138" s="2" t="n">
        <v>-25.266</v>
      </c>
      <c r="K138" s="2" t="n">
        <v>153.156</v>
      </c>
      <c r="L138" s="2" t="s">
        <v>124</v>
      </c>
      <c r="M138" s="2" t="s">
        <v>340</v>
      </c>
      <c r="N138" s="2" t="s">
        <v>824</v>
      </c>
      <c r="O138" s="2" t="s">
        <v>825</v>
      </c>
      <c r="P138" s="2" t="s">
        <v>692</v>
      </c>
      <c r="Q138" s="2" t="s">
        <v>110</v>
      </c>
      <c r="R138" s="2" t="n">
        <v>0.85</v>
      </c>
      <c r="S138" s="2" t="s">
        <v>826</v>
      </c>
      <c r="T138" s="2" t="s">
        <v>64</v>
      </c>
      <c r="U138" s="2" t="s">
        <v>827</v>
      </c>
      <c r="V138" s="2" t="s">
        <v>66</v>
      </c>
      <c r="W138" s="2" t="s">
        <v>828</v>
      </c>
      <c r="X138" s="2" t="s">
        <v>68</v>
      </c>
    </row>
    <row r="139" customFormat="false" ht="15" hidden="false" customHeight="false" outlineLevel="0" collapsed="false">
      <c r="A139" s="2" t="n">
        <v>91</v>
      </c>
      <c r="B139" s="2" t="s">
        <v>829</v>
      </c>
      <c r="C139" s="2" t="s">
        <v>120</v>
      </c>
      <c r="D139" s="2" t="s">
        <v>121</v>
      </c>
      <c r="E139" s="2" t="s">
        <v>830</v>
      </c>
      <c r="F139" s="2"/>
      <c r="G139" s="2"/>
      <c r="H139" s="2"/>
      <c r="I139" s="2" t="s">
        <v>74</v>
      </c>
      <c r="J139" s="2" t="n">
        <v>-6.2</v>
      </c>
      <c r="K139" s="2" t="n">
        <v>106.845</v>
      </c>
      <c r="L139" s="2" t="s">
        <v>239</v>
      </c>
      <c r="M139" s="2" t="s">
        <v>60</v>
      </c>
      <c r="N139" s="2"/>
      <c r="O139" s="2" t="s">
        <v>831</v>
      </c>
      <c r="P139" s="2" t="s">
        <v>109</v>
      </c>
      <c r="Q139" s="2" t="s">
        <v>110</v>
      </c>
      <c r="R139" s="2" t="n">
        <v>0.85</v>
      </c>
      <c r="S139" s="2" t="s">
        <v>832</v>
      </c>
      <c r="T139" s="2" t="s">
        <v>64</v>
      </c>
      <c r="U139" s="2" t="s">
        <v>833</v>
      </c>
      <c r="V139" s="2" t="s">
        <v>66</v>
      </c>
      <c r="W139" s="2" t="s">
        <v>132</v>
      </c>
      <c r="X139" s="2" t="s">
        <v>68</v>
      </c>
    </row>
    <row r="140" customFormat="false" ht="15" hidden="false" customHeight="false" outlineLevel="0" collapsed="false">
      <c r="A140" s="2" t="n">
        <v>91</v>
      </c>
      <c r="B140" s="2" t="s">
        <v>829</v>
      </c>
      <c r="C140" s="2" t="s">
        <v>137</v>
      </c>
      <c r="D140" s="2" t="s">
        <v>53</v>
      </c>
      <c r="E140" s="2" t="s">
        <v>443</v>
      </c>
      <c r="F140" s="2" t="s">
        <v>424</v>
      </c>
      <c r="G140" s="2" t="s">
        <v>425</v>
      </c>
      <c r="H140" s="2" t="s">
        <v>426</v>
      </c>
      <c r="I140" s="2" t="s">
        <v>74</v>
      </c>
      <c r="J140" s="2" t="n">
        <v>-6.244</v>
      </c>
      <c r="K140" s="2" t="n">
        <v>106.8</v>
      </c>
      <c r="L140" s="2" t="s">
        <v>124</v>
      </c>
      <c r="M140" s="2" t="s">
        <v>60</v>
      </c>
      <c r="N140" s="2"/>
      <c r="O140" s="2" t="s">
        <v>834</v>
      </c>
      <c r="P140" s="2"/>
      <c r="Q140" s="2" t="s">
        <v>62</v>
      </c>
      <c r="R140" s="2" t="n">
        <v>0.75</v>
      </c>
      <c r="S140" s="2" t="s">
        <v>832</v>
      </c>
      <c r="T140" s="2" t="s">
        <v>64</v>
      </c>
      <c r="U140" s="2" t="s">
        <v>833</v>
      </c>
      <c r="V140" s="2" t="s">
        <v>66</v>
      </c>
      <c r="W140" s="2" t="s">
        <v>132</v>
      </c>
      <c r="X140" s="2" t="s">
        <v>68</v>
      </c>
    </row>
    <row r="141" customFormat="false" ht="15" hidden="false" customHeight="false" outlineLevel="0" collapsed="false">
      <c r="A141" s="2" t="n">
        <v>91</v>
      </c>
      <c r="B141" s="2" t="s">
        <v>829</v>
      </c>
      <c r="C141" s="2" t="s">
        <v>139</v>
      </c>
      <c r="D141" s="2" t="s">
        <v>134</v>
      </c>
      <c r="E141" s="2" t="s">
        <v>835</v>
      </c>
      <c r="F141" s="2"/>
      <c r="G141" s="2"/>
      <c r="H141" s="2"/>
      <c r="I141" s="2" t="s">
        <v>74</v>
      </c>
      <c r="J141" s="2" t="n">
        <v>-6.2</v>
      </c>
      <c r="K141" s="2" t="n">
        <v>106.845</v>
      </c>
      <c r="L141" s="2" t="s">
        <v>239</v>
      </c>
      <c r="M141" s="2" t="s">
        <v>60</v>
      </c>
      <c r="N141" s="2"/>
      <c r="O141" s="2" t="s">
        <v>836</v>
      </c>
      <c r="P141" s="2"/>
      <c r="Q141" s="2" t="s">
        <v>62</v>
      </c>
      <c r="R141" s="2" t="n">
        <v>0.7</v>
      </c>
      <c r="S141" s="2" t="s">
        <v>832</v>
      </c>
      <c r="T141" s="2" t="s">
        <v>64</v>
      </c>
      <c r="U141" s="2" t="s">
        <v>833</v>
      </c>
      <c r="V141" s="2" t="s">
        <v>66</v>
      </c>
      <c r="W141" s="2" t="s">
        <v>132</v>
      </c>
      <c r="X141" s="2" t="s">
        <v>68</v>
      </c>
    </row>
    <row r="142" customFormat="false" ht="15" hidden="false" customHeight="false" outlineLevel="0" collapsed="false">
      <c r="A142" s="2" t="n">
        <v>92</v>
      </c>
      <c r="B142" s="2" t="s">
        <v>829</v>
      </c>
      <c r="C142" s="2" t="s">
        <v>837</v>
      </c>
      <c r="D142" s="2" t="s">
        <v>134</v>
      </c>
      <c r="E142" s="2" t="s">
        <v>223</v>
      </c>
      <c r="F142" s="2"/>
      <c r="G142" s="2"/>
      <c r="H142" s="2"/>
      <c r="I142" s="2" t="s">
        <v>184</v>
      </c>
      <c r="J142" s="2" t="n">
        <v>-7.536</v>
      </c>
      <c r="K142" s="2" t="n">
        <v>112.238</v>
      </c>
      <c r="L142" s="2" t="s">
        <v>239</v>
      </c>
      <c r="M142" s="2" t="s">
        <v>60</v>
      </c>
      <c r="N142" s="2" t="s">
        <v>838</v>
      </c>
      <c r="O142" s="2" t="s">
        <v>839</v>
      </c>
      <c r="P142" s="2"/>
      <c r="Q142" s="2" t="s">
        <v>110</v>
      </c>
      <c r="R142" s="2" t="n">
        <v>0.75</v>
      </c>
      <c r="S142" s="2" t="s">
        <v>840</v>
      </c>
      <c r="T142" s="2" t="s">
        <v>841</v>
      </c>
      <c r="U142" s="2" t="s">
        <v>842</v>
      </c>
      <c r="V142" s="2" t="s">
        <v>841</v>
      </c>
      <c r="W142" s="2" t="s">
        <v>132</v>
      </c>
      <c r="X142" s="2" t="s">
        <v>160</v>
      </c>
    </row>
    <row r="143" customFormat="false" ht="15" hidden="false" customHeight="false" outlineLevel="0" collapsed="false">
      <c r="A143" s="2" t="n">
        <v>94</v>
      </c>
      <c r="B143" s="2" t="s">
        <v>829</v>
      </c>
      <c r="C143" s="2" t="s">
        <v>843</v>
      </c>
      <c r="D143" s="2" t="s">
        <v>351</v>
      </c>
      <c r="E143" s="2" t="s">
        <v>844</v>
      </c>
      <c r="F143" s="2"/>
      <c r="G143" s="2" t="s">
        <v>286</v>
      </c>
      <c r="H143" s="2" t="s">
        <v>279</v>
      </c>
      <c r="I143" s="2" t="s">
        <v>58</v>
      </c>
      <c r="J143" s="2" t="n">
        <v>-6.4</v>
      </c>
      <c r="K143" s="2" t="n">
        <v>106.765</v>
      </c>
      <c r="L143" s="2" t="s">
        <v>84</v>
      </c>
      <c r="M143" s="2" t="s">
        <v>60</v>
      </c>
      <c r="N143" s="2"/>
      <c r="O143" s="2" t="s">
        <v>845</v>
      </c>
      <c r="P143" s="2" t="s">
        <v>846</v>
      </c>
      <c r="Q143" s="2" t="s">
        <v>110</v>
      </c>
      <c r="R143" s="2" t="n">
        <v>0.85</v>
      </c>
      <c r="S143" s="2" t="s">
        <v>847</v>
      </c>
      <c r="T143" s="2" t="s">
        <v>848</v>
      </c>
      <c r="U143" s="2" t="s">
        <v>849</v>
      </c>
      <c r="V143" s="2" t="s">
        <v>850</v>
      </c>
      <c r="W143" s="2" t="s">
        <v>851</v>
      </c>
      <c r="X143" s="2" t="s">
        <v>68</v>
      </c>
    </row>
    <row r="144" customFormat="false" ht="15" hidden="false" customHeight="false" outlineLevel="0" collapsed="false">
      <c r="A144" s="2" t="n">
        <v>95</v>
      </c>
      <c r="B144" s="2" t="s">
        <v>829</v>
      </c>
      <c r="C144" s="2" t="s">
        <v>852</v>
      </c>
      <c r="D144" s="2" t="s">
        <v>351</v>
      </c>
      <c r="E144" s="2" t="s">
        <v>853</v>
      </c>
      <c r="F144" s="2"/>
      <c r="G144" s="2" t="s">
        <v>854</v>
      </c>
      <c r="H144" s="2" t="s">
        <v>366</v>
      </c>
      <c r="I144" s="2" t="s">
        <v>238</v>
      </c>
      <c r="J144" s="2" t="n">
        <v>-6.235</v>
      </c>
      <c r="K144" s="2" t="n">
        <v>106.735</v>
      </c>
      <c r="L144" s="2" t="s">
        <v>84</v>
      </c>
      <c r="M144" s="2" t="s">
        <v>60</v>
      </c>
      <c r="N144" s="2" t="s">
        <v>855</v>
      </c>
      <c r="O144" s="2" t="s">
        <v>856</v>
      </c>
      <c r="P144" s="2"/>
      <c r="Q144" s="2" t="s">
        <v>110</v>
      </c>
      <c r="R144" s="2" t="n">
        <v>0.8</v>
      </c>
      <c r="S144" s="2" t="s">
        <v>857</v>
      </c>
      <c r="T144" s="2" t="s">
        <v>536</v>
      </c>
      <c r="U144" s="2" t="s">
        <v>858</v>
      </c>
      <c r="V144" s="2" t="s">
        <v>475</v>
      </c>
      <c r="W144" s="2" t="s">
        <v>115</v>
      </c>
      <c r="X144" s="2" t="s">
        <v>68</v>
      </c>
    </row>
    <row r="145" customFormat="false" ht="15" hidden="false" customHeight="false" outlineLevel="0" collapsed="false">
      <c r="A145" s="2" t="n">
        <v>96</v>
      </c>
      <c r="B145" s="2" t="s">
        <v>829</v>
      </c>
      <c r="C145" s="2" t="s">
        <v>859</v>
      </c>
      <c r="D145" s="2" t="s">
        <v>410</v>
      </c>
      <c r="E145" s="2" t="s">
        <v>860</v>
      </c>
      <c r="F145" s="2" t="s">
        <v>861</v>
      </c>
      <c r="G145" s="2" t="s">
        <v>862</v>
      </c>
      <c r="H145" s="2" t="s">
        <v>224</v>
      </c>
      <c r="I145" s="2" t="s">
        <v>184</v>
      </c>
      <c r="J145" s="2" t="n">
        <v>-7.979</v>
      </c>
      <c r="K145" s="2" t="n">
        <v>112.631</v>
      </c>
      <c r="L145" s="2" t="s">
        <v>124</v>
      </c>
      <c r="M145" s="2" t="s">
        <v>60</v>
      </c>
      <c r="N145" s="2" t="s">
        <v>859</v>
      </c>
      <c r="O145" s="2" t="s">
        <v>863</v>
      </c>
      <c r="P145" s="2"/>
      <c r="Q145" s="2" t="s">
        <v>110</v>
      </c>
      <c r="R145" s="2" t="n">
        <v>0.7</v>
      </c>
      <c r="S145" s="2" t="s">
        <v>864</v>
      </c>
      <c r="T145" s="2" t="s">
        <v>865</v>
      </c>
      <c r="U145" s="2" t="s">
        <v>866</v>
      </c>
      <c r="V145" s="2" t="s">
        <v>867</v>
      </c>
      <c r="W145" s="2" t="s">
        <v>686</v>
      </c>
      <c r="X145" s="2" t="s">
        <v>68</v>
      </c>
    </row>
    <row r="146" customFormat="false" ht="15" hidden="false" customHeight="false" outlineLevel="0" collapsed="false">
      <c r="A146" s="2" t="n">
        <v>96</v>
      </c>
      <c r="B146" s="2" t="s">
        <v>829</v>
      </c>
      <c r="C146" s="2" t="s">
        <v>868</v>
      </c>
      <c r="D146" s="2" t="s">
        <v>134</v>
      </c>
      <c r="E146" s="2" t="s">
        <v>869</v>
      </c>
      <c r="F146" s="2" t="s">
        <v>861</v>
      </c>
      <c r="G146" s="2" t="s">
        <v>862</v>
      </c>
      <c r="H146" s="2" t="s">
        <v>224</v>
      </c>
      <c r="I146" s="2" t="s">
        <v>184</v>
      </c>
      <c r="J146" s="2" t="n">
        <v>-7.979</v>
      </c>
      <c r="K146" s="2" t="n">
        <v>112.631</v>
      </c>
      <c r="L146" s="2" t="s">
        <v>124</v>
      </c>
      <c r="M146" s="2" t="s">
        <v>60</v>
      </c>
      <c r="N146" s="2" t="s">
        <v>859</v>
      </c>
      <c r="O146" s="2" t="s">
        <v>870</v>
      </c>
      <c r="P146" s="2"/>
      <c r="Q146" s="2" t="s">
        <v>110</v>
      </c>
      <c r="R146" s="2" t="n">
        <v>0.75</v>
      </c>
      <c r="S146" s="2" t="s">
        <v>864</v>
      </c>
      <c r="T146" s="2" t="s">
        <v>865</v>
      </c>
      <c r="U146" s="2" t="s">
        <v>866</v>
      </c>
      <c r="V146" s="2" t="s">
        <v>867</v>
      </c>
      <c r="W146" s="2" t="s">
        <v>686</v>
      </c>
      <c r="X146" s="2" t="s">
        <v>68</v>
      </c>
    </row>
    <row r="147" customFormat="false" ht="15" hidden="false" customHeight="false" outlineLevel="0" collapsed="false">
      <c r="A147" s="2" t="n">
        <v>96</v>
      </c>
      <c r="B147" s="2" t="s">
        <v>829</v>
      </c>
      <c r="C147" s="2" t="s">
        <v>871</v>
      </c>
      <c r="D147" s="2" t="s">
        <v>134</v>
      </c>
      <c r="E147" s="2" t="s">
        <v>872</v>
      </c>
      <c r="F147" s="2" t="s">
        <v>861</v>
      </c>
      <c r="G147" s="2" t="s">
        <v>862</v>
      </c>
      <c r="H147" s="2" t="s">
        <v>224</v>
      </c>
      <c r="I147" s="2" t="s">
        <v>184</v>
      </c>
      <c r="J147" s="2" t="n">
        <v>-7.979</v>
      </c>
      <c r="K147" s="2" t="n">
        <v>112.631</v>
      </c>
      <c r="L147" s="2" t="s">
        <v>124</v>
      </c>
      <c r="M147" s="2" t="s">
        <v>60</v>
      </c>
      <c r="N147" s="2" t="s">
        <v>859</v>
      </c>
      <c r="O147" s="2" t="s">
        <v>873</v>
      </c>
      <c r="P147" s="2"/>
      <c r="Q147" s="2" t="s">
        <v>62</v>
      </c>
      <c r="R147" s="2" t="n">
        <v>0.5</v>
      </c>
      <c r="S147" s="2" t="s">
        <v>864</v>
      </c>
      <c r="T147" s="2" t="s">
        <v>865</v>
      </c>
      <c r="U147" s="2" t="s">
        <v>866</v>
      </c>
      <c r="V147" s="2" t="s">
        <v>867</v>
      </c>
      <c r="W147" s="2" t="s">
        <v>686</v>
      </c>
      <c r="X147" s="2" t="s">
        <v>68</v>
      </c>
    </row>
    <row r="148" customFormat="false" ht="15" hidden="false" customHeight="false" outlineLevel="0" collapsed="false">
      <c r="A148" s="2" t="n">
        <v>96</v>
      </c>
      <c r="B148" s="2" t="s">
        <v>829</v>
      </c>
      <c r="C148" s="2" t="s">
        <v>874</v>
      </c>
      <c r="D148" s="2" t="s">
        <v>134</v>
      </c>
      <c r="E148" s="2" t="s">
        <v>875</v>
      </c>
      <c r="F148" s="2" t="s">
        <v>861</v>
      </c>
      <c r="G148" s="2" t="s">
        <v>862</v>
      </c>
      <c r="H148" s="2" t="s">
        <v>224</v>
      </c>
      <c r="I148" s="2" t="s">
        <v>184</v>
      </c>
      <c r="J148" s="2" t="n">
        <v>-7.979</v>
      </c>
      <c r="K148" s="2" t="n">
        <v>112.631</v>
      </c>
      <c r="L148" s="2" t="s">
        <v>124</v>
      </c>
      <c r="M148" s="2" t="s">
        <v>60</v>
      </c>
      <c r="N148" s="2" t="s">
        <v>859</v>
      </c>
      <c r="O148" s="2" t="s">
        <v>876</v>
      </c>
      <c r="P148" s="2"/>
      <c r="Q148" s="2" t="s">
        <v>110</v>
      </c>
      <c r="R148" s="2" t="n">
        <v>0.75</v>
      </c>
      <c r="S148" s="2" t="s">
        <v>864</v>
      </c>
      <c r="T148" s="2" t="s">
        <v>865</v>
      </c>
      <c r="U148" s="2" t="s">
        <v>866</v>
      </c>
      <c r="V148" s="2" t="s">
        <v>867</v>
      </c>
      <c r="W148" s="2" t="s">
        <v>686</v>
      </c>
      <c r="X148" s="2" t="s">
        <v>68</v>
      </c>
    </row>
    <row r="149" customFormat="false" ht="15" hidden="false" customHeight="false" outlineLevel="0" collapsed="false">
      <c r="A149" s="2" t="n">
        <v>96</v>
      </c>
      <c r="B149" s="2" t="s">
        <v>829</v>
      </c>
      <c r="C149" s="2" t="s">
        <v>877</v>
      </c>
      <c r="D149" s="2" t="s">
        <v>134</v>
      </c>
      <c r="E149" s="2" t="s">
        <v>878</v>
      </c>
      <c r="F149" s="2" t="s">
        <v>861</v>
      </c>
      <c r="G149" s="2" t="s">
        <v>862</v>
      </c>
      <c r="H149" s="2" t="s">
        <v>224</v>
      </c>
      <c r="I149" s="2" t="s">
        <v>184</v>
      </c>
      <c r="J149" s="2" t="n">
        <v>-7.979</v>
      </c>
      <c r="K149" s="2" t="n">
        <v>112.631</v>
      </c>
      <c r="L149" s="2" t="s">
        <v>124</v>
      </c>
      <c r="M149" s="2" t="s">
        <v>60</v>
      </c>
      <c r="N149" s="2" t="s">
        <v>859</v>
      </c>
      <c r="O149" s="2" t="s">
        <v>879</v>
      </c>
      <c r="P149" s="2"/>
      <c r="Q149" s="2" t="s">
        <v>110</v>
      </c>
      <c r="R149" s="2" t="n">
        <v>0.75</v>
      </c>
      <c r="S149" s="2" t="s">
        <v>864</v>
      </c>
      <c r="T149" s="2" t="s">
        <v>865</v>
      </c>
      <c r="U149" s="2" t="s">
        <v>866</v>
      </c>
      <c r="V149" s="2" t="s">
        <v>867</v>
      </c>
      <c r="W149" s="2" t="s">
        <v>686</v>
      </c>
      <c r="X149" s="2" t="s">
        <v>68</v>
      </c>
    </row>
    <row r="150" customFormat="false" ht="15" hidden="false" customHeight="false" outlineLevel="0" collapsed="false">
      <c r="A150" s="2" t="n">
        <v>96</v>
      </c>
      <c r="B150" s="2" t="s">
        <v>829</v>
      </c>
      <c r="C150" s="2" t="s">
        <v>880</v>
      </c>
      <c r="D150" s="2" t="s">
        <v>351</v>
      </c>
      <c r="E150" s="2" t="s">
        <v>881</v>
      </c>
      <c r="F150" s="2" t="s">
        <v>861</v>
      </c>
      <c r="G150" s="2" t="s">
        <v>862</v>
      </c>
      <c r="H150" s="2" t="s">
        <v>224</v>
      </c>
      <c r="I150" s="2" t="s">
        <v>184</v>
      </c>
      <c r="J150" s="2" t="n">
        <v>-7.979</v>
      </c>
      <c r="K150" s="2" t="n">
        <v>112.631</v>
      </c>
      <c r="L150" s="2" t="s">
        <v>124</v>
      </c>
      <c r="M150" s="2" t="s">
        <v>60</v>
      </c>
      <c r="N150" s="2" t="s">
        <v>859</v>
      </c>
      <c r="O150" s="2" t="s">
        <v>882</v>
      </c>
      <c r="P150" s="2"/>
      <c r="Q150" s="2" t="s">
        <v>110</v>
      </c>
      <c r="R150" s="2" t="n">
        <v>0.7</v>
      </c>
      <c r="S150" s="2" t="s">
        <v>864</v>
      </c>
      <c r="T150" s="2" t="s">
        <v>865</v>
      </c>
      <c r="U150" s="2" t="s">
        <v>866</v>
      </c>
      <c r="V150" s="2" t="s">
        <v>867</v>
      </c>
      <c r="W150" s="2" t="s">
        <v>686</v>
      </c>
      <c r="X150" s="2" t="s">
        <v>68</v>
      </c>
    </row>
    <row r="151" customFormat="false" ht="15" hidden="false" customHeight="false" outlineLevel="0" collapsed="false">
      <c r="A151" s="2" t="n">
        <v>99</v>
      </c>
      <c r="B151" s="2" t="s">
        <v>829</v>
      </c>
      <c r="C151" s="2" t="s">
        <v>883</v>
      </c>
      <c r="D151" s="2" t="s">
        <v>351</v>
      </c>
      <c r="E151" s="2" t="s">
        <v>884</v>
      </c>
      <c r="F151" s="2" t="s">
        <v>885</v>
      </c>
      <c r="G151" s="2" t="s">
        <v>885</v>
      </c>
      <c r="H151" s="2" t="s">
        <v>73</v>
      </c>
      <c r="I151" s="2" t="s">
        <v>74</v>
      </c>
      <c r="J151" s="2" t="n">
        <v>-6.176</v>
      </c>
      <c r="K151" s="2" t="n">
        <v>106.843</v>
      </c>
      <c r="L151" s="2" t="s">
        <v>124</v>
      </c>
      <c r="M151" s="2" t="s">
        <v>60</v>
      </c>
      <c r="N151" s="2" t="s">
        <v>886</v>
      </c>
      <c r="O151" s="2" t="s">
        <v>887</v>
      </c>
      <c r="P151" s="2" t="s">
        <v>723</v>
      </c>
      <c r="Q151" s="2" t="s">
        <v>110</v>
      </c>
      <c r="R151" s="2" t="n">
        <v>0.8</v>
      </c>
      <c r="S151" s="2" t="s">
        <v>888</v>
      </c>
      <c r="T151" s="2" t="s">
        <v>694</v>
      </c>
      <c r="U151" s="2" t="s">
        <v>889</v>
      </c>
      <c r="V151" s="2" t="s">
        <v>696</v>
      </c>
      <c r="W151" s="2" t="s">
        <v>132</v>
      </c>
      <c r="X151" s="2" t="s">
        <v>68</v>
      </c>
    </row>
    <row r="152" customFormat="false" ht="15" hidden="false" customHeight="false" outlineLevel="0" collapsed="false">
      <c r="A152" s="2" t="n">
        <v>99</v>
      </c>
      <c r="B152" s="2" t="s">
        <v>829</v>
      </c>
      <c r="C152" s="2" t="s">
        <v>890</v>
      </c>
      <c r="D152" s="2" t="s">
        <v>134</v>
      </c>
      <c r="E152" s="2" t="s">
        <v>891</v>
      </c>
      <c r="F152" s="2" t="s">
        <v>885</v>
      </c>
      <c r="G152" s="2" t="s">
        <v>885</v>
      </c>
      <c r="H152" s="2" t="s">
        <v>73</v>
      </c>
      <c r="I152" s="2" t="s">
        <v>74</v>
      </c>
      <c r="J152" s="2" t="n">
        <v>-6.176</v>
      </c>
      <c r="K152" s="2" t="n">
        <v>106.843</v>
      </c>
      <c r="L152" s="2" t="s">
        <v>124</v>
      </c>
      <c r="M152" s="2" t="s">
        <v>60</v>
      </c>
      <c r="N152" s="2" t="s">
        <v>886</v>
      </c>
      <c r="O152" s="2" t="s">
        <v>892</v>
      </c>
      <c r="P152" s="2"/>
      <c r="Q152" s="2" t="s">
        <v>110</v>
      </c>
      <c r="R152" s="2" t="n">
        <v>0.75</v>
      </c>
      <c r="S152" s="2" t="s">
        <v>888</v>
      </c>
      <c r="T152" s="2" t="s">
        <v>694</v>
      </c>
      <c r="U152" s="2" t="s">
        <v>889</v>
      </c>
      <c r="V152" s="2" t="s">
        <v>696</v>
      </c>
      <c r="W152" s="2" t="s">
        <v>132</v>
      </c>
      <c r="X152" s="2" t="s">
        <v>68</v>
      </c>
    </row>
    <row r="153" customFormat="false" ht="15" hidden="false" customHeight="false" outlineLevel="0" collapsed="false">
      <c r="A153" s="2" t="n">
        <v>100</v>
      </c>
      <c r="B153" s="2" t="s">
        <v>829</v>
      </c>
      <c r="C153" s="2" t="s">
        <v>893</v>
      </c>
      <c r="D153" s="2" t="s">
        <v>351</v>
      </c>
      <c r="E153" s="2" t="s">
        <v>894</v>
      </c>
      <c r="F153" s="2" t="s">
        <v>895</v>
      </c>
      <c r="G153" s="2" t="s">
        <v>896</v>
      </c>
      <c r="H153" s="2" t="s">
        <v>897</v>
      </c>
      <c r="I153" s="2" t="s">
        <v>898</v>
      </c>
      <c r="J153" s="2" t="n">
        <v>-0.483</v>
      </c>
      <c r="K153" s="2" t="n">
        <v>117.132</v>
      </c>
      <c r="L153" s="2" t="s">
        <v>59</v>
      </c>
      <c r="M153" s="2" t="s">
        <v>60</v>
      </c>
      <c r="N153" s="2"/>
      <c r="O153" s="2" t="s">
        <v>899</v>
      </c>
      <c r="P153" s="2" t="s">
        <v>702</v>
      </c>
      <c r="Q153" s="2" t="s">
        <v>110</v>
      </c>
      <c r="R153" s="2" t="n">
        <v>0.8</v>
      </c>
      <c r="S153" s="2" t="s">
        <v>900</v>
      </c>
      <c r="T153" s="2" t="s">
        <v>95</v>
      </c>
      <c r="U153" s="2" t="s">
        <v>901</v>
      </c>
      <c r="V153" s="2" t="s">
        <v>97</v>
      </c>
      <c r="W153" s="2" t="s">
        <v>430</v>
      </c>
      <c r="X153" s="2" t="s">
        <v>68</v>
      </c>
    </row>
    <row r="154" customFormat="false" ht="15" hidden="false" customHeight="false" outlineLevel="0" collapsed="false">
      <c r="A154" s="2" t="n">
        <v>106</v>
      </c>
      <c r="B154" s="2" t="s">
        <v>829</v>
      </c>
      <c r="C154" s="2" t="s">
        <v>902</v>
      </c>
      <c r="D154" s="2" t="s">
        <v>134</v>
      </c>
      <c r="E154" s="2" t="s">
        <v>903</v>
      </c>
      <c r="F154" s="2"/>
      <c r="G154" s="2"/>
      <c r="H154" s="2"/>
      <c r="I154" s="2"/>
      <c r="J154" s="2" t="n">
        <v>25.205</v>
      </c>
      <c r="K154" s="2" t="n">
        <v>55.271</v>
      </c>
      <c r="L154" s="2" t="s">
        <v>101</v>
      </c>
      <c r="M154" s="2" t="s">
        <v>340</v>
      </c>
      <c r="N154" s="2" t="s">
        <v>904</v>
      </c>
      <c r="O154" s="2" t="s">
        <v>905</v>
      </c>
      <c r="P154" s="2"/>
      <c r="Q154" s="2" t="s">
        <v>110</v>
      </c>
      <c r="R154" s="2" t="n">
        <v>0.6</v>
      </c>
      <c r="S154" s="2" t="s">
        <v>906</v>
      </c>
      <c r="T154" s="2" t="s">
        <v>95</v>
      </c>
      <c r="U154" s="2" t="s">
        <v>907</v>
      </c>
      <c r="V154" s="2" t="s">
        <v>97</v>
      </c>
      <c r="W154" s="2" t="s">
        <v>908</v>
      </c>
      <c r="X154" s="2" t="s">
        <v>68</v>
      </c>
    </row>
    <row r="155" customFormat="false" ht="15" hidden="false" customHeight="false" outlineLevel="0" collapsed="false">
      <c r="A155" s="2" t="n">
        <v>108</v>
      </c>
      <c r="B155" s="2" t="s">
        <v>829</v>
      </c>
      <c r="C155" s="2" t="s">
        <v>909</v>
      </c>
      <c r="D155" s="2" t="s">
        <v>351</v>
      </c>
      <c r="E155" s="2" t="s">
        <v>910</v>
      </c>
      <c r="F155" s="2" t="s">
        <v>911</v>
      </c>
      <c r="G155" s="2" t="s">
        <v>106</v>
      </c>
      <c r="H155" s="2" t="s">
        <v>107</v>
      </c>
      <c r="I155" s="2" t="s">
        <v>58</v>
      </c>
      <c r="J155" s="2" t="n">
        <v>-6.925</v>
      </c>
      <c r="K155" s="2" t="n">
        <v>107.612</v>
      </c>
      <c r="L155" s="2" t="s">
        <v>59</v>
      </c>
      <c r="M155" s="2" t="s">
        <v>60</v>
      </c>
      <c r="N155" s="2"/>
      <c r="O155" s="2" t="s">
        <v>912</v>
      </c>
      <c r="P155" s="2" t="s">
        <v>913</v>
      </c>
      <c r="Q155" s="2" t="s">
        <v>110</v>
      </c>
      <c r="R155" s="2" t="n">
        <v>0.85</v>
      </c>
      <c r="S155" s="2" t="s">
        <v>914</v>
      </c>
      <c r="T155" s="2" t="s">
        <v>915</v>
      </c>
      <c r="U155" s="2" t="s">
        <v>916</v>
      </c>
      <c r="V155" s="2" t="s">
        <v>917</v>
      </c>
      <c r="W155" s="2" t="s">
        <v>918</v>
      </c>
      <c r="X155" s="2" t="s">
        <v>68</v>
      </c>
    </row>
    <row r="156" customFormat="false" ht="15" hidden="false" customHeight="false" outlineLevel="0" collapsed="false">
      <c r="A156" s="2" t="n">
        <v>108</v>
      </c>
      <c r="B156" s="2" t="s">
        <v>829</v>
      </c>
      <c r="C156" s="2" t="s">
        <v>919</v>
      </c>
      <c r="D156" s="2" t="s">
        <v>351</v>
      </c>
      <c r="E156" s="2" t="s">
        <v>910</v>
      </c>
      <c r="F156" s="2" t="s">
        <v>911</v>
      </c>
      <c r="G156" s="2" t="s">
        <v>106</v>
      </c>
      <c r="H156" s="2" t="s">
        <v>107</v>
      </c>
      <c r="I156" s="2" t="s">
        <v>58</v>
      </c>
      <c r="J156" s="2" t="n">
        <v>-6.925</v>
      </c>
      <c r="K156" s="2" t="n">
        <v>107.612</v>
      </c>
      <c r="L156" s="2" t="s">
        <v>59</v>
      </c>
      <c r="M156" s="2" t="s">
        <v>60</v>
      </c>
      <c r="N156" s="2"/>
      <c r="O156" s="2" t="s">
        <v>920</v>
      </c>
      <c r="P156" s="2"/>
      <c r="Q156" s="2" t="s">
        <v>110</v>
      </c>
      <c r="R156" s="2" t="n">
        <v>0.75</v>
      </c>
      <c r="S156" s="2" t="s">
        <v>914</v>
      </c>
      <c r="T156" s="2" t="s">
        <v>915</v>
      </c>
      <c r="U156" s="2" t="s">
        <v>916</v>
      </c>
      <c r="V156" s="2" t="s">
        <v>917</v>
      </c>
      <c r="W156" s="2" t="s">
        <v>918</v>
      </c>
      <c r="X156" s="2" t="s">
        <v>68</v>
      </c>
    </row>
    <row r="157" customFormat="false" ht="15" hidden="false" customHeight="false" outlineLevel="0" collapsed="false">
      <c r="A157" s="2" t="n">
        <v>108</v>
      </c>
      <c r="B157" s="2" t="s">
        <v>829</v>
      </c>
      <c r="C157" s="2" t="s">
        <v>921</v>
      </c>
      <c r="D157" s="2" t="s">
        <v>351</v>
      </c>
      <c r="E157" s="2" t="s">
        <v>910</v>
      </c>
      <c r="F157" s="2" t="s">
        <v>911</v>
      </c>
      <c r="G157" s="2" t="s">
        <v>106</v>
      </c>
      <c r="H157" s="2" t="s">
        <v>107</v>
      </c>
      <c r="I157" s="2" t="s">
        <v>58</v>
      </c>
      <c r="J157" s="2" t="n">
        <v>-6.925</v>
      </c>
      <c r="K157" s="2" t="n">
        <v>107.612</v>
      </c>
      <c r="L157" s="2" t="s">
        <v>59</v>
      </c>
      <c r="M157" s="2" t="s">
        <v>60</v>
      </c>
      <c r="N157" s="2"/>
      <c r="O157" s="2" t="s">
        <v>922</v>
      </c>
      <c r="P157" s="2"/>
      <c r="Q157" s="2" t="s">
        <v>110</v>
      </c>
      <c r="R157" s="2" t="n">
        <v>0.75</v>
      </c>
      <c r="S157" s="2" t="s">
        <v>914</v>
      </c>
      <c r="T157" s="2" t="s">
        <v>915</v>
      </c>
      <c r="U157" s="2" t="s">
        <v>916</v>
      </c>
      <c r="V157" s="2" t="s">
        <v>917</v>
      </c>
      <c r="W157" s="2" t="s">
        <v>918</v>
      </c>
      <c r="X157" s="2" t="s">
        <v>68</v>
      </c>
    </row>
    <row r="158" customFormat="false" ht="15" hidden="false" customHeight="false" outlineLevel="0" collapsed="false">
      <c r="A158" s="2" t="n">
        <v>108</v>
      </c>
      <c r="B158" s="2" t="s">
        <v>829</v>
      </c>
      <c r="C158" s="2" t="s">
        <v>923</v>
      </c>
      <c r="D158" s="2" t="s">
        <v>351</v>
      </c>
      <c r="E158" s="2" t="s">
        <v>910</v>
      </c>
      <c r="F158" s="2" t="s">
        <v>911</v>
      </c>
      <c r="G158" s="2" t="s">
        <v>106</v>
      </c>
      <c r="H158" s="2" t="s">
        <v>107</v>
      </c>
      <c r="I158" s="2" t="s">
        <v>58</v>
      </c>
      <c r="J158" s="2" t="n">
        <v>-6.925</v>
      </c>
      <c r="K158" s="2" t="n">
        <v>107.612</v>
      </c>
      <c r="L158" s="2" t="s">
        <v>59</v>
      </c>
      <c r="M158" s="2" t="s">
        <v>60</v>
      </c>
      <c r="N158" s="2"/>
      <c r="O158" s="2" t="s">
        <v>924</v>
      </c>
      <c r="P158" s="2"/>
      <c r="Q158" s="2" t="s">
        <v>110</v>
      </c>
      <c r="R158" s="2" t="n">
        <v>0.75</v>
      </c>
      <c r="S158" s="2" t="s">
        <v>914</v>
      </c>
      <c r="T158" s="2" t="s">
        <v>915</v>
      </c>
      <c r="U158" s="2" t="s">
        <v>916</v>
      </c>
      <c r="V158" s="2" t="s">
        <v>917</v>
      </c>
      <c r="W158" s="2" t="s">
        <v>918</v>
      </c>
      <c r="X158" s="2" t="s">
        <v>68</v>
      </c>
    </row>
    <row r="159" customFormat="false" ht="15" hidden="false" customHeight="false" outlineLevel="0" collapsed="false">
      <c r="A159" s="2" t="n">
        <v>108</v>
      </c>
      <c r="B159" s="2" t="s">
        <v>829</v>
      </c>
      <c r="C159" s="2" t="s">
        <v>925</v>
      </c>
      <c r="D159" s="2" t="s">
        <v>53</v>
      </c>
      <c r="E159" s="2" t="s">
        <v>910</v>
      </c>
      <c r="F159" s="2" t="s">
        <v>911</v>
      </c>
      <c r="G159" s="2" t="s">
        <v>106</v>
      </c>
      <c r="H159" s="2" t="s">
        <v>107</v>
      </c>
      <c r="I159" s="2" t="s">
        <v>58</v>
      </c>
      <c r="J159" s="2" t="n">
        <v>-6.925</v>
      </c>
      <c r="K159" s="2" t="n">
        <v>107.612</v>
      </c>
      <c r="L159" s="2" t="s">
        <v>59</v>
      </c>
      <c r="M159" s="2" t="s">
        <v>60</v>
      </c>
      <c r="N159" s="2"/>
      <c r="O159" s="2" t="s">
        <v>926</v>
      </c>
      <c r="P159" s="2"/>
      <c r="Q159" s="2" t="s">
        <v>110</v>
      </c>
      <c r="R159" s="2" t="n">
        <v>0.7</v>
      </c>
      <c r="S159" s="2" t="s">
        <v>914</v>
      </c>
      <c r="T159" s="2" t="s">
        <v>915</v>
      </c>
      <c r="U159" s="2" t="s">
        <v>916</v>
      </c>
      <c r="V159" s="2" t="s">
        <v>917</v>
      </c>
      <c r="W159" s="2" t="s">
        <v>918</v>
      </c>
      <c r="X159" s="2" t="s">
        <v>68</v>
      </c>
    </row>
    <row r="160" customFormat="false" ht="15" hidden="false" customHeight="false" outlineLevel="0" collapsed="false">
      <c r="A160" s="2" t="n">
        <v>108</v>
      </c>
      <c r="B160" s="2" t="s">
        <v>829</v>
      </c>
      <c r="C160" s="2" t="s">
        <v>927</v>
      </c>
      <c r="D160" s="2" t="s">
        <v>351</v>
      </c>
      <c r="E160" s="2" t="s">
        <v>910</v>
      </c>
      <c r="F160" s="2" t="s">
        <v>911</v>
      </c>
      <c r="G160" s="2" t="s">
        <v>106</v>
      </c>
      <c r="H160" s="2" t="s">
        <v>107</v>
      </c>
      <c r="I160" s="2" t="s">
        <v>58</v>
      </c>
      <c r="J160" s="2" t="n">
        <v>-6.925</v>
      </c>
      <c r="K160" s="2" t="n">
        <v>107.612</v>
      </c>
      <c r="L160" s="2" t="s">
        <v>59</v>
      </c>
      <c r="M160" s="2" t="s">
        <v>60</v>
      </c>
      <c r="N160" s="2"/>
      <c r="O160" s="2" t="s">
        <v>928</v>
      </c>
      <c r="P160" s="2"/>
      <c r="Q160" s="2" t="s">
        <v>110</v>
      </c>
      <c r="R160" s="2" t="n">
        <v>0.65</v>
      </c>
      <c r="S160" s="2" t="s">
        <v>914</v>
      </c>
      <c r="T160" s="2" t="s">
        <v>915</v>
      </c>
      <c r="U160" s="2" t="s">
        <v>916</v>
      </c>
      <c r="V160" s="2" t="s">
        <v>917</v>
      </c>
      <c r="W160" s="2" t="s">
        <v>918</v>
      </c>
      <c r="X160" s="2" t="s">
        <v>68</v>
      </c>
    </row>
    <row r="161" customFormat="false" ht="15" hidden="false" customHeight="false" outlineLevel="0" collapsed="false">
      <c r="A161" s="2" t="n">
        <v>108</v>
      </c>
      <c r="B161" s="2" t="s">
        <v>829</v>
      </c>
      <c r="C161" s="2" t="s">
        <v>929</v>
      </c>
      <c r="D161" s="2" t="s">
        <v>351</v>
      </c>
      <c r="E161" s="2" t="s">
        <v>930</v>
      </c>
      <c r="F161" s="2" t="s">
        <v>931</v>
      </c>
      <c r="G161" s="2" t="s">
        <v>932</v>
      </c>
      <c r="H161" s="2" t="s">
        <v>107</v>
      </c>
      <c r="I161" s="2" t="s">
        <v>58</v>
      </c>
      <c r="J161" s="2" t="n">
        <v>-6.9175</v>
      </c>
      <c r="K161" s="2" t="n">
        <v>107.6093</v>
      </c>
      <c r="L161" s="2" t="s">
        <v>124</v>
      </c>
      <c r="M161" s="2" t="s">
        <v>60</v>
      </c>
      <c r="N161" s="2"/>
      <c r="O161" s="2" t="s">
        <v>933</v>
      </c>
      <c r="P161" s="2" t="s">
        <v>109</v>
      </c>
      <c r="Q161" s="2" t="s">
        <v>110</v>
      </c>
      <c r="R161" s="2" t="n">
        <v>0.8</v>
      </c>
      <c r="S161" s="2" t="s">
        <v>914</v>
      </c>
      <c r="T161" s="2" t="s">
        <v>915</v>
      </c>
      <c r="U161" s="2" t="s">
        <v>916</v>
      </c>
      <c r="V161" s="2" t="s">
        <v>917</v>
      </c>
      <c r="W161" s="2" t="s">
        <v>918</v>
      </c>
      <c r="X161" s="2" t="s">
        <v>68</v>
      </c>
    </row>
    <row r="162" customFormat="false" ht="15" hidden="false" customHeight="false" outlineLevel="0" collapsed="false">
      <c r="A162" s="2" t="n">
        <v>110</v>
      </c>
      <c r="B162" s="2" t="s">
        <v>829</v>
      </c>
      <c r="C162" s="2" t="s">
        <v>934</v>
      </c>
      <c r="D162" s="2" t="s">
        <v>121</v>
      </c>
      <c r="E162" s="2" t="s">
        <v>935</v>
      </c>
      <c r="F162" s="2"/>
      <c r="G162" s="2" t="s">
        <v>936</v>
      </c>
      <c r="H162" s="2" t="s">
        <v>937</v>
      </c>
      <c r="I162" s="2" t="s">
        <v>184</v>
      </c>
      <c r="J162" s="2" t="n">
        <v>-7.172</v>
      </c>
      <c r="K162" s="2" t="n">
        <v>112.63</v>
      </c>
      <c r="L162" s="2" t="s">
        <v>84</v>
      </c>
      <c r="M162" s="2" t="s">
        <v>60</v>
      </c>
      <c r="N162" s="2" t="s">
        <v>938</v>
      </c>
      <c r="O162" s="2" t="s">
        <v>939</v>
      </c>
      <c r="P162" s="2" t="s">
        <v>940</v>
      </c>
      <c r="Q162" s="2" t="s">
        <v>110</v>
      </c>
      <c r="R162" s="2" t="n">
        <v>0.85</v>
      </c>
      <c r="S162" s="2" t="s">
        <v>941</v>
      </c>
      <c r="T162" s="2" t="s">
        <v>942</v>
      </c>
      <c r="U162" s="2" t="s">
        <v>943</v>
      </c>
      <c r="V162" s="2" t="s">
        <v>944</v>
      </c>
      <c r="W162" s="2" t="s">
        <v>945</v>
      </c>
      <c r="X162" s="2" t="s">
        <v>68</v>
      </c>
    </row>
    <row r="163" customFormat="false" ht="15" hidden="false" customHeight="false" outlineLevel="0" collapsed="false">
      <c r="A163" s="2" t="n">
        <v>111</v>
      </c>
      <c r="B163" s="2" t="s">
        <v>829</v>
      </c>
      <c r="C163" s="2" t="s">
        <v>946</v>
      </c>
      <c r="D163" s="2" t="s">
        <v>351</v>
      </c>
      <c r="E163" s="2" t="s">
        <v>947</v>
      </c>
      <c r="F163" s="2" t="s">
        <v>948</v>
      </c>
      <c r="G163" s="2" t="s">
        <v>949</v>
      </c>
      <c r="H163" s="2" t="s">
        <v>950</v>
      </c>
      <c r="I163" s="2" t="s">
        <v>184</v>
      </c>
      <c r="J163" s="2" t="n">
        <v>-7.2303</v>
      </c>
      <c r="K163" s="2" t="n">
        <v>112.7428</v>
      </c>
      <c r="L163" s="2" t="s">
        <v>124</v>
      </c>
      <c r="M163" s="2" t="s">
        <v>60</v>
      </c>
      <c r="N163" s="2" t="s">
        <v>951</v>
      </c>
      <c r="O163" s="2" t="s">
        <v>952</v>
      </c>
      <c r="P163" s="2"/>
      <c r="Q163" s="2" t="s">
        <v>110</v>
      </c>
      <c r="R163" s="2" t="n">
        <v>0.75</v>
      </c>
      <c r="S163" s="2" t="s">
        <v>953</v>
      </c>
      <c r="T163" s="2" t="s">
        <v>176</v>
      </c>
      <c r="U163" s="2" t="s">
        <v>954</v>
      </c>
      <c r="V163" s="2" t="s">
        <v>178</v>
      </c>
      <c r="W163" s="2" t="s">
        <v>851</v>
      </c>
      <c r="X163" s="2" t="s">
        <v>68</v>
      </c>
    </row>
    <row r="164" customFormat="false" ht="15" hidden="false" customHeight="false" outlineLevel="0" collapsed="false">
      <c r="A164" s="2" t="n">
        <v>112</v>
      </c>
      <c r="B164" s="2" t="s">
        <v>829</v>
      </c>
      <c r="C164" s="2" t="s">
        <v>955</v>
      </c>
      <c r="D164" s="2" t="s">
        <v>351</v>
      </c>
      <c r="E164" s="2" t="s">
        <v>956</v>
      </c>
      <c r="F164" s="2"/>
      <c r="G164" s="2" t="s">
        <v>957</v>
      </c>
      <c r="H164" s="2" t="s">
        <v>950</v>
      </c>
      <c r="I164" s="2" t="s">
        <v>184</v>
      </c>
      <c r="J164" s="2" t="n">
        <v>-7.3</v>
      </c>
      <c r="K164" s="2" t="n">
        <v>112.738</v>
      </c>
      <c r="L164" s="2" t="s">
        <v>84</v>
      </c>
      <c r="M164" s="2" t="s">
        <v>60</v>
      </c>
      <c r="N164" s="2"/>
      <c r="O164" s="2" t="s">
        <v>958</v>
      </c>
      <c r="P164" s="2"/>
      <c r="Q164" s="2" t="s">
        <v>110</v>
      </c>
      <c r="R164" s="2" t="n">
        <v>0.65</v>
      </c>
      <c r="S164" s="2" t="s">
        <v>959</v>
      </c>
      <c r="T164" s="2" t="s">
        <v>176</v>
      </c>
      <c r="U164" s="2" t="s">
        <v>960</v>
      </c>
      <c r="V164" s="2" t="s">
        <v>178</v>
      </c>
      <c r="W164" s="2" t="s">
        <v>686</v>
      </c>
      <c r="X164" s="2" t="s">
        <v>68</v>
      </c>
    </row>
    <row r="165" customFormat="false" ht="15" hidden="false" customHeight="false" outlineLevel="0" collapsed="false">
      <c r="A165" s="2" t="n">
        <v>113</v>
      </c>
      <c r="B165" s="2" t="s">
        <v>829</v>
      </c>
      <c r="C165" s="2" t="s">
        <v>728</v>
      </c>
      <c r="D165" s="2" t="s">
        <v>410</v>
      </c>
      <c r="E165" s="2" t="s">
        <v>729</v>
      </c>
      <c r="F165" s="2" t="s">
        <v>730</v>
      </c>
      <c r="G165" s="2" t="s">
        <v>90</v>
      </c>
      <c r="H165" s="2" t="s">
        <v>91</v>
      </c>
      <c r="I165" s="2" t="s">
        <v>92</v>
      </c>
      <c r="J165" s="2" t="n">
        <v>-7.8117</v>
      </c>
      <c r="K165" s="2" t="n">
        <v>110.3633</v>
      </c>
      <c r="L165" s="2" t="s">
        <v>124</v>
      </c>
      <c r="M165" s="2" t="s">
        <v>60</v>
      </c>
      <c r="N165" s="2"/>
      <c r="O165" s="2" t="s">
        <v>961</v>
      </c>
      <c r="P165" s="2" t="s">
        <v>702</v>
      </c>
      <c r="Q165" s="2" t="s">
        <v>110</v>
      </c>
      <c r="R165" s="2" t="n">
        <v>0.75</v>
      </c>
      <c r="S165" s="2" t="s">
        <v>962</v>
      </c>
      <c r="T165" s="2" t="s">
        <v>963</v>
      </c>
      <c r="U165" s="2" t="s">
        <v>964</v>
      </c>
      <c r="V165" s="2" t="s">
        <v>965</v>
      </c>
      <c r="W165" s="2" t="s">
        <v>966</v>
      </c>
      <c r="X165" s="2" t="s">
        <v>68</v>
      </c>
    </row>
    <row r="166" customFormat="false" ht="15" hidden="false" customHeight="false" outlineLevel="0" collapsed="false">
      <c r="A166" s="2" t="n">
        <v>113</v>
      </c>
      <c r="B166" s="2" t="s">
        <v>829</v>
      </c>
      <c r="C166" s="2" t="s">
        <v>967</v>
      </c>
      <c r="D166" s="2" t="s">
        <v>53</v>
      </c>
      <c r="E166" s="2" t="s">
        <v>729</v>
      </c>
      <c r="F166" s="2" t="s">
        <v>730</v>
      </c>
      <c r="G166" s="2" t="s">
        <v>90</v>
      </c>
      <c r="H166" s="2" t="s">
        <v>91</v>
      </c>
      <c r="I166" s="2" t="s">
        <v>92</v>
      </c>
      <c r="J166" s="2" t="n">
        <v>-7.8117</v>
      </c>
      <c r="K166" s="2" t="n">
        <v>110.3633</v>
      </c>
      <c r="L166" s="2" t="s">
        <v>124</v>
      </c>
      <c r="M166" s="2" t="s">
        <v>60</v>
      </c>
      <c r="N166" s="2"/>
      <c r="O166" s="2" t="s">
        <v>968</v>
      </c>
      <c r="P166" s="2" t="s">
        <v>702</v>
      </c>
      <c r="Q166" s="2" t="s">
        <v>110</v>
      </c>
      <c r="R166" s="2" t="n">
        <v>0.8</v>
      </c>
      <c r="S166" s="2" t="s">
        <v>962</v>
      </c>
      <c r="T166" s="2" t="s">
        <v>963</v>
      </c>
      <c r="U166" s="2" t="s">
        <v>964</v>
      </c>
      <c r="V166" s="2" t="s">
        <v>965</v>
      </c>
      <c r="W166" s="2" t="s">
        <v>966</v>
      </c>
      <c r="X166" s="2" t="s">
        <v>68</v>
      </c>
    </row>
    <row r="167" customFormat="false" ht="15" hidden="false" customHeight="false" outlineLevel="0" collapsed="false">
      <c r="A167" s="2" t="n">
        <v>114</v>
      </c>
      <c r="B167" s="2" t="s">
        <v>829</v>
      </c>
      <c r="C167" s="2" t="s">
        <v>969</v>
      </c>
      <c r="D167" s="2" t="s">
        <v>410</v>
      </c>
      <c r="E167" s="2" t="s">
        <v>970</v>
      </c>
      <c r="F167" s="2"/>
      <c r="G167" s="2"/>
      <c r="H167" s="2" t="s">
        <v>971</v>
      </c>
      <c r="I167" s="2" t="s">
        <v>972</v>
      </c>
      <c r="J167" s="2" t="n">
        <v>5.18</v>
      </c>
      <c r="K167" s="2" t="n">
        <v>97.14</v>
      </c>
      <c r="L167" s="2" t="s">
        <v>101</v>
      </c>
      <c r="M167" s="2" t="s">
        <v>340</v>
      </c>
      <c r="N167" s="2"/>
      <c r="O167" s="2" t="s">
        <v>973</v>
      </c>
      <c r="P167" s="2"/>
      <c r="Q167" s="2" t="s">
        <v>62</v>
      </c>
      <c r="R167" s="2" t="n">
        <v>0.6</v>
      </c>
      <c r="S167" s="2" t="s">
        <v>974</v>
      </c>
      <c r="T167" s="2" t="s">
        <v>95</v>
      </c>
      <c r="U167" s="2" t="s">
        <v>975</v>
      </c>
      <c r="V167" s="2" t="s">
        <v>97</v>
      </c>
      <c r="W167" s="2" t="s">
        <v>132</v>
      </c>
      <c r="X167" s="2" t="s">
        <v>68</v>
      </c>
    </row>
    <row r="168" customFormat="false" ht="15" hidden="false" customHeight="false" outlineLevel="0" collapsed="false">
      <c r="A168" s="2" t="n">
        <v>114</v>
      </c>
      <c r="B168" s="2" t="s">
        <v>829</v>
      </c>
      <c r="C168" s="2" t="s">
        <v>976</v>
      </c>
      <c r="D168" s="2" t="s">
        <v>410</v>
      </c>
      <c r="E168" s="2" t="s">
        <v>970</v>
      </c>
      <c r="F168" s="2" t="s">
        <v>977</v>
      </c>
      <c r="G168" s="2" t="s">
        <v>978</v>
      </c>
      <c r="H168" s="2" t="s">
        <v>971</v>
      </c>
      <c r="I168" s="2" t="s">
        <v>972</v>
      </c>
      <c r="J168" s="2" t="n">
        <v>5.185</v>
      </c>
      <c r="K168" s="2" t="n">
        <v>97.14</v>
      </c>
      <c r="L168" s="2" t="s">
        <v>84</v>
      </c>
      <c r="M168" s="2" t="s">
        <v>60</v>
      </c>
      <c r="N168" s="2"/>
      <c r="O168" s="2" t="s">
        <v>973</v>
      </c>
      <c r="P168" s="2"/>
      <c r="Q168" s="2" t="s">
        <v>62</v>
      </c>
      <c r="R168" s="2" t="n">
        <v>0.6</v>
      </c>
      <c r="S168" s="2" t="s">
        <v>974</v>
      </c>
      <c r="T168" s="2" t="s">
        <v>95</v>
      </c>
      <c r="U168" s="2" t="s">
        <v>975</v>
      </c>
      <c r="V168" s="2" t="s">
        <v>97</v>
      </c>
      <c r="W168" s="2" t="s">
        <v>132</v>
      </c>
      <c r="X168" s="2" t="s">
        <v>68</v>
      </c>
    </row>
    <row r="169" customFormat="false" ht="15" hidden="false" customHeight="false" outlineLevel="0" collapsed="false">
      <c r="A169" s="2" t="n">
        <v>115</v>
      </c>
      <c r="B169" s="2" t="s">
        <v>829</v>
      </c>
      <c r="C169" s="2" t="s">
        <v>979</v>
      </c>
      <c r="D169" s="2" t="s">
        <v>410</v>
      </c>
      <c r="E169" s="2" t="s">
        <v>980</v>
      </c>
      <c r="F169" s="2"/>
      <c r="G169" s="2" t="s">
        <v>979</v>
      </c>
      <c r="H169" s="2" t="s">
        <v>981</v>
      </c>
      <c r="I169" s="2" t="s">
        <v>577</v>
      </c>
      <c r="J169" s="2" t="n">
        <v>-8.728</v>
      </c>
      <c r="K169" s="2" t="n">
        <v>115.545</v>
      </c>
      <c r="L169" s="2" t="s">
        <v>84</v>
      </c>
      <c r="M169" s="2" t="s">
        <v>60</v>
      </c>
      <c r="N169" s="2"/>
      <c r="O169" s="2" t="s">
        <v>982</v>
      </c>
      <c r="P169" s="2"/>
      <c r="Q169" s="2" t="s">
        <v>110</v>
      </c>
      <c r="R169" s="2" t="n">
        <v>0.6</v>
      </c>
      <c r="S169" s="2" t="s">
        <v>983</v>
      </c>
      <c r="T169" s="2" t="s">
        <v>984</v>
      </c>
      <c r="U169" s="2" t="s">
        <v>985</v>
      </c>
      <c r="V169" s="2" t="s">
        <v>986</v>
      </c>
      <c r="W169" s="2" t="s">
        <v>987</v>
      </c>
      <c r="X169" s="2" t="s">
        <v>160</v>
      </c>
    </row>
    <row r="170" customFormat="false" ht="15" hidden="false" customHeight="false" outlineLevel="0" collapsed="false">
      <c r="A170" s="2" t="n">
        <v>115</v>
      </c>
      <c r="B170" s="2" t="s">
        <v>829</v>
      </c>
      <c r="C170" s="2" t="s">
        <v>988</v>
      </c>
      <c r="D170" s="2" t="s">
        <v>410</v>
      </c>
      <c r="E170" s="2" t="s">
        <v>989</v>
      </c>
      <c r="F170" s="2" t="s">
        <v>988</v>
      </c>
      <c r="G170" s="2" t="s">
        <v>990</v>
      </c>
      <c r="H170" s="2" t="s">
        <v>576</v>
      </c>
      <c r="I170" s="2" t="s">
        <v>577</v>
      </c>
      <c r="J170" s="2" t="n">
        <v>-8.65</v>
      </c>
      <c r="K170" s="2" t="n">
        <v>115.135</v>
      </c>
      <c r="L170" s="2" t="s">
        <v>59</v>
      </c>
      <c r="M170" s="2" t="s">
        <v>60</v>
      </c>
      <c r="N170" s="2"/>
      <c r="O170" s="2" t="s">
        <v>991</v>
      </c>
      <c r="P170" s="2"/>
      <c r="Q170" s="2" t="s">
        <v>110</v>
      </c>
      <c r="R170" s="2" t="n">
        <v>0.5</v>
      </c>
      <c r="S170" s="2" t="s">
        <v>983</v>
      </c>
      <c r="T170" s="2" t="s">
        <v>984</v>
      </c>
      <c r="U170" s="2" t="s">
        <v>985</v>
      </c>
      <c r="V170" s="2" t="s">
        <v>986</v>
      </c>
      <c r="W170" s="2" t="s">
        <v>987</v>
      </c>
      <c r="X170" s="2" t="s">
        <v>160</v>
      </c>
    </row>
    <row r="171" customFormat="false" ht="15" hidden="false" customHeight="false" outlineLevel="0" collapsed="false">
      <c r="A171" s="2" t="n">
        <v>115</v>
      </c>
      <c r="B171" s="2" t="s">
        <v>829</v>
      </c>
      <c r="C171" s="2" t="s">
        <v>992</v>
      </c>
      <c r="D171" s="2" t="s">
        <v>410</v>
      </c>
      <c r="E171" s="2" t="s">
        <v>993</v>
      </c>
      <c r="F171" s="2"/>
      <c r="G171" s="2" t="s">
        <v>992</v>
      </c>
      <c r="H171" s="2" t="s">
        <v>994</v>
      </c>
      <c r="I171" s="2" t="s">
        <v>577</v>
      </c>
      <c r="J171" s="2" t="n">
        <v>-8.507</v>
      </c>
      <c r="K171" s="2" t="n">
        <v>115.263</v>
      </c>
      <c r="L171" s="2" t="s">
        <v>84</v>
      </c>
      <c r="M171" s="2" t="s">
        <v>60</v>
      </c>
      <c r="N171" s="2"/>
      <c r="O171" s="2" t="s">
        <v>991</v>
      </c>
      <c r="P171" s="2"/>
      <c r="Q171" s="2" t="s">
        <v>110</v>
      </c>
      <c r="R171" s="2" t="n">
        <v>0.5</v>
      </c>
      <c r="S171" s="2" t="s">
        <v>983</v>
      </c>
      <c r="T171" s="2" t="s">
        <v>984</v>
      </c>
      <c r="U171" s="2" t="s">
        <v>985</v>
      </c>
      <c r="V171" s="2" t="s">
        <v>986</v>
      </c>
      <c r="W171" s="2" t="s">
        <v>987</v>
      </c>
      <c r="X171" s="2" t="s">
        <v>160</v>
      </c>
    </row>
    <row r="172" customFormat="false" ht="15" hidden="false" customHeight="false" outlineLevel="0" collapsed="false">
      <c r="A172" s="2" t="n">
        <v>116</v>
      </c>
      <c r="B172" s="2" t="s">
        <v>829</v>
      </c>
      <c r="C172" s="2" t="s">
        <v>995</v>
      </c>
      <c r="D172" s="2" t="s">
        <v>410</v>
      </c>
      <c r="E172" s="2" t="s">
        <v>996</v>
      </c>
      <c r="F172" s="2" t="s">
        <v>997</v>
      </c>
      <c r="G172" s="2" t="s">
        <v>998</v>
      </c>
      <c r="H172" s="2" t="s">
        <v>999</v>
      </c>
      <c r="I172" s="2" t="s">
        <v>92</v>
      </c>
      <c r="J172" s="2" t="n">
        <v>-7.9157</v>
      </c>
      <c r="K172" s="2" t="n">
        <v>110.07</v>
      </c>
      <c r="L172" s="2" t="s">
        <v>124</v>
      </c>
      <c r="M172" s="2" t="s">
        <v>60</v>
      </c>
      <c r="N172" s="2"/>
      <c r="O172" s="2" t="s">
        <v>1000</v>
      </c>
      <c r="P172" s="2" t="s">
        <v>1001</v>
      </c>
      <c r="Q172" s="2" t="s">
        <v>110</v>
      </c>
      <c r="R172" s="2" t="n">
        <v>0.8</v>
      </c>
      <c r="S172" s="2" t="s">
        <v>1002</v>
      </c>
      <c r="T172" s="2" t="s">
        <v>1003</v>
      </c>
      <c r="U172" s="2" t="s">
        <v>1004</v>
      </c>
      <c r="V172" s="2" t="s">
        <v>1005</v>
      </c>
      <c r="W172" s="2" t="s">
        <v>487</v>
      </c>
      <c r="X172" s="2" t="s">
        <v>68</v>
      </c>
    </row>
    <row r="173" customFormat="false" ht="15" hidden="false" customHeight="false" outlineLevel="0" collapsed="false">
      <c r="A173" s="2" t="n">
        <v>116</v>
      </c>
      <c r="B173" s="2" t="s">
        <v>829</v>
      </c>
      <c r="C173" s="2" t="s">
        <v>1006</v>
      </c>
      <c r="D173" s="2" t="s">
        <v>410</v>
      </c>
      <c r="E173" s="2" t="s">
        <v>996</v>
      </c>
      <c r="F173" s="2" t="s">
        <v>1007</v>
      </c>
      <c r="G173" s="2" t="s">
        <v>998</v>
      </c>
      <c r="H173" s="2" t="s">
        <v>999</v>
      </c>
      <c r="I173" s="2" t="s">
        <v>92</v>
      </c>
      <c r="J173" s="2" t="n">
        <v>-7.89</v>
      </c>
      <c r="K173" s="2" t="n">
        <v>110.07</v>
      </c>
      <c r="L173" s="2" t="s">
        <v>84</v>
      </c>
      <c r="M173" s="2" t="s">
        <v>60</v>
      </c>
      <c r="N173" s="2" t="s">
        <v>1008</v>
      </c>
      <c r="O173" s="2" t="s">
        <v>1009</v>
      </c>
      <c r="P173" s="2" t="s">
        <v>1001</v>
      </c>
      <c r="Q173" s="2" t="s">
        <v>110</v>
      </c>
      <c r="R173" s="2" t="n">
        <v>0.7</v>
      </c>
      <c r="S173" s="2" t="s">
        <v>1002</v>
      </c>
      <c r="T173" s="2" t="s">
        <v>1003</v>
      </c>
      <c r="U173" s="2" t="s">
        <v>1004</v>
      </c>
      <c r="V173" s="2" t="s">
        <v>1005</v>
      </c>
      <c r="W173" s="2" t="s">
        <v>487</v>
      </c>
      <c r="X173" s="2" t="s">
        <v>68</v>
      </c>
    </row>
    <row r="174" customFormat="false" ht="15" hidden="false" customHeight="false" outlineLevel="0" collapsed="false">
      <c r="A174" s="2" t="n">
        <v>117</v>
      </c>
      <c r="B174" s="2" t="s">
        <v>829</v>
      </c>
      <c r="C174" s="2" t="s">
        <v>1010</v>
      </c>
      <c r="D174" s="2" t="s">
        <v>410</v>
      </c>
      <c r="E174" s="2" t="s">
        <v>1011</v>
      </c>
      <c r="F174" s="2"/>
      <c r="G174" s="2" t="s">
        <v>1012</v>
      </c>
      <c r="H174" s="2" t="s">
        <v>1013</v>
      </c>
      <c r="I174" s="2" t="s">
        <v>92</v>
      </c>
      <c r="J174" s="2" t="n">
        <v>-7.855</v>
      </c>
      <c r="K174" s="2" t="n">
        <v>110.49</v>
      </c>
      <c r="L174" s="2" t="s">
        <v>84</v>
      </c>
      <c r="M174" s="2" t="s">
        <v>60</v>
      </c>
      <c r="N174" s="2"/>
      <c r="O174" s="2" t="s">
        <v>1014</v>
      </c>
      <c r="P174" s="2"/>
      <c r="Q174" s="2" t="s">
        <v>110</v>
      </c>
      <c r="R174" s="2" t="n">
        <v>0.9</v>
      </c>
      <c r="S174" s="2" t="s">
        <v>1015</v>
      </c>
      <c r="T174" s="2" t="s">
        <v>915</v>
      </c>
      <c r="U174" s="2" t="s">
        <v>1016</v>
      </c>
      <c r="V174" s="2" t="s">
        <v>917</v>
      </c>
      <c r="W174" s="2" t="s">
        <v>530</v>
      </c>
      <c r="X174" s="2" t="s">
        <v>68</v>
      </c>
    </row>
    <row r="175" customFormat="false" ht="15" hidden="false" customHeight="false" outlineLevel="0" collapsed="false">
      <c r="A175" s="2" t="n">
        <v>118</v>
      </c>
      <c r="B175" s="2" t="s">
        <v>829</v>
      </c>
      <c r="C175" s="2" t="s">
        <v>1017</v>
      </c>
      <c r="D175" s="2" t="s">
        <v>410</v>
      </c>
      <c r="E175" s="2" t="s">
        <v>1018</v>
      </c>
      <c r="F175" s="2" t="s">
        <v>1019</v>
      </c>
      <c r="G175" s="2" t="s">
        <v>1020</v>
      </c>
      <c r="H175" s="2" t="s">
        <v>296</v>
      </c>
      <c r="I175" s="2" t="s">
        <v>58</v>
      </c>
      <c r="J175" s="2" t="n">
        <v>-6.7176</v>
      </c>
      <c r="K175" s="2" t="n">
        <v>106.95</v>
      </c>
      <c r="L175" s="2" t="s">
        <v>124</v>
      </c>
      <c r="M175" s="2" t="s">
        <v>60</v>
      </c>
      <c r="N175" s="2"/>
      <c r="O175" s="2" t="s">
        <v>1021</v>
      </c>
      <c r="P175" s="2" t="s">
        <v>702</v>
      </c>
      <c r="Q175" s="2" t="s">
        <v>110</v>
      </c>
      <c r="R175" s="2" t="n">
        <v>0.85</v>
      </c>
      <c r="S175" s="2" t="s">
        <v>1022</v>
      </c>
      <c r="T175" s="2" t="s">
        <v>1023</v>
      </c>
      <c r="U175" s="2" t="s">
        <v>1024</v>
      </c>
      <c r="V175" s="2" t="s">
        <v>1023</v>
      </c>
      <c r="W175" s="2" t="s">
        <v>321</v>
      </c>
      <c r="X175" s="2" t="s">
        <v>68</v>
      </c>
    </row>
    <row r="176" customFormat="false" ht="15" hidden="false" customHeight="false" outlineLevel="0" collapsed="false">
      <c r="A176" s="2" t="n">
        <v>118</v>
      </c>
      <c r="B176" s="2" t="s">
        <v>829</v>
      </c>
      <c r="C176" s="2" t="s">
        <v>1025</v>
      </c>
      <c r="D176" s="2" t="s">
        <v>410</v>
      </c>
      <c r="E176" s="2" t="s">
        <v>1026</v>
      </c>
      <c r="F176" s="2" t="s">
        <v>1027</v>
      </c>
      <c r="G176" s="2" t="s">
        <v>1020</v>
      </c>
      <c r="H176" s="2" t="s">
        <v>296</v>
      </c>
      <c r="I176" s="2" t="s">
        <v>58</v>
      </c>
      <c r="J176" s="2" t="n">
        <v>-6.703</v>
      </c>
      <c r="K176" s="2" t="n">
        <v>106.977</v>
      </c>
      <c r="L176" s="2" t="s">
        <v>124</v>
      </c>
      <c r="M176" s="2" t="s">
        <v>60</v>
      </c>
      <c r="N176" s="2"/>
      <c r="O176" s="2" t="s">
        <v>1028</v>
      </c>
      <c r="P176" s="2"/>
      <c r="Q176" s="2" t="s">
        <v>110</v>
      </c>
      <c r="R176" s="2" t="n">
        <v>0.7</v>
      </c>
      <c r="S176" s="2" t="s">
        <v>1022</v>
      </c>
      <c r="T176" s="2" t="s">
        <v>1023</v>
      </c>
      <c r="U176" s="2" t="s">
        <v>1024</v>
      </c>
      <c r="V176" s="2" t="s">
        <v>1023</v>
      </c>
      <c r="W176" s="2" t="s">
        <v>321</v>
      </c>
      <c r="X176" s="2" t="s">
        <v>68</v>
      </c>
    </row>
    <row r="177" customFormat="false" ht="15" hidden="false" customHeight="false" outlineLevel="0" collapsed="false">
      <c r="A177" s="2" t="n">
        <v>118</v>
      </c>
      <c r="B177" s="2" t="s">
        <v>829</v>
      </c>
      <c r="C177" s="2" t="s">
        <v>1029</v>
      </c>
      <c r="D177" s="2" t="s">
        <v>410</v>
      </c>
      <c r="E177" s="2" t="s">
        <v>1026</v>
      </c>
      <c r="F177" s="2" t="s">
        <v>1027</v>
      </c>
      <c r="G177" s="2" t="s">
        <v>1020</v>
      </c>
      <c r="H177" s="2" t="s">
        <v>296</v>
      </c>
      <c r="I177" s="2" t="s">
        <v>58</v>
      </c>
      <c r="J177" s="2" t="n">
        <v>-6.69</v>
      </c>
      <c r="K177" s="2" t="n">
        <v>106.94</v>
      </c>
      <c r="L177" s="2" t="s">
        <v>84</v>
      </c>
      <c r="M177" s="2" t="s">
        <v>60</v>
      </c>
      <c r="N177" s="2"/>
      <c r="O177" s="2" t="s">
        <v>1030</v>
      </c>
      <c r="P177" s="2"/>
      <c r="Q177" s="2" t="s">
        <v>110</v>
      </c>
      <c r="R177" s="2" t="n">
        <v>0.7</v>
      </c>
      <c r="S177" s="2" t="s">
        <v>1022</v>
      </c>
      <c r="T177" s="2" t="s">
        <v>1023</v>
      </c>
      <c r="U177" s="2" t="s">
        <v>1024</v>
      </c>
      <c r="V177" s="2" t="s">
        <v>1023</v>
      </c>
      <c r="W177" s="2" t="s">
        <v>321</v>
      </c>
      <c r="X177" s="2" t="s">
        <v>68</v>
      </c>
    </row>
    <row r="178" customFormat="false" ht="15" hidden="false" customHeight="false" outlineLevel="0" collapsed="false">
      <c r="A178" s="2" t="n">
        <v>118</v>
      </c>
      <c r="B178" s="2" t="s">
        <v>829</v>
      </c>
      <c r="C178" s="2" t="s">
        <v>1031</v>
      </c>
      <c r="D178" s="2" t="s">
        <v>410</v>
      </c>
      <c r="E178" s="2" t="s">
        <v>1026</v>
      </c>
      <c r="F178" s="2"/>
      <c r="G178" s="2"/>
      <c r="H178" s="2" t="s">
        <v>296</v>
      </c>
      <c r="I178" s="2" t="s">
        <v>58</v>
      </c>
      <c r="J178" s="2" t="n">
        <v>-6.55</v>
      </c>
      <c r="K178" s="2" t="n">
        <v>106.8</v>
      </c>
      <c r="L178" s="2" t="s">
        <v>101</v>
      </c>
      <c r="M178" s="2" t="s">
        <v>60</v>
      </c>
      <c r="N178" s="2" t="s">
        <v>1032</v>
      </c>
      <c r="O178" s="2" t="s">
        <v>1033</v>
      </c>
      <c r="P178" s="2"/>
      <c r="Q178" s="2" t="s">
        <v>110</v>
      </c>
      <c r="R178" s="2" t="n">
        <v>0.7</v>
      </c>
      <c r="S178" s="2" t="s">
        <v>1022</v>
      </c>
      <c r="T178" s="2" t="s">
        <v>1023</v>
      </c>
      <c r="U178" s="2" t="s">
        <v>1024</v>
      </c>
      <c r="V178" s="2" t="s">
        <v>1023</v>
      </c>
      <c r="W178" s="2" t="s">
        <v>321</v>
      </c>
      <c r="X178" s="2" t="s">
        <v>68</v>
      </c>
    </row>
    <row r="179" customFormat="false" ht="15" hidden="false" customHeight="false" outlineLevel="0" collapsed="false">
      <c r="A179" s="2" t="n">
        <v>118</v>
      </c>
      <c r="B179" s="2" t="s">
        <v>829</v>
      </c>
      <c r="C179" s="2" t="s">
        <v>1034</v>
      </c>
      <c r="D179" s="2" t="s">
        <v>410</v>
      </c>
      <c r="E179" s="2" t="s">
        <v>1026</v>
      </c>
      <c r="F179" s="2" t="s">
        <v>1027</v>
      </c>
      <c r="G179" s="2" t="s">
        <v>1020</v>
      </c>
      <c r="H179" s="2" t="s">
        <v>296</v>
      </c>
      <c r="I179" s="2" t="s">
        <v>58</v>
      </c>
      <c r="J179" s="2" t="n">
        <v>-6.69</v>
      </c>
      <c r="K179" s="2" t="n">
        <v>106.94</v>
      </c>
      <c r="L179" s="2" t="s">
        <v>84</v>
      </c>
      <c r="M179" s="2" t="s">
        <v>60</v>
      </c>
      <c r="N179" s="2" t="s">
        <v>1035</v>
      </c>
      <c r="O179" s="2" t="s">
        <v>1036</v>
      </c>
      <c r="P179" s="2"/>
      <c r="Q179" s="2" t="s">
        <v>110</v>
      </c>
      <c r="R179" s="2" t="n">
        <v>0.7</v>
      </c>
      <c r="S179" s="2" t="s">
        <v>1022</v>
      </c>
      <c r="T179" s="2" t="s">
        <v>1023</v>
      </c>
      <c r="U179" s="2" t="s">
        <v>1024</v>
      </c>
      <c r="V179" s="2" t="s">
        <v>1023</v>
      </c>
      <c r="W179" s="2" t="s">
        <v>321</v>
      </c>
      <c r="X179" s="2" t="s">
        <v>68</v>
      </c>
    </row>
    <row r="180" customFormat="false" ht="15" hidden="false" customHeight="false" outlineLevel="0" collapsed="false">
      <c r="A180" s="2" t="n">
        <v>119</v>
      </c>
      <c r="B180" s="2" t="s">
        <v>829</v>
      </c>
      <c r="C180" s="2" t="s">
        <v>1037</v>
      </c>
      <c r="D180" s="2" t="s">
        <v>410</v>
      </c>
      <c r="E180" s="2" t="s">
        <v>1038</v>
      </c>
      <c r="F180" s="2" t="s">
        <v>1039</v>
      </c>
      <c r="G180" s="2" t="s">
        <v>1040</v>
      </c>
      <c r="H180" s="2" t="s">
        <v>258</v>
      </c>
      <c r="I180" s="2" t="s">
        <v>184</v>
      </c>
      <c r="J180" s="2" t="n">
        <v>-7.676</v>
      </c>
      <c r="K180" s="2" t="n">
        <v>111.22</v>
      </c>
      <c r="L180" s="2" t="s">
        <v>124</v>
      </c>
      <c r="M180" s="2" t="s">
        <v>60</v>
      </c>
      <c r="N180" s="2"/>
      <c r="O180" s="2" t="s">
        <v>1041</v>
      </c>
      <c r="P180" s="2"/>
      <c r="Q180" s="2" t="s">
        <v>110</v>
      </c>
      <c r="R180" s="2" t="n">
        <v>0.9</v>
      </c>
      <c r="S180" s="2" t="s">
        <v>1042</v>
      </c>
      <c r="T180" s="2" t="s">
        <v>1043</v>
      </c>
      <c r="U180" s="2" t="s">
        <v>1044</v>
      </c>
      <c r="V180" s="2" t="s">
        <v>1043</v>
      </c>
      <c r="W180" s="2" t="s">
        <v>1045</v>
      </c>
      <c r="X180" s="2" t="s">
        <v>68</v>
      </c>
    </row>
    <row r="181" customFormat="false" ht="15" hidden="false" customHeight="false" outlineLevel="0" collapsed="false">
      <c r="A181" s="2" t="n">
        <v>121</v>
      </c>
      <c r="B181" s="2" t="s">
        <v>1046</v>
      </c>
      <c r="C181" s="2" t="s">
        <v>1047</v>
      </c>
      <c r="D181" s="2" t="s">
        <v>410</v>
      </c>
      <c r="E181" s="2" t="s">
        <v>1048</v>
      </c>
      <c r="F181" s="2"/>
      <c r="G181" s="2"/>
      <c r="H181" s="2"/>
      <c r="I181" s="2"/>
      <c r="J181" s="2" t="n">
        <v>15.995</v>
      </c>
      <c r="K181" s="2" t="n">
        <v>107.996</v>
      </c>
      <c r="L181" s="2" t="s">
        <v>124</v>
      </c>
      <c r="M181" s="2" t="s">
        <v>340</v>
      </c>
      <c r="N181" s="2" t="s">
        <v>1049</v>
      </c>
      <c r="O181" s="2" t="s">
        <v>1050</v>
      </c>
      <c r="P181" s="2"/>
      <c r="Q181" s="2" t="s">
        <v>110</v>
      </c>
      <c r="R181" s="2" t="n">
        <v>0.6</v>
      </c>
      <c r="S181" s="2" t="s">
        <v>1051</v>
      </c>
      <c r="T181" s="2" t="s">
        <v>1052</v>
      </c>
      <c r="U181" s="2" t="s">
        <v>1053</v>
      </c>
      <c r="V181" s="2" t="s">
        <v>1054</v>
      </c>
      <c r="W181" s="2" t="s">
        <v>1055</v>
      </c>
      <c r="X181" s="2" t="s">
        <v>160</v>
      </c>
    </row>
    <row r="182" customFormat="false" ht="15" hidden="false" customHeight="false" outlineLevel="0" collapsed="false">
      <c r="A182" s="2" t="n">
        <v>121</v>
      </c>
      <c r="B182" s="2" t="s">
        <v>1046</v>
      </c>
      <c r="C182" s="2" t="s">
        <v>1056</v>
      </c>
      <c r="D182" s="2" t="s">
        <v>410</v>
      </c>
      <c r="E182" s="2" t="s">
        <v>1048</v>
      </c>
      <c r="F182" s="2"/>
      <c r="G182" s="2"/>
      <c r="H182" s="2"/>
      <c r="I182" s="2"/>
      <c r="J182" s="2" t="n">
        <v>16.119</v>
      </c>
      <c r="K182" s="2" t="n">
        <v>108.277</v>
      </c>
      <c r="L182" s="2" t="s">
        <v>124</v>
      </c>
      <c r="M182" s="2" t="s">
        <v>340</v>
      </c>
      <c r="N182" s="2" t="s">
        <v>1057</v>
      </c>
      <c r="O182" s="2" t="s">
        <v>1058</v>
      </c>
      <c r="P182" s="2"/>
      <c r="Q182" s="2" t="s">
        <v>62</v>
      </c>
      <c r="R182" s="2" t="n">
        <v>0.55</v>
      </c>
      <c r="S182" s="2" t="s">
        <v>1051</v>
      </c>
      <c r="T182" s="2" t="s">
        <v>1052</v>
      </c>
      <c r="U182" s="2" t="s">
        <v>1053</v>
      </c>
      <c r="V182" s="2" t="s">
        <v>1054</v>
      </c>
      <c r="W182" s="2" t="s">
        <v>1055</v>
      </c>
      <c r="X182" s="2" t="s">
        <v>160</v>
      </c>
    </row>
    <row r="183" customFormat="false" ht="15" hidden="false" customHeight="false" outlineLevel="0" collapsed="false">
      <c r="A183" s="2" t="n">
        <v>122</v>
      </c>
      <c r="B183" s="2" t="s">
        <v>1046</v>
      </c>
      <c r="C183" s="2" t="s">
        <v>1059</v>
      </c>
      <c r="D183" s="2" t="s">
        <v>410</v>
      </c>
      <c r="E183" s="2" t="s">
        <v>1060</v>
      </c>
      <c r="F183" s="2"/>
      <c r="G183" s="2" t="s">
        <v>1061</v>
      </c>
      <c r="H183" s="2" t="s">
        <v>1062</v>
      </c>
      <c r="I183" s="2" t="s">
        <v>172</v>
      </c>
      <c r="J183" s="2" t="n">
        <v>-7.13</v>
      </c>
      <c r="K183" s="2" t="n">
        <v>110.38</v>
      </c>
      <c r="L183" s="2" t="s">
        <v>84</v>
      </c>
      <c r="M183" s="2" t="s">
        <v>60</v>
      </c>
      <c r="N183" s="2" t="s">
        <v>1063</v>
      </c>
      <c r="O183" s="2" t="s">
        <v>1064</v>
      </c>
      <c r="P183" s="2" t="s">
        <v>1065</v>
      </c>
      <c r="Q183" s="2" t="s">
        <v>110</v>
      </c>
      <c r="R183" s="2" t="n">
        <v>0.9</v>
      </c>
      <c r="S183" s="2" t="s">
        <v>1066</v>
      </c>
      <c r="T183" s="2" t="s">
        <v>1067</v>
      </c>
      <c r="U183" s="2" t="s">
        <v>1068</v>
      </c>
      <c r="V183" s="2" t="s">
        <v>1067</v>
      </c>
      <c r="W183" s="2" t="s">
        <v>1069</v>
      </c>
      <c r="X183" s="2" t="s">
        <v>160</v>
      </c>
    </row>
    <row r="184" customFormat="false" ht="15" hidden="false" customHeight="false" outlineLevel="0" collapsed="false">
      <c r="A184" s="2" t="n">
        <v>123</v>
      </c>
      <c r="B184" s="2" t="s">
        <v>1046</v>
      </c>
      <c r="C184" s="2" t="s">
        <v>1070</v>
      </c>
      <c r="D184" s="2" t="s">
        <v>410</v>
      </c>
      <c r="E184" s="2" t="s">
        <v>1071</v>
      </c>
      <c r="F184" s="2"/>
      <c r="G184" s="2"/>
      <c r="H184" s="2" t="s">
        <v>1072</v>
      </c>
      <c r="I184" s="2" t="s">
        <v>385</v>
      </c>
      <c r="J184" s="2" t="n">
        <v>3.1</v>
      </c>
      <c r="K184" s="2" t="n">
        <v>98.5</v>
      </c>
      <c r="L184" s="2" t="s">
        <v>101</v>
      </c>
      <c r="M184" s="2" t="s">
        <v>340</v>
      </c>
      <c r="N184" s="2"/>
      <c r="O184" s="2" t="s">
        <v>1073</v>
      </c>
      <c r="P184" s="2"/>
      <c r="Q184" s="2" t="s">
        <v>110</v>
      </c>
      <c r="R184" s="2" t="n">
        <v>0.7</v>
      </c>
      <c r="S184" s="2" t="s">
        <v>1074</v>
      </c>
      <c r="T184" s="2" t="s">
        <v>1075</v>
      </c>
      <c r="U184" s="2" t="s">
        <v>1076</v>
      </c>
      <c r="V184" s="2" t="s">
        <v>1077</v>
      </c>
      <c r="W184" s="2" t="s">
        <v>1078</v>
      </c>
      <c r="X184" s="2" t="s">
        <v>68</v>
      </c>
    </row>
    <row r="185" customFormat="false" ht="15" hidden="false" customHeight="false" outlineLevel="0" collapsed="false">
      <c r="A185" s="2" t="n">
        <v>124</v>
      </c>
      <c r="B185" s="2" t="s">
        <v>1046</v>
      </c>
      <c r="C185" s="2" t="s">
        <v>1079</v>
      </c>
      <c r="D185" s="2" t="s">
        <v>410</v>
      </c>
      <c r="E185" s="2" t="s">
        <v>1080</v>
      </c>
      <c r="F185" s="2"/>
      <c r="G185" s="2"/>
      <c r="H185" s="2" t="s">
        <v>1081</v>
      </c>
      <c r="I185" s="2" t="s">
        <v>403</v>
      </c>
      <c r="J185" s="2" t="n">
        <v>-5.25</v>
      </c>
      <c r="K185" s="2" t="n">
        <v>119.55</v>
      </c>
      <c r="L185" s="2" t="s">
        <v>101</v>
      </c>
      <c r="M185" s="2" t="s">
        <v>340</v>
      </c>
      <c r="N185" s="2"/>
      <c r="O185" s="2" t="s">
        <v>1082</v>
      </c>
      <c r="P185" s="2"/>
      <c r="Q185" s="2" t="s">
        <v>110</v>
      </c>
      <c r="R185" s="2" t="n">
        <v>0.9</v>
      </c>
      <c r="S185" s="2" t="s">
        <v>1083</v>
      </c>
      <c r="T185" s="2" t="s">
        <v>95</v>
      </c>
      <c r="U185" s="2" t="s">
        <v>1084</v>
      </c>
      <c r="V185" s="2" t="s">
        <v>97</v>
      </c>
      <c r="W185" s="2" t="s">
        <v>751</v>
      </c>
      <c r="X185" s="2" t="s">
        <v>68</v>
      </c>
    </row>
    <row r="186" customFormat="false" ht="15" hidden="false" customHeight="false" outlineLevel="0" collapsed="false">
      <c r="A186" s="2" t="n">
        <v>125</v>
      </c>
      <c r="B186" s="2" t="s">
        <v>1046</v>
      </c>
      <c r="C186" s="2" t="s">
        <v>1085</v>
      </c>
      <c r="D186" s="2" t="s">
        <v>410</v>
      </c>
      <c r="E186" s="2" t="s">
        <v>1086</v>
      </c>
      <c r="F186" s="2" t="s">
        <v>1087</v>
      </c>
      <c r="G186" s="2" t="s">
        <v>1088</v>
      </c>
      <c r="H186" s="2" t="s">
        <v>576</v>
      </c>
      <c r="I186" s="2" t="s">
        <v>577</v>
      </c>
      <c r="J186" s="2" t="n">
        <v>-8.645</v>
      </c>
      <c r="K186" s="2" t="n">
        <v>115.125</v>
      </c>
      <c r="L186" s="2" t="s">
        <v>59</v>
      </c>
      <c r="M186" s="2" t="s">
        <v>340</v>
      </c>
      <c r="N186" s="2"/>
      <c r="O186" s="2" t="s">
        <v>1089</v>
      </c>
      <c r="P186" s="2" t="s">
        <v>702</v>
      </c>
      <c r="Q186" s="2" t="s">
        <v>110</v>
      </c>
      <c r="R186" s="2" t="n">
        <v>0.8</v>
      </c>
      <c r="S186" s="2" t="s">
        <v>1090</v>
      </c>
      <c r="T186" s="2" t="s">
        <v>743</v>
      </c>
      <c r="U186" s="2" t="s">
        <v>1091</v>
      </c>
      <c r="V186" s="2" t="s">
        <v>745</v>
      </c>
      <c r="W186" s="2" t="s">
        <v>1092</v>
      </c>
      <c r="X186" s="2" t="s">
        <v>68</v>
      </c>
    </row>
    <row r="187" customFormat="false" ht="15" hidden="false" customHeight="false" outlineLevel="0" collapsed="false">
      <c r="A187" s="2" t="n">
        <v>126</v>
      </c>
      <c r="B187" s="2" t="s">
        <v>1046</v>
      </c>
      <c r="C187" s="2" t="s">
        <v>1093</v>
      </c>
      <c r="D187" s="2" t="s">
        <v>410</v>
      </c>
      <c r="E187" s="2" t="s">
        <v>1094</v>
      </c>
      <c r="F187" s="2" t="s">
        <v>997</v>
      </c>
      <c r="G187" s="2" t="s">
        <v>998</v>
      </c>
      <c r="H187" s="2" t="s">
        <v>999</v>
      </c>
      <c r="I187" s="2" t="s">
        <v>92</v>
      </c>
      <c r="J187" s="2" t="n">
        <v>-7.9157</v>
      </c>
      <c r="K187" s="2" t="n">
        <v>110.07</v>
      </c>
      <c r="L187" s="2" t="s">
        <v>124</v>
      </c>
      <c r="M187" s="2" t="s">
        <v>60</v>
      </c>
      <c r="N187" s="2" t="s">
        <v>1095</v>
      </c>
      <c r="O187" s="2" t="s">
        <v>1096</v>
      </c>
      <c r="P187" s="2" t="s">
        <v>1097</v>
      </c>
      <c r="Q187" s="2" t="s">
        <v>110</v>
      </c>
      <c r="R187" s="2" t="n">
        <v>0.9</v>
      </c>
      <c r="S187" s="2" t="s">
        <v>1098</v>
      </c>
      <c r="T187" s="2" t="s">
        <v>1003</v>
      </c>
      <c r="U187" s="2" t="s">
        <v>1099</v>
      </c>
      <c r="V187" s="2" t="s">
        <v>1005</v>
      </c>
      <c r="W187" s="2" t="s">
        <v>828</v>
      </c>
      <c r="X187" s="2" t="s">
        <v>68</v>
      </c>
    </row>
    <row r="188" customFormat="false" ht="15" hidden="false" customHeight="false" outlineLevel="0" collapsed="false">
      <c r="A188" s="2" t="n">
        <v>128</v>
      </c>
      <c r="B188" s="2" t="s">
        <v>1046</v>
      </c>
      <c r="C188" s="2" t="s">
        <v>1100</v>
      </c>
      <c r="D188" s="2" t="s">
        <v>410</v>
      </c>
      <c r="E188" s="2" t="s">
        <v>1101</v>
      </c>
      <c r="F188" s="2" t="s">
        <v>1102</v>
      </c>
      <c r="G188" s="2" t="s">
        <v>1103</v>
      </c>
      <c r="H188" s="2" t="s">
        <v>800</v>
      </c>
      <c r="I188" s="2" t="s">
        <v>172</v>
      </c>
      <c r="J188" s="2" t="n">
        <v>-6.775</v>
      </c>
      <c r="K188" s="2" t="n">
        <v>111.155</v>
      </c>
      <c r="L188" s="2" t="s">
        <v>84</v>
      </c>
      <c r="M188" s="2" t="s">
        <v>60</v>
      </c>
      <c r="N188" s="2"/>
      <c r="O188" s="2" t="s">
        <v>1104</v>
      </c>
      <c r="P188" s="2" t="s">
        <v>702</v>
      </c>
      <c r="Q188" s="2" t="s">
        <v>110</v>
      </c>
      <c r="R188" s="2" t="n">
        <v>0.9</v>
      </c>
      <c r="S188" s="2" t="s">
        <v>1105</v>
      </c>
      <c r="T188" s="2" t="s">
        <v>743</v>
      </c>
      <c r="U188" s="2" t="s">
        <v>1106</v>
      </c>
      <c r="V188" s="2" t="s">
        <v>745</v>
      </c>
      <c r="W188" s="2" t="s">
        <v>768</v>
      </c>
      <c r="X188" s="2" t="s">
        <v>68</v>
      </c>
    </row>
    <row r="189" customFormat="false" ht="15" hidden="false" customHeight="false" outlineLevel="0" collapsed="false">
      <c r="A189" s="2" t="n">
        <v>129</v>
      </c>
      <c r="B189" s="2" t="s">
        <v>1046</v>
      </c>
      <c r="C189" s="2" t="s">
        <v>1107</v>
      </c>
      <c r="D189" s="2" t="s">
        <v>410</v>
      </c>
      <c r="E189" s="2" t="s">
        <v>1108</v>
      </c>
      <c r="F189" s="2"/>
      <c r="G189" s="2"/>
      <c r="H189" s="2" t="s">
        <v>1109</v>
      </c>
      <c r="I189" s="2" t="s">
        <v>1108</v>
      </c>
      <c r="J189" s="2" t="n">
        <v>-0.52</v>
      </c>
      <c r="K189" s="2" t="n">
        <v>130.5</v>
      </c>
      <c r="L189" s="2" t="s">
        <v>101</v>
      </c>
      <c r="M189" s="2" t="s">
        <v>60</v>
      </c>
      <c r="N189" s="2"/>
      <c r="O189" s="2" t="s">
        <v>1110</v>
      </c>
      <c r="P189" s="2"/>
      <c r="Q189" s="2" t="s">
        <v>110</v>
      </c>
      <c r="R189" s="2" t="n">
        <v>0.8</v>
      </c>
      <c r="S189" s="2" t="s">
        <v>1111</v>
      </c>
      <c r="T189" s="2" t="s">
        <v>95</v>
      </c>
      <c r="U189" s="2" t="s">
        <v>1112</v>
      </c>
      <c r="V189" s="2" t="s">
        <v>97</v>
      </c>
      <c r="W189" s="2" t="s">
        <v>1113</v>
      </c>
      <c r="X189" s="2" t="s">
        <v>68</v>
      </c>
    </row>
    <row r="190" customFormat="false" ht="15" hidden="false" customHeight="false" outlineLevel="0" collapsed="false">
      <c r="A190" s="2" t="n">
        <v>129</v>
      </c>
      <c r="B190" s="2" t="s">
        <v>1046</v>
      </c>
      <c r="C190" s="2" t="s">
        <v>1114</v>
      </c>
      <c r="D190" s="2" t="s">
        <v>410</v>
      </c>
      <c r="E190" s="2" t="s">
        <v>1115</v>
      </c>
      <c r="F190" s="2" t="s">
        <v>1114</v>
      </c>
      <c r="G190" s="2" t="s">
        <v>1116</v>
      </c>
      <c r="H190" s="2" t="s">
        <v>1117</v>
      </c>
      <c r="I190" s="2" t="s">
        <v>1115</v>
      </c>
      <c r="J190" s="2" t="n">
        <v>-8.497</v>
      </c>
      <c r="K190" s="2" t="n">
        <v>119.888</v>
      </c>
      <c r="L190" s="2" t="s">
        <v>59</v>
      </c>
      <c r="M190" s="2" t="s">
        <v>60</v>
      </c>
      <c r="N190" s="2"/>
      <c r="O190" s="2" t="s">
        <v>1118</v>
      </c>
      <c r="P190" s="2"/>
      <c r="Q190" s="2" t="s">
        <v>110</v>
      </c>
      <c r="R190" s="2" t="n">
        <v>0.8</v>
      </c>
      <c r="S190" s="2" t="s">
        <v>1111</v>
      </c>
      <c r="T190" s="2" t="s">
        <v>95</v>
      </c>
      <c r="U190" s="2" t="s">
        <v>1112</v>
      </c>
      <c r="V190" s="2" t="s">
        <v>97</v>
      </c>
      <c r="W190" s="2" t="s">
        <v>1113</v>
      </c>
      <c r="X190" s="2" t="s">
        <v>68</v>
      </c>
    </row>
    <row r="191" customFormat="false" ht="15" hidden="false" customHeight="false" outlineLevel="0" collapsed="false">
      <c r="A191" s="2" t="n">
        <v>129</v>
      </c>
      <c r="B191" s="2" t="s">
        <v>1046</v>
      </c>
      <c r="C191" s="2" t="s">
        <v>1119</v>
      </c>
      <c r="D191" s="2" t="s">
        <v>410</v>
      </c>
      <c r="E191" s="2" t="s">
        <v>980</v>
      </c>
      <c r="F191" s="2" t="s">
        <v>1120</v>
      </c>
      <c r="G191" s="2" t="s">
        <v>979</v>
      </c>
      <c r="H191" s="2" t="s">
        <v>981</v>
      </c>
      <c r="I191" s="2" t="s">
        <v>577</v>
      </c>
      <c r="J191" s="2" t="n">
        <v>-8.7507</v>
      </c>
      <c r="K191" s="2" t="n">
        <v>115.4737</v>
      </c>
      <c r="L191" s="2" t="s">
        <v>124</v>
      </c>
      <c r="M191" s="2" t="s">
        <v>60</v>
      </c>
      <c r="N191" s="2" t="s">
        <v>1121</v>
      </c>
      <c r="O191" s="2" t="s">
        <v>1122</v>
      </c>
      <c r="P191" s="2"/>
      <c r="Q191" s="2" t="s">
        <v>110</v>
      </c>
      <c r="R191" s="2" t="n">
        <v>0.8</v>
      </c>
      <c r="S191" s="2" t="s">
        <v>1111</v>
      </c>
      <c r="T191" s="2" t="s">
        <v>95</v>
      </c>
      <c r="U191" s="2" t="s">
        <v>1112</v>
      </c>
      <c r="V191" s="2" t="s">
        <v>97</v>
      </c>
      <c r="W191" s="2" t="s">
        <v>1113</v>
      </c>
      <c r="X191" s="2" t="s">
        <v>68</v>
      </c>
    </row>
    <row r="192" customFormat="false" ht="15" hidden="false" customHeight="false" outlineLevel="0" collapsed="false">
      <c r="A192" s="2" t="n">
        <v>129</v>
      </c>
      <c r="B192" s="2" t="s">
        <v>1046</v>
      </c>
      <c r="C192" s="2" t="s">
        <v>1123</v>
      </c>
      <c r="D192" s="2" t="s">
        <v>410</v>
      </c>
      <c r="E192" s="2" t="s">
        <v>184</v>
      </c>
      <c r="F192" s="2"/>
      <c r="G192" s="2"/>
      <c r="H192" s="2"/>
      <c r="I192" s="2" t="s">
        <v>184</v>
      </c>
      <c r="J192" s="2" t="n">
        <v>-8.0583</v>
      </c>
      <c r="K192" s="2" t="n">
        <v>114.2417</v>
      </c>
      <c r="L192" s="2" t="s">
        <v>124</v>
      </c>
      <c r="M192" s="2" t="s">
        <v>60</v>
      </c>
      <c r="N192" s="2" t="s">
        <v>1124</v>
      </c>
      <c r="O192" s="2" t="s">
        <v>1125</v>
      </c>
      <c r="P192" s="2"/>
      <c r="Q192" s="2" t="s">
        <v>110</v>
      </c>
      <c r="R192" s="2" t="n">
        <v>0.8</v>
      </c>
      <c r="S192" s="2" t="s">
        <v>1111</v>
      </c>
      <c r="T192" s="2" t="s">
        <v>95</v>
      </c>
      <c r="U192" s="2" t="s">
        <v>1112</v>
      </c>
      <c r="V192" s="2" t="s">
        <v>97</v>
      </c>
      <c r="W192" s="2" t="s">
        <v>1113</v>
      </c>
      <c r="X192" s="2" t="s">
        <v>68</v>
      </c>
    </row>
    <row r="193" customFormat="false" ht="15" hidden="false" customHeight="false" outlineLevel="0" collapsed="false">
      <c r="A193" s="2" t="n">
        <v>129</v>
      </c>
      <c r="B193" s="2" t="s">
        <v>1046</v>
      </c>
      <c r="C193" s="2" t="s">
        <v>1126</v>
      </c>
      <c r="D193" s="2" t="s">
        <v>410</v>
      </c>
      <c r="E193" s="2" t="s">
        <v>898</v>
      </c>
      <c r="F193" s="2"/>
      <c r="G193" s="2" t="s">
        <v>1126</v>
      </c>
      <c r="H193" s="2" t="s">
        <v>1127</v>
      </c>
      <c r="I193" s="2" t="s">
        <v>898</v>
      </c>
      <c r="J193" s="2" t="n">
        <v>2.287</v>
      </c>
      <c r="K193" s="2" t="n">
        <v>118.243</v>
      </c>
      <c r="L193" s="2" t="s">
        <v>124</v>
      </c>
      <c r="M193" s="2" t="s">
        <v>60</v>
      </c>
      <c r="N193" s="2"/>
      <c r="O193" s="2" t="s">
        <v>1128</v>
      </c>
      <c r="P193" s="2"/>
      <c r="Q193" s="2" t="s">
        <v>110</v>
      </c>
      <c r="R193" s="2" t="n">
        <v>0.8</v>
      </c>
      <c r="S193" s="2" t="s">
        <v>1111</v>
      </c>
      <c r="T193" s="2" t="s">
        <v>95</v>
      </c>
      <c r="U193" s="2" t="s">
        <v>1112</v>
      </c>
      <c r="V193" s="2" t="s">
        <v>97</v>
      </c>
      <c r="W193" s="2" t="s">
        <v>1113</v>
      </c>
      <c r="X193" s="2" t="s">
        <v>68</v>
      </c>
    </row>
    <row r="194" customFormat="false" ht="15" hidden="false" customHeight="false" outlineLevel="0" collapsed="false">
      <c r="A194" s="2" t="n">
        <v>130</v>
      </c>
      <c r="B194" s="2" t="s">
        <v>1046</v>
      </c>
      <c r="C194" s="2" t="s">
        <v>1129</v>
      </c>
      <c r="D194" s="2" t="s">
        <v>1130</v>
      </c>
      <c r="E194" s="2" t="s">
        <v>1062</v>
      </c>
      <c r="F194" s="2" t="s">
        <v>1131</v>
      </c>
      <c r="G194" s="2" t="s">
        <v>1132</v>
      </c>
      <c r="H194" s="2" t="s">
        <v>1062</v>
      </c>
      <c r="I194" s="2" t="s">
        <v>172</v>
      </c>
      <c r="J194" s="2" t="n">
        <v>-7.21</v>
      </c>
      <c r="K194" s="2" t="n">
        <v>110.342</v>
      </c>
      <c r="L194" s="2" t="s">
        <v>124</v>
      </c>
      <c r="M194" s="2" t="s">
        <v>60</v>
      </c>
      <c r="N194" s="2"/>
      <c r="O194" s="2" t="s">
        <v>1133</v>
      </c>
      <c r="P194" s="2"/>
      <c r="Q194" s="2" t="s">
        <v>62</v>
      </c>
      <c r="R194" s="2" t="n">
        <v>0.8</v>
      </c>
      <c r="S194" s="2" t="s">
        <v>1134</v>
      </c>
      <c r="T194" s="2" t="s">
        <v>1135</v>
      </c>
      <c r="U194" s="2" t="s">
        <v>1136</v>
      </c>
      <c r="V194" s="2" t="s">
        <v>1137</v>
      </c>
      <c r="W194" s="2" t="s">
        <v>1138</v>
      </c>
      <c r="X194" s="2" t="s">
        <v>68</v>
      </c>
    </row>
    <row r="195" customFormat="false" ht="15" hidden="false" customHeight="false" outlineLevel="0" collapsed="false">
      <c r="A195" s="2" t="n">
        <v>131</v>
      </c>
      <c r="B195" s="2" t="s">
        <v>1046</v>
      </c>
      <c r="C195" s="2" t="s">
        <v>1139</v>
      </c>
      <c r="D195" s="2" t="s">
        <v>1140</v>
      </c>
      <c r="E195" s="2" t="s">
        <v>1141</v>
      </c>
      <c r="F195" s="2" t="s">
        <v>1019</v>
      </c>
      <c r="G195" s="2" t="s">
        <v>1020</v>
      </c>
      <c r="H195" s="2" t="s">
        <v>296</v>
      </c>
      <c r="I195" s="2" t="s">
        <v>58</v>
      </c>
      <c r="J195" s="2" t="n">
        <v>-6.7176</v>
      </c>
      <c r="K195" s="2" t="n">
        <v>106.95</v>
      </c>
      <c r="L195" s="2" t="s">
        <v>124</v>
      </c>
      <c r="M195" s="2" t="s">
        <v>60</v>
      </c>
      <c r="N195" s="2"/>
      <c r="O195" s="2" t="s">
        <v>1142</v>
      </c>
      <c r="P195" s="2"/>
      <c r="Q195" s="2" t="s">
        <v>62</v>
      </c>
      <c r="R195" s="2" t="n">
        <v>0.7</v>
      </c>
      <c r="S195" s="2" t="s">
        <v>1143</v>
      </c>
      <c r="T195" s="2" t="s">
        <v>1144</v>
      </c>
      <c r="U195" s="2" t="s">
        <v>1145</v>
      </c>
      <c r="V195" s="2" t="s">
        <v>1146</v>
      </c>
      <c r="W195" s="2" t="s">
        <v>1147</v>
      </c>
      <c r="X195" s="2" t="s">
        <v>160</v>
      </c>
    </row>
    <row r="196" customFormat="false" ht="15" hidden="false" customHeight="false" outlineLevel="0" collapsed="false">
      <c r="A196" s="2" t="n">
        <v>131</v>
      </c>
      <c r="B196" s="2" t="s">
        <v>1046</v>
      </c>
      <c r="C196" s="2" t="s">
        <v>1148</v>
      </c>
      <c r="D196" s="2" t="s">
        <v>410</v>
      </c>
      <c r="E196" s="2" t="s">
        <v>57</v>
      </c>
      <c r="F196" s="2" t="s">
        <v>911</v>
      </c>
      <c r="G196" s="2" t="s">
        <v>56</v>
      </c>
      <c r="H196" s="2" t="s">
        <v>57</v>
      </c>
      <c r="I196" s="2" t="s">
        <v>58</v>
      </c>
      <c r="J196" s="2" t="n">
        <v>-6.5976</v>
      </c>
      <c r="K196" s="2" t="n">
        <v>106.7996</v>
      </c>
      <c r="L196" s="2" t="s">
        <v>124</v>
      </c>
      <c r="M196" s="2" t="s">
        <v>60</v>
      </c>
      <c r="N196" s="2"/>
      <c r="O196" s="2" t="s">
        <v>1149</v>
      </c>
      <c r="P196" s="2"/>
      <c r="Q196" s="2" t="s">
        <v>62</v>
      </c>
      <c r="R196" s="2" t="n">
        <v>0.5</v>
      </c>
      <c r="S196" s="2" t="s">
        <v>1143</v>
      </c>
      <c r="T196" s="2" t="s">
        <v>1144</v>
      </c>
      <c r="U196" s="2" t="s">
        <v>1145</v>
      </c>
      <c r="V196" s="2" t="s">
        <v>1146</v>
      </c>
      <c r="W196" s="2" t="s">
        <v>1147</v>
      </c>
      <c r="X196" s="2" t="s">
        <v>160</v>
      </c>
    </row>
    <row r="197" customFormat="false" ht="15" hidden="false" customHeight="false" outlineLevel="0" collapsed="false">
      <c r="A197" s="2" t="n">
        <v>132</v>
      </c>
      <c r="B197" s="2" t="s">
        <v>1046</v>
      </c>
      <c r="C197" s="2" t="s">
        <v>1150</v>
      </c>
      <c r="D197" s="2" t="s">
        <v>410</v>
      </c>
      <c r="E197" s="2" t="s">
        <v>1151</v>
      </c>
      <c r="F197" s="2" t="s">
        <v>1152</v>
      </c>
      <c r="G197" s="2" t="s">
        <v>1153</v>
      </c>
      <c r="H197" s="2" t="s">
        <v>1154</v>
      </c>
      <c r="I197" s="2" t="s">
        <v>1155</v>
      </c>
      <c r="J197" s="2" t="n">
        <v>-2.57</v>
      </c>
      <c r="K197" s="2" t="n">
        <v>140.5</v>
      </c>
      <c r="L197" s="2" t="s">
        <v>101</v>
      </c>
      <c r="M197" s="2" t="s">
        <v>340</v>
      </c>
      <c r="N197" s="2"/>
      <c r="O197" s="2" t="s">
        <v>1156</v>
      </c>
      <c r="P197" s="2"/>
      <c r="Q197" s="2" t="s">
        <v>110</v>
      </c>
      <c r="R197" s="2" t="n">
        <v>0.9</v>
      </c>
      <c r="S197" s="2" t="s">
        <v>1157</v>
      </c>
      <c r="T197" s="2" t="s">
        <v>1158</v>
      </c>
      <c r="U197" s="2" t="s">
        <v>1159</v>
      </c>
      <c r="V197" s="2" t="s">
        <v>1160</v>
      </c>
      <c r="W197" s="2" t="s">
        <v>370</v>
      </c>
      <c r="X197" s="2" t="s">
        <v>68</v>
      </c>
    </row>
    <row r="198" customFormat="false" ht="15" hidden="false" customHeight="false" outlineLevel="0" collapsed="false">
      <c r="A198" s="2" t="n">
        <v>133</v>
      </c>
      <c r="B198" s="2" t="s">
        <v>1046</v>
      </c>
      <c r="C198" s="2" t="s">
        <v>1161</v>
      </c>
      <c r="D198" s="2" t="s">
        <v>410</v>
      </c>
      <c r="E198" s="2" t="s">
        <v>1162</v>
      </c>
      <c r="F198" s="2"/>
      <c r="G198" s="2" t="s">
        <v>1163</v>
      </c>
      <c r="H198" s="2" t="s">
        <v>1164</v>
      </c>
      <c r="I198" s="2" t="s">
        <v>172</v>
      </c>
      <c r="J198" s="2" t="n">
        <v>-7.209</v>
      </c>
      <c r="K198" s="2" t="n">
        <v>109.907</v>
      </c>
      <c r="L198" s="2" t="s">
        <v>124</v>
      </c>
      <c r="M198" s="2" t="s">
        <v>60</v>
      </c>
      <c r="N198" s="2" t="s">
        <v>1165</v>
      </c>
      <c r="O198" s="2" t="s">
        <v>1166</v>
      </c>
      <c r="P198" s="2"/>
      <c r="Q198" s="2" t="s">
        <v>62</v>
      </c>
      <c r="R198" s="2" t="n">
        <v>0.8</v>
      </c>
      <c r="S198" s="2" t="s">
        <v>1167</v>
      </c>
      <c r="T198" s="2" t="s">
        <v>1168</v>
      </c>
      <c r="U198" s="2" t="s">
        <v>1169</v>
      </c>
      <c r="V198" s="2" t="s">
        <v>1170</v>
      </c>
      <c r="W198" s="2" t="s">
        <v>159</v>
      </c>
      <c r="X198" s="2" t="s">
        <v>68</v>
      </c>
    </row>
    <row r="199" customFormat="false" ht="15" hidden="false" customHeight="false" outlineLevel="0" collapsed="false">
      <c r="A199" s="2" t="n">
        <v>133</v>
      </c>
      <c r="B199" s="2" t="s">
        <v>1046</v>
      </c>
      <c r="C199" s="2" t="s">
        <v>1171</v>
      </c>
      <c r="D199" s="2" t="s">
        <v>410</v>
      </c>
      <c r="E199" s="2" t="s">
        <v>1172</v>
      </c>
      <c r="F199" s="2"/>
      <c r="G199" s="2" t="s">
        <v>1173</v>
      </c>
      <c r="H199" s="2" t="s">
        <v>1164</v>
      </c>
      <c r="I199" s="2" t="s">
        <v>172</v>
      </c>
      <c r="J199" s="2" t="n">
        <v>-7.3</v>
      </c>
      <c r="K199" s="2" t="n">
        <v>109.94</v>
      </c>
      <c r="L199" s="2" t="s">
        <v>84</v>
      </c>
      <c r="M199" s="2" t="s">
        <v>60</v>
      </c>
      <c r="N199" s="2"/>
      <c r="O199" s="2" t="s">
        <v>1174</v>
      </c>
      <c r="P199" s="2"/>
      <c r="Q199" s="2" t="s">
        <v>62</v>
      </c>
      <c r="R199" s="2" t="n">
        <v>0.8</v>
      </c>
      <c r="S199" s="2" t="s">
        <v>1167</v>
      </c>
      <c r="T199" s="2" t="s">
        <v>1168</v>
      </c>
      <c r="U199" s="2" t="s">
        <v>1169</v>
      </c>
      <c r="V199" s="2" t="s">
        <v>1170</v>
      </c>
      <c r="W199" s="2" t="s">
        <v>159</v>
      </c>
      <c r="X199" s="2" t="s">
        <v>68</v>
      </c>
    </row>
    <row r="200" customFormat="false" ht="15" hidden="false" customHeight="false" outlineLevel="0" collapsed="false">
      <c r="A200" s="2" t="n">
        <v>133</v>
      </c>
      <c r="B200" s="2" t="s">
        <v>1046</v>
      </c>
      <c r="C200" s="2" t="s">
        <v>1175</v>
      </c>
      <c r="D200" s="2" t="s">
        <v>410</v>
      </c>
      <c r="E200" s="2" t="s">
        <v>1176</v>
      </c>
      <c r="F200" s="2" t="s">
        <v>1177</v>
      </c>
      <c r="G200" s="2" t="s">
        <v>1163</v>
      </c>
      <c r="H200" s="2" t="s">
        <v>1164</v>
      </c>
      <c r="I200" s="2" t="s">
        <v>172</v>
      </c>
      <c r="J200" s="2" t="n">
        <v>-7.24</v>
      </c>
      <c r="K200" s="2" t="n">
        <v>109.923</v>
      </c>
      <c r="L200" s="2" t="s">
        <v>124</v>
      </c>
      <c r="M200" s="2" t="s">
        <v>60</v>
      </c>
      <c r="N200" s="2"/>
      <c r="O200" s="2" t="s">
        <v>1178</v>
      </c>
      <c r="P200" s="2"/>
      <c r="Q200" s="2" t="s">
        <v>62</v>
      </c>
      <c r="R200" s="2" t="n">
        <v>0.8</v>
      </c>
      <c r="S200" s="2" t="s">
        <v>1167</v>
      </c>
      <c r="T200" s="2" t="s">
        <v>1168</v>
      </c>
      <c r="U200" s="2" t="s">
        <v>1169</v>
      </c>
      <c r="V200" s="2" t="s">
        <v>1170</v>
      </c>
      <c r="W200" s="2" t="s">
        <v>159</v>
      </c>
      <c r="X200" s="2" t="s">
        <v>68</v>
      </c>
    </row>
    <row r="201" customFormat="false" ht="15" hidden="false" customHeight="false" outlineLevel="0" collapsed="false">
      <c r="A201" s="2" t="n">
        <v>133</v>
      </c>
      <c r="B201" s="2" t="s">
        <v>1046</v>
      </c>
      <c r="C201" s="2" t="s">
        <v>1179</v>
      </c>
      <c r="D201" s="2" t="s">
        <v>410</v>
      </c>
      <c r="E201" s="2" t="s">
        <v>1162</v>
      </c>
      <c r="F201" s="2"/>
      <c r="G201" s="2"/>
      <c r="H201" s="2" t="s">
        <v>1164</v>
      </c>
      <c r="I201" s="2" t="s">
        <v>172</v>
      </c>
      <c r="J201" s="2" t="n">
        <v>-7.36</v>
      </c>
      <c r="K201" s="2" t="n">
        <v>109.9</v>
      </c>
      <c r="L201" s="2" t="s">
        <v>101</v>
      </c>
      <c r="M201" s="2" t="s">
        <v>340</v>
      </c>
      <c r="N201" s="2" t="s">
        <v>1180</v>
      </c>
      <c r="O201" s="2" t="s">
        <v>1181</v>
      </c>
      <c r="P201" s="2"/>
      <c r="Q201" s="2" t="s">
        <v>62</v>
      </c>
      <c r="R201" s="2" t="n">
        <v>0.8</v>
      </c>
      <c r="S201" s="2" t="s">
        <v>1167</v>
      </c>
      <c r="T201" s="2" t="s">
        <v>1168</v>
      </c>
      <c r="U201" s="2" t="s">
        <v>1169</v>
      </c>
      <c r="V201" s="2" t="s">
        <v>1170</v>
      </c>
      <c r="W201" s="2" t="s">
        <v>159</v>
      </c>
      <c r="X201" s="2" t="s">
        <v>68</v>
      </c>
    </row>
    <row r="202" customFormat="false" ht="15" hidden="false" customHeight="false" outlineLevel="0" collapsed="false">
      <c r="A202" s="2" t="n">
        <v>134</v>
      </c>
      <c r="B202" s="2" t="s">
        <v>1046</v>
      </c>
      <c r="C202" s="2" t="s">
        <v>1182</v>
      </c>
      <c r="D202" s="2" t="s">
        <v>410</v>
      </c>
      <c r="E202" s="2" t="s">
        <v>588</v>
      </c>
      <c r="F202" s="2"/>
      <c r="G202" s="2" t="s">
        <v>1183</v>
      </c>
      <c r="H202" s="2" t="s">
        <v>1184</v>
      </c>
      <c r="I202" s="2" t="s">
        <v>588</v>
      </c>
      <c r="J202" s="2" t="n">
        <v>-5.54</v>
      </c>
      <c r="K202" s="2" t="n">
        <v>105.23</v>
      </c>
      <c r="L202" s="2" t="s">
        <v>84</v>
      </c>
      <c r="M202" s="2" t="s">
        <v>60</v>
      </c>
      <c r="N202" s="2"/>
      <c r="O202" s="2" t="s">
        <v>1185</v>
      </c>
      <c r="P202" s="2"/>
      <c r="Q202" s="2" t="s">
        <v>62</v>
      </c>
      <c r="R202" s="2" t="n">
        <v>0.85</v>
      </c>
      <c r="S202" s="2" t="s">
        <v>1186</v>
      </c>
      <c r="T202" s="2" t="s">
        <v>743</v>
      </c>
      <c r="U202" s="2" t="s">
        <v>1187</v>
      </c>
      <c r="V202" s="2" t="s">
        <v>745</v>
      </c>
      <c r="W202" s="2" t="s">
        <v>1188</v>
      </c>
      <c r="X202" s="2" t="s">
        <v>68</v>
      </c>
    </row>
    <row r="203" customFormat="false" ht="15" hidden="false" customHeight="false" outlineLevel="0" collapsed="false">
      <c r="A203" s="2" t="n">
        <v>134</v>
      </c>
      <c r="B203" s="2" t="s">
        <v>1046</v>
      </c>
      <c r="C203" s="2" t="s">
        <v>1189</v>
      </c>
      <c r="D203" s="2" t="s">
        <v>410</v>
      </c>
      <c r="E203" s="2" t="s">
        <v>1190</v>
      </c>
      <c r="F203" s="2"/>
      <c r="G203" s="2"/>
      <c r="H203" s="2"/>
      <c r="I203" s="2"/>
      <c r="J203" s="2" t="n">
        <v>-4.86</v>
      </c>
      <c r="K203" s="2" t="n">
        <v>103.93</v>
      </c>
      <c r="L203" s="2" t="s">
        <v>124</v>
      </c>
      <c r="M203" s="2" t="s">
        <v>340</v>
      </c>
      <c r="N203" s="2" t="s">
        <v>1191</v>
      </c>
      <c r="O203" s="2" t="s">
        <v>1192</v>
      </c>
      <c r="P203" s="2"/>
      <c r="Q203" s="2" t="s">
        <v>62</v>
      </c>
      <c r="R203" s="2" t="n">
        <v>0.85</v>
      </c>
      <c r="S203" s="2" t="s">
        <v>1186</v>
      </c>
      <c r="T203" s="2" t="s">
        <v>743</v>
      </c>
      <c r="U203" s="2" t="s">
        <v>1187</v>
      </c>
      <c r="V203" s="2" t="s">
        <v>745</v>
      </c>
      <c r="W203" s="2" t="s">
        <v>1188</v>
      </c>
      <c r="X203" s="2" t="s">
        <v>68</v>
      </c>
    </row>
    <row r="204" customFormat="false" ht="15" hidden="false" customHeight="false" outlineLevel="0" collapsed="false">
      <c r="A204" s="2" t="n">
        <v>134</v>
      </c>
      <c r="B204" s="2" t="s">
        <v>1046</v>
      </c>
      <c r="C204" s="2" t="s">
        <v>1193</v>
      </c>
      <c r="D204" s="2" t="s">
        <v>410</v>
      </c>
      <c r="E204" s="2" t="s">
        <v>1194</v>
      </c>
      <c r="F204" s="2"/>
      <c r="G204" s="2"/>
      <c r="H204" s="2" t="s">
        <v>1195</v>
      </c>
      <c r="I204" s="2" t="s">
        <v>588</v>
      </c>
      <c r="J204" s="2" t="n">
        <v>-5.03</v>
      </c>
      <c r="K204" s="2" t="n">
        <v>104.15</v>
      </c>
      <c r="L204" s="2" t="s">
        <v>101</v>
      </c>
      <c r="M204" s="2" t="s">
        <v>60</v>
      </c>
      <c r="N204" s="2" t="s">
        <v>1196</v>
      </c>
      <c r="O204" s="2" t="s">
        <v>1197</v>
      </c>
      <c r="P204" s="2"/>
      <c r="Q204" s="2" t="s">
        <v>62</v>
      </c>
      <c r="R204" s="2" t="n">
        <v>0.85</v>
      </c>
      <c r="S204" s="2" t="s">
        <v>1186</v>
      </c>
      <c r="T204" s="2" t="s">
        <v>743</v>
      </c>
      <c r="U204" s="2" t="s">
        <v>1187</v>
      </c>
      <c r="V204" s="2" t="s">
        <v>745</v>
      </c>
      <c r="W204" s="2" t="s">
        <v>1188</v>
      </c>
      <c r="X204" s="2" t="s">
        <v>68</v>
      </c>
    </row>
    <row r="205" customFormat="false" ht="15" hidden="false" customHeight="false" outlineLevel="0" collapsed="false">
      <c r="A205" s="2" t="n">
        <v>135</v>
      </c>
      <c r="B205" s="2" t="s">
        <v>1046</v>
      </c>
      <c r="C205" s="2" t="s">
        <v>1198</v>
      </c>
      <c r="D205" s="2" t="s">
        <v>410</v>
      </c>
      <c r="E205" s="2" t="s">
        <v>1199</v>
      </c>
      <c r="F205" s="2"/>
      <c r="G205" s="2"/>
      <c r="H205" s="2"/>
      <c r="I205" s="2"/>
      <c r="J205" s="2" t="n">
        <v>13.756</v>
      </c>
      <c r="K205" s="2" t="n">
        <v>100.502</v>
      </c>
      <c r="L205" s="2" t="s">
        <v>101</v>
      </c>
      <c r="M205" s="2" t="s">
        <v>340</v>
      </c>
      <c r="N205" s="2" t="s">
        <v>1200</v>
      </c>
      <c r="O205" s="2" t="s">
        <v>1201</v>
      </c>
      <c r="P205" s="2"/>
      <c r="Q205" s="2" t="s">
        <v>110</v>
      </c>
      <c r="R205" s="2" t="n">
        <v>0.85</v>
      </c>
      <c r="S205" s="2" t="s">
        <v>1202</v>
      </c>
      <c r="T205" s="2" t="s">
        <v>156</v>
      </c>
      <c r="U205" s="2" t="s">
        <v>1203</v>
      </c>
      <c r="V205" s="2" t="s">
        <v>158</v>
      </c>
      <c r="W205" s="2" t="s">
        <v>1204</v>
      </c>
      <c r="X205" s="2" t="s">
        <v>68</v>
      </c>
    </row>
    <row r="206" customFormat="false" ht="15" hidden="false" customHeight="false" outlineLevel="0" collapsed="false">
      <c r="A206" s="2" t="n">
        <v>135</v>
      </c>
      <c r="B206" s="2" t="s">
        <v>1046</v>
      </c>
      <c r="C206" s="2" t="s">
        <v>1205</v>
      </c>
      <c r="D206" s="2" t="s">
        <v>1140</v>
      </c>
      <c r="E206" s="2" t="s">
        <v>1206</v>
      </c>
      <c r="F206" s="2"/>
      <c r="G206" s="2"/>
      <c r="H206" s="2"/>
      <c r="I206" s="2"/>
      <c r="J206" s="2" t="n">
        <v>13.7045</v>
      </c>
      <c r="K206" s="2" t="n">
        <v>100.503</v>
      </c>
      <c r="L206" s="2" t="s">
        <v>124</v>
      </c>
      <c r="M206" s="2" t="s">
        <v>340</v>
      </c>
      <c r="N206" s="2" t="s">
        <v>1207</v>
      </c>
      <c r="O206" s="2" t="s">
        <v>1208</v>
      </c>
      <c r="P206" s="2"/>
      <c r="Q206" s="2" t="s">
        <v>110</v>
      </c>
      <c r="R206" s="2" t="n">
        <v>0.9</v>
      </c>
      <c r="S206" s="2" t="s">
        <v>1202</v>
      </c>
      <c r="T206" s="2" t="s">
        <v>156</v>
      </c>
      <c r="U206" s="2" t="s">
        <v>1203</v>
      </c>
      <c r="V206" s="2" t="s">
        <v>158</v>
      </c>
      <c r="W206" s="2" t="s">
        <v>1204</v>
      </c>
      <c r="X206" s="2" t="s">
        <v>68</v>
      </c>
    </row>
    <row r="207" customFormat="false" ht="15" hidden="false" customHeight="false" outlineLevel="0" collapsed="false">
      <c r="A207" s="2" t="n">
        <v>135</v>
      </c>
      <c r="B207" s="2" t="s">
        <v>1046</v>
      </c>
      <c r="C207" s="2" t="s">
        <v>1209</v>
      </c>
      <c r="D207" s="2" t="s">
        <v>1130</v>
      </c>
      <c r="E207" s="2" t="s">
        <v>1199</v>
      </c>
      <c r="F207" s="2"/>
      <c r="G207" s="2"/>
      <c r="H207" s="2"/>
      <c r="I207" s="2"/>
      <c r="J207" s="2" t="n">
        <v>13.756</v>
      </c>
      <c r="K207" s="2" t="n">
        <v>100.502</v>
      </c>
      <c r="L207" s="2" t="s">
        <v>101</v>
      </c>
      <c r="M207" s="2" t="s">
        <v>340</v>
      </c>
      <c r="N207" s="2" t="s">
        <v>1200</v>
      </c>
      <c r="O207" s="2" t="s">
        <v>1210</v>
      </c>
      <c r="P207" s="2"/>
      <c r="Q207" s="2" t="s">
        <v>110</v>
      </c>
      <c r="R207" s="2" t="n">
        <v>0.85</v>
      </c>
      <c r="S207" s="2" t="s">
        <v>1202</v>
      </c>
      <c r="T207" s="2" t="s">
        <v>156</v>
      </c>
      <c r="U207" s="2" t="s">
        <v>1203</v>
      </c>
      <c r="V207" s="2" t="s">
        <v>158</v>
      </c>
      <c r="W207" s="2" t="s">
        <v>1204</v>
      </c>
      <c r="X207" s="2" t="s">
        <v>68</v>
      </c>
    </row>
    <row r="208" customFormat="false" ht="15" hidden="false" customHeight="false" outlineLevel="0" collapsed="false">
      <c r="A208" s="2" t="n">
        <v>136</v>
      </c>
      <c r="B208" s="2" t="s">
        <v>1046</v>
      </c>
      <c r="C208" s="2" t="s">
        <v>1211</v>
      </c>
      <c r="D208" s="2" t="s">
        <v>1140</v>
      </c>
      <c r="E208" s="2" t="s">
        <v>1212</v>
      </c>
      <c r="F208" s="2" t="s">
        <v>1213</v>
      </c>
      <c r="G208" s="2" t="s">
        <v>1020</v>
      </c>
      <c r="H208" s="2" t="s">
        <v>296</v>
      </c>
      <c r="I208" s="2" t="s">
        <v>58</v>
      </c>
      <c r="J208" s="2" t="n">
        <v>-6.656</v>
      </c>
      <c r="K208" s="2" t="n">
        <v>106.914</v>
      </c>
      <c r="L208" s="2" t="s">
        <v>59</v>
      </c>
      <c r="M208" s="2" t="s">
        <v>60</v>
      </c>
      <c r="N208" s="2"/>
      <c r="O208" s="2" t="s">
        <v>1214</v>
      </c>
      <c r="P208" s="2" t="s">
        <v>109</v>
      </c>
      <c r="Q208" s="2" t="s">
        <v>62</v>
      </c>
      <c r="R208" s="2" t="n">
        <v>0.5</v>
      </c>
      <c r="S208" s="2" t="s">
        <v>1215</v>
      </c>
      <c r="T208" s="2" t="s">
        <v>963</v>
      </c>
      <c r="U208" s="2" t="s">
        <v>1216</v>
      </c>
      <c r="V208" s="2" t="s">
        <v>965</v>
      </c>
      <c r="W208" s="2" t="s">
        <v>1217</v>
      </c>
      <c r="X208" s="2" t="s">
        <v>160</v>
      </c>
    </row>
    <row r="209" customFormat="false" ht="15" hidden="false" customHeight="false" outlineLevel="0" collapsed="false">
      <c r="A209" s="2" t="n">
        <v>136</v>
      </c>
      <c r="B209" s="2" t="s">
        <v>1046</v>
      </c>
      <c r="C209" s="2" t="s">
        <v>1218</v>
      </c>
      <c r="D209" s="2" t="s">
        <v>1140</v>
      </c>
      <c r="E209" s="2" t="s">
        <v>1219</v>
      </c>
      <c r="F209" s="2" t="s">
        <v>1220</v>
      </c>
      <c r="G209" s="2" t="s">
        <v>1221</v>
      </c>
      <c r="H209" s="2" t="s">
        <v>296</v>
      </c>
      <c r="I209" s="2" t="s">
        <v>58</v>
      </c>
      <c r="J209" s="2" t="n">
        <v>-6.585</v>
      </c>
      <c r="K209" s="2" t="n">
        <v>106.9</v>
      </c>
      <c r="L209" s="2" t="s">
        <v>59</v>
      </c>
      <c r="M209" s="2" t="s">
        <v>60</v>
      </c>
      <c r="N209" s="2"/>
      <c r="O209" s="2" t="s">
        <v>1222</v>
      </c>
      <c r="P209" s="2" t="s">
        <v>109</v>
      </c>
      <c r="Q209" s="2" t="s">
        <v>62</v>
      </c>
      <c r="R209" s="2" t="n">
        <v>0.8</v>
      </c>
      <c r="S209" s="2" t="s">
        <v>1215</v>
      </c>
      <c r="T209" s="2" t="s">
        <v>963</v>
      </c>
      <c r="U209" s="2" t="s">
        <v>1216</v>
      </c>
      <c r="V209" s="2" t="s">
        <v>965</v>
      </c>
      <c r="W209" s="2" t="s">
        <v>1217</v>
      </c>
      <c r="X209" s="2" t="s">
        <v>160</v>
      </c>
    </row>
    <row r="210" customFormat="false" ht="15" hidden="false" customHeight="false" outlineLevel="0" collapsed="false">
      <c r="A210" s="2" t="n">
        <v>136</v>
      </c>
      <c r="B210" s="2" t="s">
        <v>1046</v>
      </c>
      <c r="C210" s="2" t="s">
        <v>1223</v>
      </c>
      <c r="D210" s="2" t="s">
        <v>1140</v>
      </c>
      <c r="E210" s="2" t="s">
        <v>1219</v>
      </c>
      <c r="F210" s="2" t="s">
        <v>1220</v>
      </c>
      <c r="G210" s="2" t="s">
        <v>1221</v>
      </c>
      <c r="H210" s="2" t="s">
        <v>296</v>
      </c>
      <c r="I210" s="2" t="s">
        <v>58</v>
      </c>
      <c r="J210" s="2" t="n">
        <v>-6.585</v>
      </c>
      <c r="K210" s="2" t="n">
        <v>106.9</v>
      </c>
      <c r="L210" s="2" t="s">
        <v>59</v>
      </c>
      <c r="M210" s="2" t="s">
        <v>60</v>
      </c>
      <c r="N210" s="2"/>
      <c r="O210" s="2" t="s">
        <v>1224</v>
      </c>
      <c r="P210" s="2" t="s">
        <v>109</v>
      </c>
      <c r="Q210" s="2" t="s">
        <v>62</v>
      </c>
      <c r="R210" s="2" t="n">
        <v>0.6</v>
      </c>
      <c r="S210" s="2" t="s">
        <v>1215</v>
      </c>
      <c r="T210" s="2" t="s">
        <v>963</v>
      </c>
      <c r="U210" s="2" t="s">
        <v>1216</v>
      </c>
      <c r="V210" s="2" t="s">
        <v>965</v>
      </c>
      <c r="W210" s="2" t="s">
        <v>1217</v>
      </c>
      <c r="X210" s="2" t="s">
        <v>160</v>
      </c>
    </row>
    <row r="211" customFormat="false" ht="15" hidden="false" customHeight="false" outlineLevel="0" collapsed="false">
      <c r="A211" s="2" t="n">
        <v>136</v>
      </c>
      <c r="B211" s="2" t="s">
        <v>1046</v>
      </c>
      <c r="C211" s="2" t="s">
        <v>1225</v>
      </c>
      <c r="D211" s="2" t="s">
        <v>1140</v>
      </c>
      <c r="E211" s="2" t="s">
        <v>1219</v>
      </c>
      <c r="F211" s="2" t="s">
        <v>1220</v>
      </c>
      <c r="G211" s="2" t="s">
        <v>1221</v>
      </c>
      <c r="H211" s="2" t="s">
        <v>296</v>
      </c>
      <c r="I211" s="2" t="s">
        <v>58</v>
      </c>
      <c r="J211" s="2" t="n">
        <v>-6.585</v>
      </c>
      <c r="K211" s="2" t="n">
        <v>106.9</v>
      </c>
      <c r="L211" s="2" t="s">
        <v>59</v>
      </c>
      <c r="M211" s="2" t="s">
        <v>60</v>
      </c>
      <c r="N211" s="2"/>
      <c r="O211" s="2" t="s">
        <v>1224</v>
      </c>
      <c r="P211" s="2" t="s">
        <v>109</v>
      </c>
      <c r="Q211" s="2" t="s">
        <v>62</v>
      </c>
      <c r="R211" s="2" t="n">
        <v>0.6</v>
      </c>
      <c r="S211" s="2" t="s">
        <v>1215</v>
      </c>
      <c r="T211" s="2" t="s">
        <v>963</v>
      </c>
      <c r="U211" s="2" t="s">
        <v>1216</v>
      </c>
      <c r="V211" s="2" t="s">
        <v>965</v>
      </c>
      <c r="W211" s="2" t="s">
        <v>1217</v>
      </c>
      <c r="X211" s="2" t="s">
        <v>160</v>
      </c>
    </row>
    <row r="212" customFormat="false" ht="15" hidden="false" customHeight="false" outlineLevel="0" collapsed="false">
      <c r="A212" s="2" t="n">
        <v>136</v>
      </c>
      <c r="B212" s="2" t="s">
        <v>1046</v>
      </c>
      <c r="C212" s="2" t="s">
        <v>1226</v>
      </c>
      <c r="D212" s="2" t="s">
        <v>410</v>
      </c>
      <c r="E212" s="2" t="s">
        <v>1141</v>
      </c>
      <c r="F212" s="2"/>
      <c r="G212" s="2"/>
      <c r="H212" s="2" t="s">
        <v>296</v>
      </c>
      <c r="I212" s="2" t="s">
        <v>58</v>
      </c>
      <c r="J212" s="2" t="n">
        <v>-6.55</v>
      </c>
      <c r="K212" s="2" t="n">
        <v>106.8</v>
      </c>
      <c r="L212" s="2" t="s">
        <v>101</v>
      </c>
      <c r="M212" s="2" t="s">
        <v>60</v>
      </c>
      <c r="N212" s="2" t="s">
        <v>1227</v>
      </c>
      <c r="O212" s="2" t="s">
        <v>1228</v>
      </c>
      <c r="P212" s="2"/>
      <c r="Q212" s="2" t="s">
        <v>62</v>
      </c>
      <c r="R212" s="2" t="n">
        <v>0.55</v>
      </c>
      <c r="S212" s="2" t="s">
        <v>1215</v>
      </c>
      <c r="T212" s="2" t="s">
        <v>963</v>
      </c>
      <c r="U212" s="2" t="s">
        <v>1216</v>
      </c>
      <c r="V212" s="2" t="s">
        <v>965</v>
      </c>
      <c r="W212" s="2" t="s">
        <v>1217</v>
      </c>
      <c r="X212" s="2" t="s">
        <v>160</v>
      </c>
    </row>
    <row r="213" customFormat="false" ht="15" hidden="false" customHeight="false" outlineLevel="0" collapsed="false">
      <c r="A213" s="2" t="n">
        <v>136</v>
      </c>
      <c r="B213" s="2" t="s">
        <v>1046</v>
      </c>
      <c r="C213" s="2" t="s">
        <v>1229</v>
      </c>
      <c r="D213" s="2" t="s">
        <v>410</v>
      </c>
      <c r="E213" s="2" t="s">
        <v>1141</v>
      </c>
      <c r="F213" s="2" t="s">
        <v>1027</v>
      </c>
      <c r="G213" s="2" t="s">
        <v>1020</v>
      </c>
      <c r="H213" s="2" t="s">
        <v>296</v>
      </c>
      <c r="I213" s="2" t="s">
        <v>58</v>
      </c>
      <c r="J213" s="2" t="n">
        <v>-6.69</v>
      </c>
      <c r="K213" s="2" t="n">
        <v>106.94</v>
      </c>
      <c r="L213" s="2" t="s">
        <v>84</v>
      </c>
      <c r="M213" s="2" t="s">
        <v>60</v>
      </c>
      <c r="N213" s="2" t="s">
        <v>1035</v>
      </c>
      <c r="O213" s="2" t="s">
        <v>1230</v>
      </c>
      <c r="P213" s="2"/>
      <c r="Q213" s="2" t="s">
        <v>62</v>
      </c>
      <c r="R213" s="2" t="n">
        <v>0.7</v>
      </c>
      <c r="S213" s="2" t="s">
        <v>1215</v>
      </c>
      <c r="T213" s="2" t="s">
        <v>963</v>
      </c>
      <c r="U213" s="2" t="s">
        <v>1216</v>
      </c>
      <c r="V213" s="2" t="s">
        <v>965</v>
      </c>
      <c r="W213" s="2" t="s">
        <v>1217</v>
      </c>
      <c r="X213" s="2" t="s">
        <v>160</v>
      </c>
    </row>
    <row r="214" customFormat="false" ht="15" hidden="false" customHeight="false" outlineLevel="0" collapsed="false">
      <c r="A214" s="2" t="n">
        <v>137</v>
      </c>
      <c r="B214" s="2" t="s">
        <v>1046</v>
      </c>
      <c r="C214" s="2" t="s">
        <v>1231</v>
      </c>
      <c r="D214" s="2" t="s">
        <v>410</v>
      </c>
      <c r="E214" s="2" t="s">
        <v>1232</v>
      </c>
      <c r="F214" s="2"/>
      <c r="G214" s="2"/>
      <c r="H214" s="2" t="s">
        <v>1233</v>
      </c>
      <c r="I214" s="2" t="s">
        <v>172</v>
      </c>
      <c r="J214" s="2" t="n">
        <v>-7.567</v>
      </c>
      <c r="K214" s="2" t="n">
        <v>110.817</v>
      </c>
      <c r="L214" s="2" t="s">
        <v>101</v>
      </c>
      <c r="M214" s="2" t="s">
        <v>60</v>
      </c>
      <c r="N214" s="2"/>
      <c r="O214" s="2" t="s">
        <v>1234</v>
      </c>
      <c r="P214" s="2"/>
      <c r="Q214" s="2" t="s">
        <v>110</v>
      </c>
      <c r="R214" s="2" t="n">
        <v>0.6</v>
      </c>
      <c r="S214" s="2" t="s">
        <v>1235</v>
      </c>
      <c r="T214" s="2" t="s">
        <v>1236</v>
      </c>
      <c r="U214" s="2" t="s">
        <v>1237</v>
      </c>
      <c r="V214" s="2" t="s">
        <v>1238</v>
      </c>
      <c r="W214" s="2" t="s">
        <v>1239</v>
      </c>
      <c r="X214" s="2" t="s">
        <v>68</v>
      </c>
    </row>
    <row r="215" customFormat="false" ht="15" hidden="false" customHeight="false" outlineLevel="0" collapsed="false">
      <c r="A215" s="2" t="n">
        <v>137</v>
      </c>
      <c r="B215" s="2" t="s">
        <v>1046</v>
      </c>
      <c r="C215" s="2" t="s">
        <v>1240</v>
      </c>
      <c r="D215" s="2" t="s">
        <v>351</v>
      </c>
      <c r="E215" s="2" t="s">
        <v>1232</v>
      </c>
      <c r="F215" s="2"/>
      <c r="G215" s="2"/>
      <c r="H215" s="2" t="s">
        <v>1233</v>
      </c>
      <c r="I215" s="2" t="s">
        <v>172</v>
      </c>
      <c r="J215" s="2" t="n">
        <v>-7.567</v>
      </c>
      <c r="K215" s="2" t="n">
        <v>110.817</v>
      </c>
      <c r="L215" s="2" t="s">
        <v>101</v>
      </c>
      <c r="M215" s="2" t="s">
        <v>60</v>
      </c>
      <c r="N215" s="2"/>
      <c r="O215" s="2" t="s">
        <v>1241</v>
      </c>
      <c r="P215" s="2"/>
      <c r="Q215" s="2" t="s">
        <v>110</v>
      </c>
      <c r="R215" s="2" t="n">
        <v>0.55</v>
      </c>
      <c r="S215" s="2" t="s">
        <v>1235</v>
      </c>
      <c r="T215" s="2" t="s">
        <v>1236</v>
      </c>
      <c r="U215" s="2" t="s">
        <v>1237</v>
      </c>
      <c r="V215" s="2" t="s">
        <v>1238</v>
      </c>
      <c r="W215" s="2" t="s">
        <v>1239</v>
      </c>
      <c r="X215" s="2" t="s">
        <v>68</v>
      </c>
    </row>
    <row r="216" customFormat="false" ht="15" hidden="false" customHeight="false" outlineLevel="0" collapsed="false">
      <c r="A216" s="2" t="n">
        <v>137</v>
      </c>
      <c r="B216" s="2" t="s">
        <v>1046</v>
      </c>
      <c r="C216" s="2" t="s">
        <v>1242</v>
      </c>
      <c r="D216" s="2" t="s">
        <v>410</v>
      </c>
      <c r="E216" s="2" t="s">
        <v>1232</v>
      </c>
      <c r="F216" s="2"/>
      <c r="G216" s="2"/>
      <c r="H216" s="2" t="s">
        <v>1233</v>
      </c>
      <c r="I216" s="2" t="s">
        <v>172</v>
      </c>
      <c r="J216" s="2" t="n">
        <v>-7.567</v>
      </c>
      <c r="K216" s="2" t="n">
        <v>110.817</v>
      </c>
      <c r="L216" s="2" t="s">
        <v>101</v>
      </c>
      <c r="M216" s="2" t="s">
        <v>60</v>
      </c>
      <c r="N216" s="2"/>
      <c r="O216" s="2" t="s">
        <v>1243</v>
      </c>
      <c r="P216" s="2"/>
      <c r="Q216" s="2" t="s">
        <v>110</v>
      </c>
      <c r="R216" s="2" t="n">
        <v>0.6</v>
      </c>
      <c r="S216" s="2" t="s">
        <v>1235</v>
      </c>
      <c r="T216" s="2" t="s">
        <v>1236</v>
      </c>
      <c r="U216" s="2" t="s">
        <v>1237</v>
      </c>
      <c r="V216" s="2" t="s">
        <v>1238</v>
      </c>
      <c r="W216" s="2" t="s">
        <v>1239</v>
      </c>
      <c r="X216" s="2" t="s">
        <v>68</v>
      </c>
    </row>
    <row r="217" customFormat="false" ht="15" hidden="false" customHeight="false" outlineLevel="0" collapsed="false">
      <c r="A217" s="2" t="n">
        <v>137</v>
      </c>
      <c r="B217" s="2" t="s">
        <v>1046</v>
      </c>
      <c r="C217" s="2" t="s">
        <v>1244</v>
      </c>
      <c r="D217" s="2" t="s">
        <v>1130</v>
      </c>
      <c r="E217" s="2" t="s">
        <v>1232</v>
      </c>
      <c r="F217" s="2"/>
      <c r="G217" s="2"/>
      <c r="H217" s="2" t="s">
        <v>1233</v>
      </c>
      <c r="I217" s="2" t="s">
        <v>172</v>
      </c>
      <c r="J217" s="2" t="n">
        <v>-7.567</v>
      </c>
      <c r="K217" s="2" t="n">
        <v>110.817</v>
      </c>
      <c r="L217" s="2" t="s">
        <v>101</v>
      </c>
      <c r="M217" s="2" t="s">
        <v>60</v>
      </c>
      <c r="N217" s="2"/>
      <c r="O217" s="2" t="s">
        <v>1245</v>
      </c>
      <c r="P217" s="2"/>
      <c r="Q217" s="2" t="s">
        <v>110</v>
      </c>
      <c r="R217" s="2" t="n">
        <v>0.55</v>
      </c>
      <c r="S217" s="2" t="s">
        <v>1235</v>
      </c>
      <c r="T217" s="2" t="s">
        <v>1236</v>
      </c>
      <c r="U217" s="2" t="s">
        <v>1237</v>
      </c>
      <c r="V217" s="2" t="s">
        <v>1238</v>
      </c>
      <c r="W217" s="2" t="s">
        <v>1239</v>
      </c>
      <c r="X217" s="2" t="s">
        <v>68</v>
      </c>
    </row>
    <row r="218" customFormat="false" ht="15" hidden="false" customHeight="false" outlineLevel="0" collapsed="false">
      <c r="A218" s="2" t="n">
        <v>138</v>
      </c>
      <c r="B218" s="2" t="s">
        <v>1046</v>
      </c>
      <c r="C218" s="2" t="s">
        <v>1246</v>
      </c>
      <c r="D218" s="2" t="s">
        <v>1140</v>
      </c>
      <c r="E218" s="2" t="s">
        <v>1247</v>
      </c>
      <c r="F218" s="2"/>
      <c r="G218" s="2"/>
      <c r="H218" s="2"/>
      <c r="I218" s="2" t="s">
        <v>92</v>
      </c>
      <c r="J218" s="2" t="n">
        <v>-7.875</v>
      </c>
      <c r="K218" s="2" t="n">
        <v>110.426</v>
      </c>
      <c r="L218" s="2" t="s">
        <v>239</v>
      </c>
      <c r="M218" s="2" t="s">
        <v>60</v>
      </c>
      <c r="N218" s="2" t="s">
        <v>1248</v>
      </c>
      <c r="O218" s="2" t="s">
        <v>1249</v>
      </c>
      <c r="P218" s="2"/>
      <c r="Q218" s="2" t="s">
        <v>62</v>
      </c>
      <c r="R218" s="2" t="n">
        <v>0.6</v>
      </c>
      <c r="S218" s="2" t="s">
        <v>1250</v>
      </c>
      <c r="T218" s="2" t="s">
        <v>1251</v>
      </c>
      <c r="U218" s="2" t="s">
        <v>1252</v>
      </c>
      <c r="V218" s="2" t="s">
        <v>1253</v>
      </c>
      <c r="W218" s="2" t="s">
        <v>360</v>
      </c>
      <c r="X218" s="2" t="s">
        <v>507</v>
      </c>
    </row>
    <row r="219" customFormat="false" ht="15" hidden="false" customHeight="false" outlineLevel="0" collapsed="false">
      <c r="A219" s="2" t="n">
        <v>139</v>
      </c>
      <c r="B219" s="2" t="s">
        <v>1046</v>
      </c>
      <c r="C219" s="2" t="s">
        <v>1254</v>
      </c>
      <c r="D219" s="2" t="s">
        <v>1140</v>
      </c>
      <c r="E219" s="2" t="s">
        <v>1255</v>
      </c>
      <c r="F219" s="2"/>
      <c r="G219" s="2"/>
      <c r="H219" s="2" t="s">
        <v>807</v>
      </c>
      <c r="I219" s="2" t="s">
        <v>184</v>
      </c>
      <c r="J219" s="2" t="n">
        <v>-7.87</v>
      </c>
      <c r="K219" s="2" t="n">
        <v>112.527</v>
      </c>
      <c r="L219" s="2" t="s">
        <v>101</v>
      </c>
      <c r="M219" s="2" t="s">
        <v>60</v>
      </c>
      <c r="N219" s="2"/>
      <c r="O219" s="2" t="s">
        <v>1256</v>
      </c>
      <c r="P219" s="2"/>
      <c r="Q219" s="2" t="s">
        <v>110</v>
      </c>
      <c r="R219" s="2" t="n">
        <v>0.9</v>
      </c>
      <c r="S219" s="2" t="s">
        <v>1257</v>
      </c>
      <c r="T219" s="2" t="s">
        <v>1258</v>
      </c>
      <c r="U219" s="2" t="s">
        <v>1259</v>
      </c>
      <c r="V219" s="2" t="s">
        <v>1260</v>
      </c>
      <c r="W219" s="2" t="s">
        <v>1261</v>
      </c>
      <c r="X219" s="2" t="s">
        <v>68</v>
      </c>
    </row>
    <row r="220" customFormat="false" ht="15" hidden="false" customHeight="false" outlineLevel="0" collapsed="false">
      <c r="A220" s="2" t="n">
        <v>140</v>
      </c>
      <c r="B220" s="2" t="s">
        <v>1046</v>
      </c>
      <c r="C220" s="2" t="s">
        <v>1262</v>
      </c>
      <c r="D220" s="2" t="s">
        <v>410</v>
      </c>
      <c r="E220" s="2" t="s">
        <v>1141</v>
      </c>
      <c r="F220" s="2"/>
      <c r="G220" s="2"/>
      <c r="H220" s="2" t="s">
        <v>296</v>
      </c>
      <c r="I220" s="2" t="s">
        <v>58</v>
      </c>
      <c r="J220" s="2" t="n">
        <v>-6.55</v>
      </c>
      <c r="K220" s="2" t="n">
        <v>106.8</v>
      </c>
      <c r="L220" s="2" t="s">
        <v>101</v>
      </c>
      <c r="M220" s="2" t="s">
        <v>60</v>
      </c>
      <c r="N220" s="2" t="s">
        <v>1227</v>
      </c>
      <c r="O220" s="2" t="s">
        <v>1263</v>
      </c>
      <c r="P220" s="2"/>
      <c r="Q220" s="2" t="s">
        <v>110</v>
      </c>
      <c r="R220" s="2" t="n">
        <v>0.85</v>
      </c>
      <c r="S220" s="2" t="s">
        <v>1264</v>
      </c>
      <c r="T220" s="2" t="s">
        <v>492</v>
      </c>
      <c r="U220" s="2" t="s">
        <v>1265</v>
      </c>
      <c r="V220" s="2" t="s">
        <v>494</v>
      </c>
      <c r="W220" s="2" t="s">
        <v>1266</v>
      </c>
      <c r="X220" s="2" t="s">
        <v>68</v>
      </c>
    </row>
    <row r="221" customFormat="false" ht="15" hidden="false" customHeight="false" outlineLevel="0" collapsed="false">
      <c r="A221" s="2" t="n">
        <v>140</v>
      </c>
      <c r="B221" s="2" t="s">
        <v>1046</v>
      </c>
      <c r="C221" s="2" t="s">
        <v>1267</v>
      </c>
      <c r="D221" s="2" t="s">
        <v>410</v>
      </c>
      <c r="E221" s="2" t="s">
        <v>1141</v>
      </c>
      <c r="F221" s="2"/>
      <c r="G221" s="2"/>
      <c r="H221" s="2" t="s">
        <v>296</v>
      </c>
      <c r="I221" s="2" t="s">
        <v>58</v>
      </c>
      <c r="J221" s="2" t="n">
        <v>-6.55</v>
      </c>
      <c r="K221" s="2" t="n">
        <v>106.8</v>
      </c>
      <c r="L221" s="2" t="s">
        <v>101</v>
      </c>
      <c r="M221" s="2" t="s">
        <v>60</v>
      </c>
      <c r="N221" s="2" t="s">
        <v>1227</v>
      </c>
      <c r="O221" s="2" t="s">
        <v>1268</v>
      </c>
      <c r="P221" s="2" t="s">
        <v>1269</v>
      </c>
      <c r="Q221" s="2" t="s">
        <v>110</v>
      </c>
      <c r="R221" s="2" t="n">
        <v>0.75</v>
      </c>
      <c r="S221" s="2" t="s">
        <v>1264</v>
      </c>
      <c r="T221" s="2" t="s">
        <v>492</v>
      </c>
      <c r="U221" s="2" t="s">
        <v>1265</v>
      </c>
      <c r="V221" s="2" t="s">
        <v>494</v>
      </c>
      <c r="W221" s="2" t="s">
        <v>1266</v>
      </c>
      <c r="X221" s="2" t="s">
        <v>68</v>
      </c>
    </row>
    <row r="222" customFormat="false" ht="15" hidden="false" customHeight="false" outlineLevel="0" collapsed="false">
      <c r="A222" s="2" t="n">
        <v>140</v>
      </c>
      <c r="B222" s="2" t="s">
        <v>1046</v>
      </c>
      <c r="C222" s="2" t="s">
        <v>1270</v>
      </c>
      <c r="D222" s="2" t="s">
        <v>410</v>
      </c>
      <c r="E222" s="2" t="s">
        <v>1271</v>
      </c>
      <c r="F222" s="2"/>
      <c r="G222" s="2" t="s">
        <v>1272</v>
      </c>
      <c r="H222" s="2" t="s">
        <v>296</v>
      </c>
      <c r="I222" s="2" t="s">
        <v>58</v>
      </c>
      <c r="J222" s="2" t="n">
        <v>-6.56</v>
      </c>
      <c r="K222" s="2" t="n">
        <v>106.7</v>
      </c>
      <c r="L222" s="2" t="s">
        <v>84</v>
      </c>
      <c r="M222" s="2" t="s">
        <v>60</v>
      </c>
      <c r="N222" s="2"/>
      <c r="O222" s="2" t="s">
        <v>1273</v>
      </c>
      <c r="P222" s="2" t="s">
        <v>1274</v>
      </c>
      <c r="Q222" s="2" t="s">
        <v>110</v>
      </c>
      <c r="R222" s="2" t="n">
        <v>0.75</v>
      </c>
      <c r="S222" s="2" t="s">
        <v>1264</v>
      </c>
      <c r="T222" s="2" t="s">
        <v>492</v>
      </c>
      <c r="U222" s="2" t="s">
        <v>1265</v>
      </c>
      <c r="V222" s="2" t="s">
        <v>494</v>
      </c>
      <c r="W222" s="2" t="s">
        <v>1266</v>
      </c>
      <c r="X222" s="2" t="s">
        <v>68</v>
      </c>
    </row>
    <row r="223" customFormat="false" ht="15" hidden="false" customHeight="false" outlineLevel="0" collapsed="false">
      <c r="A223" s="2" t="n">
        <v>140</v>
      </c>
      <c r="B223" s="2" t="s">
        <v>1046</v>
      </c>
      <c r="C223" s="2" t="s">
        <v>1275</v>
      </c>
      <c r="D223" s="2" t="s">
        <v>410</v>
      </c>
      <c r="E223" s="2" t="s">
        <v>1141</v>
      </c>
      <c r="F223" s="2"/>
      <c r="G223" s="2"/>
      <c r="H223" s="2" t="s">
        <v>296</v>
      </c>
      <c r="I223" s="2" t="s">
        <v>58</v>
      </c>
      <c r="J223" s="2" t="n">
        <v>-6.55</v>
      </c>
      <c r="K223" s="2" t="n">
        <v>106.8</v>
      </c>
      <c r="L223" s="2" t="s">
        <v>101</v>
      </c>
      <c r="M223" s="2" t="s">
        <v>60</v>
      </c>
      <c r="N223" s="2" t="s">
        <v>1227</v>
      </c>
      <c r="O223" s="2" t="s">
        <v>1276</v>
      </c>
      <c r="P223" s="2" t="s">
        <v>1277</v>
      </c>
      <c r="Q223" s="2" t="s">
        <v>110</v>
      </c>
      <c r="R223" s="2" t="n">
        <v>0.75</v>
      </c>
      <c r="S223" s="2" t="s">
        <v>1264</v>
      </c>
      <c r="T223" s="2" t="s">
        <v>492</v>
      </c>
      <c r="U223" s="2" t="s">
        <v>1265</v>
      </c>
      <c r="V223" s="2" t="s">
        <v>494</v>
      </c>
      <c r="W223" s="2" t="s">
        <v>1266</v>
      </c>
      <c r="X223" s="2" t="s">
        <v>68</v>
      </c>
    </row>
    <row r="224" customFormat="false" ht="15" hidden="false" customHeight="false" outlineLevel="0" collapsed="false">
      <c r="A224" s="2" t="n">
        <v>141</v>
      </c>
      <c r="B224" s="2" t="s">
        <v>1046</v>
      </c>
      <c r="C224" s="2" t="s">
        <v>1278</v>
      </c>
      <c r="D224" s="2" t="s">
        <v>410</v>
      </c>
      <c r="E224" s="2" t="s">
        <v>1279</v>
      </c>
      <c r="F224" s="2"/>
      <c r="G224" s="2" t="s">
        <v>1280</v>
      </c>
      <c r="H224" s="2" t="s">
        <v>1281</v>
      </c>
      <c r="I224" s="2" t="s">
        <v>58</v>
      </c>
      <c r="J224" s="2" t="n">
        <v>-6.88</v>
      </c>
      <c r="K224" s="2" t="n">
        <v>106.96</v>
      </c>
      <c r="L224" s="2" t="s">
        <v>84</v>
      </c>
      <c r="M224" s="2" t="s">
        <v>60</v>
      </c>
      <c r="N224" s="2"/>
      <c r="O224" s="2" t="s">
        <v>1282</v>
      </c>
      <c r="P224" s="2" t="s">
        <v>109</v>
      </c>
      <c r="Q224" s="2" t="s">
        <v>110</v>
      </c>
      <c r="R224" s="2" t="n">
        <v>0.9</v>
      </c>
      <c r="S224" s="2" t="s">
        <v>1283</v>
      </c>
      <c r="T224" s="2" t="s">
        <v>1284</v>
      </c>
      <c r="U224" s="2" t="s">
        <v>1285</v>
      </c>
      <c r="V224" s="2" t="s">
        <v>1284</v>
      </c>
      <c r="W224" s="2" t="s">
        <v>1113</v>
      </c>
      <c r="X224" s="2" t="s">
        <v>68</v>
      </c>
    </row>
    <row r="225" customFormat="false" ht="15" hidden="false" customHeight="false" outlineLevel="0" collapsed="false">
      <c r="A225" s="2" t="n">
        <v>141</v>
      </c>
      <c r="B225" s="2" t="s">
        <v>1046</v>
      </c>
      <c r="C225" s="2" t="s">
        <v>1286</v>
      </c>
      <c r="D225" s="2" t="s">
        <v>410</v>
      </c>
      <c r="E225" s="2" t="s">
        <v>1279</v>
      </c>
      <c r="F225" s="2"/>
      <c r="G225" s="2" t="s">
        <v>1287</v>
      </c>
      <c r="H225" s="2" t="s">
        <v>1281</v>
      </c>
      <c r="I225" s="2" t="s">
        <v>58</v>
      </c>
      <c r="J225" s="2" t="n">
        <v>-6.85</v>
      </c>
      <c r="K225" s="2" t="n">
        <v>106.91</v>
      </c>
      <c r="L225" s="2" t="s">
        <v>84</v>
      </c>
      <c r="M225" s="2" t="s">
        <v>60</v>
      </c>
      <c r="N225" s="2"/>
      <c r="O225" s="2" t="s">
        <v>1288</v>
      </c>
      <c r="P225" s="2"/>
      <c r="Q225" s="2" t="s">
        <v>62</v>
      </c>
      <c r="R225" s="2" t="n">
        <v>0.8</v>
      </c>
      <c r="S225" s="2" t="s">
        <v>1283</v>
      </c>
      <c r="T225" s="2" t="s">
        <v>1284</v>
      </c>
      <c r="U225" s="2" t="s">
        <v>1285</v>
      </c>
      <c r="V225" s="2" t="s">
        <v>1284</v>
      </c>
      <c r="W225" s="2" t="s">
        <v>1113</v>
      </c>
      <c r="X225" s="2" t="s">
        <v>68</v>
      </c>
    </row>
    <row r="226" customFormat="false" ht="15" hidden="false" customHeight="false" outlineLevel="0" collapsed="false">
      <c r="A226" s="2" t="n">
        <v>141</v>
      </c>
      <c r="B226" s="2" t="s">
        <v>1046</v>
      </c>
      <c r="C226" s="2" t="s">
        <v>1289</v>
      </c>
      <c r="D226" s="2" t="s">
        <v>1140</v>
      </c>
      <c r="E226" s="2" t="s">
        <v>1279</v>
      </c>
      <c r="F226" s="2"/>
      <c r="G226" s="2"/>
      <c r="H226" s="2"/>
      <c r="I226" s="2" t="s">
        <v>58</v>
      </c>
      <c r="J226" s="2" t="n">
        <v>-6.92</v>
      </c>
      <c r="K226" s="2" t="n">
        <v>107.6</v>
      </c>
      <c r="L226" s="2" t="s">
        <v>239</v>
      </c>
      <c r="M226" s="2" t="s">
        <v>60</v>
      </c>
      <c r="N226" s="2" t="s">
        <v>1290</v>
      </c>
      <c r="O226" s="2" t="s">
        <v>1291</v>
      </c>
      <c r="P226" s="2"/>
      <c r="Q226" s="2" t="s">
        <v>62</v>
      </c>
      <c r="R226" s="2" t="n">
        <v>0.8</v>
      </c>
      <c r="S226" s="2" t="s">
        <v>1283</v>
      </c>
      <c r="T226" s="2" t="s">
        <v>1284</v>
      </c>
      <c r="U226" s="2" t="s">
        <v>1285</v>
      </c>
      <c r="V226" s="2" t="s">
        <v>1284</v>
      </c>
      <c r="W226" s="2" t="s">
        <v>1113</v>
      </c>
      <c r="X226" s="2" t="s">
        <v>68</v>
      </c>
    </row>
    <row r="227" customFormat="false" ht="15" hidden="false" customHeight="false" outlineLevel="0" collapsed="false">
      <c r="A227" s="2" t="n">
        <v>141</v>
      </c>
      <c r="B227" s="2" t="s">
        <v>1046</v>
      </c>
      <c r="C227" s="2" t="s">
        <v>1292</v>
      </c>
      <c r="D227" s="2" t="s">
        <v>410</v>
      </c>
      <c r="E227" s="2" t="s">
        <v>1279</v>
      </c>
      <c r="F227" s="2"/>
      <c r="G227" s="2" t="s">
        <v>1293</v>
      </c>
      <c r="H227" s="2" t="s">
        <v>1281</v>
      </c>
      <c r="I227" s="2" t="s">
        <v>58</v>
      </c>
      <c r="J227" s="2" t="n">
        <v>-7.07</v>
      </c>
      <c r="K227" s="2" t="n">
        <v>106.7</v>
      </c>
      <c r="L227" s="2" t="s">
        <v>101</v>
      </c>
      <c r="M227" s="2" t="s">
        <v>60</v>
      </c>
      <c r="N227" s="2"/>
      <c r="O227" s="2" t="s">
        <v>1294</v>
      </c>
      <c r="P227" s="2"/>
      <c r="Q227" s="2" t="s">
        <v>62</v>
      </c>
      <c r="R227" s="2" t="n">
        <v>0.8</v>
      </c>
      <c r="S227" s="2" t="s">
        <v>1283</v>
      </c>
      <c r="T227" s="2" t="s">
        <v>1284</v>
      </c>
      <c r="U227" s="2" t="s">
        <v>1285</v>
      </c>
      <c r="V227" s="2" t="s">
        <v>1284</v>
      </c>
      <c r="W227" s="2" t="s">
        <v>1113</v>
      </c>
      <c r="X227" s="2" t="s">
        <v>68</v>
      </c>
    </row>
    <row r="228" customFormat="false" ht="15" hidden="false" customHeight="false" outlineLevel="0" collapsed="false">
      <c r="A228" s="2" t="n">
        <v>141</v>
      </c>
      <c r="B228" s="2" t="s">
        <v>1046</v>
      </c>
      <c r="C228" s="2" t="s">
        <v>1295</v>
      </c>
      <c r="D228" s="2" t="s">
        <v>410</v>
      </c>
      <c r="E228" s="2" t="s">
        <v>1279</v>
      </c>
      <c r="F228" s="2"/>
      <c r="G228" s="2" t="s">
        <v>1296</v>
      </c>
      <c r="H228" s="2" t="s">
        <v>1281</v>
      </c>
      <c r="I228" s="2" t="s">
        <v>58</v>
      </c>
      <c r="J228" s="2" t="n">
        <v>-7.07</v>
      </c>
      <c r="K228" s="2" t="n">
        <v>106.7</v>
      </c>
      <c r="L228" s="2" t="s">
        <v>101</v>
      </c>
      <c r="M228" s="2" t="s">
        <v>60</v>
      </c>
      <c r="N228" s="2"/>
      <c r="O228" s="2" t="s">
        <v>1297</v>
      </c>
      <c r="P228" s="2"/>
      <c r="Q228" s="2" t="s">
        <v>62</v>
      </c>
      <c r="R228" s="2" t="n">
        <v>0.8</v>
      </c>
      <c r="S228" s="2" t="s">
        <v>1283</v>
      </c>
      <c r="T228" s="2" t="s">
        <v>1284</v>
      </c>
      <c r="U228" s="2" t="s">
        <v>1285</v>
      </c>
      <c r="V228" s="2" t="s">
        <v>1284</v>
      </c>
      <c r="W228" s="2" t="s">
        <v>1113</v>
      </c>
      <c r="X228" s="2" t="s">
        <v>68</v>
      </c>
    </row>
    <row r="229" customFormat="false" ht="15" hidden="false" customHeight="false" outlineLevel="0" collapsed="false">
      <c r="A229" s="2" t="n">
        <v>141</v>
      </c>
      <c r="B229" s="2" t="s">
        <v>1046</v>
      </c>
      <c r="C229" s="2" t="s">
        <v>1298</v>
      </c>
      <c r="D229" s="2" t="s">
        <v>410</v>
      </c>
      <c r="E229" s="2" t="s">
        <v>1279</v>
      </c>
      <c r="F229" s="2"/>
      <c r="G229" s="2"/>
      <c r="H229" s="2"/>
      <c r="I229" s="2" t="s">
        <v>58</v>
      </c>
      <c r="J229" s="2" t="n">
        <v>-6.92</v>
      </c>
      <c r="K229" s="2" t="n">
        <v>107.6</v>
      </c>
      <c r="L229" s="2" t="s">
        <v>239</v>
      </c>
      <c r="M229" s="2" t="s">
        <v>60</v>
      </c>
      <c r="N229" s="2" t="s">
        <v>1290</v>
      </c>
      <c r="O229" s="2" t="s">
        <v>1299</v>
      </c>
      <c r="P229" s="2"/>
      <c r="Q229" s="2" t="s">
        <v>62</v>
      </c>
      <c r="R229" s="2" t="n">
        <v>0.8</v>
      </c>
      <c r="S229" s="2" t="s">
        <v>1283</v>
      </c>
      <c r="T229" s="2" t="s">
        <v>1284</v>
      </c>
      <c r="U229" s="2" t="s">
        <v>1285</v>
      </c>
      <c r="V229" s="2" t="s">
        <v>1284</v>
      </c>
      <c r="W229" s="2" t="s">
        <v>1113</v>
      </c>
      <c r="X229" s="2" t="s">
        <v>68</v>
      </c>
    </row>
    <row r="230" customFormat="false" ht="15" hidden="false" customHeight="false" outlineLevel="0" collapsed="false">
      <c r="A230" s="2" t="n">
        <v>142</v>
      </c>
      <c r="B230" s="2" t="s">
        <v>1046</v>
      </c>
      <c r="C230" s="2" t="s">
        <v>1300</v>
      </c>
      <c r="D230" s="2" t="s">
        <v>1140</v>
      </c>
      <c r="E230" s="2" t="s">
        <v>1301</v>
      </c>
      <c r="F230" s="2"/>
      <c r="G230" s="2" t="s">
        <v>1302</v>
      </c>
      <c r="H230" s="2" t="s">
        <v>807</v>
      </c>
      <c r="I230" s="2" t="s">
        <v>184</v>
      </c>
      <c r="J230" s="2" t="n">
        <v>-7.82</v>
      </c>
      <c r="K230" s="2" t="n">
        <v>112.535</v>
      </c>
      <c r="L230" s="2" t="s">
        <v>84</v>
      </c>
      <c r="M230" s="2" t="s">
        <v>60</v>
      </c>
      <c r="N230" s="2"/>
      <c r="O230" s="2" t="s">
        <v>1303</v>
      </c>
      <c r="P230" s="2"/>
      <c r="Q230" s="2" t="s">
        <v>110</v>
      </c>
      <c r="R230" s="2" t="n">
        <v>0.9</v>
      </c>
      <c r="S230" s="2" t="s">
        <v>1304</v>
      </c>
      <c r="T230" s="2" t="s">
        <v>743</v>
      </c>
      <c r="U230" s="2" t="s">
        <v>1305</v>
      </c>
      <c r="V230" s="2" t="s">
        <v>745</v>
      </c>
      <c r="W230" s="2" t="s">
        <v>1306</v>
      </c>
      <c r="X230" s="2" t="s">
        <v>68</v>
      </c>
    </row>
    <row r="231" customFormat="false" ht="15" hidden="false" customHeight="false" outlineLevel="0" collapsed="false">
      <c r="A231" s="2" t="n">
        <v>143</v>
      </c>
      <c r="B231" s="2" t="s">
        <v>1046</v>
      </c>
      <c r="C231" s="2" t="s">
        <v>1307</v>
      </c>
      <c r="D231" s="2" t="s">
        <v>1130</v>
      </c>
      <c r="E231" s="2" t="s">
        <v>1308</v>
      </c>
      <c r="F231" s="2"/>
      <c r="G231" s="2"/>
      <c r="H231" s="2"/>
      <c r="I231" s="2"/>
      <c r="J231" s="2" t="n">
        <v>22.543</v>
      </c>
      <c r="K231" s="2" t="n">
        <v>114.058</v>
      </c>
      <c r="L231" s="2" t="s">
        <v>101</v>
      </c>
      <c r="M231" s="2" t="s">
        <v>340</v>
      </c>
      <c r="N231" s="2" t="s">
        <v>1309</v>
      </c>
      <c r="O231" s="2" t="s">
        <v>1310</v>
      </c>
      <c r="P231" s="2" t="s">
        <v>773</v>
      </c>
      <c r="Q231" s="2" t="s">
        <v>110</v>
      </c>
      <c r="R231" s="2" t="n">
        <v>0.8</v>
      </c>
      <c r="S231" s="2" t="s">
        <v>1311</v>
      </c>
      <c r="T231" s="2" t="s">
        <v>1312</v>
      </c>
      <c r="U231" s="2" t="s">
        <v>1313</v>
      </c>
      <c r="V231" s="2" t="s">
        <v>1314</v>
      </c>
      <c r="W231" s="2" t="s">
        <v>115</v>
      </c>
      <c r="X231" s="2" t="s">
        <v>68</v>
      </c>
    </row>
    <row r="232" customFormat="false" ht="15" hidden="false" customHeight="false" outlineLevel="0" collapsed="false">
      <c r="A232" s="2" t="n">
        <v>144</v>
      </c>
      <c r="B232" s="2" t="s">
        <v>1046</v>
      </c>
      <c r="C232" s="2" t="s">
        <v>1315</v>
      </c>
      <c r="D232" s="2" t="s">
        <v>1130</v>
      </c>
      <c r="E232" s="2" t="s">
        <v>1316</v>
      </c>
      <c r="F232" s="2" t="s">
        <v>1317</v>
      </c>
      <c r="G232" s="2" t="s">
        <v>1318</v>
      </c>
      <c r="H232" s="2" t="s">
        <v>91</v>
      </c>
      <c r="I232" s="2" t="s">
        <v>92</v>
      </c>
      <c r="J232" s="2" t="n">
        <v>-7.782</v>
      </c>
      <c r="K232" s="2" t="n">
        <v>110.387</v>
      </c>
      <c r="L232" s="2" t="s">
        <v>59</v>
      </c>
      <c r="M232" s="2" t="s">
        <v>60</v>
      </c>
      <c r="N232" s="2"/>
      <c r="O232" s="2" t="s">
        <v>1319</v>
      </c>
      <c r="P232" s="2"/>
      <c r="Q232" s="2" t="s">
        <v>110</v>
      </c>
      <c r="R232" s="2" t="n">
        <v>0.85</v>
      </c>
      <c r="S232" s="2" t="s">
        <v>1320</v>
      </c>
      <c r="T232" s="2" t="s">
        <v>1321</v>
      </c>
      <c r="U232" s="2" t="s">
        <v>1322</v>
      </c>
      <c r="V232" s="2" t="s">
        <v>1323</v>
      </c>
      <c r="W232" s="2" t="s">
        <v>1324</v>
      </c>
      <c r="X232" s="2" t="s">
        <v>68</v>
      </c>
    </row>
    <row r="233" customFormat="false" ht="15" hidden="false" customHeight="false" outlineLevel="0" collapsed="false">
      <c r="A233" s="2" t="n">
        <v>146</v>
      </c>
      <c r="B233" s="2" t="s">
        <v>1046</v>
      </c>
      <c r="C233" s="2" t="s">
        <v>1325</v>
      </c>
      <c r="D233" s="2" t="s">
        <v>121</v>
      </c>
      <c r="E233" s="2" t="s">
        <v>1326</v>
      </c>
      <c r="F233" s="2"/>
      <c r="G233" s="2"/>
      <c r="H233" s="2"/>
      <c r="I233" s="2" t="s">
        <v>58</v>
      </c>
      <c r="J233" s="2" t="n">
        <v>-6.92</v>
      </c>
      <c r="K233" s="2" t="n">
        <v>107.6</v>
      </c>
      <c r="L233" s="2" t="s">
        <v>239</v>
      </c>
      <c r="M233" s="2" t="s">
        <v>60</v>
      </c>
      <c r="N233" s="2" t="s">
        <v>1327</v>
      </c>
      <c r="O233" s="2" t="s">
        <v>1328</v>
      </c>
      <c r="P233" s="2"/>
      <c r="Q233" s="2" t="s">
        <v>110</v>
      </c>
      <c r="R233" s="2" t="n">
        <v>0.8</v>
      </c>
      <c r="S233" s="2" t="s">
        <v>1329</v>
      </c>
      <c r="T233" s="2" t="s">
        <v>1330</v>
      </c>
      <c r="U233" s="2" t="s">
        <v>1331</v>
      </c>
      <c r="V233" s="2" t="s">
        <v>1330</v>
      </c>
      <c r="W233" s="2" t="s">
        <v>1332</v>
      </c>
      <c r="X233" s="2" t="s">
        <v>68</v>
      </c>
    </row>
    <row r="234" customFormat="false" ht="15" hidden="false" customHeight="false" outlineLevel="0" collapsed="false">
      <c r="A234" s="2" t="n">
        <v>150</v>
      </c>
      <c r="B234" s="2" t="s">
        <v>1333</v>
      </c>
      <c r="C234" s="2" t="s">
        <v>1334</v>
      </c>
      <c r="D234" s="2" t="s">
        <v>121</v>
      </c>
      <c r="E234" s="2" t="s">
        <v>1335</v>
      </c>
      <c r="F234" s="2"/>
      <c r="G234" s="2"/>
      <c r="H234" s="2" t="s">
        <v>1336</v>
      </c>
      <c r="I234" s="2" t="s">
        <v>1337</v>
      </c>
      <c r="J234" s="2" t="n">
        <v>-0.95</v>
      </c>
      <c r="K234" s="2" t="n">
        <v>100.354</v>
      </c>
      <c r="L234" s="2" t="s">
        <v>101</v>
      </c>
      <c r="M234" s="2" t="s">
        <v>60</v>
      </c>
      <c r="N234" s="2"/>
      <c r="O234" s="2" t="s">
        <v>1338</v>
      </c>
      <c r="P234" s="2" t="s">
        <v>1339</v>
      </c>
      <c r="Q234" s="2" t="s">
        <v>110</v>
      </c>
      <c r="R234" s="2" t="n">
        <v>0.85</v>
      </c>
      <c r="S234" s="2" t="s">
        <v>1340</v>
      </c>
      <c r="T234" s="2" t="s">
        <v>484</v>
      </c>
      <c r="U234" s="2" t="s">
        <v>1341</v>
      </c>
      <c r="V234" s="2" t="s">
        <v>486</v>
      </c>
      <c r="W234" s="2" t="s">
        <v>1342</v>
      </c>
      <c r="X234" s="2" t="s">
        <v>68</v>
      </c>
    </row>
    <row r="235" customFormat="false" ht="15" hidden="false" customHeight="false" outlineLevel="0" collapsed="false">
      <c r="A235" s="2" t="n">
        <v>151</v>
      </c>
      <c r="B235" s="2" t="s">
        <v>1333</v>
      </c>
      <c r="C235" s="2" t="s">
        <v>1343</v>
      </c>
      <c r="D235" s="2" t="s">
        <v>121</v>
      </c>
      <c r="E235" s="2" t="s">
        <v>1344</v>
      </c>
      <c r="F235" s="2"/>
      <c r="G235" s="2" t="s">
        <v>1345</v>
      </c>
      <c r="H235" s="2" t="s">
        <v>1346</v>
      </c>
      <c r="I235" s="2" t="s">
        <v>238</v>
      </c>
      <c r="J235" s="2" t="n">
        <v>-6.3009</v>
      </c>
      <c r="K235" s="2" t="n">
        <v>106.6365</v>
      </c>
      <c r="L235" s="2" t="s">
        <v>124</v>
      </c>
      <c r="M235" s="2" t="s">
        <v>60</v>
      </c>
      <c r="N235" s="2" t="s">
        <v>1347</v>
      </c>
      <c r="O235" s="2" t="s">
        <v>1348</v>
      </c>
      <c r="P235" s="2" t="s">
        <v>1349</v>
      </c>
      <c r="Q235" s="2" t="s">
        <v>62</v>
      </c>
      <c r="R235" s="2" t="n">
        <v>0.6</v>
      </c>
      <c r="S235" s="2" t="s">
        <v>1350</v>
      </c>
      <c r="T235" s="2" t="s">
        <v>1351</v>
      </c>
      <c r="U235" s="2" t="s">
        <v>1352</v>
      </c>
      <c r="V235" s="2" t="s">
        <v>1353</v>
      </c>
      <c r="W235" s="2" t="s">
        <v>1354</v>
      </c>
      <c r="X235" s="2" t="s">
        <v>68</v>
      </c>
    </row>
    <row r="236" customFormat="false" ht="15" hidden="false" customHeight="false" outlineLevel="0" collapsed="false">
      <c r="A236" s="2" t="n">
        <v>152</v>
      </c>
      <c r="B236" s="2" t="s">
        <v>1333</v>
      </c>
      <c r="C236" s="2" t="s">
        <v>1343</v>
      </c>
      <c r="D236" s="2" t="s">
        <v>121</v>
      </c>
      <c r="E236" s="2" t="s">
        <v>237</v>
      </c>
      <c r="F236" s="2"/>
      <c r="G236" s="2" t="s">
        <v>1345</v>
      </c>
      <c r="H236" s="2" t="s">
        <v>1346</v>
      </c>
      <c r="I236" s="2" t="s">
        <v>238</v>
      </c>
      <c r="J236" s="2" t="n">
        <v>-6.3009</v>
      </c>
      <c r="K236" s="2" t="n">
        <v>106.6365</v>
      </c>
      <c r="L236" s="2" t="s">
        <v>124</v>
      </c>
      <c r="M236" s="2" t="s">
        <v>60</v>
      </c>
      <c r="N236" s="2" t="s">
        <v>1347</v>
      </c>
      <c r="O236" s="2" t="s">
        <v>1355</v>
      </c>
      <c r="P236" s="2" t="s">
        <v>109</v>
      </c>
      <c r="Q236" s="2" t="s">
        <v>110</v>
      </c>
      <c r="R236" s="2" t="n">
        <v>0.6</v>
      </c>
      <c r="S236" s="2" t="s">
        <v>1356</v>
      </c>
      <c r="T236" s="2" t="s">
        <v>1351</v>
      </c>
      <c r="U236" s="2" t="s">
        <v>1357</v>
      </c>
      <c r="V236" s="2" t="s">
        <v>1353</v>
      </c>
      <c r="W236" s="2" t="s">
        <v>1358</v>
      </c>
      <c r="X236" s="2" t="s">
        <v>68</v>
      </c>
    </row>
    <row r="237" customFormat="false" ht="15" hidden="false" customHeight="false" outlineLevel="0" collapsed="false">
      <c r="A237" s="2" t="n">
        <v>166</v>
      </c>
      <c r="B237" s="2" t="s">
        <v>1333</v>
      </c>
      <c r="C237" s="2" t="s">
        <v>1359</v>
      </c>
      <c r="D237" s="2" t="s">
        <v>121</v>
      </c>
      <c r="E237" s="2" t="s">
        <v>1360</v>
      </c>
      <c r="F237" s="2"/>
      <c r="G237" s="2" t="s">
        <v>334</v>
      </c>
      <c r="H237" s="2" t="s">
        <v>325</v>
      </c>
      <c r="I237" s="2" t="s">
        <v>326</v>
      </c>
      <c r="J237" s="2" t="n">
        <v>-2.979</v>
      </c>
      <c r="K237" s="2" t="n">
        <v>104.755</v>
      </c>
      <c r="L237" s="2" t="s">
        <v>124</v>
      </c>
      <c r="M237" s="2" t="s">
        <v>60</v>
      </c>
      <c r="N237" s="2"/>
      <c r="O237" s="2" t="s">
        <v>1361</v>
      </c>
      <c r="P237" s="2" t="s">
        <v>1362</v>
      </c>
      <c r="Q237" s="2" t="s">
        <v>110</v>
      </c>
      <c r="R237" s="2" t="n">
        <v>0.85</v>
      </c>
      <c r="S237" s="2" t="s">
        <v>1363</v>
      </c>
      <c r="T237" s="2" t="s">
        <v>95</v>
      </c>
      <c r="U237" s="2" t="s">
        <v>1364</v>
      </c>
      <c r="V237" s="2" t="s">
        <v>97</v>
      </c>
      <c r="W237" s="2" t="s">
        <v>1365</v>
      </c>
      <c r="X237" s="2" t="s">
        <v>68</v>
      </c>
    </row>
    <row r="238" customFormat="false" ht="15" hidden="false" customHeight="false" outlineLevel="0" collapsed="false">
      <c r="A238" s="2" t="n">
        <v>166</v>
      </c>
      <c r="B238" s="2" t="s">
        <v>1333</v>
      </c>
      <c r="C238" s="2" t="s">
        <v>393</v>
      </c>
      <c r="D238" s="2" t="s">
        <v>351</v>
      </c>
      <c r="E238" s="2" t="s">
        <v>1366</v>
      </c>
      <c r="F238" s="2"/>
      <c r="G238" s="2" t="s">
        <v>334</v>
      </c>
      <c r="H238" s="2" t="s">
        <v>325</v>
      </c>
      <c r="I238" s="2" t="s">
        <v>326</v>
      </c>
      <c r="J238" s="2" t="n">
        <v>-2.979</v>
      </c>
      <c r="K238" s="2" t="n">
        <v>104.755</v>
      </c>
      <c r="L238" s="2" t="s">
        <v>124</v>
      </c>
      <c r="M238" s="2" t="s">
        <v>60</v>
      </c>
      <c r="N238" s="2"/>
      <c r="O238" s="2" t="s">
        <v>1367</v>
      </c>
      <c r="P238" s="2"/>
      <c r="Q238" s="2" t="s">
        <v>110</v>
      </c>
      <c r="R238" s="2" t="n">
        <v>0.6</v>
      </c>
      <c r="S238" s="2" t="s">
        <v>1363</v>
      </c>
      <c r="T238" s="2" t="s">
        <v>95</v>
      </c>
      <c r="U238" s="2" t="s">
        <v>1364</v>
      </c>
      <c r="V238" s="2" t="s">
        <v>97</v>
      </c>
      <c r="W238" s="2" t="s">
        <v>1365</v>
      </c>
      <c r="X238" s="2" t="s">
        <v>68</v>
      </c>
    </row>
    <row r="239" customFormat="false" ht="15" hidden="false" customHeight="false" outlineLevel="0" collapsed="false">
      <c r="A239" s="2" t="n">
        <v>166</v>
      </c>
      <c r="B239" s="2" t="s">
        <v>1333</v>
      </c>
      <c r="C239" s="2" t="s">
        <v>1368</v>
      </c>
      <c r="D239" s="2" t="s">
        <v>134</v>
      </c>
      <c r="E239" s="2" t="s">
        <v>1366</v>
      </c>
      <c r="F239" s="2"/>
      <c r="G239" s="2" t="s">
        <v>334</v>
      </c>
      <c r="H239" s="2" t="s">
        <v>325</v>
      </c>
      <c r="I239" s="2" t="s">
        <v>326</v>
      </c>
      <c r="J239" s="2" t="n">
        <v>-2.979</v>
      </c>
      <c r="K239" s="2" t="n">
        <v>104.755</v>
      </c>
      <c r="L239" s="2" t="s">
        <v>124</v>
      </c>
      <c r="M239" s="2" t="s">
        <v>60</v>
      </c>
      <c r="N239" s="2"/>
      <c r="O239" s="2" t="s">
        <v>1367</v>
      </c>
      <c r="P239" s="2"/>
      <c r="Q239" s="2" t="s">
        <v>110</v>
      </c>
      <c r="R239" s="2" t="n">
        <v>0.65</v>
      </c>
      <c r="S239" s="2" t="s">
        <v>1363</v>
      </c>
      <c r="T239" s="2" t="s">
        <v>95</v>
      </c>
      <c r="U239" s="2" t="s">
        <v>1364</v>
      </c>
      <c r="V239" s="2" t="s">
        <v>97</v>
      </c>
      <c r="W239" s="2" t="s">
        <v>1365</v>
      </c>
      <c r="X239" s="2" t="s">
        <v>68</v>
      </c>
    </row>
    <row r="240" customFormat="false" ht="15" hidden="false" customHeight="false" outlineLevel="0" collapsed="false">
      <c r="A240" s="2" t="n">
        <v>166</v>
      </c>
      <c r="B240" s="2" t="s">
        <v>1333</v>
      </c>
      <c r="C240" s="2" t="s">
        <v>1369</v>
      </c>
      <c r="D240" s="2" t="s">
        <v>351</v>
      </c>
      <c r="E240" s="2" t="s">
        <v>1366</v>
      </c>
      <c r="F240" s="2"/>
      <c r="G240" s="2" t="s">
        <v>334</v>
      </c>
      <c r="H240" s="2" t="s">
        <v>325</v>
      </c>
      <c r="I240" s="2" t="s">
        <v>326</v>
      </c>
      <c r="J240" s="2" t="n">
        <v>-2.979</v>
      </c>
      <c r="K240" s="2" t="n">
        <v>104.755</v>
      </c>
      <c r="L240" s="2" t="s">
        <v>124</v>
      </c>
      <c r="M240" s="2" t="s">
        <v>60</v>
      </c>
      <c r="N240" s="2"/>
      <c r="O240" s="2" t="s">
        <v>1370</v>
      </c>
      <c r="P240" s="2"/>
      <c r="Q240" s="2" t="s">
        <v>110</v>
      </c>
      <c r="R240" s="2" t="n">
        <v>0.65</v>
      </c>
      <c r="S240" s="2" t="s">
        <v>1363</v>
      </c>
      <c r="T240" s="2" t="s">
        <v>95</v>
      </c>
      <c r="U240" s="2" t="s">
        <v>1364</v>
      </c>
      <c r="V240" s="2" t="s">
        <v>97</v>
      </c>
      <c r="W240" s="2" t="s">
        <v>1365</v>
      </c>
      <c r="X240" s="2" t="s">
        <v>68</v>
      </c>
    </row>
    <row r="241" customFormat="false" ht="15" hidden="false" customHeight="false" outlineLevel="0" collapsed="false">
      <c r="A241" s="2" t="n">
        <v>166</v>
      </c>
      <c r="B241" s="2" t="s">
        <v>1333</v>
      </c>
      <c r="C241" s="2" t="s">
        <v>1371</v>
      </c>
      <c r="D241" s="2" t="s">
        <v>134</v>
      </c>
      <c r="E241" s="2" t="s">
        <v>1366</v>
      </c>
      <c r="F241" s="2"/>
      <c r="G241" s="2" t="s">
        <v>334</v>
      </c>
      <c r="H241" s="2" t="s">
        <v>325</v>
      </c>
      <c r="I241" s="2" t="s">
        <v>326</v>
      </c>
      <c r="J241" s="2" t="n">
        <v>-2.979</v>
      </c>
      <c r="K241" s="2" t="n">
        <v>104.755</v>
      </c>
      <c r="L241" s="2" t="s">
        <v>124</v>
      </c>
      <c r="M241" s="2" t="s">
        <v>60</v>
      </c>
      <c r="N241" s="2"/>
      <c r="O241" s="2" t="s">
        <v>1367</v>
      </c>
      <c r="P241" s="2"/>
      <c r="Q241" s="2" t="s">
        <v>110</v>
      </c>
      <c r="R241" s="2" t="n">
        <v>0.65</v>
      </c>
      <c r="S241" s="2" t="s">
        <v>1363</v>
      </c>
      <c r="T241" s="2" t="s">
        <v>95</v>
      </c>
      <c r="U241" s="2" t="s">
        <v>1364</v>
      </c>
      <c r="V241" s="2" t="s">
        <v>97</v>
      </c>
      <c r="W241" s="2" t="s">
        <v>1365</v>
      </c>
      <c r="X241" s="2" t="s">
        <v>68</v>
      </c>
    </row>
    <row r="242" customFormat="false" ht="15" hidden="false" customHeight="false" outlineLevel="0" collapsed="false">
      <c r="A242" s="2" t="n">
        <v>171</v>
      </c>
      <c r="B242" s="2" t="s">
        <v>1333</v>
      </c>
      <c r="C242" s="2" t="s">
        <v>1372</v>
      </c>
      <c r="D242" s="2" t="s">
        <v>121</v>
      </c>
      <c r="E242" s="2" t="s">
        <v>1373</v>
      </c>
      <c r="F242" s="2"/>
      <c r="G242" s="2"/>
      <c r="H242" s="2" t="s">
        <v>1374</v>
      </c>
      <c r="I242" s="2" t="s">
        <v>1337</v>
      </c>
      <c r="J242" s="2" t="n">
        <v>-0.305</v>
      </c>
      <c r="K242" s="2" t="n">
        <v>100.369</v>
      </c>
      <c r="L242" s="2" t="s">
        <v>101</v>
      </c>
      <c r="M242" s="2" t="s">
        <v>60</v>
      </c>
      <c r="N242" s="2"/>
      <c r="O242" s="2" t="s">
        <v>1375</v>
      </c>
      <c r="P242" s="2" t="s">
        <v>1376</v>
      </c>
      <c r="Q242" s="2" t="s">
        <v>110</v>
      </c>
      <c r="R242" s="2" t="n">
        <v>0.45</v>
      </c>
      <c r="S242" s="2" t="s">
        <v>1377</v>
      </c>
      <c r="T242" s="2" t="s">
        <v>1378</v>
      </c>
      <c r="U242" s="2" t="s">
        <v>1379</v>
      </c>
      <c r="V242" s="2" t="s">
        <v>1378</v>
      </c>
      <c r="W242" s="2" t="s">
        <v>132</v>
      </c>
      <c r="X242" s="2" t="s">
        <v>68</v>
      </c>
    </row>
    <row r="243" customFormat="false" ht="15" hidden="false" customHeight="false" outlineLevel="0" collapsed="false">
      <c r="A243" s="2" t="n">
        <v>173</v>
      </c>
      <c r="B243" s="2" t="s">
        <v>1333</v>
      </c>
      <c r="C243" s="2" t="s">
        <v>1380</v>
      </c>
      <c r="D243" s="2" t="s">
        <v>121</v>
      </c>
      <c r="E243" s="2" t="s">
        <v>1381</v>
      </c>
      <c r="F243" s="2"/>
      <c r="G243" s="2"/>
      <c r="H243" s="2" t="s">
        <v>1382</v>
      </c>
      <c r="I243" s="2" t="s">
        <v>1383</v>
      </c>
      <c r="J243" s="2" t="n">
        <v>-1.61</v>
      </c>
      <c r="K243" s="2" t="n">
        <v>103.613</v>
      </c>
      <c r="L243" s="2" t="s">
        <v>101</v>
      </c>
      <c r="M243" s="2" t="s">
        <v>60</v>
      </c>
      <c r="N243" s="2" t="s">
        <v>1384</v>
      </c>
      <c r="O243" s="2" t="s">
        <v>1385</v>
      </c>
      <c r="P243" s="2" t="s">
        <v>1386</v>
      </c>
      <c r="Q243" s="2" t="s">
        <v>62</v>
      </c>
      <c r="R243" s="2" t="n">
        <v>0.7</v>
      </c>
      <c r="S243" s="2" t="s">
        <v>1387</v>
      </c>
      <c r="T243" s="2" t="s">
        <v>1388</v>
      </c>
      <c r="U243" s="2" t="s">
        <v>1389</v>
      </c>
      <c r="V243" s="2" t="s">
        <v>1390</v>
      </c>
      <c r="W243" s="2" t="s">
        <v>421</v>
      </c>
      <c r="X243" s="2" t="s">
        <v>68</v>
      </c>
    </row>
    <row r="244" customFormat="false" ht="15" hidden="false" customHeight="false" outlineLevel="0" collapsed="false">
      <c r="A244" s="2" t="n">
        <v>176</v>
      </c>
      <c r="B244" s="2" t="s">
        <v>1333</v>
      </c>
      <c r="C244" s="2" t="s">
        <v>1334</v>
      </c>
      <c r="D244" s="2" t="s">
        <v>121</v>
      </c>
      <c r="E244" s="2" t="s">
        <v>1391</v>
      </c>
      <c r="F244" s="2"/>
      <c r="G244" s="2"/>
      <c r="H244" s="2" t="s">
        <v>325</v>
      </c>
      <c r="I244" s="2" t="s">
        <v>326</v>
      </c>
      <c r="J244" s="2" t="n">
        <v>-2.976</v>
      </c>
      <c r="K244" s="2" t="n">
        <v>104.755</v>
      </c>
      <c r="L244" s="2" t="s">
        <v>101</v>
      </c>
      <c r="M244" s="2" t="s">
        <v>60</v>
      </c>
      <c r="N244" s="2" t="s">
        <v>1392</v>
      </c>
      <c r="O244" s="2" t="s">
        <v>1393</v>
      </c>
      <c r="P244" s="2" t="s">
        <v>1394</v>
      </c>
      <c r="Q244" s="2" t="s">
        <v>110</v>
      </c>
      <c r="R244" s="2" t="n">
        <v>0.85</v>
      </c>
      <c r="S244" s="2" t="s">
        <v>1395</v>
      </c>
      <c r="T244" s="2" t="s">
        <v>95</v>
      </c>
      <c r="U244" s="2" t="s">
        <v>1396</v>
      </c>
      <c r="V244" s="2" t="s">
        <v>97</v>
      </c>
      <c r="W244" s="2" t="s">
        <v>1397</v>
      </c>
      <c r="X244" s="2" t="s">
        <v>68</v>
      </c>
    </row>
    <row r="245" customFormat="false" ht="15" hidden="false" customHeight="false" outlineLevel="0" collapsed="false">
      <c r="A245" s="2" t="n">
        <v>178</v>
      </c>
      <c r="B245" s="2" t="s">
        <v>1333</v>
      </c>
      <c r="C245" s="2" t="s">
        <v>1398</v>
      </c>
      <c r="D245" s="2" t="s">
        <v>121</v>
      </c>
      <c r="E245" s="2" t="s">
        <v>1399</v>
      </c>
      <c r="F245" s="2"/>
      <c r="G245" s="2"/>
      <c r="H245" s="2" t="s">
        <v>1400</v>
      </c>
      <c r="I245" s="2" t="s">
        <v>184</v>
      </c>
      <c r="J245" s="2" t="n">
        <v>-7.817</v>
      </c>
      <c r="K245" s="2" t="n">
        <v>112.012</v>
      </c>
      <c r="L245" s="2" t="s">
        <v>101</v>
      </c>
      <c r="M245" s="2" t="s">
        <v>340</v>
      </c>
      <c r="N245" s="2"/>
      <c r="O245" s="2" t="s">
        <v>1401</v>
      </c>
      <c r="P245" s="2" t="s">
        <v>1402</v>
      </c>
      <c r="Q245" s="2" t="s">
        <v>110</v>
      </c>
      <c r="R245" s="2" t="n">
        <v>0.8</v>
      </c>
      <c r="S245" s="2" t="s">
        <v>1403</v>
      </c>
      <c r="T245" s="2" t="s">
        <v>484</v>
      </c>
      <c r="U245" s="2" t="s">
        <v>1404</v>
      </c>
      <c r="V245" s="2" t="s">
        <v>486</v>
      </c>
      <c r="W245" s="2" t="s">
        <v>908</v>
      </c>
      <c r="X245" s="2" t="s">
        <v>68</v>
      </c>
    </row>
    <row r="246" customFormat="false" ht="15" hidden="false" customHeight="false" outlineLevel="0" collapsed="false">
      <c r="A246" s="2" t="n">
        <v>180</v>
      </c>
      <c r="B246" s="2" t="s">
        <v>1405</v>
      </c>
      <c r="C246" s="2" t="s">
        <v>1406</v>
      </c>
      <c r="D246" s="2" t="s">
        <v>351</v>
      </c>
      <c r="E246" s="2" t="s">
        <v>1407</v>
      </c>
      <c r="F246" s="2" t="s">
        <v>1408</v>
      </c>
      <c r="G246" s="2" t="s">
        <v>1409</v>
      </c>
      <c r="H246" s="2" t="s">
        <v>1233</v>
      </c>
      <c r="I246" s="2" t="s">
        <v>172</v>
      </c>
      <c r="J246" s="2" t="n">
        <v>-7.5665</v>
      </c>
      <c r="K246" s="2" t="n">
        <v>110.8235</v>
      </c>
      <c r="L246" s="2" t="s">
        <v>124</v>
      </c>
      <c r="M246" s="2" t="s">
        <v>60</v>
      </c>
      <c r="N246" s="2"/>
      <c r="O246" s="2" t="s">
        <v>1410</v>
      </c>
      <c r="P246" s="2" t="s">
        <v>1411</v>
      </c>
      <c r="Q246" s="2" t="s">
        <v>110</v>
      </c>
      <c r="R246" s="2" t="n">
        <v>0.7</v>
      </c>
      <c r="S246" s="2" t="s">
        <v>1412</v>
      </c>
      <c r="T246" s="2" t="s">
        <v>803</v>
      </c>
      <c r="U246" s="2" t="s">
        <v>1413</v>
      </c>
      <c r="V246" s="2" t="s">
        <v>420</v>
      </c>
      <c r="W246" s="2" t="s">
        <v>159</v>
      </c>
      <c r="X246" s="2" t="s">
        <v>68</v>
      </c>
    </row>
    <row r="247" customFormat="false" ht="15" hidden="false" customHeight="false" outlineLevel="0" collapsed="false">
      <c r="A247" s="2" t="n">
        <v>182</v>
      </c>
      <c r="B247" s="2" t="s">
        <v>1405</v>
      </c>
      <c r="C247" s="2" t="s">
        <v>1414</v>
      </c>
      <c r="D247" s="2" t="s">
        <v>351</v>
      </c>
      <c r="E247" s="2" t="s">
        <v>1415</v>
      </c>
      <c r="F247" s="2" t="s">
        <v>1416</v>
      </c>
      <c r="G247" s="2" t="s">
        <v>1417</v>
      </c>
      <c r="H247" s="2" t="s">
        <v>716</v>
      </c>
      <c r="I247" s="2" t="s">
        <v>74</v>
      </c>
      <c r="J247" s="2" t="n">
        <v>-6.137</v>
      </c>
      <c r="K247" s="2" t="n">
        <v>106.812</v>
      </c>
      <c r="L247" s="2" t="s">
        <v>59</v>
      </c>
      <c r="M247" s="2" t="s">
        <v>60</v>
      </c>
      <c r="N247" s="2" t="s">
        <v>1418</v>
      </c>
      <c r="O247" s="2" t="s">
        <v>1419</v>
      </c>
      <c r="P247" s="2"/>
      <c r="Q247" s="2" t="s">
        <v>62</v>
      </c>
      <c r="R247" s="2" t="n">
        <v>0.5</v>
      </c>
      <c r="S247" s="2" t="s">
        <v>1420</v>
      </c>
      <c r="T247" s="2" t="s">
        <v>1421</v>
      </c>
      <c r="U247" s="2" t="s">
        <v>1422</v>
      </c>
      <c r="V247" s="2" t="s">
        <v>1423</v>
      </c>
      <c r="W247" s="2" t="s">
        <v>1424</v>
      </c>
      <c r="X247" s="2" t="s">
        <v>68</v>
      </c>
    </row>
    <row r="248" customFormat="false" ht="15" hidden="false" customHeight="false" outlineLevel="0" collapsed="false">
      <c r="A248" s="2" t="n">
        <v>185</v>
      </c>
      <c r="B248" s="2" t="s">
        <v>1405</v>
      </c>
      <c r="C248" s="2" t="s">
        <v>1406</v>
      </c>
      <c r="D248" s="2" t="s">
        <v>351</v>
      </c>
      <c r="E248" s="2" t="s">
        <v>1425</v>
      </c>
      <c r="F248" s="2" t="s">
        <v>1408</v>
      </c>
      <c r="G248" s="2" t="s">
        <v>1409</v>
      </c>
      <c r="H248" s="2" t="s">
        <v>1233</v>
      </c>
      <c r="I248" s="2" t="s">
        <v>172</v>
      </c>
      <c r="J248" s="2" t="n">
        <v>-7.5665</v>
      </c>
      <c r="K248" s="2" t="n">
        <v>110.8235</v>
      </c>
      <c r="L248" s="2" t="s">
        <v>124</v>
      </c>
      <c r="M248" s="2" t="s">
        <v>60</v>
      </c>
      <c r="N248" s="2"/>
      <c r="O248" s="2" t="s">
        <v>1426</v>
      </c>
      <c r="P248" s="2" t="s">
        <v>702</v>
      </c>
      <c r="Q248" s="2" t="s">
        <v>110</v>
      </c>
      <c r="R248" s="2" t="n">
        <v>0.7</v>
      </c>
      <c r="S248" s="2" t="s">
        <v>1427</v>
      </c>
      <c r="T248" s="2" t="s">
        <v>803</v>
      </c>
      <c r="U248" s="2" t="s">
        <v>1428</v>
      </c>
      <c r="V248" s="2" t="s">
        <v>420</v>
      </c>
      <c r="W248" s="2" t="s">
        <v>1429</v>
      </c>
      <c r="X248" s="2" t="s">
        <v>68</v>
      </c>
    </row>
    <row r="249" customFormat="false" ht="15" hidden="false" customHeight="false" outlineLevel="0" collapsed="false">
      <c r="A249" s="2" t="n">
        <v>185</v>
      </c>
      <c r="B249" s="2" t="s">
        <v>1405</v>
      </c>
      <c r="C249" s="2" t="s">
        <v>1430</v>
      </c>
      <c r="D249" s="2" t="s">
        <v>1130</v>
      </c>
      <c r="E249" s="2" t="s">
        <v>1431</v>
      </c>
      <c r="F249" s="2"/>
      <c r="G249" s="2"/>
      <c r="H249" s="2" t="s">
        <v>1233</v>
      </c>
      <c r="I249" s="2" t="s">
        <v>172</v>
      </c>
      <c r="J249" s="2" t="n">
        <v>-7.567</v>
      </c>
      <c r="K249" s="2" t="n">
        <v>110.817</v>
      </c>
      <c r="L249" s="2" t="s">
        <v>101</v>
      </c>
      <c r="M249" s="2" t="s">
        <v>60</v>
      </c>
      <c r="N249" s="2"/>
      <c r="O249" s="2" t="s">
        <v>1432</v>
      </c>
      <c r="P249" s="2"/>
      <c r="Q249" s="2" t="s">
        <v>62</v>
      </c>
      <c r="R249" s="2" t="n">
        <v>0.5</v>
      </c>
      <c r="S249" s="2" t="s">
        <v>1427</v>
      </c>
      <c r="T249" s="2" t="s">
        <v>803</v>
      </c>
      <c r="U249" s="2" t="s">
        <v>1428</v>
      </c>
      <c r="V249" s="2" t="s">
        <v>420</v>
      </c>
      <c r="W249" s="2" t="s">
        <v>1429</v>
      </c>
      <c r="X249" s="2" t="s">
        <v>68</v>
      </c>
    </row>
    <row r="250" customFormat="false" ht="15" hidden="false" customHeight="false" outlineLevel="0" collapsed="false">
      <c r="A250" s="2" t="n">
        <v>187</v>
      </c>
      <c r="B250" s="2" t="s">
        <v>1405</v>
      </c>
      <c r="C250" s="2" t="s">
        <v>1406</v>
      </c>
      <c r="D250" s="2" t="s">
        <v>351</v>
      </c>
      <c r="E250" s="2" t="s">
        <v>1425</v>
      </c>
      <c r="F250" s="2" t="s">
        <v>1408</v>
      </c>
      <c r="G250" s="2" t="s">
        <v>1409</v>
      </c>
      <c r="H250" s="2" t="s">
        <v>1233</v>
      </c>
      <c r="I250" s="2" t="s">
        <v>172</v>
      </c>
      <c r="J250" s="2" t="n">
        <v>-7.5665</v>
      </c>
      <c r="K250" s="2" t="n">
        <v>110.8235</v>
      </c>
      <c r="L250" s="2" t="s">
        <v>124</v>
      </c>
      <c r="M250" s="2" t="s">
        <v>60</v>
      </c>
      <c r="N250" s="2"/>
      <c r="O250" s="2" t="s">
        <v>1433</v>
      </c>
      <c r="P250" s="2"/>
      <c r="Q250" s="2" t="s">
        <v>110</v>
      </c>
      <c r="R250" s="2" t="n">
        <v>0.6</v>
      </c>
      <c r="S250" s="2" t="s">
        <v>1434</v>
      </c>
      <c r="T250" s="2" t="s">
        <v>803</v>
      </c>
      <c r="U250" s="2" t="s">
        <v>1435</v>
      </c>
      <c r="V250" s="2" t="s">
        <v>420</v>
      </c>
      <c r="W250" s="2" t="s">
        <v>159</v>
      </c>
      <c r="X250" s="2" t="s">
        <v>507</v>
      </c>
    </row>
    <row r="251" customFormat="false" ht="15" hidden="false" customHeight="false" outlineLevel="0" collapsed="false">
      <c r="A251" s="2" t="n">
        <v>188</v>
      </c>
      <c r="B251" s="2" t="s">
        <v>1405</v>
      </c>
      <c r="C251" s="2" t="s">
        <v>1436</v>
      </c>
      <c r="D251" s="2" t="s">
        <v>351</v>
      </c>
      <c r="E251" s="2" t="s">
        <v>1437</v>
      </c>
      <c r="F251" s="2" t="s">
        <v>1438</v>
      </c>
      <c r="G251" s="2" t="s">
        <v>1439</v>
      </c>
      <c r="H251" s="2" t="s">
        <v>57</v>
      </c>
      <c r="I251" s="2" t="s">
        <v>58</v>
      </c>
      <c r="J251" s="2" t="n">
        <v>-6.5694</v>
      </c>
      <c r="K251" s="2" t="n">
        <v>106.8083</v>
      </c>
      <c r="L251" s="2" t="s">
        <v>124</v>
      </c>
      <c r="M251" s="2" t="s">
        <v>60</v>
      </c>
      <c r="N251" s="2" t="s">
        <v>1436</v>
      </c>
      <c r="O251" s="2" t="s">
        <v>1440</v>
      </c>
      <c r="P251" s="2" t="s">
        <v>1441</v>
      </c>
      <c r="Q251" s="2" t="s">
        <v>110</v>
      </c>
      <c r="R251" s="2" t="n">
        <v>0.9</v>
      </c>
      <c r="S251" s="2" t="s">
        <v>1442</v>
      </c>
      <c r="T251" s="2" t="s">
        <v>963</v>
      </c>
      <c r="U251" s="2" t="s">
        <v>1443</v>
      </c>
      <c r="V251" s="2" t="s">
        <v>965</v>
      </c>
      <c r="W251" s="2" t="s">
        <v>159</v>
      </c>
      <c r="X251" s="2" t="s">
        <v>68</v>
      </c>
    </row>
    <row r="252" customFormat="false" ht="15" hidden="false" customHeight="false" outlineLevel="0" collapsed="false">
      <c r="A252" s="2" t="n">
        <v>188</v>
      </c>
      <c r="B252" s="2" t="s">
        <v>1405</v>
      </c>
      <c r="C252" s="2" t="s">
        <v>1444</v>
      </c>
      <c r="D252" s="2" t="s">
        <v>53</v>
      </c>
      <c r="E252" s="2" t="s">
        <v>1445</v>
      </c>
      <c r="F252" s="2" t="s">
        <v>1438</v>
      </c>
      <c r="G252" s="2" t="s">
        <v>1439</v>
      </c>
      <c r="H252" s="2" t="s">
        <v>57</v>
      </c>
      <c r="I252" s="2" t="s">
        <v>58</v>
      </c>
      <c r="J252" s="2" t="n">
        <v>-6.5694</v>
      </c>
      <c r="K252" s="2" t="n">
        <v>106.8083</v>
      </c>
      <c r="L252" s="2" t="s">
        <v>124</v>
      </c>
      <c r="M252" s="2" t="s">
        <v>60</v>
      </c>
      <c r="N252" s="2" t="s">
        <v>1436</v>
      </c>
      <c r="O252" s="2" t="s">
        <v>1446</v>
      </c>
      <c r="P252" s="2" t="s">
        <v>1001</v>
      </c>
      <c r="Q252" s="2" t="s">
        <v>62</v>
      </c>
      <c r="R252" s="2" t="n">
        <v>0.7</v>
      </c>
      <c r="S252" s="2" t="s">
        <v>1442</v>
      </c>
      <c r="T252" s="2" t="s">
        <v>963</v>
      </c>
      <c r="U252" s="2" t="s">
        <v>1443</v>
      </c>
      <c r="V252" s="2" t="s">
        <v>965</v>
      </c>
      <c r="W252" s="2" t="s">
        <v>159</v>
      </c>
      <c r="X252" s="2" t="s">
        <v>68</v>
      </c>
    </row>
    <row r="253" customFormat="false" ht="15" hidden="false" customHeight="false" outlineLevel="0" collapsed="false">
      <c r="A253" s="2" t="n">
        <v>192</v>
      </c>
      <c r="B253" s="2" t="s">
        <v>1405</v>
      </c>
      <c r="C253" s="2" t="s">
        <v>1406</v>
      </c>
      <c r="D253" s="2" t="s">
        <v>351</v>
      </c>
      <c r="E253" s="2" t="s">
        <v>1447</v>
      </c>
      <c r="F253" s="2" t="s">
        <v>1408</v>
      </c>
      <c r="G253" s="2" t="s">
        <v>1409</v>
      </c>
      <c r="H253" s="2" t="s">
        <v>1233</v>
      </c>
      <c r="I253" s="2" t="s">
        <v>172</v>
      </c>
      <c r="J253" s="2" t="n">
        <v>-7.5665</v>
      </c>
      <c r="K253" s="2" t="n">
        <v>110.8235</v>
      </c>
      <c r="L253" s="2" t="s">
        <v>124</v>
      </c>
      <c r="M253" s="2" t="s">
        <v>60</v>
      </c>
      <c r="N253" s="2"/>
      <c r="O253" s="2" t="s">
        <v>1448</v>
      </c>
      <c r="P253" s="2" t="s">
        <v>1449</v>
      </c>
      <c r="Q253" s="2" t="s">
        <v>110</v>
      </c>
      <c r="R253" s="2" t="n">
        <v>0.7</v>
      </c>
      <c r="S253" s="2" t="s">
        <v>1450</v>
      </c>
      <c r="T253" s="2" t="s">
        <v>743</v>
      </c>
      <c r="U253" s="2" t="s">
        <v>1451</v>
      </c>
      <c r="V253" s="2" t="s">
        <v>745</v>
      </c>
      <c r="W253" s="2" t="s">
        <v>1429</v>
      </c>
      <c r="X253" s="2" t="s">
        <v>68</v>
      </c>
    </row>
    <row r="254" customFormat="false" ht="15" hidden="false" customHeight="false" outlineLevel="0" collapsed="false">
      <c r="A254" s="2" t="n">
        <v>195</v>
      </c>
      <c r="B254" s="2" t="s">
        <v>1405</v>
      </c>
      <c r="C254" s="2" t="s">
        <v>1452</v>
      </c>
      <c r="D254" s="2" t="s">
        <v>1140</v>
      </c>
      <c r="E254" s="2" t="s">
        <v>1453</v>
      </c>
      <c r="F254" s="2" t="s">
        <v>1454</v>
      </c>
      <c r="G254" s="2" t="s">
        <v>1455</v>
      </c>
      <c r="H254" s="2" t="s">
        <v>631</v>
      </c>
      <c r="I254" s="2" t="s">
        <v>385</v>
      </c>
      <c r="J254" s="2" t="n">
        <v>3.603</v>
      </c>
      <c r="K254" s="2" t="n">
        <v>98.73</v>
      </c>
      <c r="L254" s="2" t="s">
        <v>59</v>
      </c>
      <c r="M254" s="2" t="s">
        <v>60</v>
      </c>
      <c r="N254" s="2"/>
      <c r="O254" s="2" t="s">
        <v>1456</v>
      </c>
      <c r="P254" s="2" t="s">
        <v>1457</v>
      </c>
      <c r="Q254" s="2" t="s">
        <v>110</v>
      </c>
      <c r="R254" s="2" t="n">
        <v>0.8</v>
      </c>
      <c r="S254" s="2" t="s">
        <v>1458</v>
      </c>
      <c r="T254" s="2" t="s">
        <v>1459</v>
      </c>
      <c r="U254" s="2" t="s">
        <v>1460</v>
      </c>
      <c r="V254" s="2" t="s">
        <v>420</v>
      </c>
      <c r="W254" s="2" t="s">
        <v>697</v>
      </c>
      <c r="X254" s="2" t="s">
        <v>68</v>
      </c>
    </row>
    <row r="255" customFormat="false" ht="15" hidden="false" customHeight="false" outlineLevel="0" collapsed="false">
      <c r="A255" s="2" t="n">
        <v>197</v>
      </c>
      <c r="B255" s="2" t="s">
        <v>1405</v>
      </c>
      <c r="C255" s="2" t="s">
        <v>1461</v>
      </c>
      <c r="D255" s="2" t="s">
        <v>410</v>
      </c>
      <c r="E255" s="2" t="s">
        <v>1462</v>
      </c>
      <c r="F255" s="2"/>
      <c r="G255" s="2"/>
      <c r="H255" s="2"/>
      <c r="I255" s="2"/>
      <c r="J255" s="2" t="n">
        <v>25.0508</v>
      </c>
      <c r="K255" s="2" t="n">
        <v>121.5776</v>
      </c>
      <c r="L255" s="2" t="s">
        <v>124</v>
      </c>
      <c r="M255" s="2" t="s">
        <v>340</v>
      </c>
      <c r="N255" s="2" t="s">
        <v>1463</v>
      </c>
      <c r="O255" s="2" t="s">
        <v>1464</v>
      </c>
      <c r="P255" s="2" t="s">
        <v>1001</v>
      </c>
      <c r="Q255" s="2" t="s">
        <v>110</v>
      </c>
      <c r="R255" s="2" t="n">
        <v>0.8</v>
      </c>
      <c r="S255" s="2" t="s">
        <v>1465</v>
      </c>
      <c r="T255" s="2" t="s">
        <v>418</v>
      </c>
      <c r="U255" s="2" t="s">
        <v>1466</v>
      </c>
      <c r="V255" s="2" t="s">
        <v>420</v>
      </c>
      <c r="W255" s="2" t="s">
        <v>1217</v>
      </c>
      <c r="X255" s="2" t="s">
        <v>68</v>
      </c>
    </row>
    <row r="256" customFormat="false" ht="15" hidden="false" customHeight="false" outlineLevel="0" collapsed="false">
      <c r="A256" s="2" t="n">
        <v>204</v>
      </c>
      <c r="B256" s="2" t="s">
        <v>1405</v>
      </c>
      <c r="C256" s="2" t="s">
        <v>1467</v>
      </c>
      <c r="D256" s="2" t="s">
        <v>410</v>
      </c>
      <c r="E256" s="2" t="s">
        <v>1468</v>
      </c>
      <c r="F256" s="2"/>
      <c r="G256" s="2"/>
      <c r="H256" s="2"/>
      <c r="I256" s="2"/>
      <c r="J256" s="2" t="n">
        <v>24.693</v>
      </c>
      <c r="K256" s="2" t="n">
        <v>108.085</v>
      </c>
      <c r="L256" s="2" t="s">
        <v>101</v>
      </c>
      <c r="M256" s="2" t="s">
        <v>340</v>
      </c>
      <c r="N256" s="2" t="s">
        <v>1469</v>
      </c>
      <c r="O256" s="2" t="s">
        <v>1470</v>
      </c>
      <c r="P256" s="2" t="s">
        <v>1471</v>
      </c>
      <c r="Q256" s="2" t="s">
        <v>110</v>
      </c>
      <c r="R256" s="2" t="n">
        <v>0.85</v>
      </c>
      <c r="S256" s="2" t="s">
        <v>1472</v>
      </c>
      <c r="T256" s="2" t="s">
        <v>1473</v>
      </c>
      <c r="U256" s="2" t="s">
        <v>1474</v>
      </c>
      <c r="V256" s="2" t="s">
        <v>1475</v>
      </c>
      <c r="W256" s="2" t="s">
        <v>190</v>
      </c>
      <c r="X256" s="2" t="s">
        <v>68</v>
      </c>
    </row>
    <row r="257" customFormat="false" ht="15" hidden="false" customHeight="false" outlineLevel="0" collapsed="false">
      <c r="A257" s="2" t="n">
        <v>215</v>
      </c>
      <c r="B257" s="2" t="s">
        <v>1476</v>
      </c>
      <c r="C257" s="2" t="s">
        <v>1477</v>
      </c>
      <c r="D257" s="2" t="s">
        <v>134</v>
      </c>
      <c r="E257" s="2" t="s">
        <v>1478</v>
      </c>
      <c r="F257" s="2" t="s">
        <v>347</v>
      </c>
      <c r="G257" s="2" t="s">
        <v>348</v>
      </c>
      <c r="H257" s="2" t="s">
        <v>107</v>
      </c>
      <c r="I257" s="2" t="s">
        <v>58</v>
      </c>
      <c r="J257" s="2" t="n">
        <v>-6.903</v>
      </c>
      <c r="K257" s="2" t="n">
        <v>107.625</v>
      </c>
      <c r="L257" s="2" t="s">
        <v>59</v>
      </c>
      <c r="M257" s="2" t="s">
        <v>60</v>
      </c>
      <c r="N257" s="2"/>
      <c r="O257" s="2" t="s">
        <v>1479</v>
      </c>
      <c r="P257" s="2"/>
      <c r="Q257" s="2" t="s">
        <v>110</v>
      </c>
      <c r="R257" s="2" t="n">
        <v>0.8</v>
      </c>
      <c r="S257" s="2" t="s">
        <v>1480</v>
      </c>
      <c r="T257" s="2" t="s">
        <v>1168</v>
      </c>
      <c r="U257" s="2" t="s">
        <v>1481</v>
      </c>
      <c r="V257" s="2" t="s">
        <v>1170</v>
      </c>
      <c r="W257" s="2" t="s">
        <v>1482</v>
      </c>
      <c r="X257" s="2" t="s">
        <v>68</v>
      </c>
    </row>
    <row r="258" customFormat="false" ht="15" hidden="false" customHeight="false" outlineLevel="0" collapsed="false">
      <c r="A258" s="2" t="n">
        <v>215</v>
      </c>
      <c r="B258" s="2" t="s">
        <v>1476</v>
      </c>
      <c r="C258" s="2" t="s">
        <v>1483</v>
      </c>
      <c r="D258" s="2" t="s">
        <v>134</v>
      </c>
      <c r="E258" s="2" t="s">
        <v>1484</v>
      </c>
      <c r="F258" s="2" t="s">
        <v>1485</v>
      </c>
      <c r="G258" s="2" t="s">
        <v>106</v>
      </c>
      <c r="H258" s="2" t="s">
        <v>107</v>
      </c>
      <c r="I258" s="2" t="s">
        <v>58</v>
      </c>
      <c r="J258" s="2" t="n">
        <v>-6.935</v>
      </c>
      <c r="K258" s="2" t="n">
        <v>107.628</v>
      </c>
      <c r="L258" s="2" t="s">
        <v>59</v>
      </c>
      <c r="M258" s="2" t="s">
        <v>60</v>
      </c>
      <c r="N258" s="2"/>
      <c r="O258" s="2" t="s">
        <v>1486</v>
      </c>
      <c r="P258" s="2"/>
      <c r="Q258" s="2" t="s">
        <v>110</v>
      </c>
      <c r="R258" s="2" t="n">
        <v>0.8</v>
      </c>
      <c r="S258" s="2" t="s">
        <v>1480</v>
      </c>
      <c r="T258" s="2" t="s">
        <v>1168</v>
      </c>
      <c r="U258" s="2" t="s">
        <v>1481</v>
      </c>
      <c r="V258" s="2" t="s">
        <v>1170</v>
      </c>
      <c r="W258" s="2" t="s">
        <v>1482</v>
      </c>
      <c r="X258" s="2" t="s">
        <v>68</v>
      </c>
    </row>
    <row r="259" customFormat="false" ht="15" hidden="false" customHeight="false" outlineLevel="0" collapsed="false">
      <c r="A259" s="2" t="n">
        <v>216</v>
      </c>
      <c r="B259" s="2" t="s">
        <v>1476</v>
      </c>
      <c r="C259" s="2" t="s">
        <v>1487</v>
      </c>
      <c r="D259" s="2" t="s">
        <v>134</v>
      </c>
      <c r="E259" s="2" t="s">
        <v>1488</v>
      </c>
      <c r="F259" s="2"/>
      <c r="G259" s="2"/>
      <c r="H259" s="2" t="s">
        <v>107</v>
      </c>
      <c r="I259" s="2" t="s">
        <v>58</v>
      </c>
      <c r="J259" s="2" t="n">
        <v>-6.917</v>
      </c>
      <c r="K259" s="2" t="n">
        <v>107.619</v>
      </c>
      <c r="L259" s="2" t="s">
        <v>101</v>
      </c>
      <c r="M259" s="2" t="s">
        <v>60</v>
      </c>
      <c r="N259" s="2"/>
      <c r="O259" s="2" t="s">
        <v>1489</v>
      </c>
      <c r="P259" s="2"/>
      <c r="Q259" s="2" t="s">
        <v>110</v>
      </c>
      <c r="R259" s="2" t="n">
        <v>0.85</v>
      </c>
      <c r="S259" s="2" t="s">
        <v>1490</v>
      </c>
      <c r="T259" s="2" t="s">
        <v>1168</v>
      </c>
      <c r="U259" s="2" t="s">
        <v>1491</v>
      </c>
      <c r="V259" s="2" t="s">
        <v>1170</v>
      </c>
      <c r="W259" s="2" t="s">
        <v>487</v>
      </c>
      <c r="X259" s="2" t="s">
        <v>68</v>
      </c>
    </row>
    <row r="260" customFormat="false" ht="15" hidden="false" customHeight="false" outlineLevel="0" collapsed="false">
      <c r="A260" s="2" t="n">
        <v>217</v>
      </c>
      <c r="B260" s="2" t="s">
        <v>1476</v>
      </c>
      <c r="C260" s="2" t="s">
        <v>1492</v>
      </c>
      <c r="D260" s="2" t="s">
        <v>134</v>
      </c>
      <c r="E260" s="2" t="s">
        <v>117</v>
      </c>
      <c r="F260" s="2"/>
      <c r="G260" s="2"/>
      <c r="H260" s="2" t="s">
        <v>107</v>
      </c>
      <c r="I260" s="2" t="s">
        <v>58</v>
      </c>
      <c r="J260" s="2" t="n">
        <v>-6.917</v>
      </c>
      <c r="K260" s="2" t="n">
        <v>107.619</v>
      </c>
      <c r="L260" s="2" t="s">
        <v>101</v>
      </c>
      <c r="M260" s="2" t="s">
        <v>60</v>
      </c>
      <c r="N260" s="2"/>
      <c r="O260" s="2" t="s">
        <v>1493</v>
      </c>
      <c r="P260" s="2"/>
      <c r="Q260" s="2" t="s">
        <v>110</v>
      </c>
      <c r="R260" s="2" t="n">
        <v>0.85</v>
      </c>
      <c r="S260" s="2" t="s">
        <v>1494</v>
      </c>
      <c r="T260" s="2" t="s">
        <v>1168</v>
      </c>
      <c r="U260" s="2" t="s">
        <v>1495</v>
      </c>
      <c r="V260" s="2" t="s">
        <v>1170</v>
      </c>
      <c r="W260" s="2" t="s">
        <v>1045</v>
      </c>
      <c r="X260" s="2" t="s">
        <v>68</v>
      </c>
    </row>
    <row r="261" customFormat="false" ht="15" hidden="false" customHeight="false" outlineLevel="0" collapsed="false">
      <c r="A261" s="2" t="n">
        <v>225</v>
      </c>
      <c r="B261" s="2" t="s">
        <v>1476</v>
      </c>
      <c r="C261" s="2" t="s">
        <v>500</v>
      </c>
      <c r="D261" s="2" t="s">
        <v>351</v>
      </c>
      <c r="E261" s="2" t="s">
        <v>423</v>
      </c>
      <c r="F261" s="2" t="s">
        <v>424</v>
      </c>
      <c r="G261" s="2" t="s">
        <v>425</v>
      </c>
      <c r="H261" s="2" t="s">
        <v>426</v>
      </c>
      <c r="I261" s="2" t="s">
        <v>74</v>
      </c>
      <c r="J261" s="2" t="n">
        <v>-6.244</v>
      </c>
      <c r="K261" s="2" t="n">
        <v>106.8</v>
      </c>
      <c r="L261" s="2" t="s">
        <v>124</v>
      </c>
      <c r="M261" s="2" t="s">
        <v>60</v>
      </c>
      <c r="N261" s="2"/>
      <c r="O261" s="2" t="s">
        <v>1496</v>
      </c>
      <c r="P261" s="2"/>
      <c r="Q261" s="2" t="s">
        <v>110</v>
      </c>
      <c r="R261" s="2" t="n">
        <v>0.8</v>
      </c>
      <c r="S261" s="2" t="s">
        <v>1497</v>
      </c>
      <c r="T261" s="2" t="s">
        <v>1498</v>
      </c>
      <c r="U261" s="2" t="s">
        <v>1499</v>
      </c>
      <c r="V261" s="2" t="s">
        <v>1500</v>
      </c>
      <c r="W261" s="2" t="s">
        <v>1501</v>
      </c>
      <c r="X261" s="2" t="s">
        <v>68</v>
      </c>
    </row>
    <row r="262" customFormat="false" ht="15" hidden="false" customHeight="false" outlineLevel="0" collapsed="false">
      <c r="A262" s="2" t="n">
        <v>225</v>
      </c>
      <c r="B262" s="2" t="s">
        <v>1476</v>
      </c>
      <c r="C262" s="2" t="s">
        <v>1502</v>
      </c>
      <c r="D262" s="2" t="s">
        <v>134</v>
      </c>
      <c r="E262" s="2" t="s">
        <v>423</v>
      </c>
      <c r="F262" s="2" t="s">
        <v>424</v>
      </c>
      <c r="G262" s="2" t="s">
        <v>425</v>
      </c>
      <c r="H262" s="2" t="s">
        <v>426</v>
      </c>
      <c r="I262" s="2" t="s">
        <v>74</v>
      </c>
      <c r="J262" s="2" t="n">
        <v>-6.244</v>
      </c>
      <c r="K262" s="2" t="n">
        <v>106.8</v>
      </c>
      <c r="L262" s="2" t="s">
        <v>124</v>
      </c>
      <c r="M262" s="2" t="s">
        <v>60</v>
      </c>
      <c r="N262" s="2"/>
      <c r="O262" s="2" t="s">
        <v>1503</v>
      </c>
      <c r="P262" s="2"/>
      <c r="Q262" s="2" t="s">
        <v>62</v>
      </c>
      <c r="R262" s="2" t="n">
        <v>0.6</v>
      </c>
      <c r="S262" s="2" t="s">
        <v>1497</v>
      </c>
      <c r="T262" s="2" t="s">
        <v>1498</v>
      </c>
      <c r="U262" s="2" t="s">
        <v>1499</v>
      </c>
      <c r="V262" s="2" t="s">
        <v>1500</v>
      </c>
      <c r="W262" s="2" t="s">
        <v>1501</v>
      </c>
      <c r="X262" s="2" t="s">
        <v>68</v>
      </c>
    </row>
    <row r="263" customFormat="false" ht="15" hidden="false" customHeight="false" outlineLevel="0" collapsed="false">
      <c r="A263" s="2" t="n">
        <v>227</v>
      </c>
      <c r="B263" s="2" t="s">
        <v>1476</v>
      </c>
      <c r="C263" s="2" t="s">
        <v>1504</v>
      </c>
      <c r="D263" s="2" t="s">
        <v>351</v>
      </c>
      <c r="E263" s="2" t="s">
        <v>1505</v>
      </c>
      <c r="F263" s="2" t="s">
        <v>347</v>
      </c>
      <c r="G263" s="2" t="s">
        <v>348</v>
      </c>
      <c r="H263" s="2" t="s">
        <v>107</v>
      </c>
      <c r="I263" s="2" t="s">
        <v>58</v>
      </c>
      <c r="J263" s="2" t="n">
        <v>-6.903</v>
      </c>
      <c r="K263" s="2" t="n">
        <v>107.625</v>
      </c>
      <c r="L263" s="2" t="s">
        <v>59</v>
      </c>
      <c r="M263" s="2" t="s">
        <v>60</v>
      </c>
      <c r="N263" s="2"/>
      <c r="O263" s="2" t="s">
        <v>1506</v>
      </c>
      <c r="P263" s="2"/>
      <c r="Q263" s="2" t="s">
        <v>110</v>
      </c>
      <c r="R263" s="2" t="n">
        <v>0.85</v>
      </c>
      <c r="S263" s="2" t="s">
        <v>1507</v>
      </c>
      <c r="T263" s="2" t="s">
        <v>156</v>
      </c>
      <c r="U263" s="2" t="s">
        <v>1508</v>
      </c>
      <c r="V263" s="2" t="s">
        <v>158</v>
      </c>
      <c r="W263" s="2" t="s">
        <v>1509</v>
      </c>
      <c r="X263" s="2" t="s">
        <v>68</v>
      </c>
    </row>
    <row r="264" customFormat="false" ht="15" hidden="false" customHeight="false" outlineLevel="0" collapsed="false">
      <c r="A264" s="2" t="n">
        <v>227</v>
      </c>
      <c r="B264" s="2" t="s">
        <v>1476</v>
      </c>
      <c r="C264" s="2" t="s">
        <v>350</v>
      </c>
      <c r="D264" s="2" t="s">
        <v>351</v>
      </c>
      <c r="E264" s="2" t="s">
        <v>1510</v>
      </c>
      <c r="F264" s="2" t="s">
        <v>347</v>
      </c>
      <c r="G264" s="2" t="s">
        <v>348</v>
      </c>
      <c r="H264" s="2" t="s">
        <v>107</v>
      </c>
      <c r="I264" s="2" t="s">
        <v>58</v>
      </c>
      <c r="J264" s="2" t="n">
        <v>-6.903</v>
      </c>
      <c r="K264" s="2" t="n">
        <v>107.625</v>
      </c>
      <c r="L264" s="2" t="s">
        <v>59</v>
      </c>
      <c r="M264" s="2" t="s">
        <v>60</v>
      </c>
      <c r="N264" s="2"/>
      <c r="O264" s="2" t="s">
        <v>1511</v>
      </c>
      <c r="P264" s="2"/>
      <c r="Q264" s="2" t="s">
        <v>110</v>
      </c>
      <c r="R264" s="2" t="n">
        <v>0.85</v>
      </c>
      <c r="S264" s="2" t="s">
        <v>1507</v>
      </c>
      <c r="T264" s="2" t="s">
        <v>156</v>
      </c>
      <c r="U264" s="2" t="s">
        <v>1508</v>
      </c>
      <c r="V264" s="2" t="s">
        <v>158</v>
      </c>
      <c r="W264" s="2" t="s">
        <v>1509</v>
      </c>
      <c r="X264" s="2" t="s">
        <v>68</v>
      </c>
    </row>
    <row r="265" customFormat="false" ht="15" hidden="false" customHeight="false" outlineLevel="0" collapsed="false">
      <c r="A265" s="2" t="n">
        <v>227</v>
      </c>
      <c r="B265" s="2" t="s">
        <v>1476</v>
      </c>
      <c r="C265" s="2" t="s">
        <v>1512</v>
      </c>
      <c r="D265" s="2" t="s">
        <v>53</v>
      </c>
      <c r="E265" s="2" t="s">
        <v>508</v>
      </c>
      <c r="F265" s="2" t="s">
        <v>347</v>
      </c>
      <c r="G265" s="2" t="s">
        <v>348</v>
      </c>
      <c r="H265" s="2" t="s">
        <v>107</v>
      </c>
      <c r="I265" s="2" t="s">
        <v>58</v>
      </c>
      <c r="J265" s="2" t="n">
        <v>-6.903</v>
      </c>
      <c r="K265" s="2" t="n">
        <v>107.625</v>
      </c>
      <c r="L265" s="2" t="s">
        <v>59</v>
      </c>
      <c r="M265" s="2" t="s">
        <v>60</v>
      </c>
      <c r="N265" s="2"/>
      <c r="O265" s="2" t="s">
        <v>1513</v>
      </c>
      <c r="P265" s="2"/>
      <c r="Q265" s="2" t="s">
        <v>62</v>
      </c>
      <c r="R265" s="2" t="n">
        <v>0.65</v>
      </c>
      <c r="S265" s="2" t="s">
        <v>1507</v>
      </c>
      <c r="T265" s="2" t="s">
        <v>156</v>
      </c>
      <c r="U265" s="2" t="s">
        <v>1508</v>
      </c>
      <c r="V265" s="2" t="s">
        <v>158</v>
      </c>
      <c r="W265" s="2" t="s">
        <v>1509</v>
      </c>
      <c r="X265" s="2" t="s">
        <v>68</v>
      </c>
    </row>
    <row r="266" customFormat="false" ht="15" hidden="false" customHeight="false" outlineLevel="0" collapsed="false">
      <c r="A266" s="2" t="n">
        <v>227</v>
      </c>
      <c r="B266" s="2" t="s">
        <v>1476</v>
      </c>
      <c r="C266" s="2" t="s">
        <v>515</v>
      </c>
      <c r="D266" s="2" t="s">
        <v>53</v>
      </c>
      <c r="E266" s="2" t="s">
        <v>508</v>
      </c>
      <c r="F266" s="2" t="s">
        <v>347</v>
      </c>
      <c r="G266" s="2" t="s">
        <v>348</v>
      </c>
      <c r="H266" s="2" t="s">
        <v>107</v>
      </c>
      <c r="I266" s="2" t="s">
        <v>58</v>
      </c>
      <c r="J266" s="2" t="n">
        <v>-6.903</v>
      </c>
      <c r="K266" s="2" t="n">
        <v>107.625</v>
      </c>
      <c r="L266" s="2" t="s">
        <v>59</v>
      </c>
      <c r="M266" s="2" t="s">
        <v>60</v>
      </c>
      <c r="N266" s="2"/>
      <c r="O266" s="2" t="s">
        <v>1513</v>
      </c>
      <c r="P266" s="2"/>
      <c r="Q266" s="2" t="s">
        <v>62</v>
      </c>
      <c r="R266" s="2" t="n">
        <v>0.65</v>
      </c>
      <c r="S266" s="2" t="s">
        <v>1507</v>
      </c>
      <c r="T266" s="2" t="s">
        <v>156</v>
      </c>
      <c r="U266" s="2" t="s">
        <v>1508</v>
      </c>
      <c r="V266" s="2" t="s">
        <v>158</v>
      </c>
      <c r="W266" s="2" t="s">
        <v>1509</v>
      </c>
      <c r="X266" s="2" t="s">
        <v>68</v>
      </c>
    </row>
    <row r="267" customFormat="false" ht="15" hidden="false" customHeight="false" outlineLevel="0" collapsed="false">
      <c r="A267" s="2" t="n">
        <v>227</v>
      </c>
      <c r="B267" s="2" t="s">
        <v>1476</v>
      </c>
      <c r="C267" s="2" t="s">
        <v>1514</v>
      </c>
      <c r="D267" s="2" t="s">
        <v>53</v>
      </c>
      <c r="E267" s="2" t="s">
        <v>508</v>
      </c>
      <c r="F267" s="2" t="s">
        <v>347</v>
      </c>
      <c r="G267" s="2" t="s">
        <v>348</v>
      </c>
      <c r="H267" s="2" t="s">
        <v>107</v>
      </c>
      <c r="I267" s="2" t="s">
        <v>58</v>
      </c>
      <c r="J267" s="2" t="n">
        <v>-6.903</v>
      </c>
      <c r="K267" s="2" t="n">
        <v>107.625</v>
      </c>
      <c r="L267" s="2" t="s">
        <v>59</v>
      </c>
      <c r="M267" s="2" t="s">
        <v>60</v>
      </c>
      <c r="N267" s="2"/>
      <c r="O267" s="2" t="s">
        <v>1513</v>
      </c>
      <c r="P267" s="2"/>
      <c r="Q267" s="2" t="s">
        <v>62</v>
      </c>
      <c r="R267" s="2" t="n">
        <v>0.65</v>
      </c>
      <c r="S267" s="2" t="s">
        <v>1507</v>
      </c>
      <c r="T267" s="2" t="s">
        <v>156</v>
      </c>
      <c r="U267" s="2" t="s">
        <v>1508</v>
      </c>
      <c r="V267" s="2" t="s">
        <v>158</v>
      </c>
      <c r="W267" s="2" t="s">
        <v>1509</v>
      </c>
      <c r="X267" s="2" t="s">
        <v>68</v>
      </c>
    </row>
    <row r="268" customFormat="false" ht="15" hidden="false" customHeight="false" outlineLevel="0" collapsed="false">
      <c r="A268" s="2" t="n">
        <v>227</v>
      </c>
      <c r="B268" s="2" t="s">
        <v>1476</v>
      </c>
      <c r="C268" s="2" t="s">
        <v>1515</v>
      </c>
      <c r="D268" s="2" t="s">
        <v>53</v>
      </c>
      <c r="E268" s="2" t="s">
        <v>508</v>
      </c>
      <c r="F268" s="2" t="s">
        <v>347</v>
      </c>
      <c r="G268" s="2" t="s">
        <v>348</v>
      </c>
      <c r="H268" s="2" t="s">
        <v>107</v>
      </c>
      <c r="I268" s="2" t="s">
        <v>58</v>
      </c>
      <c r="J268" s="2" t="n">
        <v>-6.903</v>
      </c>
      <c r="K268" s="2" t="n">
        <v>107.625</v>
      </c>
      <c r="L268" s="2" t="s">
        <v>59</v>
      </c>
      <c r="M268" s="2" t="s">
        <v>60</v>
      </c>
      <c r="N268" s="2"/>
      <c r="O268" s="2" t="s">
        <v>1513</v>
      </c>
      <c r="P268" s="2"/>
      <c r="Q268" s="2" t="s">
        <v>62</v>
      </c>
      <c r="R268" s="2" t="n">
        <v>0.65</v>
      </c>
      <c r="S268" s="2" t="s">
        <v>1507</v>
      </c>
      <c r="T268" s="2" t="s">
        <v>156</v>
      </c>
      <c r="U268" s="2" t="s">
        <v>1508</v>
      </c>
      <c r="V268" s="2" t="s">
        <v>158</v>
      </c>
      <c r="W268" s="2" t="s">
        <v>1509</v>
      </c>
      <c r="X268" s="2" t="s">
        <v>68</v>
      </c>
    </row>
    <row r="269" customFormat="false" ht="15" hidden="false" customHeight="false" outlineLevel="0" collapsed="false">
      <c r="A269" s="2" t="n">
        <v>227</v>
      </c>
      <c r="B269" s="2" t="s">
        <v>1476</v>
      </c>
      <c r="C269" s="2" t="s">
        <v>345</v>
      </c>
      <c r="D269" s="2" t="s">
        <v>53</v>
      </c>
      <c r="E269" s="2" t="s">
        <v>346</v>
      </c>
      <c r="F269" s="2" t="s">
        <v>347</v>
      </c>
      <c r="G269" s="2" t="s">
        <v>348</v>
      </c>
      <c r="H269" s="2" t="s">
        <v>107</v>
      </c>
      <c r="I269" s="2" t="s">
        <v>58</v>
      </c>
      <c r="J269" s="2" t="n">
        <v>-6.903</v>
      </c>
      <c r="K269" s="2" t="n">
        <v>107.625</v>
      </c>
      <c r="L269" s="2" t="s">
        <v>59</v>
      </c>
      <c r="M269" s="2" t="s">
        <v>60</v>
      </c>
      <c r="N269" s="2"/>
      <c r="O269" s="2" t="s">
        <v>1516</v>
      </c>
      <c r="P269" s="2"/>
      <c r="Q269" s="2" t="s">
        <v>110</v>
      </c>
      <c r="R269" s="2" t="n">
        <v>0.9</v>
      </c>
      <c r="S269" s="2" t="s">
        <v>1507</v>
      </c>
      <c r="T269" s="2" t="s">
        <v>156</v>
      </c>
      <c r="U269" s="2" t="s">
        <v>1508</v>
      </c>
      <c r="V269" s="2" t="s">
        <v>158</v>
      </c>
      <c r="W269" s="2" t="s">
        <v>1509</v>
      </c>
      <c r="X269" s="2" t="s">
        <v>68</v>
      </c>
    </row>
    <row r="270" customFormat="false" ht="15" hidden="false" customHeight="false" outlineLevel="0" collapsed="false">
      <c r="A270" s="2" t="n">
        <v>228</v>
      </c>
      <c r="B270" s="2" t="s">
        <v>1476</v>
      </c>
      <c r="C270" s="2" t="s">
        <v>1517</v>
      </c>
      <c r="D270" s="2" t="s">
        <v>121</v>
      </c>
      <c r="E270" s="2" t="s">
        <v>830</v>
      </c>
      <c r="F270" s="2" t="s">
        <v>1518</v>
      </c>
      <c r="G270" s="2" t="s">
        <v>1519</v>
      </c>
      <c r="H270" s="2" t="s">
        <v>317</v>
      </c>
      <c r="I270" s="2" t="s">
        <v>74</v>
      </c>
      <c r="J270" s="2" t="n">
        <v>-6.1467</v>
      </c>
      <c r="K270" s="2" t="n">
        <v>106.8456</v>
      </c>
      <c r="L270" s="2" t="s">
        <v>124</v>
      </c>
      <c r="M270" s="2" t="s">
        <v>60</v>
      </c>
      <c r="N270" s="2" t="s">
        <v>1520</v>
      </c>
      <c r="O270" s="2" t="s">
        <v>1521</v>
      </c>
      <c r="P270" s="2"/>
      <c r="Q270" s="2" t="s">
        <v>62</v>
      </c>
      <c r="R270" s="2" t="n">
        <v>0.6</v>
      </c>
      <c r="S270" s="2" t="s">
        <v>1522</v>
      </c>
      <c r="T270" s="2" t="s">
        <v>1523</v>
      </c>
      <c r="U270" s="2" t="s">
        <v>1524</v>
      </c>
      <c r="V270" s="2" t="s">
        <v>1525</v>
      </c>
      <c r="W270" s="2" t="s">
        <v>331</v>
      </c>
      <c r="X270" s="2" t="s">
        <v>68</v>
      </c>
    </row>
    <row r="271" customFormat="false" ht="15" hidden="false" customHeight="false" outlineLevel="0" collapsed="false">
      <c r="A271" s="2" t="n">
        <v>230</v>
      </c>
      <c r="B271" s="2" t="s">
        <v>1476</v>
      </c>
      <c r="C271" s="2" t="s">
        <v>1526</v>
      </c>
      <c r="D271" s="2" t="s">
        <v>134</v>
      </c>
      <c r="E271" s="2" t="s">
        <v>1527</v>
      </c>
      <c r="F271" s="2"/>
      <c r="G271" s="2"/>
      <c r="H271" s="2" t="s">
        <v>57</v>
      </c>
      <c r="I271" s="2" t="s">
        <v>58</v>
      </c>
      <c r="J271" s="2" t="n">
        <v>-6.595</v>
      </c>
      <c r="K271" s="2" t="n">
        <v>106.797</v>
      </c>
      <c r="L271" s="2" t="s">
        <v>101</v>
      </c>
      <c r="M271" s="2" t="s">
        <v>60</v>
      </c>
      <c r="N271" s="2" t="s">
        <v>1528</v>
      </c>
      <c r="O271" s="2" t="s">
        <v>1529</v>
      </c>
      <c r="P271" s="2"/>
      <c r="Q271" s="2" t="s">
        <v>62</v>
      </c>
      <c r="R271" s="2" t="n">
        <v>0.8</v>
      </c>
      <c r="S271" s="2" t="s">
        <v>1530</v>
      </c>
      <c r="T271" s="2" t="s">
        <v>156</v>
      </c>
      <c r="U271" s="2" t="s">
        <v>1531</v>
      </c>
      <c r="V271" s="2" t="s">
        <v>158</v>
      </c>
      <c r="W271" s="2" t="s">
        <v>538</v>
      </c>
      <c r="X271" s="2" t="s">
        <v>507</v>
      </c>
    </row>
    <row r="272" customFormat="false" ht="15" hidden="false" customHeight="false" outlineLevel="0" collapsed="false">
      <c r="A272" s="2" t="n">
        <v>230</v>
      </c>
      <c r="B272" s="2" t="s">
        <v>1476</v>
      </c>
      <c r="C272" s="2" t="s">
        <v>1532</v>
      </c>
      <c r="D272" s="2" t="s">
        <v>134</v>
      </c>
      <c r="E272" s="2" t="s">
        <v>1533</v>
      </c>
      <c r="F272" s="2"/>
      <c r="G272" s="2"/>
      <c r="H272" s="2" t="s">
        <v>57</v>
      </c>
      <c r="I272" s="2" t="s">
        <v>58</v>
      </c>
      <c r="J272" s="2" t="n">
        <v>-6.595</v>
      </c>
      <c r="K272" s="2" t="n">
        <v>106.797</v>
      </c>
      <c r="L272" s="2" t="s">
        <v>101</v>
      </c>
      <c r="M272" s="2" t="s">
        <v>60</v>
      </c>
      <c r="N272" s="2" t="s">
        <v>1528</v>
      </c>
      <c r="O272" s="2" t="s">
        <v>1534</v>
      </c>
      <c r="P272" s="2"/>
      <c r="Q272" s="2" t="s">
        <v>62</v>
      </c>
      <c r="R272" s="2" t="n">
        <v>0.75</v>
      </c>
      <c r="S272" s="2" t="s">
        <v>1530</v>
      </c>
      <c r="T272" s="2" t="s">
        <v>156</v>
      </c>
      <c r="U272" s="2" t="s">
        <v>1531</v>
      </c>
      <c r="V272" s="2" t="s">
        <v>158</v>
      </c>
      <c r="W272" s="2" t="s">
        <v>538</v>
      </c>
      <c r="X272" s="2" t="s">
        <v>507</v>
      </c>
    </row>
    <row r="273" customFormat="false" ht="15" hidden="false" customHeight="false" outlineLevel="0" collapsed="false">
      <c r="A273" s="2" t="n">
        <v>230</v>
      </c>
      <c r="B273" s="2" t="s">
        <v>1476</v>
      </c>
      <c r="C273" s="2" t="s">
        <v>1535</v>
      </c>
      <c r="D273" s="2" t="s">
        <v>134</v>
      </c>
      <c r="E273" s="2" t="s">
        <v>1536</v>
      </c>
      <c r="F273" s="2"/>
      <c r="G273" s="2"/>
      <c r="H273" s="2" t="s">
        <v>57</v>
      </c>
      <c r="I273" s="2" t="s">
        <v>58</v>
      </c>
      <c r="J273" s="2" t="n">
        <v>-6.595</v>
      </c>
      <c r="K273" s="2" t="n">
        <v>106.797</v>
      </c>
      <c r="L273" s="2" t="s">
        <v>101</v>
      </c>
      <c r="M273" s="2" t="s">
        <v>60</v>
      </c>
      <c r="N273" s="2" t="s">
        <v>1528</v>
      </c>
      <c r="O273" s="2" t="s">
        <v>1537</v>
      </c>
      <c r="P273" s="2"/>
      <c r="Q273" s="2" t="s">
        <v>62</v>
      </c>
      <c r="R273" s="2" t="n">
        <v>0.7</v>
      </c>
      <c r="S273" s="2" t="s">
        <v>1530</v>
      </c>
      <c r="T273" s="2" t="s">
        <v>156</v>
      </c>
      <c r="U273" s="2" t="s">
        <v>1531</v>
      </c>
      <c r="V273" s="2" t="s">
        <v>158</v>
      </c>
      <c r="W273" s="2" t="s">
        <v>538</v>
      </c>
      <c r="X273" s="2" t="s">
        <v>507</v>
      </c>
    </row>
    <row r="274" customFormat="false" ht="15" hidden="false" customHeight="false" outlineLevel="0" collapsed="false">
      <c r="A274" s="2" t="n">
        <v>231</v>
      </c>
      <c r="B274" s="2" t="s">
        <v>1476</v>
      </c>
      <c r="C274" s="2" t="s">
        <v>1538</v>
      </c>
      <c r="D274" s="2" t="s">
        <v>134</v>
      </c>
      <c r="E274" s="2" t="s">
        <v>1539</v>
      </c>
      <c r="F274" s="2"/>
      <c r="G274" s="2"/>
      <c r="H274" s="2" t="s">
        <v>73</v>
      </c>
      <c r="I274" s="2" t="s">
        <v>74</v>
      </c>
      <c r="J274" s="2" t="n">
        <v>-6.182</v>
      </c>
      <c r="K274" s="2" t="n">
        <v>106.834</v>
      </c>
      <c r="L274" s="2" t="s">
        <v>101</v>
      </c>
      <c r="M274" s="2" t="s">
        <v>60</v>
      </c>
      <c r="N274" s="2"/>
      <c r="O274" s="2" t="s">
        <v>1540</v>
      </c>
      <c r="P274" s="2"/>
      <c r="Q274" s="2" t="s">
        <v>110</v>
      </c>
      <c r="R274" s="2" t="n">
        <v>0.75</v>
      </c>
      <c r="S274" s="2" t="s">
        <v>1541</v>
      </c>
      <c r="T274" s="2" t="s">
        <v>1168</v>
      </c>
      <c r="U274" s="2" t="s">
        <v>1542</v>
      </c>
      <c r="V274" s="2" t="s">
        <v>1170</v>
      </c>
      <c r="W274" s="2" t="s">
        <v>1543</v>
      </c>
      <c r="X274" s="2" t="s">
        <v>68</v>
      </c>
    </row>
    <row r="275" customFormat="false" ht="15" hidden="false" customHeight="false" outlineLevel="0" collapsed="false">
      <c r="A275" s="2" t="n">
        <v>231</v>
      </c>
      <c r="B275" s="2" t="s">
        <v>1476</v>
      </c>
      <c r="C275" s="2" t="s">
        <v>1544</v>
      </c>
      <c r="D275" s="2" t="s">
        <v>134</v>
      </c>
      <c r="E275" s="2" t="s">
        <v>1539</v>
      </c>
      <c r="F275" s="2"/>
      <c r="G275" s="2"/>
      <c r="H275" s="2" t="s">
        <v>73</v>
      </c>
      <c r="I275" s="2" t="s">
        <v>74</v>
      </c>
      <c r="J275" s="2" t="n">
        <v>-6.182</v>
      </c>
      <c r="K275" s="2" t="n">
        <v>106.834</v>
      </c>
      <c r="L275" s="2" t="s">
        <v>101</v>
      </c>
      <c r="M275" s="2" t="s">
        <v>60</v>
      </c>
      <c r="N275" s="2"/>
      <c r="O275" s="2" t="s">
        <v>1545</v>
      </c>
      <c r="P275" s="2"/>
      <c r="Q275" s="2" t="s">
        <v>110</v>
      </c>
      <c r="R275" s="2" t="n">
        <v>0.75</v>
      </c>
      <c r="S275" s="2" t="s">
        <v>1541</v>
      </c>
      <c r="T275" s="2" t="s">
        <v>1168</v>
      </c>
      <c r="U275" s="2" t="s">
        <v>1542</v>
      </c>
      <c r="V275" s="2" t="s">
        <v>1170</v>
      </c>
      <c r="W275" s="2" t="s">
        <v>1543</v>
      </c>
      <c r="X275" s="2" t="s">
        <v>68</v>
      </c>
    </row>
    <row r="276" customFormat="false" ht="15" hidden="false" customHeight="false" outlineLevel="0" collapsed="false">
      <c r="A276" s="2" t="n">
        <v>231</v>
      </c>
      <c r="B276" s="2" t="s">
        <v>1476</v>
      </c>
      <c r="C276" s="2" t="s">
        <v>1546</v>
      </c>
      <c r="D276" s="2" t="s">
        <v>134</v>
      </c>
      <c r="E276" s="2" t="s">
        <v>1539</v>
      </c>
      <c r="F276" s="2"/>
      <c r="G276" s="2"/>
      <c r="H276" s="2" t="s">
        <v>73</v>
      </c>
      <c r="I276" s="2" t="s">
        <v>74</v>
      </c>
      <c r="J276" s="2" t="n">
        <v>-6.182</v>
      </c>
      <c r="K276" s="2" t="n">
        <v>106.834</v>
      </c>
      <c r="L276" s="2" t="s">
        <v>101</v>
      </c>
      <c r="M276" s="2" t="s">
        <v>60</v>
      </c>
      <c r="N276" s="2"/>
      <c r="O276" s="2" t="s">
        <v>1547</v>
      </c>
      <c r="P276" s="2"/>
      <c r="Q276" s="2" t="s">
        <v>110</v>
      </c>
      <c r="R276" s="2" t="n">
        <v>0.7</v>
      </c>
      <c r="S276" s="2" t="s">
        <v>1541</v>
      </c>
      <c r="T276" s="2" t="s">
        <v>1168</v>
      </c>
      <c r="U276" s="2" t="s">
        <v>1542</v>
      </c>
      <c r="V276" s="2" t="s">
        <v>1170</v>
      </c>
      <c r="W276" s="2" t="s">
        <v>1543</v>
      </c>
      <c r="X276" s="2" t="s">
        <v>68</v>
      </c>
    </row>
    <row r="277" customFormat="false" ht="15" hidden="false" customHeight="false" outlineLevel="0" collapsed="false">
      <c r="A277" s="2" t="n">
        <v>233</v>
      </c>
      <c r="B277" s="2" t="s">
        <v>1476</v>
      </c>
      <c r="C277" s="2" t="s">
        <v>1548</v>
      </c>
      <c r="D277" s="2" t="s">
        <v>351</v>
      </c>
      <c r="E277" s="2" t="s">
        <v>100</v>
      </c>
      <c r="F277" s="2" t="s">
        <v>1549</v>
      </c>
      <c r="G277" s="2" t="s">
        <v>1550</v>
      </c>
      <c r="H277" s="2" t="s">
        <v>91</v>
      </c>
      <c r="I277" s="2" t="s">
        <v>92</v>
      </c>
      <c r="J277" s="2" t="n">
        <v>-7.7986</v>
      </c>
      <c r="K277" s="2" t="n">
        <v>110.3654</v>
      </c>
      <c r="L277" s="2" t="s">
        <v>124</v>
      </c>
      <c r="M277" s="2" t="s">
        <v>60</v>
      </c>
      <c r="N277" s="2"/>
      <c r="O277" s="2" t="s">
        <v>1551</v>
      </c>
      <c r="P277" s="2"/>
      <c r="Q277" s="2" t="s">
        <v>62</v>
      </c>
      <c r="R277" s="2" t="n">
        <v>0.75</v>
      </c>
      <c r="S277" s="2" t="s">
        <v>1552</v>
      </c>
      <c r="T277" s="2" t="s">
        <v>1168</v>
      </c>
      <c r="U277" s="2" t="s">
        <v>1553</v>
      </c>
      <c r="V277" s="2" t="s">
        <v>1170</v>
      </c>
      <c r="W277" s="2" t="s">
        <v>1482</v>
      </c>
      <c r="X277" s="2" t="s">
        <v>68</v>
      </c>
    </row>
    <row r="278" customFormat="false" ht="15" hidden="false" customHeight="false" outlineLevel="0" collapsed="false">
      <c r="A278" s="2" t="n">
        <v>233</v>
      </c>
      <c r="B278" s="2" t="s">
        <v>1476</v>
      </c>
      <c r="C278" s="2" t="s">
        <v>1554</v>
      </c>
      <c r="D278" s="2" t="s">
        <v>351</v>
      </c>
      <c r="E278" s="2" t="s">
        <v>100</v>
      </c>
      <c r="F278" s="2"/>
      <c r="G278" s="2"/>
      <c r="H278" s="2" t="s">
        <v>91</v>
      </c>
      <c r="I278" s="2" t="s">
        <v>92</v>
      </c>
      <c r="J278" s="2" t="n">
        <v>-7.797</v>
      </c>
      <c r="K278" s="2" t="n">
        <v>110.37</v>
      </c>
      <c r="L278" s="2" t="s">
        <v>101</v>
      </c>
      <c r="M278" s="2" t="s">
        <v>60</v>
      </c>
      <c r="N278" s="2" t="s">
        <v>1555</v>
      </c>
      <c r="O278" s="2" t="s">
        <v>1556</v>
      </c>
      <c r="P278" s="2"/>
      <c r="Q278" s="2" t="s">
        <v>62</v>
      </c>
      <c r="R278" s="2" t="n">
        <v>0.6</v>
      </c>
      <c r="S278" s="2" t="s">
        <v>1552</v>
      </c>
      <c r="T278" s="2" t="s">
        <v>1168</v>
      </c>
      <c r="U278" s="2" t="s">
        <v>1553</v>
      </c>
      <c r="V278" s="2" t="s">
        <v>1170</v>
      </c>
      <c r="W278" s="2" t="s">
        <v>1482</v>
      </c>
      <c r="X278" s="2" t="s">
        <v>68</v>
      </c>
    </row>
    <row r="279" customFormat="false" ht="15" hidden="false" customHeight="false" outlineLevel="0" collapsed="false">
      <c r="A279" s="2" t="n">
        <v>234</v>
      </c>
      <c r="B279" s="2" t="s">
        <v>1476</v>
      </c>
      <c r="C279" s="2" t="s">
        <v>1557</v>
      </c>
      <c r="D279" s="2" t="s">
        <v>410</v>
      </c>
      <c r="E279" s="2" t="s">
        <v>1558</v>
      </c>
      <c r="F279" s="2"/>
      <c r="G279" s="2"/>
      <c r="H279" s="2"/>
      <c r="I279" s="2" t="s">
        <v>1559</v>
      </c>
      <c r="J279" s="2" t="n">
        <v>-8.65</v>
      </c>
      <c r="K279" s="2" t="n">
        <v>116.32</v>
      </c>
      <c r="L279" s="2" t="s">
        <v>124</v>
      </c>
      <c r="M279" s="2" t="s">
        <v>340</v>
      </c>
      <c r="N279" s="2" t="s">
        <v>1560</v>
      </c>
      <c r="O279" s="2" t="s">
        <v>1561</v>
      </c>
      <c r="P279" s="2"/>
      <c r="Q279" s="2" t="s">
        <v>62</v>
      </c>
      <c r="R279" s="2" t="n">
        <v>0.5</v>
      </c>
      <c r="S279" s="2" t="s">
        <v>1562</v>
      </c>
      <c r="T279" s="2" t="s">
        <v>1563</v>
      </c>
      <c r="U279" s="2" t="s">
        <v>1564</v>
      </c>
      <c r="V279" s="2" t="s">
        <v>420</v>
      </c>
      <c r="W279" s="2" t="s">
        <v>115</v>
      </c>
      <c r="X279" s="2" t="s">
        <v>68</v>
      </c>
    </row>
    <row r="280" customFormat="false" ht="15" hidden="false" customHeight="false" outlineLevel="0" collapsed="false">
      <c r="A280" s="2" t="n">
        <v>236</v>
      </c>
      <c r="B280" s="2" t="s">
        <v>1476</v>
      </c>
      <c r="C280" s="2" t="s">
        <v>1565</v>
      </c>
      <c r="D280" s="2" t="s">
        <v>410</v>
      </c>
      <c r="E280" s="2" t="s">
        <v>1558</v>
      </c>
      <c r="F280" s="2" t="s">
        <v>1566</v>
      </c>
      <c r="G280" s="2" t="s">
        <v>1567</v>
      </c>
      <c r="H280" s="2" t="s">
        <v>1568</v>
      </c>
      <c r="I280" s="2" t="s">
        <v>1559</v>
      </c>
      <c r="J280" s="2" t="n">
        <v>-8.491</v>
      </c>
      <c r="K280" s="2" t="n">
        <v>116.043</v>
      </c>
      <c r="L280" s="2" t="s">
        <v>124</v>
      </c>
      <c r="M280" s="2" t="s">
        <v>60</v>
      </c>
      <c r="N280" s="2"/>
      <c r="O280" s="2" t="s">
        <v>1569</v>
      </c>
      <c r="P280" s="2"/>
      <c r="Q280" s="2" t="s">
        <v>62</v>
      </c>
      <c r="R280" s="2" t="n">
        <v>0.5</v>
      </c>
      <c r="S280" s="2" t="s">
        <v>1570</v>
      </c>
      <c r="T280" s="2" t="s">
        <v>1571</v>
      </c>
      <c r="U280" s="2" t="s">
        <v>1572</v>
      </c>
      <c r="V280" s="2" t="s">
        <v>1573</v>
      </c>
      <c r="W280" s="2" t="s">
        <v>1574</v>
      </c>
      <c r="X280" s="2" t="s">
        <v>160</v>
      </c>
    </row>
    <row r="281" customFormat="false" ht="15" hidden="false" customHeight="false" outlineLevel="0" collapsed="false">
      <c r="A281" s="2" t="n">
        <v>239</v>
      </c>
      <c r="B281" s="2" t="s">
        <v>1476</v>
      </c>
      <c r="C281" s="2" t="s">
        <v>1575</v>
      </c>
      <c r="D281" s="2" t="s">
        <v>410</v>
      </c>
      <c r="E281" s="2" t="s">
        <v>1576</v>
      </c>
      <c r="F281" s="2"/>
      <c r="G281" s="2"/>
      <c r="H281" s="2" t="s">
        <v>1577</v>
      </c>
      <c r="I281" s="2" t="s">
        <v>1383</v>
      </c>
      <c r="J281" s="2" t="n">
        <v>-2.05</v>
      </c>
      <c r="K281" s="2" t="n">
        <v>101.4</v>
      </c>
      <c r="L281" s="2" t="s">
        <v>101</v>
      </c>
      <c r="M281" s="2" t="s">
        <v>60</v>
      </c>
      <c r="N281" s="2"/>
      <c r="O281" s="2" t="s">
        <v>1578</v>
      </c>
      <c r="P281" s="2"/>
      <c r="Q281" s="2" t="s">
        <v>62</v>
      </c>
      <c r="R281" s="2" t="n">
        <v>0.85</v>
      </c>
      <c r="S281" s="2" t="s">
        <v>1579</v>
      </c>
      <c r="T281" s="2" t="s">
        <v>1580</v>
      </c>
      <c r="U281" s="2" t="s">
        <v>1581</v>
      </c>
      <c r="V281" s="2" t="s">
        <v>1582</v>
      </c>
      <c r="W281" s="2" t="s">
        <v>271</v>
      </c>
      <c r="X281" s="2" t="s">
        <v>68</v>
      </c>
    </row>
    <row r="282" customFormat="false" ht="15" hidden="false" customHeight="false" outlineLevel="0" collapsed="false">
      <c r="A282" s="2" t="n">
        <v>243</v>
      </c>
      <c r="B282" s="2" t="s">
        <v>1583</v>
      </c>
      <c r="C282" s="2" t="s">
        <v>577</v>
      </c>
      <c r="D282" s="2" t="s">
        <v>410</v>
      </c>
      <c r="E282" s="2" t="s">
        <v>577</v>
      </c>
      <c r="F282" s="2"/>
      <c r="G282" s="2"/>
      <c r="H282" s="2"/>
      <c r="I282" s="2" t="s">
        <v>577</v>
      </c>
      <c r="J282" s="2" t="n">
        <v>-8.34</v>
      </c>
      <c r="K282" s="2" t="n">
        <v>115.092</v>
      </c>
      <c r="L282" s="2" t="s">
        <v>239</v>
      </c>
      <c r="M282" s="2" t="s">
        <v>340</v>
      </c>
      <c r="N282" s="2"/>
      <c r="O282" s="2" t="s">
        <v>1584</v>
      </c>
      <c r="P282" s="2" t="s">
        <v>109</v>
      </c>
      <c r="Q282" s="2" t="s">
        <v>62</v>
      </c>
      <c r="R282" s="2" t="n">
        <v>0.5</v>
      </c>
      <c r="S282" s="2" t="s">
        <v>1585</v>
      </c>
      <c r="T282" s="2" t="s">
        <v>915</v>
      </c>
      <c r="U282" s="2" t="s">
        <v>1586</v>
      </c>
      <c r="V282" s="2" t="s">
        <v>1500</v>
      </c>
      <c r="W282" s="2" t="s">
        <v>1587</v>
      </c>
      <c r="X282" s="2" t="s">
        <v>1588</v>
      </c>
    </row>
    <row r="283" customFormat="false" ht="15" hidden="false" customHeight="false" outlineLevel="0" collapsed="false">
      <c r="A283" s="2" t="n">
        <v>243</v>
      </c>
      <c r="B283" s="2" t="s">
        <v>1583</v>
      </c>
      <c r="C283" s="2" t="s">
        <v>1589</v>
      </c>
      <c r="D283" s="2" t="s">
        <v>410</v>
      </c>
      <c r="E283" s="2" t="s">
        <v>1590</v>
      </c>
      <c r="F283" s="2"/>
      <c r="G283" s="2" t="s">
        <v>1589</v>
      </c>
      <c r="H283" s="2" t="s">
        <v>1591</v>
      </c>
      <c r="I283" s="2" t="s">
        <v>172</v>
      </c>
      <c r="J283" s="2" t="n">
        <v>-5.84</v>
      </c>
      <c r="K283" s="2" t="n">
        <v>110.46</v>
      </c>
      <c r="L283" s="2" t="s">
        <v>84</v>
      </c>
      <c r="M283" s="2" t="s">
        <v>60</v>
      </c>
      <c r="N283" s="2"/>
      <c r="O283" s="2" t="s">
        <v>1592</v>
      </c>
      <c r="P283" s="2" t="s">
        <v>109</v>
      </c>
      <c r="Q283" s="2" t="s">
        <v>110</v>
      </c>
      <c r="R283" s="2" t="n">
        <v>0.75</v>
      </c>
      <c r="S283" s="2" t="s">
        <v>1585</v>
      </c>
      <c r="T283" s="2" t="s">
        <v>915</v>
      </c>
      <c r="U283" s="2" t="s">
        <v>1586</v>
      </c>
      <c r="V283" s="2" t="s">
        <v>1500</v>
      </c>
      <c r="W283" s="2" t="s">
        <v>1587</v>
      </c>
      <c r="X283" s="2" t="s">
        <v>1588</v>
      </c>
    </row>
    <row r="284" customFormat="false" ht="15" hidden="false" customHeight="false" outlineLevel="0" collapsed="false">
      <c r="A284" s="2" t="n">
        <v>243</v>
      </c>
      <c r="B284" s="2" t="s">
        <v>1583</v>
      </c>
      <c r="C284" s="2" t="s">
        <v>1593</v>
      </c>
      <c r="D284" s="2" t="s">
        <v>410</v>
      </c>
      <c r="E284" s="2" t="s">
        <v>1594</v>
      </c>
      <c r="F284" s="2"/>
      <c r="G284" s="2"/>
      <c r="H284" s="2" t="s">
        <v>1595</v>
      </c>
      <c r="I284" s="2" t="s">
        <v>184</v>
      </c>
      <c r="J284" s="2" t="n">
        <v>-8.0583</v>
      </c>
      <c r="K284" s="2" t="n">
        <v>114.2417</v>
      </c>
      <c r="L284" s="2" t="s">
        <v>124</v>
      </c>
      <c r="M284" s="2" t="s">
        <v>340</v>
      </c>
      <c r="N284" s="2"/>
      <c r="O284" s="2" t="s">
        <v>1596</v>
      </c>
      <c r="P284" s="2" t="s">
        <v>109</v>
      </c>
      <c r="Q284" s="2" t="s">
        <v>110</v>
      </c>
      <c r="R284" s="2" t="n">
        <v>0.7</v>
      </c>
      <c r="S284" s="2" t="s">
        <v>1585</v>
      </c>
      <c r="T284" s="2" t="s">
        <v>915</v>
      </c>
      <c r="U284" s="2" t="s">
        <v>1586</v>
      </c>
      <c r="V284" s="2" t="s">
        <v>1500</v>
      </c>
      <c r="W284" s="2" t="s">
        <v>1587</v>
      </c>
      <c r="X284" s="2" t="s">
        <v>1588</v>
      </c>
    </row>
    <row r="285" customFormat="false" ht="15" hidden="false" customHeight="false" outlineLevel="0" collapsed="false">
      <c r="A285" s="2" t="n">
        <v>243</v>
      </c>
      <c r="B285" s="2" t="s">
        <v>1583</v>
      </c>
      <c r="C285" s="2" t="s">
        <v>1597</v>
      </c>
      <c r="D285" s="2" t="s">
        <v>410</v>
      </c>
      <c r="E285" s="2" t="s">
        <v>1598</v>
      </c>
      <c r="F285" s="2"/>
      <c r="G285" s="2"/>
      <c r="H285" s="2" t="s">
        <v>950</v>
      </c>
      <c r="I285" s="2" t="s">
        <v>184</v>
      </c>
      <c r="J285" s="2" t="n">
        <v>-7.258</v>
      </c>
      <c r="K285" s="2" t="n">
        <v>112.752</v>
      </c>
      <c r="L285" s="2" t="s">
        <v>101</v>
      </c>
      <c r="M285" s="2" t="s">
        <v>60</v>
      </c>
      <c r="N285" s="2"/>
      <c r="O285" s="2" t="s">
        <v>1599</v>
      </c>
      <c r="P285" s="2"/>
      <c r="Q285" s="2" t="s">
        <v>62</v>
      </c>
      <c r="R285" s="2" t="n">
        <v>0.55</v>
      </c>
      <c r="S285" s="2" t="s">
        <v>1585</v>
      </c>
      <c r="T285" s="2" t="s">
        <v>915</v>
      </c>
      <c r="U285" s="2" t="s">
        <v>1586</v>
      </c>
      <c r="V285" s="2" t="s">
        <v>1500</v>
      </c>
      <c r="W285" s="2" t="s">
        <v>1587</v>
      </c>
      <c r="X285" s="2" t="s">
        <v>1588</v>
      </c>
    </row>
    <row r="286" customFormat="false" ht="15" hidden="false" customHeight="false" outlineLevel="0" collapsed="false">
      <c r="A286" s="2" t="n">
        <v>244</v>
      </c>
      <c r="B286" s="2" t="s">
        <v>1583</v>
      </c>
      <c r="C286" s="2" t="s">
        <v>1600</v>
      </c>
      <c r="D286" s="2" t="s">
        <v>1130</v>
      </c>
      <c r="E286" s="2" t="s">
        <v>1601</v>
      </c>
      <c r="F286" s="2" t="s">
        <v>885</v>
      </c>
      <c r="G286" s="2" t="s">
        <v>885</v>
      </c>
      <c r="H286" s="2" t="s">
        <v>73</v>
      </c>
      <c r="I286" s="2" t="s">
        <v>74</v>
      </c>
      <c r="J286" s="2" t="n">
        <v>-6.1785</v>
      </c>
      <c r="K286" s="2" t="n">
        <v>106.8385</v>
      </c>
      <c r="L286" s="2" t="s">
        <v>124</v>
      </c>
      <c r="M286" s="2" t="s">
        <v>60</v>
      </c>
      <c r="N286" s="2"/>
      <c r="O286" s="2" t="s">
        <v>1602</v>
      </c>
      <c r="P286" s="2"/>
      <c r="Q286" s="2" t="s">
        <v>62</v>
      </c>
      <c r="R286" s="2" t="n">
        <v>0.8</v>
      </c>
      <c r="S286" s="2" t="s">
        <v>1603</v>
      </c>
      <c r="T286" s="2" t="s">
        <v>1498</v>
      </c>
      <c r="U286" s="2" t="s">
        <v>1604</v>
      </c>
      <c r="V286" s="2" t="s">
        <v>97</v>
      </c>
      <c r="W286" s="2" t="s">
        <v>476</v>
      </c>
      <c r="X286" s="2" t="s">
        <v>160</v>
      </c>
    </row>
    <row r="287" customFormat="false" ht="15" hidden="false" customHeight="false" outlineLevel="0" collapsed="false">
      <c r="A287" s="2" t="n">
        <v>244</v>
      </c>
      <c r="B287" s="2" t="s">
        <v>1583</v>
      </c>
      <c r="C287" s="2" t="s">
        <v>1605</v>
      </c>
      <c r="D287" s="2" t="s">
        <v>1130</v>
      </c>
      <c r="E287" s="2" t="s">
        <v>1606</v>
      </c>
      <c r="F287" s="2" t="s">
        <v>80</v>
      </c>
      <c r="G287" s="2" t="s">
        <v>80</v>
      </c>
      <c r="H287" s="2" t="s">
        <v>73</v>
      </c>
      <c r="I287" s="2" t="s">
        <v>74</v>
      </c>
      <c r="J287" s="2" t="n">
        <v>-6.196</v>
      </c>
      <c r="K287" s="2" t="n">
        <v>106.833</v>
      </c>
      <c r="L287" s="2" t="s">
        <v>59</v>
      </c>
      <c r="M287" s="2" t="s">
        <v>60</v>
      </c>
      <c r="N287" s="2"/>
      <c r="O287" s="2" t="s">
        <v>1607</v>
      </c>
      <c r="P287" s="2"/>
      <c r="Q287" s="2" t="s">
        <v>62</v>
      </c>
      <c r="R287" s="2" t="n">
        <v>0.75</v>
      </c>
      <c r="S287" s="2" t="s">
        <v>1603</v>
      </c>
      <c r="T287" s="2" t="s">
        <v>1498</v>
      </c>
      <c r="U287" s="2" t="s">
        <v>1604</v>
      </c>
      <c r="V287" s="2" t="s">
        <v>97</v>
      </c>
      <c r="W287" s="2" t="s">
        <v>476</v>
      </c>
      <c r="X287" s="2" t="s">
        <v>160</v>
      </c>
    </row>
    <row r="288" customFormat="false" ht="15" hidden="false" customHeight="false" outlineLevel="0" collapsed="false">
      <c r="A288" s="2" t="n">
        <v>245</v>
      </c>
      <c r="B288" s="2" t="s">
        <v>1583</v>
      </c>
      <c r="C288" s="2" t="s">
        <v>1608</v>
      </c>
      <c r="D288" s="2" t="s">
        <v>410</v>
      </c>
      <c r="E288" s="2" t="s">
        <v>1609</v>
      </c>
      <c r="F288" s="2"/>
      <c r="G288" s="2"/>
      <c r="H288" s="2" t="s">
        <v>1610</v>
      </c>
      <c r="I288" s="2" t="s">
        <v>554</v>
      </c>
      <c r="J288" s="2" t="n">
        <v>-5.63</v>
      </c>
      <c r="K288" s="2" t="n">
        <v>132.75</v>
      </c>
      <c r="L288" s="2" t="s">
        <v>101</v>
      </c>
      <c r="M288" s="2" t="s">
        <v>60</v>
      </c>
      <c r="N288" s="2"/>
      <c r="O288" s="2" t="s">
        <v>1611</v>
      </c>
      <c r="P288" s="2"/>
      <c r="Q288" s="2" t="s">
        <v>62</v>
      </c>
      <c r="R288" s="2" t="n">
        <v>0.85</v>
      </c>
      <c r="S288" s="2" t="s">
        <v>1612</v>
      </c>
      <c r="T288" s="2" t="s">
        <v>95</v>
      </c>
      <c r="U288" s="2" t="s">
        <v>1613</v>
      </c>
      <c r="V288" s="2" t="s">
        <v>812</v>
      </c>
      <c r="W288" s="2" t="s">
        <v>1614</v>
      </c>
      <c r="X288" s="2" t="s">
        <v>1588</v>
      </c>
    </row>
    <row r="289" customFormat="false" ht="15" hidden="false" customHeight="false" outlineLevel="0" collapsed="false">
      <c r="A289" s="2" t="n">
        <v>246</v>
      </c>
      <c r="B289" s="2" t="s">
        <v>1583</v>
      </c>
      <c r="C289" s="2" t="s">
        <v>1615</v>
      </c>
      <c r="D289" s="2" t="s">
        <v>53</v>
      </c>
      <c r="E289" s="2" t="s">
        <v>1616</v>
      </c>
      <c r="F289" s="2" t="s">
        <v>1617</v>
      </c>
      <c r="G289" s="2" t="s">
        <v>936</v>
      </c>
      <c r="H289" s="2" t="s">
        <v>937</v>
      </c>
      <c r="I289" s="2" t="s">
        <v>184</v>
      </c>
      <c r="J289" s="2" t="n">
        <v>-7.172</v>
      </c>
      <c r="K289" s="2" t="n">
        <v>112.63</v>
      </c>
      <c r="L289" s="2" t="s">
        <v>84</v>
      </c>
      <c r="M289" s="2" t="s">
        <v>340</v>
      </c>
      <c r="N289" s="2"/>
      <c r="O289" s="2" t="s">
        <v>1618</v>
      </c>
      <c r="P289" s="2"/>
      <c r="Q289" s="2" t="s">
        <v>62</v>
      </c>
      <c r="R289" s="2" t="n">
        <v>0.85</v>
      </c>
      <c r="S289" s="2" t="s">
        <v>1619</v>
      </c>
      <c r="T289" s="2" t="s">
        <v>810</v>
      </c>
      <c r="U289" s="2" t="s">
        <v>1620</v>
      </c>
      <c r="V289" s="2" t="s">
        <v>1500</v>
      </c>
      <c r="W289" s="2" t="s">
        <v>1078</v>
      </c>
      <c r="X289" s="2" t="s">
        <v>1588</v>
      </c>
    </row>
    <row r="290" customFormat="false" ht="15" hidden="false" customHeight="false" outlineLevel="0" collapsed="false">
      <c r="A290" s="2" t="n">
        <v>247</v>
      </c>
      <c r="B290" s="2" t="s">
        <v>1583</v>
      </c>
      <c r="C290" s="2" t="s">
        <v>1621</v>
      </c>
      <c r="D290" s="2" t="s">
        <v>351</v>
      </c>
      <c r="E290" s="2" t="s">
        <v>1622</v>
      </c>
      <c r="F290" s="2" t="s">
        <v>424</v>
      </c>
      <c r="G290" s="2" t="s">
        <v>425</v>
      </c>
      <c r="H290" s="2" t="s">
        <v>426</v>
      </c>
      <c r="I290" s="2" t="s">
        <v>74</v>
      </c>
      <c r="J290" s="2" t="n">
        <v>-6.2445</v>
      </c>
      <c r="K290" s="2" t="n">
        <v>106.801</v>
      </c>
      <c r="L290" s="2" t="s">
        <v>124</v>
      </c>
      <c r="M290" s="2" t="s">
        <v>60</v>
      </c>
      <c r="N290" s="2"/>
      <c r="O290" s="2" t="s">
        <v>1623</v>
      </c>
      <c r="P290" s="2"/>
      <c r="Q290" s="2" t="s">
        <v>62</v>
      </c>
      <c r="R290" s="2" t="n">
        <v>0.7</v>
      </c>
      <c r="S290" s="2" t="s">
        <v>1624</v>
      </c>
      <c r="T290" s="2" t="s">
        <v>1498</v>
      </c>
      <c r="U290" s="2" t="s">
        <v>1625</v>
      </c>
      <c r="V290" s="2" t="s">
        <v>1626</v>
      </c>
      <c r="W290" s="2" t="s">
        <v>1627</v>
      </c>
      <c r="X290" s="2" t="s">
        <v>1588</v>
      </c>
    </row>
    <row r="291" customFormat="false" ht="15" hidden="false" customHeight="false" outlineLevel="0" collapsed="false">
      <c r="A291" s="2" t="n">
        <v>250</v>
      </c>
      <c r="B291" s="2" t="s">
        <v>1583</v>
      </c>
      <c r="C291" s="2" t="s">
        <v>1628</v>
      </c>
      <c r="D291" s="2" t="s">
        <v>53</v>
      </c>
      <c r="E291" s="2" t="s">
        <v>1629</v>
      </c>
      <c r="F291" s="2" t="s">
        <v>71</v>
      </c>
      <c r="G291" s="2" t="s">
        <v>72</v>
      </c>
      <c r="H291" s="2" t="s">
        <v>73</v>
      </c>
      <c r="I291" s="2" t="s">
        <v>74</v>
      </c>
      <c r="J291" s="2" t="n">
        <v>-6.212</v>
      </c>
      <c r="K291" s="2" t="n">
        <v>106.815</v>
      </c>
      <c r="L291" s="2" t="s">
        <v>59</v>
      </c>
      <c r="M291" s="2" t="s">
        <v>340</v>
      </c>
      <c r="N291" s="2"/>
      <c r="O291" s="2" t="s">
        <v>1630</v>
      </c>
      <c r="P291" s="2"/>
      <c r="Q291" s="2" t="s">
        <v>62</v>
      </c>
      <c r="R291" s="2" t="n">
        <v>0.85</v>
      </c>
      <c r="S291" s="2" t="s">
        <v>1631</v>
      </c>
      <c r="T291" s="2" t="s">
        <v>112</v>
      </c>
      <c r="U291" s="2" t="s">
        <v>1632</v>
      </c>
      <c r="V291" s="2" t="s">
        <v>1633</v>
      </c>
      <c r="W291" s="2" t="s">
        <v>1634</v>
      </c>
      <c r="X291" s="2" t="s">
        <v>68</v>
      </c>
    </row>
    <row r="292" customFormat="false" ht="15" hidden="false" customHeight="false" outlineLevel="0" collapsed="false">
      <c r="A292" s="2" t="n">
        <v>250</v>
      </c>
      <c r="B292" s="2" t="s">
        <v>1583</v>
      </c>
      <c r="C292" s="2" t="s">
        <v>1635</v>
      </c>
      <c r="D292" s="2" t="s">
        <v>53</v>
      </c>
      <c r="E292" s="2" t="s">
        <v>830</v>
      </c>
      <c r="F292" s="2"/>
      <c r="G292" s="2"/>
      <c r="H292" s="2"/>
      <c r="I292" s="2" t="s">
        <v>74</v>
      </c>
      <c r="J292" s="2" t="n">
        <v>-6.2</v>
      </c>
      <c r="K292" s="2" t="n">
        <v>106.817</v>
      </c>
      <c r="L292" s="2" t="s">
        <v>239</v>
      </c>
      <c r="M292" s="2" t="s">
        <v>340</v>
      </c>
      <c r="N292" s="2"/>
      <c r="O292" s="2" t="s">
        <v>1636</v>
      </c>
      <c r="P292" s="2"/>
      <c r="Q292" s="2" t="s">
        <v>62</v>
      </c>
      <c r="R292" s="2" t="n">
        <v>0.8</v>
      </c>
      <c r="S292" s="2" t="s">
        <v>1631</v>
      </c>
      <c r="T292" s="2" t="s">
        <v>112</v>
      </c>
      <c r="U292" s="2" t="s">
        <v>1632</v>
      </c>
      <c r="V292" s="2" t="s">
        <v>1633</v>
      </c>
      <c r="W292" s="2" t="s">
        <v>1634</v>
      </c>
      <c r="X292" s="2" t="s">
        <v>68</v>
      </c>
    </row>
    <row r="293" customFormat="false" ht="15" hidden="false" customHeight="false" outlineLevel="0" collapsed="false">
      <c r="A293" s="2" t="n">
        <v>250</v>
      </c>
      <c r="B293" s="2" t="s">
        <v>1583</v>
      </c>
      <c r="C293" s="2" t="s">
        <v>1637</v>
      </c>
      <c r="D293" s="2" t="s">
        <v>53</v>
      </c>
      <c r="E293" s="2" t="s">
        <v>1638</v>
      </c>
      <c r="F293" s="2"/>
      <c r="G293" s="2" t="s">
        <v>1639</v>
      </c>
      <c r="H293" s="2" t="s">
        <v>426</v>
      </c>
      <c r="I293" s="2" t="s">
        <v>74</v>
      </c>
      <c r="J293" s="2" t="n">
        <v>-6.25</v>
      </c>
      <c r="K293" s="2" t="n">
        <v>106.826</v>
      </c>
      <c r="L293" s="2" t="s">
        <v>84</v>
      </c>
      <c r="M293" s="2" t="s">
        <v>60</v>
      </c>
      <c r="N293" s="2" t="s">
        <v>1640</v>
      </c>
      <c r="O293" s="2" t="s">
        <v>1641</v>
      </c>
      <c r="P293" s="2"/>
      <c r="Q293" s="2" t="s">
        <v>62</v>
      </c>
      <c r="R293" s="2" t="n">
        <v>0.5</v>
      </c>
      <c r="S293" s="2" t="s">
        <v>1631</v>
      </c>
      <c r="T293" s="2" t="s">
        <v>112</v>
      </c>
      <c r="U293" s="2" t="s">
        <v>1632</v>
      </c>
      <c r="V293" s="2" t="s">
        <v>1633</v>
      </c>
      <c r="W293" s="2" t="s">
        <v>1634</v>
      </c>
      <c r="X293" s="2" t="s">
        <v>68</v>
      </c>
    </row>
    <row r="294" customFormat="false" ht="15" hidden="false" customHeight="false" outlineLevel="0" collapsed="false">
      <c r="A294" s="2" t="n">
        <v>251</v>
      </c>
      <c r="B294" s="2" t="s">
        <v>1583</v>
      </c>
      <c r="C294" s="2" t="s">
        <v>1642</v>
      </c>
      <c r="D294" s="2" t="s">
        <v>53</v>
      </c>
      <c r="E294" s="2" t="s">
        <v>1643</v>
      </c>
      <c r="F294" s="2"/>
      <c r="G294" s="2" t="s">
        <v>1644</v>
      </c>
      <c r="H294" s="2" t="s">
        <v>426</v>
      </c>
      <c r="I294" s="2" t="s">
        <v>74</v>
      </c>
      <c r="J294" s="2" t="n">
        <v>-6.228</v>
      </c>
      <c r="K294" s="2" t="n">
        <v>106.851</v>
      </c>
      <c r="L294" s="2" t="s">
        <v>84</v>
      </c>
      <c r="M294" s="2" t="s">
        <v>60</v>
      </c>
      <c r="N294" s="2"/>
      <c r="O294" s="2" t="s">
        <v>1645</v>
      </c>
      <c r="P294" s="2"/>
      <c r="Q294" s="2" t="s">
        <v>62</v>
      </c>
      <c r="R294" s="2" t="n">
        <v>0.8</v>
      </c>
      <c r="S294" s="2" t="s">
        <v>1646</v>
      </c>
      <c r="T294" s="2" t="s">
        <v>64</v>
      </c>
      <c r="U294" s="2" t="s">
        <v>1647</v>
      </c>
      <c r="V294" s="2" t="s">
        <v>158</v>
      </c>
      <c r="W294" s="2" t="s">
        <v>1648</v>
      </c>
      <c r="X294" s="2" t="s">
        <v>1588</v>
      </c>
    </row>
    <row r="295" customFormat="false" ht="15" hidden="false" customHeight="false" outlineLevel="0" collapsed="false">
      <c r="A295" s="2" t="n">
        <v>251</v>
      </c>
      <c r="B295" s="2" t="s">
        <v>1583</v>
      </c>
      <c r="C295" s="2" t="s">
        <v>1628</v>
      </c>
      <c r="D295" s="2" t="s">
        <v>53</v>
      </c>
      <c r="E295" s="2" t="s">
        <v>1649</v>
      </c>
      <c r="F295" s="2"/>
      <c r="G295" s="2" t="s">
        <v>1639</v>
      </c>
      <c r="H295" s="2" t="s">
        <v>426</v>
      </c>
      <c r="I295" s="2" t="s">
        <v>74</v>
      </c>
      <c r="J295" s="2" t="n">
        <v>-6.25</v>
      </c>
      <c r="K295" s="2" t="n">
        <v>106.826</v>
      </c>
      <c r="L295" s="2" t="s">
        <v>84</v>
      </c>
      <c r="M295" s="2" t="s">
        <v>60</v>
      </c>
      <c r="N295" s="2"/>
      <c r="O295" s="2" t="s">
        <v>1650</v>
      </c>
      <c r="P295" s="2"/>
      <c r="Q295" s="2" t="s">
        <v>62</v>
      </c>
      <c r="R295" s="2" t="n">
        <v>0.8</v>
      </c>
      <c r="S295" s="2" t="s">
        <v>1646</v>
      </c>
      <c r="T295" s="2" t="s">
        <v>64</v>
      </c>
      <c r="U295" s="2" t="s">
        <v>1647</v>
      </c>
      <c r="V295" s="2" t="s">
        <v>158</v>
      </c>
      <c r="W295" s="2" t="s">
        <v>1648</v>
      </c>
      <c r="X295" s="2" t="s">
        <v>1588</v>
      </c>
    </row>
    <row r="296" customFormat="false" ht="15" hidden="false" customHeight="false" outlineLevel="0" collapsed="false">
      <c r="A296" s="2" t="n">
        <v>252</v>
      </c>
      <c r="B296" s="2" t="s">
        <v>1583</v>
      </c>
      <c r="C296" s="2" t="s">
        <v>524</v>
      </c>
      <c r="D296" s="2" t="s">
        <v>351</v>
      </c>
      <c r="E296" s="2" t="s">
        <v>1539</v>
      </c>
      <c r="F296" s="2" t="s">
        <v>526</v>
      </c>
      <c r="G296" s="2" t="s">
        <v>80</v>
      </c>
      <c r="H296" s="2" t="s">
        <v>73</v>
      </c>
      <c r="I296" s="2" t="s">
        <v>74</v>
      </c>
      <c r="J296" s="2" t="n">
        <v>-6.186</v>
      </c>
      <c r="K296" s="2" t="n">
        <v>106.8267</v>
      </c>
      <c r="L296" s="2" t="s">
        <v>124</v>
      </c>
      <c r="M296" s="2" t="s">
        <v>60</v>
      </c>
      <c r="N296" s="2"/>
      <c r="O296" s="2" t="s">
        <v>1651</v>
      </c>
      <c r="P296" s="2"/>
      <c r="Q296" s="2" t="s">
        <v>62</v>
      </c>
      <c r="R296" s="2" t="n">
        <v>0.7</v>
      </c>
      <c r="S296" s="2" t="s">
        <v>1652</v>
      </c>
      <c r="T296" s="2" t="s">
        <v>156</v>
      </c>
      <c r="U296" s="2" t="s">
        <v>1653</v>
      </c>
      <c r="V296" s="2" t="s">
        <v>1170</v>
      </c>
      <c r="W296" s="2" t="s">
        <v>1654</v>
      </c>
      <c r="X296" s="2" t="s">
        <v>160</v>
      </c>
    </row>
    <row r="297" customFormat="false" ht="15" hidden="false" customHeight="false" outlineLevel="0" collapsed="false">
      <c r="A297" s="2" t="n">
        <v>252</v>
      </c>
      <c r="B297" s="2" t="s">
        <v>1583</v>
      </c>
      <c r="C297" s="2" t="s">
        <v>1655</v>
      </c>
      <c r="D297" s="2" t="s">
        <v>134</v>
      </c>
      <c r="E297" s="2" t="s">
        <v>1656</v>
      </c>
      <c r="F297" s="2" t="s">
        <v>526</v>
      </c>
      <c r="G297" s="2" t="s">
        <v>80</v>
      </c>
      <c r="H297" s="2" t="s">
        <v>73</v>
      </c>
      <c r="I297" s="2" t="s">
        <v>74</v>
      </c>
      <c r="J297" s="2" t="n">
        <v>-6.184</v>
      </c>
      <c r="K297" s="2" t="n">
        <v>106.828</v>
      </c>
      <c r="L297" s="2" t="s">
        <v>59</v>
      </c>
      <c r="M297" s="2" t="s">
        <v>60</v>
      </c>
      <c r="N297" s="2"/>
      <c r="O297" s="2" t="s">
        <v>1657</v>
      </c>
      <c r="P297" s="2"/>
      <c r="Q297" s="2" t="s">
        <v>62</v>
      </c>
      <c r="R297" s="2" t="n">
        <v>0.85</v>
      </c>
      <c r="S297" s="2" t="s">
        <v>1652</v>
      </c>
      <c r="T297" s="2" t="s">
        <v>156</v>
      </c>
      <c r="U297" s="2" t="s">
        <v>1653</v>
      </c>
      <c r="V297" s="2" t="s">
        <v>1170</v>
      </c>
      <c r="W297" s="2" t="s">
        <v>1654</v>
      </c>
      <c r="X297" s="2" t="s">
        <v>160</v>
      </c>
    </row>
    <row r="298" customFormat="false" ht="15" hidden="false" customHeight="false" outlineLevel="0" collapsed="false">
      <c r="A298" s="2" t="n">
        <v>252</v>
      </c>
      <c r="B298" s="2" t="s">
        <v>1583</v>
      </c>
      <c r="C298" s="2" t="s">
        <v>1658</v>
      </c>
      <c r="D298" s="2" t="s">
        <v>53</v>
      </c>
      <c r="E298" s="2" t="s">
        <v>1659</v>
      </c>
      <c r="F298" s="2" t="s">
        <v>526</v>
      </c>
      <c r="G298" s="2" t="s">
        <v>80</v>
      </c>
      <c r="H298" s="2" t="s">
        <v>73</v>
      </c>
      <c r="I298" s="2" t="s">
        <v>74</v>
      </c>
      <c r="J298" s="2" t="n">
        <v>-6.184</v>
      </c>
      <c r="K298" s="2" t="n">
        <v>106.828</v>
      </c>
      <c r="L298" s="2" t="s">
        <v>59</v>
      </c>
      <c r="M298" s="2" t="s">
        <v>60</v>
      </c>
      <c r="N298" s="2"/>
      <c r="O298" s="2" t="s">
        <v>1660</v>
      </c>
      <c r="P298" s="2"/>
      <c r="Q298" s="2" t="s">
        <v>62</v>
      </c>
      <c r="R298" s="2" t="n">
        <v>0.85</v>
      </c>
      <c r="S298" s="2" t="s">
        <v>1652</v>
      </c>
      <c r="T298" s="2" t="s">
        <v>156</v>
      </c>
      <c r="U298" s="2" t="s">
        <v>1653</v>
      </c>
      <c r="V298" s="2" t="s">
        <v>1170</v>
      </c>
      <c r="W298" s="2" t="s">
        <v>1654</v>
      </c>
      <c r="X298" s="2" t="s">
        <v>160</v>
      </c>
    </row>
    <row r="299" customFormat="false" ht="15" hidden="false" customHeight="false" outlineLevel="0" collapsed="false">
      <c r="A299" s="2" t="n">
        <v>252</v>
      </c>
      <c r="B299" s="2" t="s">
        <v>1583</v>
      </c>
      <c r="C299" s="2" t="s">
        <v>1661</v>
      </c>
      <c r="D299" s="2" t="s">
        <v>53</v>
      </c>
      <c r="E299" s="2" t="s">
        <v>1662</v>
      </c>
      <c r="F299" s="2" t="s">
        <v>526</v>
      </c>
      <c r="G299" s="2" t="s">
        <v>80</v>
      </c>
      <c r="H299" s="2" t="s">
        <v>73</v>
      </c>
      <c r="I299" s="2" t="s">
        <v>74</v>
      </c>
      <c r="J299" s="2" t="n">
        <v>-6.184</v>
      </c>
      <c r="K299" s="2" t="n">
        <v>106.828</v>
      </c>
      <c r="L299" s="2" t="s">
        <v>59</v>
      </c>
      <c r="M299" s="2" t="s">
        <v>60</v>
      </c>
      <c r="N299" s="2"/>
      <c r="O299" s="2" t="s">
        <v>1663</v>
      </c>
      <c r="P299" s="2"/>
      <c r="Q299" s="2" t="s">
        <v>62</v>
      </c>
      <c r="R299" s="2" t="n">
        <v>0.5</v>
      </c>
      <c r="S299" s="2" t="s">
        <v>1652</v>
      </c>
      <c r="T299" s="2" t="s">
        <v>156</v>
      </c>
      <c r="U299" s="2" t="s">
        <v>1653</v>
      </c>
      <c r="V299" s="2" t="s">
        <v>1170</v>
      </c>
      <c r="W299" s="2" t="s">
        <v>1654</v>
      </c>
      <c r="X299" s="2" t="s">
        <v>160</v>
      </c>
    </row>
    <row r="300" customFormat="false" ht="15" hidden="false" customHeight="false" outlineLevel="0" collapsed="false">
      <c r="A300" s="2" t="n">
        <v>253</v>
      </c>
      <c r="B300" s="2" t="s">
        <v>1583</v>
      </c>
      <c r="C300" s="2" t="s">
        <v>1664</v>
      </c>
      <c r="D300" s="2" t="s">
        <v>53</v>
      </c>
      <c r="E300" s="2" t="s">
        <v>1665</v>
      </c>
      <c r="F300" s="2" t="s">
        <v>1666</v>
      </c>
      <c r="G300" s="2" t="s">
        <v>1666</v>
      </c>
      <c r="H300" s="2" t="s">
        <v>426</v>
      </c>
      <c r="I300" s="2" t="s">
        <v>74</v>
      </c>
      <c r="J300" s="2" t="n">
        <v>-6.284</v>
      </c>
      <c r="K300" s="2" t="n">
        <v>106.842</v>
      </c>
      <c r="L300" s="2" t="s">
        <v>59</v>
      </c>
      <c r="M300" s="2" t="s">
        <v>60</v>
      </c>
      <c r="N300" s="2" t="s">
        <v>1667</v>
      </c>
      <c r="O300" s="2" t="s">
        <v>1668</v>
      </c>
      <c r="P300" s="2"/>
      <c r="Q300" s="2" t="s">
        <v>62</v>
      </c>
      <c r="R300" s="2" t="n">
        <v>0.75</v>
      </c>
      <c r="S300" s="2" t="s">
        <v>1669</v>
      </c>
      <c r="T300" s="2" t="s">
        <v>1168</v>
      </c>
      <c r="U300" s="2" t="s">
        <v>1670</v>
      </c>
      <c r="V300" s="2" t="s">
        <v>97</v>
      </c>
      <c r="W300" s="2" t="s">
        <v>262</v>
      </c>
      <c r="X300" s="2" t="s">
        <v>1588</v>
      </c>
    </row>
    <row r="301" customFormat="false" ht="15" hidden="false" customHeight="false" outlineLevel="0" collapsed="false">
      <c r="A301" s="2" t="n">
        <v>253</v>
      </c>
      <c r="B301" s="2" t="s">
        <v>1583</v>
      </c>
      <c r="C301" s="2" t="s">
        <v>1671</v>
      </c>
      <c r="D301" s="2" t="s">
        <v>53</v>
      </c>
      <c r="E301" s="2" t="s">
        <v>1672</v>
      </c>
      <c r="F301" s="2"/>
      <c r="G301" s="2" t="s">
        <v>1666</v>
      </c>
      <c r="H301" s="2" t="s">
        <v>426</v>
      </c>
      <c r="I301" s="2" t="s">
        <v>74</v>
      </c>
      <c r="J301" s="2" t="n">
        <v>-6.29</v>
      </c>
      <c r="K301" s="2" t="n">
        <v>106.834</v>
      </c>
      <c r="L301" s="2" t="s">
        <v>84</v>
      </c>
      <c r="M301" s="2" t="s">
        <v>60</v>
      </c>
      <c r="N301" s="2"/>
      <c r="O301" s="2" t="s">
        <v>1673</v>
      </c>
      <c r="P301" s="2"/>
      <c r="Q301" s="2" t="s">
        <v>62</v>
      </c>
      <c r="R301" s="2" t="n">
        <v>0.8</v>
      </c>
      <c r="S301" s="2" t="s">
        <v>1669</v>
      </c>
      <c r="T301" s="2" t="s">
        <v>1168</v>
      </c>
      <c r="U301" s="2" t="s">
        <v>1670</v>
      </c>
      <c r="V301" s="2" t="s">
        <v>97</v>
      </c>
      <c r="W301" s="2" t="s">
        <v>262</v>
      </c>
      <c r="X301" s="2" t="s">
        <v>1588</v>
      </c>
    </row>
    <row r="302" customFormat="false" ht="15" hidden="false" customHeight="false" outlineLevel="0" collapsed="false">
      <c r="A302" s="2" t="n">
        <v>254</v>
      </c>
      <c r="B302" s="2" t="s">
        <v>1583</v>
      </c>
      <c r="C302" s="2" t="s">
        <v>1674</v>
      </c>
      <c r="D302" s="2" t="s">
        <v>121</v>
      </c>
      <c r="E302" s="2" t="s">
        <v>1675</v>
      </c>
      <c r="F302" s="2"/>
      <c r="G302" s="2"/>
      <c r="H302" s="2" t="s">
        <v>1676</v>
      </c>
      <c r="I302" s="2" t="s">
        <v>972</v>
      </c>
      <c r="J302" s="2" t="n">
        <v>5.55</v>
      </c>
      <c r="K302" s="2" t="n">
        <v>95.317</v>
      </c>
      <c r="L302" s="2" t="s">
        <v>101</v>
      </c>
      <c r="M302" s="2" t="s">
        <v>60</v>
      </c>
      <c r="N302" s="2"/>
      <c r="O302" s="2" t="s">
        <v>1677</v>
      </c>
      <c r="P302" s="2" t="s">
        <v>1678</v>
      </c>
      <c r="Q302" s="2" t="s">
        <v>62</v>
      </c>
      <c r="R302" s="2" t="n">
        <v>0.8</v>
      </c>
      <c r="S302" s="2" t="s">
        <v>1679</v>
      </c>
      <c r="T302" s="2" t="s">
        <v>95</v>
      </c>
      <c r="U302" s="2" t="s">
        <v>1680</v>
      </c>
      <c r="V302" s="2" t="s">
        <v>420</v>
      </c>
      <c r="W302" s="2" t="s">
        <v>828</v>
      </c>
      <c r="X302" s="2" t="s">
        <v>68</v>
      </c>
    </row>
    <row r="303" customFormat="false" ht="15" hidden="false" customHeight="false" outlineLevel="0" collapsed="false">
      <c r="A303" s="2" t="n">
        <v>255</v>
      </c>
      <c r="B303" s="2" t="s">
        <v>1583</v>
      </c>
      <c r="C303" s="2" t="s">
        <v>1681</v>
      </c>
      <c r="D303" s="2" t="s">
        <v>121</v>
      </c>
      <c r="E303" s="2" t="s">
        <v>1682</v>
      </c>
      <c r="F303" s="2"/>
      <c r="G303" s="2"/>
      <c r="H303" s="2" t="s">
        <v>1683</v>
      </c>
      <c r="I303" s="2" t="s">
        <v>972</v>
      </c>
      <c r="J303" s="2" t="n">
        <v>4.97</v>
      </c>
      <c r="K303" s="2" t="n">
        <v>97.14</v>
      </c>
      <c r="L303" s="2" t="s">
        <v>101</v>
      </c>
      <c r="M303" s="2" t="s">
        <v>60</v>
      </c>
      <c r="N303" s="2"/>
      <c r="O303" s="2" t="s">
        <v>1684</v>
      </c>
      <c r="P303" s="2" t="s">
        <v>1685</v>
      </c>
      <c r="Q303" s="2" t="s">
        <v>62</v>
      </c>
      <c r="R303" s="2" t="n">
        <v>0.7</v>
      </c>
      <c r="S303" s="2" t="s">
        <v>1686</v>
      </c>
      <c r="T303" s="2" t="s">
        <v>1563</v>
      </c>
      <c r="U303" s="2" t="s">
        <v>1687</v>
      </c>
      <c r="V303" s="2" t="s">
        <v>1688</v>
      </c>
      <c r="W303" s="2" t="s">
        <v>1188</v>
      </c>
      <c r="X303" s="2" t="s">
        <v>1588</v>
      </c>
    </row>
    <row r="304" customFormat="false" ht="15" hidden="false" customHeight="false" outlineLevel="0" collapsed="false">
      <c r="A304" s="2" t="n">
        <v>256</v>
      </c>
      <c r="B304" s="2" t="s">
        <v>1583</v>
      </c>
      <c r="C304" s="2" t="s">
        <v>1689</v>
      </c>
      <c r="D304" s="2" t="s">
        <v>410</v>
      </c>
      <c r="E304" s="2" t="s">
        <v>1690</v>
      </c>
      <c r="F304" s="2" t="s">
        <v>1691</v>
      </c>
      <c r="G304" s="2" t="s">
        <v>1692</v>
      </c>
      <c r="H304" s="2" t="s">
        <v>1693</v>
      </c>
      <c r="I304" s="2" t="s">
        <v>972</v>
      </c>
      <c r="J304" s="2" t="n">
        <v>5.46</v>
      </c>
      <c r="K304" s="2" t="n">
        <v>95.4</v>
      </c>
      <c r="L304" s="2" t="s">
        <v>84</v>
      </c>
      <c r="M304" s="2" t="s">
        <v>60</v>
      </c>
      <c r="N304" s="2"/>
      <c r="O304" s="2" t="s">
        <v>1694</v>
      </c>
      <c r="P304" s="2" t="s">
        <v>1695</v>
      </c>
      <c r="Q304" s="2" t="s">
        <v>110</v>
      </c>
      <c r="R304" s="2" t="n">
        <v>0.9</v>
      </c>
      <c r="S304" s="2" t="s">
        <v>1696</v>
      </c>
      <c r="T304" s="2" t="s">
        <v>1697</v>
      </c>
      <c r="U304" s="2" t="s">
        <v>1698</v>
      </c>
      <c r="V304" s="2" t="s">
        <v>1699</v>
      </c>
      <c r="W304" s="2" t="s">
        <v>1700</v>
      </c>
      <c r="X304" s="2" t="s">
        <v>1588</v>
      </c>
    </row>
    <row r="305" customFormat="false" ht="15" hidden="false" customHeight="false" outlineLevel="0" collapsed="false">
      <c r="A305" s="2" t="n">
        <v>257</v>
      </c>
      <c r="B305" s="2" t="s">
        <v>1583</v>
      </c>
      <c r="C305" s="2" t="s">
        <v>1701</v>
      </c>
      <c r="D305" s="2" t="s">
        <v>410</v>
      </c>
      <c r="E305" s="2" t="s">
        <v>1702</v>
      </c>
      <c r="F305" s="2" t="s">
        <v>1703</v>
      </c>
      <c r="G305" s="2" t="s">
        <v>1704</v>
      </c>
      <c r="H305" s="2" t="s">
        <v>1683</v>
      </c>
      <c r="I305" s="2" t="s">
        <v>972</v>
      </c>
      <c r="J305" s="2" t="n">
        <v>4.97</v>
      </c>
      <c r="K305" s="2" t="n">
        <v>97.14</v>
      </c>
      <c r="L305" s="2" t="s">
        <v>101</v>
      </c>
      <c r="M305" s="2" t="s">
        <v>60</v>
      </c>
      <c r="N305" s="2"/>
      <c r="O305" s="2" t="s">
        <v>1705</v>
      </c>
      <c r="P305" s="2"/>
      <c r="Q305" s="2" t="s">
        <v>110</v>
      </c>
      <c r="R305" s="2" t="n">
        <v>0.9</v>
      </c>
      <c r="S305" s="2" t="s">
        <v>1706</v>
      </c>
      <c r="T305" s="2" t="s">
        <v>1707</v>
      </c>
      <c r="U305" s="2" t="s">
        <v>1708</v>
      </c>
      <c r="V305" s="2" t="s">
        <v>1709</v>
      </c>
      <c r="W305" s="2" t="s">
        <v>512</v>
      </c>
      <c r="X305" s="2" t="s">
        <v>1588</v>
      </c>
    </row>
    <row r="306" customFormat="false" ht="15" hidden="false" customHeight="false" outlineLevel="0" collapsed="false">
      <c r="A306" s="2" t="n">
        <v>258</v>
      </c>
      <c r="B306" s="2" t="s">
        <v>1583</v>
      </c>
      <c r="C306" s="2" t="s">
        <v>1710</v>
      </c>
      <c r="D306" s="2" t="s">
        <v>410</v>
      </c>
      <c r="E306" s="2" t="s">
        <v>1693</v>
      </c>
      <c r="F306" s="2" t="s">
        <v>1711</v>
      </c>
      <c r="G306" s="2" t="s">
        <v>1712</v>
      </c>
      <c r="H306" s="2" t="s">
        <v>1693</v>
      </c>
      <c r="I306" s="2" t="s">
        <v>972</v>
      </c>
      <c r="J306" s="2" t="n">
        <v>5.496</v>
      </c>
      <c r="K306" s="2" t="n">
        <v>95.241</v>
      </c>
      <c r="L306" s="2" t="s">
        <v>124</v>
      </c>
      <c r="M306" s="2" t="s">
        <v>60</v>
      </c>
      <c r="N306" s="2"/>
      <c r="O306" s="2" t="s">
        <v>1713</v>
      </c>
      <c r="P306" s="2" t="s">
        <v>1714</v>
      </c>
      <c r="Q306" s="2" t="s">
        <v>62</v>
      </c>
      <c r="R306" s="2" t="n">
        <v>0.6</v>
      </c>
      <c r="S306" s="2" t="s">
        <v>1715</v>
      </c>
      <c r="T306" s="2" t="s">
        <v>1716</v>
      </c>
      <c r="U306" s="2" t="s">
        <v>1717</v>
      </c>
      <c r="V306" s="2" t="s">
        <v>1718</v>
      </c>
      <c r="W306" s="2" t="s">
        <v>301</v>
      </c>
      <c r="X306" s="2" t="s">
        <v>1588</v>
      </c>
    </row>
    <row r="307" customFormat="false" ht="15" hidden="false" customHeight="false" outlineLevel="0" collapsed="false">
      <c r="A307" s="2" t="n">
        <v>259</v>
      </c>
      <c r="B307" s="2" t="s">
        <v>1583</v>
      </c>
      <c r="C307" s="2" t="s">
        <v>1719</v>
      </c>
      <c r="D307" s="2" t="s">
        <v>410</v>
      </c>
      <c r="E307" s="2" t="s">
        <v>1720</v>
      </c>
      <c r="F307" s="2"/>
      <c r="G307" s="2"/>
      <c r="H307" s="2" t="s">
        <v>1721</v>
      </c>
      <c r="I307" s="2" t="s">
        <v>972</v>
      </c>
      <c r="J307" s="2" t="n">
        <v>4.53</v>
      </c>
      <c r="K307" s="2" t="n">
        <v>96.85</v>
      </c>
      <c r="L307" s="2" t="s">
        <v>101</v>
      </c>
      <c r="M307" s="2" t="s">
        <v>60</v>
      </c>
      <c r="N307" s="2" t="s">
        <v>1722</v>
      </c>
      <c r="O307" s="2" t="s">
        <v>1723</v>
      </c>
      <c r="P307" s="2"/>
      <c r="Q307" s="2" t="s">
        <v>110</v>
      </c>
      <c r="R307" s="2" t="n">
        <v>0.85</v>
      </c>
      <c r="S307" s="2" t="s">
        <v>1724</v>
      </c>
      <c r="T307" s="2" t="s">
        <v>1718</v>
      </c>
      <c r="U307" s="2" t="s">
        <v>1725</v>
      </c>
      <c r="V307" s="2" t="s">
        <v>745</v>
      </c>
      <c r="W307" s="2" t="s">
        <v>1266</v>
      </c>
      <c r="X307" s="2" t="s">
        <v>1588</v>
      </c>
    </row>
    <row r="308" customFormat="false" ht="15" hidden="false" customHeight="false" outlineLevel="0" collapsed="false">
      <c r="A308" s="2" t="n">
        <v>260</v>
      </c>
      <c r="B308" s="2" t="s">
        <v>1583</v>
      </c>
      <c r="C308" s="2" t="s">
        <v>1726</v>
      </c>
      <c r="D308" s="2" t="s">
        <v>410</v>
      </c>
      <c r="E308" s="2" t="s">
        <v>1727</v>
      </c>
      <c r="F308" s="2" t="s">
        <v>1728</v>
      </c>
      <c r="G308" s="2" t="s">
        <v>1729</v>
      </c>
      <c r="H308" s="2" t="s">
        <v>1693</v>
      </c>
      <c r="I308" s="2" t="s">
        <v>972</v>
      </c>
      <c r="J308" s="2" t="n">
        <v>5.59</v>
      </c>
      <c r="K308" s="2" t="n">
        <v>95.52</v>
      </c>
      <c r="L308" s="2" t="s">
        <v>84</v>
      </c>
      <c r="M308" s="2" t="s">
        <v>60</v>
      </c>
      <c r="N308" s="2"/>
      <c r="O308" s="2" t="s">
        <v>1730</v>
      </c>
      <c r="P308" s="2" t="s">
        <v>1731</v>
      </c>
      <c r="Q308" s="2" t="s">
        <v>110</v>
      </c>
      <c r="R308" s="2" t="n">
        <v>0.85</v>
      </c>
      <c r="S308" s="2" t="s">
        <v>1732</v>
      </c>
      <c r="T308" s="2" t="s">
        <v>743</v>
      </c>
      <c r="U308" s="2" t="s">
        <v>1733</v>
      </c>
      <c r="V308" s="2" t="s">
        <v>1734</v>
      </c>
      <c r="W308" s="2" t="s">
        <v>1735</v>
      </c>
      <c r="X308" s="2" t="s">
        <v>1588</v>
      </c>
    </row>
    <row r="309" customFormat="false" ht="15" hidden="false" customHeight="false" outlineLevel="0" collapsed="false">
      <c r="A309" s="2" t="n">
        <v>261</v>
      </c>
      <c r="B309" s="2" t="s">
        <v>1583</v>
      </c>
      <c r="C309" s="2" t="s">
        <v>1726</v>
      </c>
      <c r="D309" s="2" t="s">
        <v>410</v>
      </c>
      <c r="E309" s="2" t="s">
        <v>1736</v>
      </c>
      <c r="F309" s="2"/>
      <c r="G309" s="2" t="s">
        <v>1729</v>
      </c>
      <c r="H309" s="2" t="s">
        <v>1693</v>
      </c>
      <c r="I309" s="2" t="s">
        <v>972</v>
      </c>
      <c r="J309" s="2" t="n">
        <v>5.59</v>
      </c>
      <c r="K309" s="2" t="n">
        <v>95.52</v>
      </c>
      <c r="L309" s="2" t="s">
        <v>84</v>
      </c>
      <c r="M309" s="2" t="s">
        <v>60</v>
      </c>
      <c r="N309" s="2"/>
      <c r="O309" s="2" t="s">
        <v>1737</v>
      </c>
      <c r="P309" s="2" t="s">
        <v>298</v>
      </c>
      <c r="Q309" s="2" t="s">
        <v>62</v>
      </c>
      <c r="R309" s="2" t="n">
        <v>0.7</v>
      </c>
      <c r="S309" s="2" t="s">
        <v>1738</v>
      </c>
      <c r="T309" s="2" t="s">
        <v>1739</v>
      </c>
      <c r="U309" s="2" t="s">
        <v>1740</v>
      </c>
      <c r="V309" s="2" t="s">
        <v>97</v>
      </c>
      <c r="W309" s="2" t="s">
        <v>1741</v>
      </c>
      <c r="X309" s="2" t="s">
        <v>1588</v>
      </c>
    </row>
    <row r="310" customFormat="false" ht="15" hidden="false" customHeight="false" outlineLevel="0" collapsed="false">
      <c r="A310" s="2" t="n">
        <v>263</v>
      </c>
      <c r="B310" s="2" t="s">
        <v>1583</v>
      </c>
      <c r="C310" s="2" t="s">
        <v>1742</v>
      </c>
      <c r="D310" s="2" t="s">
        <v>410</v>
      </c>
      <c r="E310" s="2" t="s">
        <v>1743</v>
      </c>
      <c r="F310" s="2" t="s">
        <v>1744</v>
      </c>
      <c r="G310" s="2" t="s">
        <v>1745</v>
      </c>
      <c r="H310" s="2" t="s">
        <v>1683</v>
      </c>
      <c r="I310" s="2" t="s">
        <v>972</v>
      </c>
      <c r="J310" s="2" t="n">
        <v>4.97</v>
      </c>
      <c r="K310" s="2" t="n">
        <v>97.14</v>
      </c>
      <c r="L310" s="2" t="s">
        <v>101</v>
      </c>
      <c r="M310" s="2" t="s">
        <v>60</v>
      </c>
      <c r="N310" s="2"/>
      <c r="O310" s="2" t="s">
        <v>1746</v>
      </c>
      <c r="P310" s="2" t="s">
        <v>1747</v>
      </c>
      <c r="Q310" s="2" t="s">
        <v>110</v>
      </c>
      <c r="R310" s="2" t="n">
        <v>0.9</v>
      </c>
      <c r="S310" s="2" t="s">
        <v>1748</v>
      </c>
      <c r="T310" s="2" t="s">
        <v>1563</v>
      </c>
      <c r="U310" s="2" t="s">
        <v>1749</v>
      </c>
      <c r="V310" s="2" t="s">
        <v>1709</v>
      </c>
      <c r="W310" s="2" t="s">
        <v>1750</v>
      </c>
      <c r="X310" s="2" t="s">
        <v>1588</v>
      </c>
    </row>
    <row r="311" customFormat="false" ht="15" hidden="false" customHeight="false" outlineLevel="0" collapsed="false">
      <c r="A311" s="2" t="n">
        <v>264</v>
      </c>
      <c r="B311" s="2" t="s">
        <v>1583</v>
      </c>
      <c r="C311" s="2" t="s">
        <v>1726</v>
      </c>
      <c r="D311" s="2" t="s">
        <v>410</v>
      </c>
      <c r="E311" s="2" t="s">
        <v>1751</v>
      </c>
      <c r="F311" s="2"/>
      <c r="G311" s="2" t="s">
        <v>1729</v>
      </c>
      <c r="H311" s="2" t="s">
        <v>1693</v>
      </c>
      <c r="I311" s="2" t="s">
        <v>972</v>
      </c>
      <c r="J311" s="2" t="n">
        <v>5.59</v>
      </c>
      <c r="K311" s="2" t="n">
        <v>95.52</v>
      </c>
      <c r="L311" s="2" t="s">
        <v>84</v>
      </c>
      <c r="M311" s="2" t="s">
        <v>60</v>
      </c>
      <c r="N311" s="2"/>
      <c r="O311" s="2" t="s">
        <v>1752</v>
      </c>
      <c r="P311" s="2"/>
      <c r="Q311" s="2" t="s">
        <v>110</v>
      </c>
      <c r="R311" s="2" t="n">
        <v>0.85</v>
      </c>
      <c r="S311" s="2" t="s">
        <v>1753</v>
      </c>
      <c r="T311" s="2" t="s">
        <v>1716</v>
      </c>
      <c r="U311" s="2" t="s">
        <v>1754</v>
      </c>
      <c r="V311" s="2" t="s">
        <v>97</v>
      </c>
      <c r="W311" s="2" t="s">
        <v>430</v>
      </c>
      <c r="X311" s="2" t="s">
        <v>507</v>
      </c>
    </row>
    <row r="312" customFormat="false" ht="15" hidden="false" customHeight="false" outlineLevel="0" collapsed="false">
      <c r="A312" s="2" t="n">
        <v>266</v>
      </c>
      <c r="B312" s="2" t="s">
        <v>1583</v>
      </c>
      <c r="C312" s="2" t="s">
        <v>1689</v>
      </c>
      <c r="D312" s="2" t="s">
        <v>410</v>
      </c>
      <c r="E312" s="2" t="s">
        <v>1690</v>
      </c>
      <c r="F312" s="2" t="s">
        <v>1691</v>
      </c>
      <c r="G312" s="2" t="s">
        <v>1692</v>
      </c>
      <c r="H312" s="2" t="s">
        <v>1693</v>
      </c>
      <c r="I312" s="2" t="s">
        <v>972</v>
      </c>
      <c r="J312" s="2" t="n">
        <v>5.46</v>
      </c>
      <c r="K312" s="2" t="n">
        <v>95.4</v>
      </c>
      <c r="L312" s="2" t="s">
        <v>84</v>
      </c>
      <c r="M312" s="2" t="s">
        <v>60</v>
      </c>
      <c r="N312" s="2"/>
      <c r="O312" s="2" t="s">
        <v>1755</v>
      </c>
      <c r="P312" s="2" t="s">
        <v>1001</v>
      </c>
      <c r="Q312" s="2" t="s">
        <v>110</v>
      </c>
      <c r="R312" s="2" t="n">
        <v>0.9</v>
      </c>
      <c r="S312" s="2" t="s">
        <v>1756</v>
      </c>
      <c r="T312" s="2" t="s">
        <v>95</v>
      </c>
      <c r="U312" s="2" t="s">
        <v>1757</v>
      </c>
      <c r="V312" s="2" t="s">
        <v>97</v>
      </c>
      <c r="W312" s="2" t="s">
        <v>1758</v>
      </c>
      <c r="X312" s="2" t="s">
        <v>1588</v>
      </c>
    </row>
    <row r="313" customFormat="false" ht="15" hidden="false" customHeight="false" outlineLevel="0" collapsed="false">
      <c r="A313" s="2" t="n">
        <v>267</v>
      </c>
      <c r="B313" s="2" t="s">
        <v>1583</v>
      </c>
      <c r="C313" s="2" t="s">
        <v>1759</v>
      </c>
      <c r="D313" s="2" t="s">
        <v>410</v>
      </c>
      <c r="E313" s="2" t="s">
        <v>1760</v>
      </c>
      <c r="F313" s="2"/>
      <c r="G313" s="2" t="s">
        <v>1761</v>
      </c>
      <c r="H313" s="2" t="s">
        <v>1762</v>
      </c>
      <c r="I313" s="2" t="s">
        <v>972</v>
      </c>
      <c r="J313" s="2" t="n">
        <v>4.63</v>
      </c>
      <c r="K313" s="2" t="n">
        <v>95.58</v>
      </c>
      <c r="L313" s="2" t="s">
        <v>84</v>
      </c>
      <c r="M313" s="2" t="s">
        <v>60</v>
      </c>
      <c r="N313" s="2" t="s">
        <v>1763</v>
      </c>
      <c r="O313" s="2" t="s">
        <v>1764</v>
      </c>
      <c r="P313" s="2" t="s">
        <v>1765</v>
      </c>
      <c r="Q313" s="2" t="s">
        <v>110</v>
      </c>
      <c r="R313" s="2" t="n">
        <v>0.8</v>
      </c>
      <c r="S313" s="2" t="s">
        <v>1766</v>
      </c>
      <c r="T313" s="2" t="s">
        <v>95</v>
      </c>
      <c r="U313" s="2" t="s">
        <v>1767</v>
      </c>
      <c r="V313" s="2" t="s">
        <v>97</v>
      </c>
      <c r="W313" s="2" t="s">
        <v>1768</v>
      </c>
      <c r="X313" s="2" t="s">
        <v>1588</v>
      </c>
    </row>
    <row r="314" customFormat="false" ht="15" hidden="false" customHeight="false" outlineLevel="0" collapsed="false">
      <c r="A314" s="2" t="n">
        <v>268</v>
      </c>
      <c r="B314" s="2" t="s">
        <v>1583</v>
      </c>
      <c r="C314" s="2" t="s">
        <v>1769</v>
      </c>
      <c r="D314" s="2" t="s">
        <v>410</v>
      </c>
      <c r="E314" s="2" t="s">
        <v>1770</v>
      </c>
      <c r="F314" s="2"/>
      <c r="G314" s="2"/>
      <c r="H314" s="2" t="s">
        <v>1721</v>
      </c>
      <c r="I314" s="2" t="s">
        <v>972</v>
      </c>
      <c r="J314" s="2" t="n">
        <v>4.61</v>
      </c>
      <c r="K314" s="2" t="n">
        <v>96.93</v>
      </c>
      <c r="L314" s="2" t="s">
        <v>124</v>
      </c>
      <c r="M314" s="2" t="s">
        <v>60</v>
      </c>
      <c r="N314" s="2"/>
      <c r="O314" s="2" t="s">
        <v>1771</v>
      </c>
      <c r="P314" s="2"/>
      <c r="Q314" s="2" t="s">
        <v>62</v>
      </c>
      <c r="R314" s="2" t="n">
        <v>0.6</v>
      </c>
      <c r="S314" s="2" t="s">
        <v>1772</v>
      </c>
      <c r="T314" s="2" t="s">
        <v>95</v>
      </c>
      <c r="U314" s="2" t="s">
        <v>1773</v>
      </c>
      <c r="V314" s="2" t="s">
        <v>97</v>
      </c>
      <c r="W314" s="2" t="s">
        <v>1774</v>
      </c>
      <c r="X314" s="2" t="s">
        <v>1588</v>
      </c>
    </row>
    <row r="315" customFormat="false" ht="15" hidden="false" customHeight="false" outlineLevel="0" collapsed="false">
      <c r="A315" s="2" t="n">
        <v>269</v>
      </c>
      <c r="B315" s="2" t="s">
        <v>1583</v>
      </c>
      <c r="C315" s="2" t="s">
        <v>1775</v>
      </c>
      <c r="D315" s="2" t="s">
        <v>410</v>
      </c>
      <c r="E315" s="2" t="s">
        <v>1776</v>
      </c>
      <c r="F315" s="2"/>
      <c r="G315" s="2" t="s">
        <v>1775</v>
      </c>
      <c r="H315" s="2" t="s">
        <v>1776</v>
      </c>
      <c r="I315" s="2" t="s">
        <v>972</v>
      </c>
      <c r="J315" s="2" t="n">
        <v>2.17</v>
      </c>
      <c r="K315" s="2" t="n">
        <v>97.3</v>
      </c>
      <c r="L315" s="2" t="s">
        <v>84</v>
      </c>
      <c r="M315" s="2" t="s">
        <v>60</v>
      </c>
      <c r="N315" s="2"/>
      <c r="O315" s="2" t="s">
        <v>1777</v>
      </c>
      <c r="P315" s="2" t="s">
        <v>1778</v>
      </c>
      <c r="Q315" s="2" t="s">
        <v>62</v>
      </c>
      <c r="R315" s="2" t="n">
        <v>0.8</v>
      </c>
      <c r="S315" s="2" t="s">
        <v>1779</v>
      </c>
      <c r="T315" s="2" t="s">
        <v>95</v>
      </c>
      <c r="U315" s="2" t="s">
        <v>1780</v>
      </c>
      <c r="V315" s="2" t="s">
        <v>97</v>
      </c>
      <c r="W315" s="2" t="s">
        <v>805</v>
      </c>
      <c r="X315" s="2" t="s">
        <v>1588</v>
      </c>
    </row>
    <row r="316" customFormat="false" ht="15" hidden="false" customHeight="false" outlineLevel="0" collapsed="false">
      <c r="A316" s="2" t="n">
        <v>269</v>
      </c>
      <c r="B316" s="2" t="s">
        <v>1583</v>
      </c>
      <c r="C316" s="2" t="s">
        <v>1781</v>
      </c>
      <c r="D316" s="2" t="s">
        <v>410</v>
      </c>
      <c r="E316" s="2" t="s">
        <v>1782</v>
      </c>
      <c r="F316" s="2"/>
      <c r="G316" s="2" t="s">
        <v>1775</v>
      </c>
      <c r="H316" s="2" t="s">
        <v>1776</v>
      </c>
      <c r="I316" s="2" t="s">
        <v>972</v>
      </c>
      <c r="J316" s="2" t="n">
        <v>2.17</v>
      </c>
      <c r="K316" s="2" t="n">
        <v>97.3</v>
      </c>
      <c r="L316" s="2" t="s">
        <v>84</v>
      </c>
      <c r="M316" s="2" t="s">
        <v>60</v>
      </c>
      <c r="N316" s="2"/>
      <c r="O316" s="2" t="s">
        <v>1783</v>
      </c>
      <c r="P316" s="2" t="s">
        <v>1778</v>
      </c>
      <c r="Q316" s="2" t="s">
        <v>62</v>
      </c>
      <c r="R316" s="2" t="n">
        <v>0.6</v>
      </c>
      <c r="S316" s="2" t="s">
        <v>1779</v>
      </c>
      <c r="T316" s="2" t="s">
        <v>95</v>
      </c>
      <c r="U316" s="2" t="s">
        <v>1780</v>
      </c>
      <c r="V316" s="2" t="s">
        <v>97</v>
      </c>
      <c r="W316" s="2" t="s">
        <v>805</v>
      </c>
      <c r="X316" s="2" t="s">
        <v>1588</v>
      </c>
    </row>
    <row r="317" customFormat="false" ht="15" hidden="false" customHeight="false" outlineLevel="0" collapsed="false">
      <c r="A317" s="2" t="n">
        <v>270</v>
      </c>
      <c r="B317" s="2" t="s">
        <v>1784</v>
      </c>
      <c r="C317" s="2" t="s">
        <v>1785</v>
      </c>
      <c r="D317" s="2" t="s">
        <v>410</v>
      </c>
      <c r="E317" s="2" t="s">
        <v>1786</v>
      </c>
      <c r="F317" s="2" t="s">
        <v>1787</v>
      </c>
      <c r="G317" s="2" t="s">
        <v>1788</v>
      </c>
      <c r="H317" s="2" t="s">
        <v>1721</v>
      </c>
      <c r="I317" s="2" t="s">
        <v>972</v>
      </c>
      <c r="J317" s="2" t="n">
        <v>4.53</v>
      </c>
      <c r="K317" s="2" t="n">
        <v>96.85</v>
      </c>
      <c r="L317" s="2" t="s">
        <v>101</v>
      </c>
      <c r="M317" s="2" t="s">
        <v>60</v>
      </c>
      <c r="N317" s="2"/>
      <c r="O317" s="2" t="s">
        <v>1789</v>
      </c>
      <c r="P317" s="2"/>
      <c r="Q317" s="2" t="s">
        <v>62</v>
      </c>
      <c r="R317" s="2" t="n">
        <v>0.8</v>
      </c>
      <c r="S317" s="2" t="s">
        <v>1790</v>
      </c>
      <c r="T317" s="2" t="s">
        <v>95</v>
      </c>
      <c r="U317" s="2" t="s">
        <v>1791</v>
      </c>
      <c r="V317" s="2" t="s">
        <v>1792</v>
      </c>
      <c r="W317" s="2" t="s">
        <v>1793</v>
      </c>
      <c r="X317" s="2" t="s">
        <v>1588</v>
      </c>
    </row>
    <row r="318" customFormat="false" ht="15" hidden="false" customHeight="false" outlineLevel="0" collapsed="false">
      <c r="A318" s="2" t="n">
        <v>271</v>
      </c>
      <c r="B318" s="2" t="s">
        <v>1784</v>
      </c>
      <c r="C318" s="2" t="s">
        <v>1794</v>
      </c>
      <c r="D318" s="2" t="s">
        <v>121</v>
      </c>
      <c r="E318" s="2" t="s">
        <v>1795</v>
      </c>
      <c r="F318" s="2" t="s">
        <v>1796</v>
      </c>
      <c r="G318" s="2" t="s">
        <v>1797</v>
      </c>
      <c r="H318" s="2" t="s">
        <v>1676</v>
      </c>
      <c r="I318" s="2" t="s">
        <v>972</v>
      </c>
      <c r="J318" s="2" t="n">
        <v>5.5475</v>
      </c>
      <c r="K318" s="2" t="n">
        <v>95.315</v>
      </c>
      <c r="L318" s="2" t="s">
        <v>124</v>
      </c>
      <c r="M318" s="2" t="s">
        <v>60</v>
      </c>
      <c r="N318" s="2"/>
      <c r="O318" s="2" t="s">
        <v>1798</v>
      </c>
      <c r="P318" s="2" t="s">
        <v>1799</v>
      </c>
      <c r="Q318" s="2" t="s">
        <v>62</v>
      </c>
      <c r="R318" s="2" t="n">
        <v>0.85</v>
      </c>
      <c r="S318" s="2" t="s">
        <v>1800</v>
      </c>
      <c r="T318" s="2" t="s">
        <v>1801</v>
      </c>
      <c r="U318" s="2" t="s">
        <v>1802</v>
      </c>
      <c r="V318" s="2" t="s">
        <v>420</v>
      </c>
      <c r="W318" s="2" t="s">
        <v>908</v>
      </c>
      <c r="X318" s="2" t="s">
        <v>1588</v>
      </c>
    </row>
    <row r="319" customFormat="false" ht="15" hidden="false" customHeight="false" outlineLevel="0" collapsed="false">
      <c r="A319" s="2" t="n">
        <v>271</v>
      </c>
      <c r="B319" s="2" t="s">
        <v>1784</v>
      </c>
      <c r="C319" s="2" t="s">
        <v>1803</v>
      </c>
      <c r="D319" s="2" t="s">
        <v>1130</v>
      </c>
      <c r="E319" s="2" t="s">
        <v>1804</v>
      </c>
      <c r="F319" s="2" t="s">
        <v>1796</v>
      </c>
      <c r="G319" s="2" t="s">
        <v>1797</v>
      </c>
      <c r="H319" s="2" t="s">
        <v>1676</v>
      </c>
      <c r="I319" s="2" t="s">
        <v>972</v>
      </c>
      <c r="J319" s="2" t="n">
        <v>5.5475</v>
      </c>
      <c r="K319" s="2" t="n">
        <v>95.315</v>
      </c>
      <c r="L319" s="2" t="s">
        <v>124</v>
      </c>
      <c r="M319" s="2" t="s">
        <v>60</v>
      </c>
      <c r="N319" s="2"/>
      <c r="O319" s="2" t="s">
        <v>1805</v>
      </c>
      <c r="P319" s="2"/>
      <c r="Q319" s="2" t="s">
        <v>62</v>
      </c>
      <c r="R319" s="2" t="n">
        <v>0.6</v>
      </c>
      <c r="S319" s="2" t="s">
        <v>1800</v>
      </c>
      <c r="T319" s="2" t="s">
        <v>1801</v>
      </c>
      <c r="U319" s="2" t="s">
        <v>1802</v>
      </c>
      <c r="V319" s="2" t="s">
        <v>420</v>
      </c>
      <c r="W319" s="2" t="s">
        <v>908</v>
      </c>
      <c r="X319" s="2" t="s">
        <v>1588</v>
      </c>
    </row>
    <row r="320" customFormat="false" ht="15" hidden="false" customHeight="false" outlineLevel="0" collapsed="false">
      <c r="A320" s="2" t="n">
        <v>281</v>
      </c>
      <c r="B320" s="2" t="s">
        <v>1784</v>
      </c>
      <c r="C320" s="2" t="s">
        <v>1674</v>
      </c>
      <c r="D320" s="2" t="s">
        <v>121</v>
      </c>
      <c r="E320" s="2" t="s">
        <v>1675</v>
      </c>
      <c r="F320" s="2"/>
      <c r="G320" s="2"/>
      <c r="H320" s="2" t="s">
        <v>1676</v>
      </c>
      <c r="I320" s="2" t="s">
        <v>972</v>
      </c>
      <c r="J320" s="2" t="n">
        <v>5.55</v>
      </c>
      <c r="K320" s="2" t="n">
        <v>95.317</v>
      </c>
      <c r="L320" s="2" t="s">
        <v>101</v>
      </c>
      <c r="M320" s="2" t="s">
        <v>60</v>
      </c>
      <c r="N320" s="2"/>
      <c r="O320" s="2" t="s">
        <v>1806</v>
      </c>
      <c r="P320" s="2" t="s">
        <v>1386</v>
      </c>
      <c r="Q320" s="2" t="s">
        <v>62</v>
      </c>
      <c r="R320" s="2" t="n">
        <v>0.8</v>
      </c>
      <c r="S320" s="2" t="s">
        <v>1807</v>
      </c>
      <c r="T320" s="2" t="s">
        <v>1808</v>
      </c>
      <c r="U320" s="2" t="s">
        <v>1809</v>
      </c>
      <c r="V320" s="2" t="s">
        <v>1688</v>
      </c>
      <c r="W320" s="2" t="s">
        <v>1810</v>
      </c>
      <c r="X320" s="2" t="s">
        <v>1588</v>
      </c>
    </row>
    <row r="321" customFormat="false" ht="15" hidden="false" customHeight="false" outlineLevel="0" collapsed="false">
      <c r="A321" s="2" t="n">
        <v>293</v>
      </c>
      <c r="B321" s="2" t="s">
        <v>1784</v>
      </c>
      <c r="C321" s="2" t="s">
        <v>1811</v>
      </c>
      <c r="D321" s="2" t="s">
        <v>121</v>
      </c>
      <c r="E321" s="2" t="s">
        <v>1812</v>
      </c>
      <c r="F321" s="2" t="s">
        <v>1813</v>
      </c>
      <c r="G321" s="2" t="s">
        <v>1814</v>
      </c>
      <c r="H321" s="2" t="s">
        <v>1346</v>
      </c>
      <c r="I321" s="2" t="s">
        <v>238</v>
      </c>
      <c r="J321" s="2" t="n">
        <v>-6.241</v>
      </c>
      <c r="K321" s="2" t="n">
        <v>106.628</v>
      </c>
      <c r="L321" s="2" t="s">
        <v>124</v>
      </c>
      <c r="M321" s="2" t="s">
        <v>60</v>
      </c>
      <c r="N321" s="2"/>
      <c r="O321" s="2" t="s">
        <v>1815</v>
      </c>
      <c r="P321" s="2" t="s">
        <v>1816</v>
      </c>
      <c r="Q321" s="2" t="s">
        <v>110</v>
      </c>
      <c r="R321" s="2" t="n">
        <v>0.85</v>
      </c>
      <c r="S321" s="2" t="s">
        <v>1817</v>
      </c>
      <c r="T321" s="2" t="s">
        <v>710</v>
      </c>
      <c r="U321" s="2" t="s">
        <v>1818</v>
      </c>
      <c r="V321" s="2" t="s">
        <v>1819</v>
      </c>
      <c r="W321" s="2" t="s">
        <v>246</v>
      </c>
      <c r="X321" s="2" t="s">
        <v>1588</v>
      </c>
    </row>
    <row r="322" customFormat="false" ht="15" hidden="false" customHeight="false" outlineLevel="0" collapsed="false">
      <c r="A322" s="2" t="n">
        <v>293</v>
      </c>
      <c r="B322" s="2" t="s">
        <v>1784</v>
      </c>
      <c r="C322" s="2" t="s">
        <v>1820</v>
      </c>
      <c r="D322" s="2" t="s">
        <v>53</v>
      </c>
      <c r="E322" s="2" t="s">
        <v>1821</v>
      </c>
      <c r="F322" s="2" t="s">
        <v>1813</v>
      </c>
      <c r="G322" s="2" t="s">
        <v>1814</v>
      </c>
      <c r="H322" s="2" t="s">
        <v>1346</v>
      </c>
      <c r="I322" s="2" t="s">
        <v>238</v>
      </c>
      <c r="J322" s="2" t="n">
        <v>-6.241</v>
      </c>
      <c r="K322" s="2" t="n">
        <v>106.628</v>
      </c>
      <c r="L322" s="2" t="s">
        <v>124</v>
      </c>
      <c r="M322" s="2" t="s">
        <v>1822</v>
      </c>
      <c r="N322" s="2"/>
      <c r="O322" s="2" t="s">
        <v>1823</v>
      </c>
      <c r="P322" s="2" t="s">
        <v>109</v>
      </c>
      <c r="Q322" s="2" t="s">
        <v>110</v>
      </c>
      <c r="R322" s="2" t="n">
        <v>0.85</v>
      </c>
      <c r="S322" s="2" t="s">
        <v>1817</v>
      </c>
      <c r="T322" s="2" t="s">
        <v>710</v>
      </c>
      <c r="U322" s="2" t="s">
        <v>1818</v>
      </c>
      <c r="V322" s="2" t="s">
        <v>1819</v>
      </c>
      <c r="W322" s="2" t="s">
        <v>246</v>
      </c>
      <c r="X322" s="2" t="s">
        <v>1588</v>
      </c>
    </row>
    <row r="323" customFormat="false" ht="15" hidden="false" customHeight="false" outlineLevel="0" collapsed="false">
      <c r="A323" s="2" t="n">
        <v>293</v>
      </c>
      <c r="B323" s="2" t="s">
        <v>1784</v>
      </c>
      <c r="C323" s="2" t="s">
        <v>1824</v>
      </c>
      <c r="D323" s="2" t="s">
        <v>53</v>
      </c>
      <c r="E323" s="2" t="s">
        <v>1825</v>
      </c>
      <c r="F323" s="2"/>
      <c r="G323" s="2"/>
      <c r="H323" s="2" t="s">
        <v>587</v>
      </c>
      <c r="I323" s="2" t="s">
        <v>588</v>
      </c>
      <c r="J323" s="2" t="n">
        <v>-5.429</v>
      </c>
      <c r="K323" s="2" t="n">
        <v>105.262</v>
      </c>
      <c r="L323" s="2" t="s">
        <v>101</v>
      </c>
      <c r="M323" s="2" t="s">
        <v>60</v>
      </c>
      <c r="N323" s="2" t="s">
        <v>1826</v>
      </c>
      <c r="O323" s="2" t="s">
        <v>1827</v>
      </c>
      <c r="P323" s="2"/>
      <c r="Q323" s="2" t="s">
        <v>62</v>
      </c>
      <c r="R323" s="2" t="n">
        <v>0.75</v>
      </c>
      <c r="S323" s="2" t="s">
        <v>1817</v>
      </c>
      <c r="T323" s="2" t="s">
        <v>710</v>
      </c>
      <c r="U323" s="2" t="s">
        <v>1818</v>
      </c>
      <c r="V323" s="2" t="s">
        <v>1819</v>
      </c>
      <c r="W323" s="2" t="s">
        <v>246</v>
      </c>
      <c r="X323" s="2" t="s">
        <v>1588</v>
      </c>
    </row>
    <row r="324" customFormat="false" ht="15" hidden="false" customHeight="false" outlineLevel="0" collapsed="false">
      <c r="A324" s="2" t="n">
        <v>293</v>
      </c>
      <c r="B324" s="2" t="s">
        <v>1784</v>
      </c>
      <c r="C324" s="2" t="s">
        <v>1828</v>
      </c>
      <c r="D324" s="2" t="s">
        <v>53</v>
      </c>
      <c r="E324" s="2" t="s">
        <v>1829</v>
      </c>
      <c r="F324" s="2"/>
      <c r="G324" s="2"/>
      <c r="H324" s="2" t="s">
        <v>1830</v>
      </c>
      <c r="I324" s="2" t="s">
        <v>1337</v>
      </c>
      <c r="J324" s="2" t="n">
        <v>-0.463</v>
      </c>
      <c r="K324" s="2" t="n">
        <v>100.4</v>
      </c>
      <c r="L324" s="2" t="s">
        <v>101</v>
      </c>
      <c r="M324" s="2" t="s">
        <v>340</v>
      </c>
      <c r="N324" s="2" t="s">
        <v>1831</v>
      </c>
      <c r="O324" s="2" t="s">
        <v>1832</v>
      </c>
      <c r="P324" s="2"/>
      <c r="Q324" s="2" t="s">
        <v>62</v>
      </c>
      <c r="R324" s="2" t="n">
        <v>0.75</v>
      </c>
      <c r="S324" s="2" t="s">
        <v>1817</v>
      </c>
      <c r="T324" s="2" t="s">
        <v>710</v>
      </c>
      <c r="U324" s="2" t="s">
        <v>1818</v>
      </c>
      <c r="V324" s="2" t="s">
        <v>1819</v>
      </c>
      <c r="W324" s="2" t="s">
        <v>246</v>
      </c>
      <c r="X324" s="2" t="s">
        <v>1588</v>
      </c>
    </row>
    <row r="325" customFormat="false" ht="15" hidden="false" customHeight="false" outlineLevel="0" collapsed="false">
      <c r="A325" s="2" t="n">
        <v>294</v>
      </c>
      <c r="B325" s="2" t="s">
        <v>1784</v>
      </c>
      <c r="C325" s="2" t="s">
        <v>1833</v>
      </c>
      <c r="D325" s="2" t="s">
        <v>351</v>
      </c>
      <c r="E325" s="2" t="s">
        <v>1804</v>
      </c>
      <c r="F325" s="2" t="s">
        <v>1834</v>
      </c>
      <c r="G325" s="2" t="s">
        <v>1835</v>
      </c>
      <c r="H325" s="2" t="s">
        <v>1676</v>
      </c>
      <c r="I325" s="2" t="s">
        <v>972</v>
      </c>
      <c r="J325" s="2" t="n">
        <v>5.563</v>
      </c>
      <c r="K325" s="2" t="n">
        <v>95.317</v>
      </c>
      <c r="L325" s="2" t="s">
        <v>59</v>
      </c>
      <c r="M325" s="2" t="s">
        <v>60</v>
      </c>
      <c r="N325" s="2"/>
      <c r="O325" s="2" t="s">
        <v>1836</v>
      </c>
      <c r="P325" s="2"/>
      <c r="Q325" s="2" t="s">
        <v>62</v>
      </c>
      <c r="R325" s="2" t="n">
        <v>0.5</v>
      </c>
      <c r="S325" s="2" t="s">
        <v>1837</v>
      </c>
      <c r="T325" s="2" t="s">
        <v>1838</v>
      </c>
      <c r="U325" s="2" t="s">
        <v>1839</v>
      </c>
      <c r="V325" s="2" t="s">
        <v>420</v>
      </c>
      <c r="W325" s="2" t="s">
        <v>1840</v>
      </c>
      <c r="X325" s="2" t="s">
        <v>1588</v>
      </c>
    </row>
    <row r="326" customFormat="false" ht="15" hidden="false" customHeight="false" outlineLevel="0" collapsed="false">
      <c r="A326" s="2" t="n">
        <v>294</v>
      </c>
      <c r="B326" s="2" t="s">
        <v>1784</v>
      </c>
      <c r="C326" s="2" t="s">
        <v>1841</v>
      </c>
      <c r="D326" s="2" t="s">
        <v>1130</v>
      </c>
      <c r="E326" s="2" t="s">
        <v>1804</v>
      </c>
      <c r="F326" s="2"/>
      <c r="G326" s="2"/>
      <c r="H326" s="2" t="s">
        <v>1676</v>
      </c>
      <c r="I326" s="2" t="s">
        <v>972</v>
      </c>
      <c r="J326" s="2" t="n">
        <v>5.55</v>
      </c>
      <c r="K326" s="2" t="n">
        <v>95.317</v>
      </c>
      <c r="L326" s="2" t="s">
        <v>101</v>
      </c>
      <c r="M326" s="2" t="s">
        <v>60</v>
      </c>
      <c r="N326" s="2"/>
      <c r="O326" s="2" t="s">
        <v>1842</v>
      </c>
      <c r="P326" s="2"/>
      <c r="Q326" s="2" t="s">
        <v>62</v>
      </c>
      <c r="R326" s="2" t="n">
        <v>0.6</v>
      </c>
      <c r="S326" s="2" t="s">
        <v>1837</v>
      </c>
      <c r="T326" s="2" t="s">
        <v>1838</v>
      </c>
      <c r="U326" s="2" t="s">
        <v>1839</v>
      </c>
      <c r="V326" s="2" t="s">
        <v>420</v>
      </c>
      <c r="W326" s="2" t="s">
        <v>1840</v>
      </c>
      <c r="X326" s="2" t="s">
        <v>1588</v>
      </c>
    </row>
    <row r="327" customFormat="false" ht="15" hidden="false" customHeight="false" outlineLevel="0" collapsed="false">
      <c r="A327" s="2" t="n">
        <v>294</v>
      </c>
      <c r="B327" s="2" t="s">
        <v>1784</v>
      </c>
      <c r="C327" s="2" t="s">
        <v>1843</v>
      </c>
      <c r="D327" s="2" t="s">
        <v>410</v>
      </c>
      <c r="E327" s="2" t="s">
        <v>1804</v>
      </c>
      <c r="F327" s="2" t="s">
        <v>1844</v>
      </c>
      <c r="G327" s="2" t="s">
        <v>1797</v>
      </c>
      <c r="H327" s="2" t="s">
        <v>1676</v>
      </c>
      <c r="I327" s="2" t="s">
        <v>972</v>
      </c>
      <c r="J327" s="2" t="n">
        <v>5.5536</v>
      </c>
      <c r="K327" s="2" t="n">
        <v>95.3172</v>
      </c>
      <c r="L327" s="2" t="s">
        <v>124</v>
      </c>
      <c r="M327" s="2" t="s">
        <v>60</v>
      </c>
      <c r="N327" s="2"/>
      <c r="O327" s="2" t="s">
        <v>1845</v>
      </c>
      <c r="P327" s="2"/>
      <c r="Q327" s="2" t="s">
        <v>62</v>
      </c>
      <c r="R327" s="2" t="n">
        <v>0.5</v>
      </c>
      <c r="S327" s="2" t="s">
        <v>1837</v>
      </c>
      <c r="T327" s="2" t="s">
        <v>1838</v>
      </c>
      <c r="U327" s="2" t="s">
        <v>1839</v>
      </c>
      <c r="V327" s="2" t="s">
        <v>420</v>
      </c>
      <c r="W327" s="2" t="s">
        <v>1840</v>
      </c>
      <c r="X327" s="2" t="s">
        <v>1588</v>
      </c>
    </row>
    <row r="328" customFormat="false" ht="15" hidden="false" customHeight="false" outlineLevel="0" collapsed="false">
      <c r="A328" s="2" t="n">
        <v>294</v>
      </c>
      <c r="B328" s="2" t="s">
        <v>1784</v>
      </c>
      <c r="C328" s="2" t="s">
        <v>1846</v>
      </c>
      <c r="D328" s="2" t="s">
        <v>410</v>
      </c>
      <c r="E328" s="2" t="s">
        <v>1804</v>
      </c>
      <c r="F328" s="2" t="s">
        <v>1796</v>
      </c>
      <c r="G328" s="2" t="s">
        <v>1797</v>
      </c>
      <c r="H328" s="2" t="s">
        <v>1676</v>
      </c>
      <c r="I328" s="2" t="s">
        <v>972</v>
      </c>
      <c r="J328" s="2" t="n">
        <v>5.548</v>
      </c>
      <c r="K328" s="2" t="n">
        <v>95.319</v>
      </c>
      <c r="L328" s="2" t="s">
        <v>124</v>
      </c>
      <c r="M328" s="2" t="s">
        <v>60</v>
      </c>
      <c r="N328" s="2"/>
      <c r="O328" s="2" t="s">
        <v>1845</v>
      </c>
      <c r="P328" s="2"/>
      <c r="Q328" s="2" t="s">
        <v>62</v>
      </c>
      <c r="R328" s="2" t="n">
        <v>0.5</v>
      </c>
      <c r="S328" s="2" t="s">
        <v>1837</v>
      </c>
      <c r="T328" s="2" t="s">
        <v>1838</v>
      </c>
      <c r="U328" s="2" t="s">
        <v>1839</v>
      </c>
      <c r="V328" s="2" t="s">
        <v>420</v>
      </c>
      <c r="W328" s="2" t="s">
        <v>1840</v>
      </c>
      <c r="X328" s="2" t="s">
        <v>1588</v>
      </c>
    </row>
    <row r="329" customFormat="false" ht="15" hidden="false" customHeight="false" outlineLevel="0" collapsed="false">
      <c r="A329" s="2" t="n">
        <v>295</v>
      </c>
      <c r="B329" s="2" t="s">
        <v>1784</v>
      </c>
      <c r="C329" s="2" t="s">
        <v>1847</v>
      </c>
      <c r="D329" s="2" t="s">
        <v>121</v>
      </c>
      <c r="E329" s="2" t="s">
        <v>1848</v>
      </c>
      <c r="F329" s="2" t="s">
        <v>1849</v>
      </c>
      <c r="G329" s="2" t="s">
        <v>1745</v>
      </c>
      <c r="H329" s="2" t="s">
        <v>1683</v>
      </c>
      <c r="I329" s="2" t="s">
        <v>972</v>
      </c>
      <c r="J329" s="2" t="n">
        <v>4.97</v>
      </c>
      <c r="K329" s="2" t="n">
        <v>97.14</v>
      </c>
      <c r="L329" s="2" t="s">
        <v>101</v>
      </c>
      <c r="M329" s="2" t="s">
        <v>60</v>
      </c>
      <c r="N329" s="2"/>
      <c r="O329" s="2" t="s">
        <v>1850</v>
      </c>
      <c r="P329" s="2" t="s">
        <v>1851</v>
      </c>
      <c r="Q329" s="2" t="s">
        <v>62</v>
      </c>
      <c r="R329" s="2" t="n">
        <v>0.75</v>
      </c>
      <c r="S329" s="2" t="s">
        <v>1852</v>
      </c>
      <c r="T329" s="2" t="s">
        <v>1563</v>
      </c>
      <c r="U329" s="2" t="s">
        <v>1853</v>
      </c>
      <c r="V329" s="2" t="s">
        <v>97</v>
      </c>
      <c r="W329" s="2" t="s">
        <v>262</v>
      </c>
      <c r="X329" s="2" t="s">
        <v>1588</v>
      </c>
    </row>
    <row r="330" customFormat="false" ht="15" hidden="false" customHeight="false" outlineLevel="0" collapsed="false">
      <c r="A330" s="2" t="n">
        <v>295</v>
      </c>
      <c r="B330" s="2" t="s">
        <v>1784</v>
      </c>
      <c r="C330" s="2" t="s">
        <v>1854</v>
      </c>
      <c r="D330" s="2" t="s">
        <v>410</v>
      </c>
      <c r="E330" s="2" t="s">
        <v>1855</v>
      </c>
      <c r="F330" s="2"/>
      <c r="G330" s="2" t="s">
        <v>1745</v>
      </c>
      <c r="H330" s="2" t="s">
        <v>1683</v>
      </c>
      <c r="I330" s="2" t="s">
        <v>972</v>
      </c>
      <c r="J330" s="2" t="n">
        <v>4.97</v>
      </c>
      <c r="K330" s="2" t="n">
        <v>97.14</v>
      </c>
      <c r="L330" s="2" t="s">
        <v>101</v>
      </c>
      <c r="M330" s="2" t="s">
        <v>60</v>
      </c>
      <c r="N330" s="2"/>
      <c r="O330" s="2" t="s">
        <v>1856</v>
      </c>
      <c r="P330" s="2"/>
      <c r="Q330" s="2" t="s">
        <v>62</v>
      </c>
      <c r="R330" s="2" t="n">
        <v>0.8</v>
      </c>
      <c r="S330" s="2" t="s">
        <v>1852</v>
      </c>
      <c r="T330" s="2" t="s">
        <v>1563</v>
      </c>
      <c r="U330" s="2" t="s">
        <v>1853</v>
      </c>
      <c r="V330" s="2" t="s">
        <v>97</v>
      </c>
      <c r="W330" s="2" t="s">
        <v>262</v>
      </c>
      <c r="X330" s="2" t="s">
        <v>1588</v>
      </c>
    </row>
    <row r="331" customFormat="false" ht="15" hidden="false" customHeight="false" outlineLevel="0" collapsed="false">
      <c r="A331" s="2" t="n">
        <v>296</v>
      </c>
      <c r="B331" s="2" t="s">
        <v>1784</v>
      </c>
      <c r="C331" s="2" t="s">
        <v>1857</v>
      </c>
      <c r="D331" s="2" t="s">
        <v>121</v>
      </c>
      <c r="E331" s="2" t="s">
        <v>1858</v>
      </c>
      <c r="F331" s="2"/>
      <c r="G331" s="2" t="s">
        <v>1859</v>
      </c>
      <c r="H331" s="2" t="s">
        <v>1860</v>
      </c>
      <c r="I331" s="2" t="s">
        <v>972</v>
      </c>
      <c r="J331" s="2" t="n">
        <v>4.14</v>
      </c>
      <c r="K331" s="2" t="n">
        <v>96.13</v>
      </c>
      <c r="L331" s="2" t="s">
        <v>84</v>
      </c>
      <c r="M331" s="2" t="s">
        <v>60</v>
      </c>
      <c r="N331" s="2" t="s">
        <v>1861</v>
      </c>
      <c r="O331" s="2" t="s">
        <v>1862</v>
      </c>
      <c r="P331" s="2" t="s">
        <v>1863</v>
      </c>
      <c r="Q331" s="2" t="s">
        <v>62</v>
      </c>
      <c r="R331" s="2" t="n">
        <v>0.6</v>
      </c>
      <c r="S331" s="2" t="s">
        <v>1864</v>
      </c>
      <c r="T331" s="2" t="s">
        <v>95</v>
      </c>
      <c r="U331" s="2" t="s">
        <v>1865</v>
      </c>
      <c r="V331" s="2" t="s">
        <v>1866</v>
      </c>
      <c r="W331" s="2" t="s">
        <v>246</v>
      </c>
      <c r="X331" s="2" t="s">
        <v>1588</v>
      </c>
    </row>
    <row r="332" customFormat="false" ht="15" hidden="false" customHeight="false" outlineLevel="0" collapsed="false">
      <c r="A332" s="2" t="n">
        <v>297</v>
      </c>
      <c r="B332" s="2" t="s">
        <v>1784</v>
      </c>
      <c r="C332" s="2" t="s">
        <v>1867</v>
      </c>
      <c r="D332" s="2" t="s">
        <v>121</v>
      </c>
      <c r="E332" s="2" t="s">
        <v>1868</v>
      </c>
      <c r="F332" s="2" t="s">
        <v>1869</v>
      </c>
      <c r="G332" s="2" t="s">
        <v>1870</v>
      </c>
      <c r="H332" s="2" t="s">
        <v>1776</v>
      </c>
      <c r="I332" s="2" t="s">
        <v>972</v>
      </c>
      <c r="J332" s="2" t="n">
        <v>2.28</v>
      </c>
      <c r="K332" s="2" t="n">
        <v>97.79</v>
      </c>
      <c r="L332" s="2" t="s">
        <v>84</v>
      </c>
      <c r="M332" s="2" t="s">
        <v>60</v>
      </c>
      <c r="N332" s="2"/>
      <c r="O332" s="2" t="s">
        <v>1871</v>
      </c>
      <c r="P332" s="2" t="s">
        <v>1685</v>
      </c>
      <c r="Q332" s="2" t="s">
        <v>62</v>
      </c>
      <c r="R332" s="2" t="n">
        <v>0.6</v>
      </c>
      <c r="S332" s="2" t="s">
        <v>1872</v>
      </c>
      <c r="T332" s="2" t="s">
        <v>1866</v>
      </c>
      <c r="U332" s="2" t="s">
        <v>1873</v>
      </c>
      <c r="V332" s="2" t="s">
        <v>1874</v>
      </c>
      <c r="W332" s="2" t="s">
        <v>1875</v>
      </c>
      <c r="X332" s="2" t="s">
        <v>1588</v>
      </c>
    </row>
    <row r="333" customFormat="false" ht="15" hidden="false" customHeight="false" outlineLevel="0" collapsed="false">
      <c r="A333" s="2" t="n">
        <v>298</v>
      </c>
      <c r="B333" s="2" t="s">
        <v>1784</v>
      </c>
      <c r="C333" s="2" t="s">
        <v>1876</v>
      </c>
      <c r="D333" s="2" t="s">
        <v>53</v>
      </c>
      <c r="E333" s="2" t="s">
        <v>1877</v>
      </c>
      <c r="F333" s="2"/>
      <c r="G333" s="2"/>
      <c r="H333" s="2" t="s">
        <v>1878</v>
      </c>
      <c r="I333" s="2" t="s">
        <v>385</v>
      </c>
      <c r="J333" s="2" t="n">
        <v>1.74</v>
      </c>
      <c r="K333" s="2" t="n">
        <v>98.78</v>
      </c>
      <c r="L333" s="2" t="s">
        <v>101</v>
      </c>
      <c r="M333" s="2" t="s">
        <v>60</v>
      </c>
      <c r="N333" s="2" t="s">
        <v>1879</v>
      </c>
      <c r="O333" s="2" t="s">
        <v>1880</v>
      </c>
      <c r="P333" s="2"/>
      <c r="Q333" s="2" t="s">
        <v>62</v>
      </c>
      <c r="R333" s="2" t="n">
        <v>0.85</v>
      </c>
      <c r="S333" s="2" t="s">
        <v>1881</v>
      </c>
      <c r="T333" s="2" t="s">
        <v>1882</v>
      </c>
      <c r="U333" s="2" t="s">
        <v>1883</v>
      </c>
      <c r="V333" s="2" t="s">
        <v>420</v>
      </c>
      <c r="W333" s="2" t="s">
        <v>987</v>
      </c>
      <c r="X333" s="2" t="s">
        <v>1588</v>
      </c>
    </row>
    <row r="334" customFormat="false" ht="15" hidden="false" customHeight="false" outlineLevel="0" collapsed="false">
      <c r="A334" s="2" t="n">
        <v>298</v>
      </c>
      <c r="B334" s="2" t="s">
        <v>1784</v>
      </c>
      <c r="C334" s="2" t="s">
        <v>1884</v>
      </c>
      <c r="D334" s="2" t="s">
        <v>53</v>
      </c>
      <c r="E334" s="2" t="s">
        <v>1885</v>
      </c>
      <c r="F334" s="2" t="s">
        <v>1886</v>
      </c>
      <c r="G334" s="2" t="s">
        <v>1887</v>
      </c>
      <c r="H334" s="2" t="s">
        <v>1878</v>
      </c>
      <c r="I334" s="2" t="s">
        <v>385</v>
      </c>
      <c r="J334" s="2" t="n">
        <v>1.738</v>
      </c>
      <c r="K334" s="2" t="n">
        <v>98.779</v>
      </c>
      <c r="L334" s="2" t="s">
        <v>84</v>
      </c>
      <c r="M334" s="2" t="s">
        <v>60</v>
      </c>
      <c r="N334" s="2"/>
      <c r="O334" s="2" t="s">
        <v>1888</v>
      </c>
      <c r="P334" s="2"/>
      <c r="Q334" s="2" t="s">
        <v>62</v>
      </c>
      <c r="R334" s="2" t="n">
        <v>0.85</v>
      </c>
      <c r="S334" s="2" t="s">
        <v>1881</v>
      </c>
      <c r="T334" s="2" t="s">
        <v>1882</v>
      </c>
      <c r="U334" s="2" t="s">
        <v>1883</v>
      </c>
      <c r="V334" s="2" t="s">
        <v>420</v>
      </c>
      <c r="W334" s="2" t="s">
        <v>987</v>
      </c>
      <c r="X334" s="2" t="s">
        <v>1588</v>
      </c>
    </row>
    <row r="335" customFormat="false" ht="15" hidden="false" customHeight="false" outlineLevel="0" collapsed="false">
      <c r="A335" s="2" t="n">
        <v>298</v>
      </c>
      <c r="B335" s="2" t="s">
        <v>1784</v>
      </c>
      <c r="C335" s="2" t="s">
        <v>1889</v>
      </c>
      <c r="D335" s="2" t="s">
        <v>53</v>
      </c>
      <c r="E335" s="2" t="s">
        <v>1890</v>
      </c>
      <c r="F335" s="2" t="s">
        <v>1891</v>
      </c>
      <c r="G335" s="2" t="s">
        <v>1887</v>
      </c>
      <c r="H335" s="2" t="s">
        <v>1878</v>
      </c>
      <c r="I335" s="2" t="s">
        <v>385</v>
      </c>
      <c r="J335" s="2" t="n">
        <v>1.738</v>
      </c>
      <c r="K335" s="2" t="n">
        <v>98.779</v>
      </c>
      <c r="L335" s="2" t="s">
        <v>84</v>
      </c>
      <c r="M335" s="2" t="s">
        <v>60</v>
      </c>
      <c r="N335" s="2"/>
      <c r="O335" s="2" t="s">
        <v>1892</v>
      </c>
      <c r="P335" s="2"/>
      <c r="Q335" s="2" t="s">
        <v>62</v>
      </c>
      <c r="R335" s="2" t="n">
        <v>0.7</v>
      </c>
      <c r="S335" s="2" t="s">
        <v>1881</v>
      </c>
      <c r="T335" s="2" t="s">
        <v>1882</v>
      </c>
      <c r="U335" s="2" t="s">
        <v>1883</v>
      </c>
      <c r="V335" s="2" t="s">
        <v>420</v>
      </c>
      <c r="W335" s="2" t="s">
        <v>987</v>
      </c>
      <c r="X335" s="2" t="s">
        <v>1588</v>
      </c>
    </row>
    <row r="336" customFormat="false" ht="15" hidden="false" customHeight="false" outlineLevel="0" collapsed="false">
      <c r="A336" s="2" t="n">
        <v>300</v>
      </c>
      <c r="B336" s="2" t="s">
        <v>1893</v>
      </c>
      <c r="C336" s="2" t="s">
        <v>1894</v>
      </c>
      <c r="D336" s="2" t="s">
        <v>53</v>
      </c>
      <c r="E336" s="2" t="s">
        <v>1895</v>
      </c>
      <c r="F336" s="2"/>
      <c r="G336" s="2"/>
      <c r="H336" s="2" t="s">
        <v>384</v>
      </c>
      <c r="I336" s="2" t="s">
        <v>385</v>
      </c>
      <c r="J336" s="2" t="n">
        <v>3.595</v>
      </c>
      <c r="K336" s="2" t="n">
        <v>98.672</v>
      </c>
      <c r="L336" s="2" t="s">
        <v>101</v>
      </c>
      <c r="M336" s="2" t="s">
        <v>60</v>
      </c>
      <c r="N336" s="2"/>
      <c r="O336" s="2" t="s">
        <v>1896</v>
      </c>
      <c r="P336" s="2"/>
      <c r="Q336" s="2" t="s">
        <v>62</v>
      </c>
      <c r="R336" s="2" t="n">
        <v>0.85</v>
      </c>
      <c r="S336" s="2" t="s">
        <v>1897</v>
      </c>
      <c r="T336" s="2" t="s">
        <v>743</v>
      </c>
      <c r="U336" s="2" t="s">
        <v>1898</v>
      </c>
      <c r="V336" s="2" t="s">
        <v>1874</v>
      </c>
      <c r="W336" s="2" t="s">
        <v>370</v>
      </c>
      <c r="X336" s="2" t="s">
        <v>507</v>
      </c>
    </row>
    <row r="337" customFormat="false" ht="15" hidden="false" customHeight="false" outlineLevel="0" collapsed="false">
      <c r="A337" s="2" t="n">
        <v>300</v>
      </c>
      <c r="B337" s="2" t="s">
        <v>1893</v>
      </c>
      <c r="C337" s="2" t="s">
        <v>1899</v>
      </c>
      <c r="D337" s="2" t="s">
        <v>53</v>
      </c>
      <c r="E337" s="2" t="s">
        <v>1900</v>
      </c>
      <c r="F337" s="2"/>
      <c r="G337" s="2"/>
      <c r="H337" s="2" t="s">
        <v>384</v>
      </c>
      <c r="I337" s="2" t="s">
        <v>385</v>
      </c>
      <c r="J337" s="2" t="n">
        <v>3.595</v>
      </c>
      <c r="K337" s="2" t="n">
        <v>98.672</v>
      </c>
      <c r="L337" s="2" t="s">
        <v>101</v>
      </c>
      <c r="M337" s="2" t="s">
        <v>60</v>
      </c>
      <c r="N337" s="2" t="s">
        <v>1901</v>
      </c>
      <c r="O337" s="2" t="s">
        <v>1902</v>
      </c>
      <c r="P337" s="2"/>
      <c r="Q337" s="2" t="s">
        <v>62</v>
      </c>
      <c r="R337" s="2" t="n">
        <v>0.85</v>
      </c>
      <c r="S337" s="2" t="s">
        <v>1897</v>
      </c>
      <c r="T337" s="2" t="s">
        <v>743</v>
      </c>
      <c r="U337" s="2" t="s">
        <v>1898</v>
      </c>
      <c r="V337" s="2" t="s">
        <v>1874</v>
      </c>
      <c r="W337" s="2" t="s">
        <v>370</v>
      </c>
      <c r="X337" s="2" t="s">
        <v>507</v>
      </c>
    </row>
    <row r="338" customFormat="false" ht="15" hidden="false" customHeight="false" outlineLevel="0" collapsed="false">
      <c r="A338" s="2" t="n">
        <v>300</v>
      </c>
      <c r="B338" s="2" t="s">
        <v>1893</v>
      </c>
      <c r="C338" s="2" t="s">
        <v>1903</v>
      </c>
      <c r="D338" s="2" t="s">
        <v>53</v>
      </c>
      <c r="E338" s="2" t="s">
        <v>1904</v>
      </c>
      <c r="F338" s="2"/>
      <c r="G338" s="2"/>
      <c r="H338" s="2" t="s">
        <v>384</v>
      </c>
      <c r="I338" s="2" t="s">
        <v>385</v>
      </c>
      <c r="J338" s="2" t="n">
        <v>3.595</v>
      </c>
      <c r="K338" s="2" t="n">
        <v>98.672</v>
      </c>
      <c r="L338" s="2" t="s">
        <v>101</v>
      </c>
      <c r="M338" s="2" t="s">
        <v>60</v>
      </c>
      <c r="N338" s="2" t="s">
        <v>1905</v>
      </c>
      <c r="O338" s="2" t="s">
        <v>1906</v>
      </c>
      <c r="P338" s="2"/>
      <c r="Q338" s="2" t="s">
        <v>62</v>
      </c>
      <c r="R338" s="2" t="n">
        <v>0.85</v>
      </c>
      <c r="S338" s="2" t="s">
        <v>1897</v>
      </c>
      <c r="T338" s="2" t="s">
        <v>743</v>
      </c>
      <c r="U338" s="2" t="s">
        <v>1898</v>
      </c>
      <c r="V338" s="2" t="s">
        <v>1874</v>
      </c>
      <c r="W338" s="2" t="s">
        <v>370</v>
      </c>
      <c r="X338" s="2" t="s">
        <v>507</v>
      </c>
    </row>
    <row r="339" customFormat="false" ht="15" hidden="false" customHeight="false" outlineLevel="0" collapsed="false">
      <c r="A339" s="2" t="n">
        <v>301</v>
      </c>
      <c r="B339" s="2" t="s">
        <v>1893</v>
      </c>
      <c r="C339" s="2" t="s">
        <v>1907</v>
      </c>
      <c r="D339" s="2" t="s">
        <v>53</v>
      </c>
      <c r="E339" s="2" t="s">
        <v>1908</v>
      </c>
      <c r="F339" s="2"/>
      <c r="G339" s="2"/>
      <c r="H339" s="2" t="s">
        <v>384</v>
      </c>
      <c r="I339" s="2" t="s">
        <v>385</v>
      </c>
      <c r="J339" s="2" t="n">
        <v>3.595</v>
      </c>
      <c r="K339" s="2" t="n">
        <v>98.672</v>
      </c>
      <c r="L339" s="2" t="s">
        <v>101</v>
      </c>
      <c r="M339" s="2" t="s">
        <v>60</v>
      </c>
      <c r="N339" s="2"/>
      <c r="O339" s="2" t="s">
        <v>1909</v>
      </c>
      <c r="P339" s="2"/>
      <c r="Q339" s="2" t="s">
        <v>62</v>
      </c>
      <c r="R339" s="2" t="n">
        <v>0.8</v>
      </c>
      <c r="S339" s="2" t="s">
        <v>1910</v>
      </c>
      <c r="T339" s="2" t="s">
        <v>1882</v>
      </c>
      <c r="U339" s="2" t="s">
        <v>1911</v>
      </c>
      <c r="V339" s="2" t="s">
        <v>1874</v>
      </c>
      <c r="W339" s="2" t="s">
        <v>370</v>
      </c>
      <c r="X339" s="2" t="s">
        <v>68</v>
      </c>
    </row>
    <row r="340" customFormat="false" ht="15" hidden="false" customHeight="false" outlineLevel="0" collapsed="false">
      <c r="A340" s="2" t="n">
        <v>301</v>
      </c>
      <c r="B340" s="2" t="s">
        <v>1893</v>
      </c>
      <c r="C340" s="2" t="s">
        <v>1912</v>
      </c>
      <c r="D340" s="2" t="s">
        <v>53</v>
      </c>
      <c r="E340" s="2" t="s">
        <v>1913</v>
      </c>
      <c r="F340" s="2"/>
      <c r="G340" s="2"/>
      <c r="H340" s="2" t="s">
        <v>384</v>
      </c>
      <c r="I340" s="2" t="s">
        <v>385</v>
      </c>
      <c r="J340" s="2" t="n">
        <v>3.595</v>
      </c>
      <c r="K340" s="2" t="n">
        <v>98.672</v>
      </c>
      <c r="L340" s="2" t="s">
        <v>101</v>
      </c>
      <c r="M340" s="2" t="s">
        <v>60</v>
      </c>
      <c r="N340" s="2"/>
      <c r="O340" s="2" t="s">
        <v>1914</v>
      </c>
      <c r="P340" s="2"/>
      <c r="Q340" s="2" t="s">
        <v>62</v>
      </c>
      <c r="R340" s="2" t="n">
        <v>0.8</v>
      </c>
      <c r="S340" s="2" t="s">
        <v>1910</v>
      </c>
      <c r="T340" s="2" t="s">
        <v>1882</v>
      </c>
      <c r="U340" s="2" t="s">
        <v>1911</v>
      </c>
      <c r="V340" s="2" t="s">
        <v>1874</v>
      </c>
      <c r="W340" s="2" t="s">
        <v>370</v>
      </c>
      <c r="X340" s="2" t="s">
        <v>68</v>
      </c>
    </row>
    <row r="341" customFormat="false" ht="15" hidden="false" customHeight="false" outlineLevel="0" collapsed="false">
      <c r="A341" s="2" t="n">
        <v>302</v>
      </c>
      <c r="B341" s="2" t="s">
        <v>1893</v>
      </c>
      <c r="C341" s="2" t="s">
        <v>1915</v>
      </c>
      <c r="D341" s="2" t="s">
        <v>53</v>
      </c>
      <c r="E341" s="2" t="s">
        <v>1916</v>
      </c>
      <c r="F341" s="2" t="s">
        <v>1917</v>
      </c>
      <c r="G341" s="2" t="s">
        <v>1918</v>
      </c>
      <c r="H341" s="2" t="s">
        <v>1919</v>
      </c>
      <c r="I341" s="2" t="s">
        <v>385</v>
      </c>
      <c r="J341" s="2" t="n">
        <v>3.6</v>
      </c>
      <c r="K341" s="2" t="n">
        <v>98.485</v>
      </c>
      <c r="L341" s="2" t="s">
        <v>101</v>
      </c>
      <c r="M341" s="2" t="s">
        <v>60</v>
      </c>
      <c r="N341" s="2"/>
      <c r="O341" s="2" t="s">
        <v>1920</v>
      </c>
      <c r="P341" s="2"/>
      <c r="Q341" s="2" t="s">
        <v>62</v>
      </c>
      <c r="R341" s="2" t="n">
        <v>0.85</v>
      </c>
      <c r="S341" s="2" t="s">
        <v>1921</v>
      </c>
      <c r="T341" s="2" t="s">
        <v>1882</v>
      </c>
      <c r="U341" s="2" t="s">
        <v>1922</v>
      </c>
      <c r="V341" s="2" t="s">
        <v>420</v>
      </c>
      <c r="W341" s="2" t="s">
        <v>1923</v>
      </c>
      <c r="X341" s="2" t="s">
        <v>1588</v>
      </c>
    </row>
    <row r="342" customFormat="false" ht="15" hidden="false" customHeight="false" outlineLevel="0" collapsed="false">
      <c r="A342" s="2" t="n">
        <v>303</v>
      </c>
      <c r="B342" s="2" t="s">
        <v>1893</v>
      </c>
      <c r="C342" s="2" t="s">
        <v>1924</v>
      </c>
      <c r="D342" s="2" t="s">
        <v>410</v>
      </c>
      <c r="E342" s="2" t="s">
        <v>1071</v>
      </c>
      <c r="F342" s="2" t="s">
        <v>1925</v>
      </c>
      <c r="G342" s="2" t="s">
        <v>1926</v>
      </c>
      <c r="H342" s="2" t="s">
        <v>1072</v>
      </c>
      <c r="I342" s="2" t="s">
        <v>385</v>
      </c>
      <c r="J342" s="2" t="n">
        <v>3.22</v>
      </c>
      <c r="K342" s="2" t="n">
        <v>98.53</v>
      </c>
      <c r="L342" s="2" t="s">
        <v>84</v>
      </c>
      <c r="M342" s="2" t="s">
        <v>60</v>
      </c>
      <c r="N342" s="2"/>
      <c r="O342" s="2" t="s">
        <v>1927</v>
      </c>
      <c r="P342" s="2" t="s">
        <v>1928</v>
      </c>
      <c r="Q342" s="2" t="s">
        <v>110</v>
      </c>
      <c r="R342" s="2" t="n">
        <v>0.85</v>
      </c>
      <c r="S342" s="2" t="s">
        <v>1929</v>
      </c>
      <c r="T342" s="2" t="s">
        <v>803</v>
      </c>
      <c r="U342" s="2" t="s">
        <v>1930</v>
      </c>
      <c r="V342" s="2" t="s">
        <v>1931</v>
      </c>
      <c r="W342" s="2" t="s">
        <v>1932</v>
      </c>
      <c r="X342" s="2" t="s">
        <v>68</v>
      </c>
    </row>
    <row r="343" customFormat="false" ht="15" hidden="false" customHeight="false" outlineLevel="0" collapsed="false">
      <c r="A343" s="2" t="n">
        <v>304</v>
      </c>
      <c r="B343" s="2" t="s">
        <v>1893</v>
      </c>
      <c r="C343" s="2" t="s">
        <v>1933</v>
      </c>
      <c r="D343" s="2" t="s">
        <v>410</v>
      </c>
      <c r="E343" s="2" t="s">
        <v>1934</v>
      </c>
      <c r="F343" s="2" t="s">
        <v>1935</v>
      </c>
      <c r="G343" s="2" t="s">
        <v>1936</v>
      </c>
      <c r="H343" s="2" t="s">
        <v>1937</v>
      </c>
      <c r="I343" s="2" t="s">
        <v>385</v>
      </c>
      <c r="J343" s="2" t="n">
        <v>2.61</v>
      </c>
      <c r="K343" s="2" t="n">
        <v>98.7</v>
      </c>
      <c r="L343" s="2" t="s">
        <v>84</v>
      </c>
      <c r="M343" s="2" t="s">
        <v>340</v>
      </c>
      <c r="N343" s="2"/>
      <c r="O343" s="2" t="s">
        <v>1938</v>
      </c>
      <c r="P343" s="2" t="s">
        <v>1939</v>
      </c>
      <c r="Q343" s="2" t="s">
        <v>110</v>
      </c>
      <c r="R343" s="2" t="n">
        <v>0.9</v>
      </c>
      <c r="S343" s="2" t="s">
        <v>1940</v>
      </c>
      <c r="T343" s="2" t="s">
        <v>743</v>
      </c>
      <c r="U343" s="2" t="s">
        <v>1941</v>
      </c>
      <c r="V343" s="2" t="s">
        <v>1077</v>
      </c>
      <c r="W343" s="2" t="s">
        <v>1840</v>
      </c>
      <c r="X343" s="2" t="s">
        <v>507</v>
      </c>
    </row>
    <row r="344" customFormat="false" ht="15" hidden="false" customHeight="false" outlineLevel="0" collapsed="false">
      <c r="A344" s="2" t="n">
        <v>305</v>
      </c>
      <c r="B344" s="2" t="s">
        <v>1893</v>
      </c>
      <c r="C344" s="2" t="s">
        <v>1942</v>
      </c>
      <c r="D344" s="2" t="s">
        <v>410</v>
      </c>
      <c r="E344" s="2" t="s">
        <v>1943</v>
      </c>
      <c r="F344" s="2"/>
      <c r="G344" s="2" t="s">
        <v>1944</v>
      </c>
      <c r="H344" s="2" t="s">
        <v>1937</v>
      </c>
      <c r="I344" s="2" t="s">
        <v>385</v>
      </c>
      <c r="J344" s="2" t="n">
        <v>2.6</v>
      </c>
      <c r="K344" s="2" t="n">
        <v>98.62</v>
      </c>
      <c r="L344" s="2" t="s">
        <v>84</v>
      </c>
      <c r="M344" s="2" t="s">
        <v>60</v>
      </c>
      <c r="N344" s="2"/>
      <c r="O344" s="2" t="s">
        <v>1945</v>
      </c>
      <c r="P344" s="2" t="s">
        <v>1946</v>
      </c>
      <c r="Q344" s="2" t="s">
        <v>110</v>
      </c>
      <c r="R344" s="2" t="n">
        <v>0.75</v>
      </c>
      <c r="S344" s="2" t="s">
        <v>1947</v>
      </c>
      <c r="T344" s="2" t="s">
        <v>1459</v>
      </c>
      <c r="U344" s="2" t="s">
        <v>1948</v>
      </c>
      <c r="V344" s="2" t="s">
        <v>1931</v>
      </c>
      <c r="W344" s="2" t="s">
        <v>1750</v>
      </c>
      <c r="X344" s="2" t="s">
        <v>507</v>
      </c>
    </row>
    <row r="345" customFormat="false" ht="15" hidden="false" customHeight="false" outlineLevel="0" collapsed="false">
      <c r="A345" s="2" t="n">
        <v>306</v>
      </c>
      <c r="B345" s="2" t="s">
        <v>1893</v>
      </c>
      <c r="C345" s="2" t="s">
        <v>1949</v>
      </c>
      <c r="D345" s="2" t="s">
        <v>410</v>
      </c>
      <c r="E345" s="2" t="s">
        <v>1950</v>
      </c>
      <c r="F345" s="2" t="s">
        <v>1951</v>
      </c>
      <c r="G345" s="2" t="s">
        <v>1952</v>
      </c>
      <c r="H345" s="2" t="s">
        <v>1953</v>
      </c>
      <c r="I345" s="2" t="s">
        <v>385</v>
      </c>
      <c r="J345" s="2" t="n">
        <v>2.79</v>
      </c>
      <c r="K345" s="2" t="n">
        <v>98.53</v>
      </c>
      <c r="L345" s="2" t="s">
        <v>84</v>
      </c>
      <c r="M345" s="2" t="s">
        <v>60</v>
      </c>
      <c r="N345" s="2"/>
      <c r="O345" s="2" t="s">
        <v>1954</v>
      </c>
      <c r="P345" s="2" t="s">
        <v>1955</v>
      </c>
      <c r="Q345" s="2" t="s">
        <v>110</v>
      </c>
      <c r="R345" s="2" t="n">
        <v>0.7</v>
      </c>
      <c r="S345" s="2" t="s">
        <v>1956</v>
      </c>
      <c r="T345" s="2" t="s">
        <v>743</v>
      </c>
      <c r="U345" s="2" t="s">
        <v>1957</v>
      </c>
      <c r="V345" s="2" t="s">
        <v>745</v>
      </c>
      <c r="W345" s="2" t="s">
        <v>1332</v>
      </c>
      <c r="X345" s="2" t="s">
        <v>507</v>
      </c>
    </row>
    <row r="346" customFormat="false" ht="15" hidden="false" customHeight="false" outlineLevel="0" collapsed="false">
      <c r="A346" s="2" t="n">
        <v>307</v>
      </c>
      <c r="B346" s="2" t="s">
        <v>1893</v>
      </c>
      <c r="C346" s="2" t="s">
        <v>1958</v>
      </c>
      <c r="D346" s="2" t="s">
        <v>410</v>
      </c>
      <c r="E346" s="2" t="s">
        <v>1959</v>
      </c>
      <c r="F346" s="2" t="s">
        <v>1960</v>
      </c>
      <c r="G346" s="2" t="s">
        <v>1944</v>
      </c>
      <c r="H346" s="2" t="s">
        <v>1937</v>
      </c>
      <c r="I346" s="2" t="s">
        <v>385</v>
      </c>
      <c r="J346" s="2" t="n">
        <v>2.6</v>
      </c>
      <c r="K346" s="2" t="n">
        <v>98.62</v>
      </c>
      <c r="L346" s="2" t="s">
        <v>84</v>
      </c>
      <c r="M346" s="2" t="s">
        <v>340</v>
      </c>
      <c r="N346" s="2"/>
      <c r="O346" s="2" t="s">
        <v>1961</v>
      </c>
      <c r="P346" s="2"/>
      <c r="Q346" s="2" t="s">
        <v>110</v>
      </c>
      <c r="R346" s="2" t="n">
        <v>0.9</v>
      </c>
      <c r="S346" s="2" t="s">
        <v>1962</v>
      </c>
      <c r="T346" s="2" t="s">
        <v>743</v>
      </c>
      <c r="U346" s="2" t="s">
        <v>1963</v>
      </c>
      <c r="V346" s="2" t="s">
        <v>745</v>
      </c>
      <c r="W346" s="2" t="s">
        <v>1964</v>
      </c>
      <c r="X346" s="2" t="s">
        <v>1588</v>
      </c>
    </row>
    <row r="347" customFormat="false" ht="15" hidden="false" customHeight="false" outlineLevel="0" collapsed="false">
      <c r="A347" s="2" t="n">
        <v>308</v>
      </c>
      <c r="B347" s="2" t="s">
        <v>1893</v>
      </c>
      <c r="C347" s="2" t="s">
        <v>1965</v>
      </c>
      <c r="D347" s="2" t="s">
        <v>410</v>
      </c>
      <c r="E347" s="2" t="s">
        <v>1071</v>
      </c>
      <c r="F347" s="2" t="s">
        <v>1925</v>
      </c>
      <c r="G347" s="2" t="s">
        <v>1926</v>
      </c>
      <c r="H347" s="2" t="s">
        <v>1072</v>
      </c>
      <c r="I347" s="2" t="s">
        <v>385</v>
      </c>
      <c r="J347" s="2" t="n">
        <v>3.22</v>
      </c>
      <c r="K347" s="2" t="n">
        <v>98.53</v>
      </c>
      <c r="L347" s="2" t="s">
        <v>84</v>
      </c>
      <c r="M347" s="2" t="s">
        <v>60</v>
      </c>
      <c r="N347" s="2"/>
      <c r="O347" s="2" t="s">
        <v>1966</v>
      </c>
      <c r="P347" s="2" t="s">
        <v>773</v>
      </c>
      <c r="Q347" s="2" t="s">
        <v>110</v>
      </c>
      <c r="R347" s="2" t="n">
        <v>0.8</v>
      </c>
      <c r="S347" s="2" t="s">
        <v>1967</v>
      </c>
      <c r="T347" s="2" t="s">
        <v>743</v>
      </c>
      <c r="U347" s="2" t="s">
        <v>1968</v>
      </c>
      <c r="V347" s="2" t="s">
        <v>1077</v>
      </c>
      <c r="W347" s="2" t="s">
        <v>1078</v>
      </c>
      <c r="X347" s="2" t="s">
        <v>1588</v>
      </c>
    </row>
    <row r="348" customFormat="false" ht="15" hidden="false" customHeight="false" outlineLevel="0" collapsed="false">
      <c r="A348" s="2" t="n">
        <v>309</v>
      </c>
      <c r="B348" s="2" t="s">
        <v>1893</v>
      </c>
      <c r="C348" s="2" t="s">
        <v>1924</v>
      </c>
      <c r="D348" s="2" t="s">
        <v>410</v>
      </c>
      <c r="E348" s="2" t="s">
        <v>1072</v>
      </c>
      <c r="F348" s="2" t="s">
        <v>1925</v>
      </c>
      <c r="G348" s="2" t="s">
        <v>1926</v>
      </c>
      <c r="H348" s="2" t="s">
        <v>1072</v>
      </c>
      <c r="I348" s="2" t="s">
        <v>385</v>
      </c>
      <c r="J348" s="2" t="n">
        <v>3.22</v>
      </c>
      <c r="K348" s="2" t="n">
        <v>98.53</v>
      </c>
      <c r="L348" s="2" t="s">
        <v>84</v>
      </c>
      <c r="M348" s="2" t="s">
        <v>60</v>
      </c>
      <c r="N348" s="2"/>
      <c r="O348" s="2" t="s">
        <v>1969</v>
      </c>
      <c r="P348" s="2" t="s">
        <v>298</v>
      </c>
      <c r="Q348" s="2" t="s">
        <v>110</v>
      </c>
      <c r="R348" s="2" t="n">
        <v>0.8</v>
      </c>
      <c r="S348" s="2" t="s">
        <v>1970</v>
      </c>
      <c r="T348" s="2" t="s">
        <v>743</v>
      </c>
      <c r="U348" s="2" t="s">
        <v>1971</v>
      </c>
      <c r="V348" s="2" t="s">
        <v>420</v>
      </c>
      <c r="W348" s="2" t="s">
        <v>1972</v>
      </c>
      <c r="X348" s="2" t="s">
        <v>68</v>
      </c>
    </row>
    <row r="349" customFormat="false" ht="15" hidden="false" customHeight="false" outlineLevel="0" collapsed="false">
      <c r="A349" s="2" t="n">
        <v>310</v>
      </c>
      <c r="B349" s="2" t="s">
        <v>1893</v>
      </c>
      <c r="C349" s="2" t="s">
        <v>1973</v>
      </c>
      <c r="D349" s="2" t="s">
        <v>410</v>
      </c>
      <c r="E349" s="2" t="s">
        <v>1974</v>
      </c>
      <c r="F349" s="2"/>
      <c r="G349" s="2"/>
      <c r="H349" s="2" t="s">
        <v>1072</v>
      </c>
      <c r="I349" s="2" t="s">
        <v>385</v>
      </c>
      <c r="J349" s="2" t="n">
        <v>3.1</v>
      </c>
      <c r="K349" s="2" t="n">
        <v>98.35</v>
      </c>
      <c r="L349" s="2" t="s">
        <v>101</v>
      </c>
      <c r="M349" s="2" t="s">
        <v>340</v>
      </c>
      <c r="N349" s="2" t="s">
        <v>1975</v>
      </c>
      <c r="O349" s="2" t="s">
        <v>1976</v>
      </c>
      <c r="P349" s="2" t="s">
        <v>298</v>
      </c>
      <c r="Q349" s="2" t="s">
        <v>110</v>
      </c>
      <c r="R349" s="2" t="n">
        <v>0.85</v>
      </c>
      <c r="S349" s="2" t="s">
        <v>1977</v>
      </c>
      <c r="T349" s="2" t="s">
        <v>1459</v>
      </c>
      <c r="U349" s="2" t="s">
        <v>1978</v>
      </c>
      <c r="V349" s="2" t="s">
        <v>1979</v>
      </c>
      <c r="W349" s="2" t="s">
        <v>1306</v>
      </c>
      <c r="X349" s="2" t="s">
        <v>1588</v>
      </c>
    </row>
    <row r="350" customFormat="false" ht="15" hidden="false" customHeight="false" outlineLevel="0" collapsed="false">
      <c r="A350" s="2" t="n">
        <v>310</v>
      </c>
      <c r="B350" s="2" t="s">
        <v>1893</v>
      </c>
      <c r="C350" s="2" t="s">
        <v>1980</v>
      </c>
      <c r="D350" s="2" t="s">
        <v>410</v>
      </c>
      <c r="E350" s="2" t="s">
        <v>1981</v>
      </c>
      <c r="F350" s="2"/>
      <c r="G350" s="2"/>
      <c r="H350" s="2" t="s">
        <v>1013</v>
      </c>
      <c r="I350" s="2" t="s">
        <v>92</v>
      </c>
      <c r="J350" s="2" t="n">
        <v>-7.99</v>
      </c>
      <c r="K350" s="2" t="n">
        <v>110.6</v>
      </c>
      <c r="L350" s="2" t="s">
        <v>101</v>
      </c>
      <c r="M350" s="2" t="s">
        <v>60</v>
      </c>
      <c r="N350" s="2"/>
      <c r="O350" s="2" t="s">
        <v>1982</v>
      </c>
      <c r="P350" s="2"/>
      <c r="Q350" s="2" t="s">
        <v>110</v>
      </c>
      <c r="R350" s="2" t="n">
        <v>0.5</v>
      </c>
      <c r="S350" s="2" t="s">
        <v>1977</v>
      </c>
      <c r="T350" s="2" t="s">
        <v>1459</v>
      </c>
      <c r="U350" s="2" t="s">
        <v>1978</v>
      </c>
      <c r="V350" s="2" t="s">
        <v>1979</v>
      </c>
      <c r="W350" s="2" t="s">
        <v>1306</v>
      </c>
      <c r="X350" s="2" t="s">
        <v>1588</v>
      </c>
    </row>
    <row r="351" customFormat="false" ht="15" hidden="false" customHeight="false" outlineLevel="0" collapsed="false">
      <c r="A351" s="2" t="n">
        <v>311</v>
      </c>
      <c r="B351" s="2" t="s">
        <v>1893</v>
      </c>
      <c r="C351" s="2" t="s">
        <v>1983</v>
      </c>
      <c r="D351" s="2" t="s">
        <v>410</v>
      </c>
      <c r="E351" s="2" t="s">
        <v>1984</v>
      </c>
      <c r="F351" s="2" t="s">
        <v>1985</v>
      </c>
      <c r="G351" s="2" t="s">
        <v>1986</v>
      </c>
      <c r="H351" s="2" t="s">
        <v>631</v>
      </c>
      <c r="I351" s="2" t="s">
        <v>385</v>
      </c>
      <c r="J351" s="2" t="n">
        <v>3.59</v>
      </c>
      <c r="K351" s="2" t="n">
        <v>98.8</v>
      </c>
      <c r="L351" s="2" t="s">
        <v>84</v>
      </c>
      <c r="M351" s="2" t="s">
        <v>340</v>
      </c>
      <c r="N351" s="2"/>
      <c r="O351" s="2" t="s">
        <v>1987</v>
      </c>
      <c r="P351" s="2" t="s">
        <v>1988</v>
      </c>
      <c r="Q351" s="2" t="s">
        <v>110</v>
      </c>
      <c r="R351" s="2" t="n">
        <v>0.85</v>
      </c>
      <c r="S351" s="2" t="s">
        <v>1989</v>
      </c>
      <c r="T351" s="2" t="s">
        <v>1979</v>
      </c>
      <c r="U351" s="2" t="s">
        <v>1990</v>
      </c>
      <c r="V351" s="2" t="s">
        <v>1991</v>
      </c>
      <c r="W351" s="2" t="s">
        <v>506</v>
      </c>
      <c r="X351" s="2" t="s">
        <v>1588</v>
      </c>
    </row>
    <row r="352" customFormat="false" ht="15" hidden="false" customHeight="false" outlineLevel="0" collapsed="false">
      <c r="A352" s="2" t="n">
        <v>312</v>
      </c>
      <c r="B352" s="2" t="s">
        <v>1893</v>
      </c>
      <c r="C352" s="2" t="s">
        <v>1992</v>
      </c>
      <c r="D352" s="2" t="s">
        <v>1130</v>
      </c>
      <c r="E352" s="2" t="s">
        <v>1071</v>
      </c>
      <c r="F352" s="2"/>
      <c r="G352" s="2"/>
      <c r="H352" s="2" t="s">
        <v>1072</v>
      </c>
      <c r="I352" s="2" t="s">
        <v>385</v>
      </c>
      <c r="J352" s="2" t="n">
        <v>3.1</v>
      </c>
      <c r="K352" s="2" t="n">
        <v>98.35</v>
      </c>
      <c r="L352" s="2" t="s">
        <v>101</v>
      </c>
      <c r="M352" s="2" t="s">
        <v>340</v>
      </c>
      <c r="N352" s="2"/>
      <c r="O352" s="2" t="s">
        <v>1993</v>
      </c>
      <c r="P352" s="2"/>
      <c r="Q352" s="2" t="s">
        <v>62</v>
      </c>
      <c r="R352" s="2" t="n">
        <v>0.85</v>
      </c>
      <c r="S352" s="2" t="s">
        <v>1994</v>
      </c>
      <c r="T352" s="2" t="s">
        <v>1995</v>
      </c>
      <c r="U352" s="2" t="s">
        <v>1996</v>
      </c>
      <c r="V352" s="2" t="s">
        <v>392</v>
      </c>
      <c r="W352" s="2" t="s">
        <v>805</v>
      </c>
      <c r="X352" s="2" t="s">
        <v>1588</v>
      </c>
    </row>
    <row r="353" customFormat="false" ht="15" hidden="false" customHeight="false" outlineLevel="0" collapsed="false">
      <c r="A353" s="2" t="n">
        <v>325</v>
      </c>
      <c r="B353" s="2" t="s">
        <v>1893</v>
      </c>
      <c r="C353" s="2" t="s">
        <v>1997</v>
      </c>
      <c r="D353" s="2" t="s">
        <v>121</v>
      </c>
      <c r="E353" s="2" t="s">
        <v>1998</v>
      </c>
      <c r="F353" s="2"/>
      <c r="G353" s="2"/>
      <c r="H353" s="2" t="s">
        <v>384</v>
      </c>
      <c r="I353" s="2" t="s">
        <v>385</v>
      </c>
      <c r="J353" s="2" t="n">
        <v>3.595</v>
      </c>
      <c r="K353" s="2" t="n">
        <v>98.672</v>
      </c>
      <c r="L353" s="2" t="s">
        <v>101</v>
      </c>
      <c r="M353" s="2" t="s">
        <v>60</v>
      </c>
      <c r="N353" s="2" t="s">
        <v>1999</v>
      </c>
      <c r="O353" s="2" t="s">
        <v>2000</v>
      </c>
      <c r="P353" s="2" t="s">
        <v>109</v>
      </c>
      <c r="Q353" s="2" t="s">
        <v>62</v>
      </c>
      <c r="R353" s="2" t="n">
        <v>0.7</v>
      </c>
      <c r="S353" s="2" t="s">
        <v>2001</v>
      </c>
      <c r="T353" s="2" t="s">
        <v>2002</v>
      </c>
      <c r="U353" s="2" t="s">
        <v>2003</v>
      </c>
      <c r="V353" s="2" t="s">
        <v>2004</v>
      </c>
      <c r="W353" s="2" t="s">
        <v>2005</v>
      </c>
      <c r="X353" s="2" t="s">
        <v>1588</v>
      </c>
    </row>
    <row r="354" customFormat="false" ht="15" hidden="false" customHeight="false" outlineLevel="0" collapsed="false">
      <c r="A354" s="2" t="n">
        <v>327</v>
      </c>
      <c r="B354" s="2" t="s">
        <v>1893</v>
      </c>
      <c r="C354" s="2" t="s">
        <v>2006</v>
      </c>
      <c r="D354" s="2" t="s">
        <v>121</v>
      </c>
      <c r="E354" s="2" t="s">
        <v>2007</v>
      </c>
      <c r="F354" s="2"/>
      <c r="G354" s="2" t="s">
        <v>383</v>
      </c>
      <c r="H354" s="2" t="s">
        <v>384</v>
      </c>
      <c r="I354" s="2" t="s">
        <v>385</v>
      </c>
      <c r="J354" s="2" t="n">
        <v>3.59</v>
      </c>
      <c r="K354" s="2" t="n">
        <v>98.665</v>
      </c>
      <c r="L354" s="2" t="s">
        <v>84</v>
      </c>
      <c r="M354" s="2" t="s">
        <v>60</v>
      </c>
      <c r="N354" s="2"/>
      <c r="O354" s="2" t="s">
        <v>2008</v>
      </c>
      <c r="P354" s="2" t="s">
        <v>2009</v>
      </c>
      <c r="Q354" s="2" t="s">
        <v>62</v>
      </c>
      <c r="R354" s="2" t="n">
        <v>0.7</v>
      </c>
      <c r="S354" s="2" t="s">
        <v>2010</v>
      </c>
      <c r="T354" s="2" t="s">
        <v>95</v>
      </c>
      <c r="U354" s="2" t="s">
        <v>2011</v>
      </c>
      <c r="V354" s="2" t="s">
        <v>2012</v>
      </c>
      <c r="W354" s="2" t="s">
        <v>2013</v>
      </c>
      <c r="X354" s="2" t="s">
        <v>1588</v>
      </c>
    </row>
    <row r="355" customFormat="false" ht="15" hidden="false" customHeight="false" outlineLevel="0" collapsed="false">
      <c r="A355" s="2" t="n">
        <v>328</v>
      </c>
      <c r="B355" s="2" t="s">
        <v>1893</v>
      </c>
      <c r="C355" s="2" t="s">
        <v>2014</v>
      </c>
      <c r="D355" s="2" t="s">
        <v>410</v>
      </c>
      <c r="E355" s="2" t="s">
        <v>2015</v>
      </c>
      <c r="F355" s="2" t="s">
        <v>2016</v>
      </c>
      <c r="G355" s="2" t="s">
        <v>2017</v>
      </c>
      <c r="H355" s="2" t="s">
        <v>384</v>
      </c>
      <c r="I355" s="2" t="s">
        <v>385</v>
      </c>
      <c r="J355" s="2" t="n">
        <v>3.5905</v>
      </c>
      <c r="K355" s="2" t="n">
        <v>98.678</v>
      </c>
      <c r="L355" s="2" t="s">
        <v>124</v>
      </c>
      <c r="M355" s="2" t="s">
        <v>60</v>
      </c>
      <c r="N355" s="2"/>
      <c r="O355" s="2" t="s">
        <v>2018</v>
      </c>
      <c r="P355" s="2" t="s">
        <v>2019</v>
      </c>
      <c r="Q355" s="2" t="s">
        <v>62</v>
      </c>
      <c r="R355" s="2" t="n">
        <v>0.5</v>
      </c>
      <c r="S355" s="2" t="s">
        <v>2020</v>
      </c>
      <c r="T355" s="2" t="s">
        <v>2021</v>
      </c>
      <c r="U355" s="2" t="s">
        <v>2022</v>
      </c>
      <c r="V355" s="2" t="s">
        <v>2023</v>
      </c>
      <c r="W355" s="2" t="s">
        <v>1587</v>
      </c>
      <c r="X355" s="2" t="s">
        <v>1588</v>
      </c>
    </row>
    <row r="356" customFormat="false" ht="15" hidden="false" customHeight="false" outlineLevel="0" collapsed="false">
      <c r="A356" s="2" t="n">
        <v>329</v>
      </c>
      <c r="B356" s="2" t="s">
        <v>1893</v>
      </c>
      <c r="C356" s="2" t="s">
        <v>1997</v>
      </c>
      <c r="D356" s="2" t="s">
        <v>121</v>
      </c>
      <c r="E356" s="2" t="s">
        <v>1913</v>
      </c>
      <c r="F356" s="2"/>
      <c r="G356" s="2"/>
      <c r="H356" s="2" t="s">
        <v>384</v>
      </c>
      <c r="I356" s="2" t="s">
        <v>385</v>
      </c>
      <c r="J356" s="2" t="n">
        <v>3.595</v>
      </c>
      <c r="K356" s="2" t="n">
        <v>98.672</v>
      </c>
      <c r="L356" s="2" t="s">
        <v>101</v>
      </c>
      <c r="M356" s="2" t="s">
        <v>60</v>
      </c>
      <c r="N356" s="2"/>
      <c r="O356" s="2" t="s">
        <v>2024</v>
      </c>
      <c r="P356" s="2" t="s">
        <v>692</v>
      </c>
      <c r="Q356" s="2" t="s">
        <v>110</v>
      </c>
      <c r="R356" s="2" t="n">
        <v>0.85</v>
      </c>
      <c r="S356" s="2" t="s">
        <v>2025</v>
      </c>
      <c r="T356" s="2" t="s">
        <v>1459</v>
      </c>
      <c r="U356" s="2" t="s">
        <v>2026</v>
      </c>
      <c r="V356" s="2" t="s">
        <v>2027</v>
      </c>
      <c r="W356" s="2" t="s">
        <v>1501</v>
      </c>
      <c r="X356" s="2" t="s">
        <v>507</v>
      </c>
    </row>
    <row r="357" customFormat="false" ht="15" hidden="false" customHeight="false" outlineLevel="0" collapsed="false">
      <c r="A357" s="2" t="n">
        <v>330</v>
      </c>
      <c r="B357" s="2" t="s">
        <v>2028</v>
      </c>
      <c r="C357" s="2" t="s">
        <v>2029</v>
      </c>
      <c r="D357" s="2" t="s">
        <v>351</v>
      </c>
      <c r="E357" s="2" t="s">
        <v>1913</v>
      </c>
      <c r="F357" s="2" t="s">
        <v>2030</v>
      </c>
      <c r="G357" s="2" t="s">
        <v>2031</v>
      </c>
      <c r="H357" s="2" t="s">
        <v>384</v>
      </c>
      <c r="I357" s="2" t="s">
        <v>385</v>
      </c>
      <c r="J357" s="2" t="n">
        <v>3.568</v>
      </c>
      <c r="K357" s="2" t="n">
        <v>98.692</v>
      </c>
      <c r="L357" s="2" t="s">
        <v>124</v>
      </c>
      <c r="M357" s="2" t="s">
        <v>60</v>
      </c>
      <c r="N357" s="2"/>
      <c r="O357" s="2" t="s">
        <v>2032</v>
      </c>
      <c r="P357" s="2" t="s">
        <v>1001</v>
      </c>
      <c r="Q357" s="2" t="s">
        <v>110</v>
      </c>
      <c r="R357" s="2" t="n">
        <v>0.45</v>
      </c>
      <c r="S357" s="2" t="s">
        <v>2033</v>
      </c>
      <c r="T357" s="2" t="s">
        <v>2034</v>
      </c>
      <c r="U357" s="2" t="s">
        <v>2035</v>
      </c>
      <c r="V357" s="2" t="s">
        <v>2036</v>
      </c>
      <c r="W357" s="2" t="s">
        <v>2037</v>
      </c>
      <c r="X357" s="2" t="s">
        <v>1588</v>
      </c>
    </row>
    <row r="358" customFormat="false" ht="15" hidden="false" customHeight="false" outlineLevel="0" collapsed="false">
      <c r="A358" s="2" t="n">
        <v>331</v>
      </c>
      <c r="B358" s="2" t="s">
        <v>2028</v>
      </c>
      <c r="C358" s="2" t="s">
        <v>2014</v>
      </c>
      <c r="D358" s="2" t="s">
        <v>410</v>
      </c>
      <c r="E358" s="2" t="s">
        <v>2015</v>
      </c>
      <c r="F358" s="2" t="s">
        <v>2016</v>
      </c>
      <c r="G358" s="2" t="s">
        <v>2017</v>
      </c>
      <c r="H358" s="2" t="s">
        <v>384</v>
      </c>
      <c r="I358" s="2" t="s">
        <v>385</v>
      </c>
      <c r="J358" s="2" t="n">
        <v>3.5905</v>
      </c>
      <c r="K358" s="2" t="n">
        <v>98.678</v>
      </c>
      <c r="L358" s="2" t="s">
        <v>124</v>
      </c>
      <c r="M358" s="2" t="s">
        <v>60</v>
      </c>
      <c r="N358" s="2"/>
      <c r="O358" s="2" t="s">
        <v>2038</v>
      </c>
      <c r="P358" s="2" t="s">
        <v>2019</v>
      </c>
      <c r="Q358" s="2" t="s">
        <v>62</v>
      </c>
      <c r="R358" s="2" t="n">
        <v>0.45</v>
      </c>
      <c r="S358" s="2" t="s">
        <v>2039</v>
      </c>
      <c r="T358" s="2" t="s">
        <v>2040</v>
      </c>
      <c r="U358" s="2" t="s">
        <v>2041</v>
      </c>
      <c r="V358" s="2" t="s">
        <v>2012</v>
      </c>
      <c r="W358" s="2" t="s">
        <v>1354</v>
      </c>
      <c r="X358" s="2" t="s">
        <v>1588</v>
      </c>
    </row>
    <row r="359" customFormat="false" ht="15" hidden="false" customHeight="false" outlineLevel="0" collapsed="false">
      <c r="A359" s="2" t="n">
        <v>332</v>
      </c>
      <c r="B359" s="2" t="s">
        <v>2028</v>
      </c>
      <c r="C359" s="2" t="s">
        <v>2042</v>
      </c>
      <c r="D359" s="2" t="s">
        <v>121</v>
      </c>
      <c r="E359" s="2" t="s">
        <v>1998</v>
      </c>
      <c r="F359" s="2"/>
      <c r="G359" s="2"/>
      <c r="H359" s="2" t="s">
        <v>384</v>
      </c>
      <c r="I359" s="2" t="s">
        <v>385</v>
      </c>
      <c r="J359" s="2" t="n">
        <v>3.595</v>
      </c>
      <c r="K359" s="2" t="n">
        <v>98.672</v>
      </c>
      <c r="L359" s="2" t="s">
        <v>101</v>
      </c>
      <c r="M359" s="2" t="s">
        <v>60</v>
      </c>
      <c r="N359" s="2" t="s">
        <v>1999</v>
      </c>
      <c r="O359" s="2" t="s">
        <v>2043</v>
      </c>
      <c r="P359" s="2" t="s">
        <v>692</v>
      </c>
      <c r="Q359" s="2" t="s">
        <v>62</v>
      </c>
      <c r="R359" s="2" t="n">
        <v>0.75</v>
      </c>
      <c r="S359" s="2" t="s">
        <v>2044</v>
      </c>
      <c r="T359" s="2" t="s">
        <v>2021</v>
      </c>
      <c r="U359" s="2" t="s">
        <v>2045</v>
      </c>
      <c r="V359" s="2" t="s">
        <v>2036</v>
      </c>
      <c r="W359" s="2" t="s">
        <v>2005</v>
      </c>
      <c r="X359" s="2" t="s">
        <v>1588</v>
      </c>
    </row>
    <row r="360" customFormat="false" ht="15" hidden="false" customHeight="false" outlineLevel="0" collapsed="false">
      <c r="A360" s="2" t="n">
        <v>334</v>
      </c>
      <c r="B360" s="2" t="s">
        <v>2028</v>
      </c>
      <c r="C360" s="2" t="s">
        <v>2046</v>
      </c>
      <c r="D360" s="2" t="s">
        <v>121</v>
      </c>
      <c r="E360" s="2" t="s">
        <v>1913</v>
      </c>
      <c r="F360" s="2"/>
      <c r="G360" s="2"/>
      <c r="H360" s="2" t="s">
        <v>384</v>
      </c>
      <c r="I360" s="2" t="s">
        <v>385</v>
      </c>
      <c r="J360" s="2" t="n">
        <v>3.595</v>
      </c>
      <c r="K360" s="2" t="n">
        <v>98.672</v>
      </c>
      <c r="L360" s="2" t="s">
        <v>101</v>
      </c>
      <c r="M360" s="2" t="s">
        <v>60</v>
      </c>
      <c r="N360" s="2"/>
      <c r="O360" s="2" t="s">
        <v>2047</v>
      </c>
      <c r="P360" s="2"/>
      <c r="Q360" s="2" t="s">
        <v>62</v>
      </c>
      <c r="R360" s="2" t="n">
        <v>0.4</v>
      </c>
      <c r="S360" s="2" t="s">
        <v>2048</v>
      </c>
      <c r="T360" s="2" t="s">
        <v>1882</v>
      </c>
      <c r="U360" s="2" t="s">
        <v>2049</v>
      </c>
      <c r="V360" s="2" t="s">
        <v>66</v>
      </c>
      <c r="W360" s="2" t="s">
        <v>132</v>
      </c>
      <c r="X360" s="2" t="s">
        <v>1588</v>
      </c>
    </row>
    <row r="361" customFormat="false" ht="15" hidden="false" customHeight="false" outlineLevel="0" collapsed="false">
      <c r="A361" s="2" t="n">
        <v>335</v>
      </c>
      <c r="B361" s="2" t="s">
        <v>2028</v>
      </c>
      <c r="C361" s="2" t="s">
        <v>2050</v>
      </c>
      <c r="D361" s="2" t="s">
        <v>351</v>
      </c>
      <c r="E361" s="2" t="s">
        <v>2051</v>
      </c>
      <c r="F361" s="2" t="s">
        <v>2052</v>
      </c>
      <c r="G361" s="2" t="s">
        <v>1644</v>
      </c>
      <c r="H361" s="2" t="s">
        <v>426</v>
      </c>
      <c r="I361" s="2" t="s">
        <v>74</v>
      </c>
      <c r="J361" s="2" t="n">
        <v>-6.232</v>
      </c>
      <c r="K361" s="2" t="n">
        <v>106.848</v>
      </c>
      <c r="L361" s="2" t="s">
        <v>59</v>
      </c>
      <c r="M361" s="2" t="s">
        <v>60</v>
      </c>
      <c r="N361" s="2"/>
      <c r="O361" s="2" t="s">
        <v>2053</v>
      </c>
      <c r="P361" s="2"/>
      <c r="Q361" s="2" t="s">
        <v>62</v>
      </c>
      <c r="R361" s="2" t="n">
        <v>0.75</v>
      </c>
      <c r="S361" s="2" t="s">
        <v>2054</v>
      </c>
      <c r="T361" s="2" t="s">
        <v>64</v>
      </c>
      <c r="U361" s="2" t="s">
        <v>2055</v>
      </c>
      <c r="V361" s="2" t="s">
        <v>661</v>
      </c>
      <c r="W361" s="2" t="s">
        <v>115</v>
      </c>
      <c r="X361" s="2" t="s">
        <v>1588</v>
      </c>
    </row>
    <row r="362" customFormat="false" ht="15" hidden="false" customHeight="false" outlineLevel="0" collapsed="false">
      <c r="A362" s="2" t="n">
        <v>335</v>
      </c>
      <c r="B362" s="2" t="s">
        <v>2028</v>
      </c>
      <c r="C362" s="2" t="s">
        <v>2056</v>
      </c>
      <c r="D362" s="2" t="s">
        <v>53</v>
      </c>
      <c r="E362" s="2" t="s">
        <v>2057</v>
      </c>
      <c r="F362" s="2" t="s">
        <v>2052</v>
      </c>
      <c r="G362" s="2" t="s">
        <v>1644</v>
      </c>
      <c r="H362" s="2" t="s">
        <v>426</v>
      </c>
      <c r="I362" s="2" t="s">
        <v>74</v>
      </c>
      <c r="J362" s="2" t="n">
        <v>-6.232</v>
      </c>
      <c r="K362" s="2" t="n">
        <v>106.848</v>
      </c>
      <c r="L362" s="2" t="s">
        <v>59</v>
      </c>
      <c r="M362" s="2" t="s">
        <v>60</v>
      </c>
      <c r="N362" s="2"/>
      <c r="O362" s="2" t="s">
        <v>2058</v>
      </c>
      <c r="P362" s="2"/>
      <c r="Q362" s="2" t="s">
        <v>62</v>
      </c>
      <c r="R362" s="2" t="n">
        <v>0.8</v>
      </c>
      <c r="S362" s="2" t="s">
        <v>2054</v>
      </c>
      <c r="T362" s="2" t="s">
        <v>64</v>
      </c>
      <c r="U362" s="2" t="s">
        <v>2055</v>
      </c>
      <c r="V362" s="2" t="s">
        <v>661</v>
      </c>
      <c r="W362" s="2" t="s">
        <v>115</v>
      </c>
      <c r="X362" s="2" t="s">
        <v>1588</v>
      </c>
    </row>
    <row r="363" customFormat="false" ht="15" hidden="false" customHeight="false" outlineLevel="0" collapsed="false">
      <c r="A363" s="2" t="n">
        <v>335</v>
      </c>
      <c r="B363" s="2" t="s">
        <v>2028</v>
      </c>
      <c r="C363" s="2" t="s">
        <v>2059</v>
      </c>
      <c r="D363" s="2" t="s">
        <v>53</v>
      </c>
      <c r="E363" s="2" t="s">
        <v>2060</v>
      </c>
      <c r="F363" s="2" t="s">
        <v>2052</v>
      </c>
      <c r="G363" s="2" t="s">
        <v>1644</v>
      </c>
      <c r="H363" s="2" t="s">
        <v>426</v>
      </c>
      <c r="I363" s="2" t="s">
        <v>74</v>
      </c>
      <c r="J363" s="2" t="n">
        <v>-6.232</v>
      </c>
      <c r="K363" s="2" t="n">
        <v>106.848</v>
      </c>
      <c r="L363" s="2" t="s">
        <v>59</v>
      </c>
      <c r="M363" s="2" t="s">
        <v>60</v>
      </c>
      <c r="N363" s="2"/>
      <c r="O363" s="2" t="s">
        <v>2061</v>
      </c>
      <c r="P363" s="2"/>
      <c r="Q363" s="2" t="s">
        <v>62</v>
      </c>
      <c r="R363" s="2" t="n">
        <v>0.8</v>
      </c>
      <c r="S363" s="2" t="s">
        <v>2054</v>
      </c>
      <c r="T363" s="2" t="s">
        <v>64</v>
      </c>
      <c r="U363" s="2" t="s">
        <v>2055</v>
      </c>
      <c r="V363" s="2" t="s">
        <v>661</v>
      </c>
      <c r="W363" s="2" t="s">
        <v>115</v>
      </c>
      <c r="X363" s="2" t="s">
        <v>1588</v>
      </c>
    </row>
    <row r="364" customFormat="false" ht="15" hidden="false" customHeight="false" outlineLevel="0" collapsed="false">
      <c r="A364" s="2" t="n">
        <v>335</v>
      </c>
      <c r="B364" s="2" t="s">
        <v>2028</v>
      </c>
      <c r="C364" s="2" t="s">
        <v>2062</v>
      </c>
      <c r="D364" s="2" t="s">
        <v>53</v>
      </c>
      <c r="E364" s="2" t="s">
        <v>2063</v>
      </c>
      <c r="F364" s="2" t="s">
        <v>2052</v>
      </c>
      <c r="G364" s="2" t="s">
        <v>1644</v>
      </c>
      <c r="H364" s="2" t="s">
        <v>426</v>
      </c>
      <c r="I364" s="2" t="s">
        <v>74</v>
      </c>
      <c r="J364" s="2" t="n">
        <v>-6.232</v>
      </c>
      <c r="K364" s="2" t="n">
        <v>106.848</v>
      </c>
      <c r="L364" s="2" t="s">
        <v>59</v>
      </c>
      <c r="M364" s="2" t="s">
        <v>60</v>
      </c>
      <c r="N364" s="2"/>
      <c r="O364" s="2" t="s">
        <v>2064</v>
      </c>
      <c r="P364" s="2"/>
      <c r="Q364" s="2" t="s">
        <v>62</v>
      </c>
      <c r="R364" s="2" t="n">
        <v>0.8</v>
      </c>
      <c r="S364" s="2" t="s">
        <v>2054</v>
      </c>
      <c r="T364" s="2" t="s">
        <v>64</v>
      </c>
      <c r="U364" s="2" t="s">
        <v>2055</v>
      </c>
      <c r="V364" s="2" t="s">
        <v>661</v>
      </c>
      <c r="W364" s="2" t="s">
        <v>115</v>
      </c>
      <c r="X364" s="2" t="s">
        <v>1588</v>
      </c>
    </row>
    <row r="365" customFormat="false" ht="15" hidden="false" customHeight="false" outlineLevel="0" collapsed="false">
      <c r="A365" s="2" t="n">
        <v>336</v>
      </c>
      <c r="B365" s="2" t="s">
        <v>2028</v>
      </c>
      <c r="C365" s="2" t="s">
        <v>2065</v>
      </c>
      <c r="D365" s="2" t="s">
        <v>53</v>
      </c>
      <c r="E365" s="2" t="s">
        <v>2066</v>
      </c>
      <c r="F365" s="2"/>
      <c r="G365" s="2" t="s">
        <v>666</v>
      </c>
      <c r="H365" s="2" t="s">
        <v>655</v>
      </c>
      <c r="I365" s="2" t="s">
        <v>656</v>
      </c>
      <c r="J365" s="2" t="n">
        <v>1.145</v>
      </c>
      <c r="K365" s="2" t="n">
        <v>104.01</v>
      </c>
      <c r="L365" s="2" t="s">
        <v>84</v>
      </c>
      <c r="M365" s="2" t="s">
        <v>60</v>
      </c>
      <c r="N365" s="2"/>
      <c r="O365" s="2" t="s">
        <v>2067</v>
      </c>
      <c r="P365" s="2"/>
      <c r="Q365" s="2" t="s">
        <v>62</v>
      </c>
      <c r="R365" s="2" t="n">
        <v>0.8</v>
      </c>
      <c r="S365" s="2" t="s">
        <v>2068</v>
      </c>
      <c r="T365" s="2" t="s">
        <v>659</v>
      </c>
      <c r="U365" s="2" t="s">
        <v>2069</v>
      </c>
      <c r="V365" s="2" t="s">
        <v>2070</v>
      </c>
      <c r="W365" s="2" t="s">
        <v>283</v>
      </c>
      <c r="X365" s="2" t="s">
        <v>68</v>
      </c>
    </row>
    <row r="366" customFormat="false" ht="15" hidden="false" customHeight="false" outlineLevel="0" collapsed="false">
      <c r="A366" s="2" t="n">
        <v>336</v>
      </c>
      <c r="B366" s="2" t="s">
        <v>2028</v>
      </c>
      <c r="C366" s="2" t="s">
        <v>2071</v>
      </c>
      <c r="D366" s="2" t="s">
        <v>53</v>
      </c>
      <c r="E366" s="2" t="s">
        <v>2072</v>
      </c>
      <c r="F366" s="2" t="s">
        <v>2073</v>
      </c>
      <c r="G366" s="2" t="s">
        <v>654</v>
      </c>
      <c r="H366" s="2" t="s">
        <v>655</v>
      </c>
      <c r="I366" s="2" t="s">
        <v>656</v>
      </c>
      <c r="J366" s="2" t="n">
        <v>1.135</v>
      </c>
      <c r="K366" s="2" t="n">
        <v>104.055</v>
      </c>
      <c r="L366" s="2" t="s">
        <v>84</v>
      </c>
      <c r="M366" s="2" t="s">
        <v>60</v>
      </c>
      <c r="N366" s="2"/>
      <c r="O366" s="2" t="s">
        <v>2074</v>
      </c>
      <c r="P366" s="2"/>
      <c r="Q366" s="2" t="s">
        <v>62</v>
      </c>
      <c r="R366" s="2" t="n">
        <v>0.8</v>
      </c>
      <c r="S366" s="2" t="s">
        <v>2068</v>
      </c>
      <c r="T366" s="2" t="s">
        <v>659</v>
      </c>
      <c r="U366" s="2" t="s">
        <v>2069</v>
      </c>
      <c r="V366" s="2" t="s">
        <v>2070</v>
      </c>
      <c r="W366" s="2" t="s">
        <v>283</v>
      </c>
      <c r="X366" s="2" t="s">
        <v>68</v>
      </c>
    </row>
    <row r="367" customFormat="false" ht="15" hidden="false" customHeight="false" outlineLevel="0" collapsed="false">
      <c r="A367" s="2" t="n">
        <v>336</v>
      </c>
      <c r="B367" s="2" t="s">
        <v>2028</v>
      </c>
      <c r="C367" s="2" t="s">
        <v>2075</v>
      </c>
      <c r="D367" s="2" t="s">
        <v>134</v>
      </c>
      <c r="E367" s="2" t="s">
        <v>2076</v>
      </c>
      <c r="F367" s="2" t="s">
        <v>2077</v>
      </c>
      <c r="G367" s="2" t="s">
        <v>654</v>
      </c>
      <c r="H367" s="2" t="s">
        <v>655</v>
      </c>
      <c r="I367" s="2" t="s">
        <v>656</v>
      </c>
      <c r="J367" s="2" t="n">
        <v>1.135</v>
      </c>
      <c r="K367" s="2" t="n">
        <v>104.055</v>
      </c>
      <c r="L367" s="2" t="s">
        <v>84</v>
      </c>
      <c r="M367" s="2" t="s">
        <v>60</v>
      </c>
      <c r="N367" s="2"/>
      <c r="O367" s="2" t="s">
        <v>2078</v>
      </c>
      <c r="P367" s="2"/>
      <c r="Q367" s="2" t="s">
        <v>62</v>
      </c>
      <c r="R367" s="2" t="n">
        <v>0.8</v>
      </c>
      <c r="S367" s="2" t="s">
        <v>2068</v>
      </c>
      <c r="T367" s="2" t="s">
        <v>659</v>
      </c>
      <c r="U367" s="2" t="s">
        <v>2069</v>
      </c>
      <c r="V367" s="2" t="s">
        <v>2070</v>
      </c>
      <c r="W367" s="2" t="s">
        <v>283</v>
      </c>
      <c r="X367" s="2" t="s">
        <v>68</v>
      </c>
    </row>
    <row r="368" customFormat="false" ht="15" hidden="false" customHeight="false" outlineLevel="0" collapsed="false">
      <c r="A368" s="2" t="n">
        <v>336</v>
      </c>
      <c r="B368" s="2" t="s">
        <v>2028</v>
      </c>
      <c r="C368" s="2" t="s">
        <v>2079</v>
      </c>
      <c r="D368" s="2" t="s">
        <v>134</v>
      </c>
      <c r="E368" s="2" t="s">
        <v>2080</v>
      </c>
      <c r="F368" s="2"/>
      <c r="G368" s="2"/>
      <c r="H368" s="2" t="s">
        <v>655</v>
      </c>
      <c r="I368" s="2" t="s">
        <v>656</v>
      </c>
      <c r="J368" s="2" t="n">
        <v>1.08</v>
      </c>
      <c r="K368" s="2" t="n">
        <v>104.03</v>
      </c>
      <c r="L368" s="2" t="s">
        <v>101</v>
      </c>
      <c r="M368" s="2" t="s">
        <v>60</v>
      </c>
      <c r="N368" s="2"/>
      <c r="O368" s="2" t="s">
        <v>2081</v>
      </c>
      <c r="P368" s="2"/>
      <c r="Q368" s="2" t="s">
        <v>62</v>
      </c>
      <c r="R368" s="2" t="n">
        <v>0.65</v>
      </c>
      <c r="S368" s="2" t="s">
        <v>2068</v>
      </c>
      <c r="T368" s="2" t="s">
        <v>659</v>
      </c>
      <c r="U368" s="2" t="s">
        <v>2069</v>
      </c>
      <c r="V368" s="2" t="s">
        <v>2070</v>
      </c>
      <c r="W368" s="2" t="s">
        <v>283</v>
      </c>
      <c r="X368" s="2" t="s">
        <v>68</v>
      </c>
    </row>
    <row r="369" customFormat="false" ht="15" hidden="false" customHeight="false" outlineLevel="0" collapsed="false">
      <c r="A369" s="2" t="n">
        <v>337</v>
      </c>
      <c r="B369" s="2" t="s">
        <v>2028</v>
      </c>
      <c r="C369" s="2" t="s">
        <v>2082</v>
      </c>
      <c r="D369" s="2" t="s">
        <v>53</v>
      </c>
      <c r="E369" s="2" t="s">
        <v>2083</v>
      </c>
      <c r="F369" s="2" t="s">
        <v>2084</v>
      </c>
      <c r="G369" s="2" t="s">
        <v>2085</v>
      </c>
      <c r="H369" s="2" t="s">
        <v>1336</v>
      </c>
      <c r="I369" s="2" t="s">
        <v>1337</v>
      </c>
      <c r="J369" s="2" t="n">
        <v>-0.95</v>
      </c>
      <c r="K369" s="2" t="n">
        <v>100.354</v>
      </c>
      <c r="L369" s="2" t="s">
        <v>84</v>
      </c>
      <c r="M369" s="2" t="s">
        <v>1822</v>
      </c>
      <c r="N369" s="2" t="s">
        <v>2086</v>
      </c>
      <c r="O369" s="2" t="s">
        <v>2087</v>
      </c>
      <c r="P369" s="2"/>
      <c r="Q369" s="2" t="s">
        <v>62</v>
      </c>
      <c r="R369" s="2" t="n">
        <v>0.85</v>
      </c>
      <c r="S369" s="2" t="s">
        <v>2088</v>
      </c>
      <c r="T369" s="2" t="s">
        <v>2089</v>
      </c>
      <c r="U369" s="2" t="s">
        <v>2090</v>
      </c>
      <c r="V369" s="2" t="s">
        <v>2091</v>
      </c>
      <c r="W369" s="2" t="s">
        <v>1840</v>
      </c>
      <c r="X369" s="2" t="s">
        <v>1588</v>
      </c>
    </row>
    <row r="370" customFormat="false" ht="15" hidden="false" customHeight="false" outlineLevel="0" collapsed="false">
      <c r="A370" s="2" t="n">
        <v>337</v>
      </c>
      <c r="B370" s="2" t="s">
        <v>2028</v>
      </c>
      <c r="C370" s="2" t="s">
        <v>2092</v>
      </c>
      <c r="D370" s="2" t="s">
        <v>53</v>
      </c>
      <c r="E370" s="2" t="s">
        <v>2093</v>
      </c>
      <c r="F370" s="2"/>
      <c r="G370" s="2"/>
      <c r="H370" s="2" t="s">
        <v>1336</v>
      </c>
      <c r="I370" s="2" t="s">
        <v>1337</v>
      </c>
      <c r="J370" s="2" t="n">
        <v>-0.947</v>
      </c>
      <c r="K370" s="2" t="n">
        <v>100.417</v>
      </c>
      <c r="L370" s="2" t="s">
        <v>101</v>
      </c>
      <c r="M370" s="2" t="s">
        <v>60</v>
      </c>
      <c r="N370" s="2" t="s">
        <v>2094</v>
      </c>
      <c r="O370" s="2" t="s">
        <v>2095</v>
      </c>
      <c r="P370" s="2"/>
      <c r="Q370" s="2" t="s">
        <v>62</v>
      </c>
      <c r="R370" s="2" t="n">
        <v>0.85</v>
      </c>
      <c r="S370" s="2" t="s">
        <v>2088</v>
      </c>
      <c r="T370" s="2" t="s">
        <v>2089</v>
      </c>
      <c r="U370" s="2" t="s">
        <v>2090</v>
      </c>
      <c r="V370" s="2" t="s">
        <v>2091</v>
      </c>
      <c r="W370" s="2" t="s">
        <v>1840</v>
      </c>
      <c r="X370" s="2" t="s">
        <v>1588</v>
      </c>
    </row>
    <row r="371" customFormat="false" ht="15" hidden="false" customHeight="false" outlineLevel="0" collapsed="false">
      <c r="A371" s="2" t="n">
        <v>338</v>
      </c>
      <c r="B371" s="2" t="s">
        <v>2028</v>
      </c>
      <c r="C371" s="2" t="s">
        <v>2096</v>
      </c>
      <c r="D371" s="2" t="s">
        <v>351</v>
      </c>
      <c r="E371" s="2" t="s">
        <v>2097</v>
      </c>
      <c r="F371" s="2"/>
      <c r="G371" s="2" t="s">
        <v>2085</v>
      </c>
      <c r="H371" s="2" t="s">
        <v>1336</v>
      </c>
      <c r="I371" s="2" t="s">
        <v>1337</v>
      </c>
      <c r="J371" s="2" t="n">
        <v>-0.95</v>
      </c>
      <c r="K371" s="2" t="n">
        <v>100.354</v>
      </c>
      <c r="L371" s="2" t="s">
        <v>84</v>
      </c>
      <c r="M371" s="2" t="s">
        <v>60</v>
      </c>
      <c r="N371" s="2"/>
      <c r="O371" s="2" t="s">
        <v>2098</v>
      </c>
      <c r="P371" s="2" t="s">
        <v>298</v>
      </c>
      <c r="Q371" s="2" t="s">
        <v>62</v>
      </c>
      <c r="R371" s="2" t="n">
        <v>0.4</v>
      </c>
      <c r="S371" s="2" t="s">
        <v>2099</v>
      </c>
      <c r="T371" s="2" t="s">
        <v>2100</v>
      </c>
      <c r="U371" s="2" t="s">
        <v>2101</v>
      </c>
      <c r="V371" s="2" t="s">
        <v>66</v>
      </c>
      <c r="W371" s="2" t="s">
        <v>283</v>
      </c>
      <c r="X371" s="2" t="s">
        <v>1588</v>
      </c>
    </row>
    <row r="372" customFormat="false" ht="15" hidden="false" customHeight="false" outlineLevel="0" collapsed="false">
      <c r="A372" s="2" t="n">
        <v>338</v>
      </c>
      <c r="B372" s="2" t="s">
        <v>2028</v>
      </c>
      <c r="C372" s="2" t="s">
        <v>2102</v>
      </c>
      <c r="D372" s="2" t="s">
        <v>134</v>
      </c>
      <c r="E372" s="2" t="s">
        <v>2103</v>
      </c>
      <c r="F372" s="2" t="s">
        <v>2104</v>
      </c>
      <c r="G372" s="2" t="s">
        <v>2085</v>
      </c>
      <c r="H372" s="2" t="s">
        <v>1336</v>
      </c>
      <c r="I372" s="2" t="s">
        <v>1337</v>
      </c>
      <c r="J372" s="2" t="n">
        <v>-0.95</v>
      </c>
      <c r="K372" s="2" t="n">
        <v>100.354</v>
      </c>
      <c r="L372" s="2" t="s">
        <v>84</v>
      </c>
      <c r="M372" s="2" t="s">
        <v>60</v>
      </c>
      <c r="N372" s="2"/>
      <c r="O372" s="2" t="s">
        <v>2098</v>
      </c>
      <c r="P372" s="2" t="s">
        <v>298</v>
      </c>
      <c r="Q372" s="2" t="s">
        <v>62</v>
      </c>
      <c r="R372" s="2" t="n">
        <v>0.4</v>
      </c>
      <c r="S372" s="2" t="s">
        <v>2099</v>
      </c>
      <c r="T372" s="2" t="s">
        <v>2100</v>
      </c>
      <c r="U372" s="2" t="s">
        <v>2101</v>
      </c>
      <c r="V372" s="2" t="s">
        <v>66</v>
      </c>
      <c r="W372" s="2" t="s">
        <v>283</v>
      </c>
      <c r="X372" s="2" t="s">
        <v>1588</v>
      </c>
    </row>
    <row r="373" customFormat="false" ht="15" hidden="false" customHeight="false" outlineLevel="0" collapsed="false">
      <c r="A373" s="2" t="n">
        <v>338</v>
      </c>
      <c r="B373" s="2" t="s">
        <v>2028</v>
      </c>
      <c r="C373" s="2" t="s">
        <v>2105</v>
      </c>
      <c r="D373" s="2" t="s">
        <v>134</v>
      </c>
      <c r="E373" s="2" t="s">
        <v>2106</v>
      </c>
      <c r="F373" s="2" t="s">
        <v>2107</v>
      </c>
      <c r="G373" s="2" t="s">
        <v>2085</v>
      </c>
      <c r="H373" s="2" t="s">
        <v>1336</v>
      </c>
      <c r="I373" s="2" t="s">
        <v>1337</v>
      </c>
      <c r="J373" s="2" t="n">
        <v>-0.95</v>
      </c>
      <c r="K373" s="2" t="n">
        <v>100.354</v>
      </c>
      <c r="L373" s="2" t="s">
        <v>84</v>
      </c>
      <c r="M373" s="2" t="s">
        <v>60</v>
      </c>
      <c r="N373" s="2"/>
      <c r="O373" s="2" t="s">
        <v>2098</v>
      </c>
      <c r="P373" s="2" t="s">
        <v>298</v>
      </c>
      <c r="Q373" s="2" t="s">
        <v>62</v>
      </c>
      <c r="R373" s="2" t="n">
        <v>0.4</v>
      </c>
      <c r="S373" s="2" t="s">
        <v>2099</v>
      </c>
      <c r="T373" s="2" t="s">
        <v>2100</v>
      </c>
      <c r="U373" s="2" t="s">
        <v>2101</v>
      </c>
      <c r="V373" s="2" t="s">
        <v>66</v>
      </c>
      <c r="W373" s="2" t="s">
        <v>283</v>
      </c>
      <c r="X373" s="2" t="s">
        <v>1588</v>
      </c>
    </row>
    <row r="374" customFormat="false" ht="15" hidden="false" customHeight="false" outlineLevel="0" collapsed="false">
      <c r="A374" s="2" t="n">
        <v>338</v>
      </c>
      <c r="B374" s="2" t="s">
        <v>2028</v>
      </c>
      <c r="C374" s="2" t="s">
        <v>2108</v>
      </c>
      <c r="D374" s="2" t="s">
        <v>53</v>
      </c>
      <c r="E374" s="2" t="s">
        <v>2109</v>
      </c>
      <c r="F374" s="2" t="s">
        <v>2104</v>
      </c>
      <c r="G374" s="2" t="s">
        <v>2085</v>
      </c>
      <c r="H374" s="2" t="s">
        <v>1336</v>
      </c>
      <c r="I374" s="2" t="s">
        <v>1337</v>
      </c>
      <c r="J374" s="2" t="n">
        <v>-0.95</v>
      </c>
      <c r="K374" s="2" t="n">
        <v>100.354</v>
      </c>
      <c r="L374" s="2" t="s">
        <v>84</v>
      </c>
      <c r="M374" s="2" t="s">
        <v>60</v>
      </c>
      <c r="N374" s="2"/>
      <c r="O374" s="2" t="s">
        <v>2098</v>
      </c>
      <c r="P374" s="2" t="s">
        <v>298</v>
      </c>
      <c r="Q374" s="2" t="s">
        <v>62</v>
      </c>
      <c r="R374" s="2" t="n">
        <v>0.4</v>
      </c>
      <c r="S374" s="2" t="s">
        <v>2099</v>
      </c>
      <c r="T374" s="2" t="s">
        <v>2100</v>
      </c>
      <c r="U374" s="2" t="s">
        <v>2101</v>
      </c>
      <c r="V374" s="2" t="s">
        <v>66</v>
      </c>
      <c r="W374" s="2" t="s">
        <v>283</v>
      </c>
      <c r="X374" s="2" t="s">
        <v>1588</v>
      </c>
    </row>
    <row r="375" customFormat="false" ht="15" hidden="false" customHeight="false" outlineLevel="0" collapsed="false">
      <c r="A375" s="2" t="n">
        <v>338</v>
      </c>
      <c r="B375" s="2" t="s">
        <v>2028</v>
      </c>
      <c r="C375" s="2" t="s">
        <v>2110</v>
      </c>
      <c r="D375" s="2" t="s">
        <v>53</v>
      </c>
      <c r="E375" s="2" t="s">
        <v>2111</v>
      </c>
      <c r="F375" s="2"/>
      <c r="G375" s="2" t="s">
        <v>2085</v>
      </c>
      <c r="H375" s="2" t="s">
        <v>1336</v>
      </c>
      <c r="I375" s="2" t="s">
        <v>1337</v>
      </c>
      <c r="J375" s="2" t="n">
        <v>-0.95</v>
      </c>
      <c r="K375" s="2" t="n">
        <v>100.354</v>
      </c>
      <c r="L375" s="2" t="s">
        <v>84</v>
      </c>
      <c r="M375" s="2" t="s">
        <v>60</v>
      </c>
      <c r="N375" s="2"/>
      <c r="O375" s="2" t="s">
        <v>2098</v>
      </c>
      <c r="P375" s="2" t="s">
        <v>298</v>
      </c>
      <c r="Q375" s="2" t="s">
        <v>62</v>
      </c>
      <c r="R375" s="2" t="n">
        <v>0.4</v>
      </c>
      <c r="S375" s="2" t="s">
        <v>2099</v>
      </c>
      <c r="T375" s="2" t="s">
        <v>2100</v>
      </c>
      <c r="U375" s="2" t="s">
        <v>2101</v>
      </c>
      <c r="V375" s="2" t="s">
        <v>66</v>
      </c>
      <c r="W375" s="2" t="s">
        <v>283</v>
      </c>
      <c r="X375" s="2" t="s">
        <v>1588</v>
      </c>
    </row>
    <row r="376" customFormat="false" ht="15" hidden="false" customHeight="false" outlineLevel="0" collapsed="false">
      <c r="A376" s="2" t="n">
        <v>339</v>
      </c>
      <c r="B376" s="2" t="s">
        <v>2028</v>
      </c>
      <c r="C376" s="2" t="s">
        <v>2112</v>
      </c>
      <c r="D376" s="2" t="s">
        <v>53</v>
      </c>
      <c r="E376" s="2" t="s">
        <v>2113</v>
      </c>
      <c r="F376" s="2"/>
      <c r="G376" s="2"/>
      <c r="H376" s="2"/>
      <c r="I376" s="2"/>
      <c r="J376" s="2"/>
      <c r="K376" s="2"/>
      <c r="L376" s="2"/>
      <c r="M376" s="2" t="s">
        <v>340</v>
      </c>
      <c r="N376" s="2" t="s">
        <v>2114</v>
      </c>
      <c r="O376" s="2" t="s">
        <v>2115</v>
      </c>
      <c r="P376" s="2"/>
      <c r="Q376" s="2" t="s">
        <v>62</v>
      </c>
      <c r="R376" s="2" t="n">
        <v>0.8</v>
      </c>
      <c r="S376" s="2" t="s">
        <v>2116</v>
      </c>
      <c r="T376" s="2" t="s">
        <v>64</v>
      </c>
      <c r="U376" s="2" t="s">
        <v>2117</v>
      </c>
      <c r="V376" s="2" t="s">
        <v>189</v>
      </c>
      <c r="W376" s="2" t="s">
        <v>604</v>
      </c>
      <c r="X376" s="2" t="s">
        <v>1588</v>
      </c>
    </row>
    <row r="377" customFormat="false" ht="15" hidden="false" customHeight="false" outlineLevel="0" collapsed="false">
      <c r="A377" s="2" t="n">
        <v>339</v>
      </c>
      <c r="B377" s="2" t="s">
        <v>2028</v>
      </c>
      <c r="C377" s="2" t="s">
        <v>2118</v>
      </c>
      <c r="D377" s="2" t="s">
        <v>53</v>
      </c>
      <c r="E377" s="2" t="s">
        <v>2119</v>
      </c>
      <c r="F377" s="2"/>
      <c r="G377" s="2"/>
      <c r="H377" s="2"/>
      <c r="I377" s="2"/>
      <c r="J377" s="2"/>
      <c r="K377" s="2"/>
      <c r="L377" s="2"/>
      <c r="M377" s="2" t="s">
        <v>340</v>
      </c>
      <c r="N377" s="2" t="s">
        <v>2120</v>
      </c>
      <c r="O377" s="2" t="s">
        <v>2121</v>
      </c>
      <c r="P377" s="2"/>
      <c r="Q377" s="2" t="s">
        <v>62</v>
      </c>
      <c r="R377" s="2" t="n">
        <v>0.8</v>
      </c>
      <c r="S377" s="2" t="s">
        <v>2116</v>
      </c>
      <c r="T377" s="2" t="s">
        <v>64</v>
      </c>
      <c r="U377" s="2" t="s">
        <v>2117</v>
      </c>
      <c r="V377" s="2" t="s">
        <v>189</v>
      </c>
      <c r="W377" s="2" t="s">
        <v>604</v>
      </c>
      <c r="X377" s="2" t="s">
        <v>1588</v>
      </c>
    </row>
    <row r="378" customFormat="false" ht="15" hidden="false" customHeight="false" outlineLevel="0" collapsed="false">
      <c r="A378" s="2" t="n">
        <v>339</v>
      </c>
      <c r="B378" s="2" t="s">
        <v>2028</v>
      </c>
      <c r="C378" s="2" t="s">
        <v>2122</v>
      </c>
      <c r="D378" s="2" t="s">
        <v>53</v>
      </c>
      <c r="E378" s="2" t="s">
        <v>2123</v>
      </c>
      <c r="F378" s="2"/>
      <c r="G378" s="2"/>
      <c r="H378" s="2"/>
      <c r="I378" s="2"/>
      <c r="J378" s="2"/>
      <c r="K378" s="2"/>
      <c r="L378" s="2"/>
      <c r="M378" s="2" t="s">
        <v>340</v>
      </c>
      <c r="N378" s="2" t="s">
        <v>2124</v>
      </c>
      <c r="O378" s="2" t="s">
        <v>2125</v>
      </c>
      <c r="P378" s="2"/>
      <c r="Q378" s="2" t="s">
        <v>62</v>
      </c>
      <c r="R378" s="2" t="n">
        <v>0.8</v>
      </c>
      <c r="S378" s="2" t="s">
        <v>2116</v>
      </c>
      <c r="T378" s="2" t="s">
        <v>64</v>
      </c>
      <c r="U378" s="2" t="s">
        <v>2117</v>
      </c>
      <c r="V378" s="2" t="s">
        <v>189</v>
      </c>
      <c r="W378" s="2" t="s">
        <v>604</v>
      </c>
      <c r="X378" s="2" t="s">
        <v>1588</v>
      </c>
    </row>
    <row r="379" customFormat="false" ht="15" hidden="false" customHeight="false" outlineLevel="0" collapsed="false">
      <c r="A379" s="2" t="n">
        <v>340</v>
      </c>
      <c r="B379" s="2" t="s">
        <v>2028</v>
      </c>
      <c r="C379" s="2" t="s">
        <v>2126</v>
      </c>
      <c r="D379" s="2" t="s">
        <v>53</v>
      </c>
      <c r="E379" s="2" t="s">
        <v>2127</v>
      </c>
      <c r="F379" s="2"/>
      <c r="G379" s="2" t="s">
        <v>2128</v>
      </c>
      <c r="H379" s="2" t="s">
        <v>183</v>
      </c>
      <c r="I379" s="2" t="s">
        <v>184</v>
      </c>
      <c r="J379" s="2" t="n">
        <v>-7.39</v>
      </c>
      <c r="K379" s="2" t="n">
        <v>112.73</v>
      </c>
      <c r="L379" s="2" t="s">
        <v>84</v>
      </c>
      <c r="M379" s="2" t="s">
        <v>60</v>
      </c>
      <c r="N379" s="2" t="s">
        <v>2129</v>
      </c>
      <c r="O379" s="2" t="s">
        <v>2130</v>
      </c>
      <c r="P379" s="2"/>
      <c r="Q379" s="2" t="s">
        <v>62</v>
      </c>
      <c r="R379" s="2" t="n">
        <v>0.8</v>
      </c>
      <c r="S379" s="2" t="s">
        <v>2131</v>
      </c>
      <c r="T379" s="2" t="s">
        <v>187</v>
      </c>
      <c r="U379" s="2" t="s">
        <v>2132</v>
      </c>
      <c r="V379" s="2" t="s">
        <v>745</v>
      </c>
      <c r="W379" s="2" t="s">
        <v>945</v>
      </c>
      <c r="X379" s="2" t="s">
        <v>1588</v>
      </c>
    </row>
    <row r="380" customFormat="false" ht="15" hidden="false" customHeight="false" outlineLevel="0" collapsed="false">
      <c r="A380" s="2" t="n">
        <v>340</v>
      </c>
      <c r="B380" s="2" t="s">
        <v>2028</v>
      </c>
      <c r="C380" s="2" t="s">
        <v>2133</v>
      </c>
      <c r="D380" s="2" t="s">
        <v>53</v>
      </c>
      <c r="E380" s="2" t="s">
        <v>2134</v>
      </c>
      <c r="F380" s="2" t="s">
        <v>2135</v>
      </c>
      <c r="G380" s="2" t="s">
        <v>2136</v>
      </c>
      <c r="H380" s="2" t="s">
        <v>183</v>
      </c>
      <c r="I380" s="2" t="s">
        <v>184</v>
      </c>
      <c r="J380" s="2" t="n">
        <v>-7.35</v>
      </c>
      <c r="K380" s="2" t="n">
        <v>112.69</v>
      </c>
      <c r="L380" s="2" t="s">
        <v>84</v>
      </c>
      <c r="M380" s="2" t="s">
        <v>60</v>
      </c>
      <c r="N380" s="2" t="s">
        <v>2137</v>
      </c>
      <c r="O380" s="2" t="s">
        <v>2138</v>
      </c>
      <c r="P380" s="2"/>
      <c r="Q380" s="2" t="s">
        <v>62</v>
      </c>
      <c r="R380" s="2" t="n">
        <v>0.8</v>
      </c>
      <c r="S380" s="2" t="s">
        <v>2131</v>
      </c>
      <c r="T380" s="2" t="s">
        <v>187</v>
      </c>
      <c r="U380" s="2" t="s">
        <v>2132</v>
      </c>
      <c r="V380" s="2" t="s">
        <v>745</v>
      </c>
      <c r="W380" s="2" t="s">
        <v>945</v>
      </c>
      <c r="X380" s="2" t="s">
        <v>1588</v>
      </c>
    </row>
    <row r="381" customFormat="false" ht="15" hidden="false" customHeight="false" outlineLevel="0" collapsed="false">
      <c r="A381" s="2" t="n">
        <v>340</v>
      </c>
      <c r="B381" s="2" t="s">
        <v>2028</v>
      </c>
      <c r="C381" s="2" t="s">
        <v>2139</v>
      </c>
      <c r="D381" s="2" t="s">
        <v>53</v>
      </c>
      <c r="E381" s="2" t="s">
        <v>2140</v>
      </c>
      <c r="F381" s="2" t="s">
        <v>2135</v>
      </c>
      <c r="G381" s="2" t="s">
        <v>2136</v>
      </c>
      <c r="H381" s="2" t="s">
        <v>183</v>
      </c>
      <c r="I381" s="2" t="s">
        <v>184</v>
      </c>
      <c r="J381" s="2" t="n">
        <v>-7.35</v>
      </c>
      <c r="K381" s="2" t="n">
        <v>112.69</v>
      </c>
      <c r="L381" s="2" t="s">
        <v>84</v>
      </c>
      <c r="M381" s="2" t="s">
        <v>60</v>
      </c>
      <c r="N381" s="2"/>
      <c r="O381" s="2" t="s">
        <v>2141</v>
      </c>
      <c r="P381" s="2"/>
      <c r="Q381" s="2" t="s">
        <v>62</v>
      </c>
      <c r="R381" s="2" t="n">
        <v>0.75</v>
      </c>
      <c r="S381" s="2" t="s">
        <v>2131</v>
      </c>
      <c r="T381" s="2" t="s">
        <v>187</v>
      </c>
      <c r="U381" s="2" t="s">
        <v>2132</v>
      </c>
      <c r="V381" s="2" t="s">
        <v>745</v>
      </c>
      <c r="W381" s="2" t="s">
        <v>945</v>
      </c>
      <c r="X381" s="2" t="s">
        <v>1588</v>
      </c>
    </row>
    <row r="382" customFormat="false" ht="15" hidden="false" customHeight="false" outlineLevel="0" collapsed="false">
      <c r="A382" s="2" t="n">
        <v>341</v>
      </c>
      <c r="B382" s="2" t="s">
        <v>2028</v>
      </c>
      <c r="C382" s="2" t="s">
        <v>2142</v>
      </c>
      <c r="D382" s="2" t="s">
        <v>410</v>
      </c>
      <c r="E382" s="2" t="s">
        <v>1335</v>
      </c>
      <c r="F382" s="2" t="s">
        <v>2143</v>
      </c>
      <c r="G382" s="2" t="s">
        <v>2144</v>
      </c>
      <c r="H382" s="2" t="s">
        <v>1336</v>
      </c>
      <c r="I382" s="2" t="s">
        <v>1337</v>
      </c>
      <c r="J382" s="2" t="n">
        <v>-0.924</v>
      </c>
      <c r="K382" s="2" t="n">
        <v>100.3625</v>
      </c>
      <c r="L382" s="2" t="s">
        <v>124</v>
      </c>
      <c r="M382" s="2" t="s">
        <v>60</v>
      </c>
      <c r="N382" s="2"/>
      <c r="O382" s="2" t="s">
        <v>2145</v>
      </c>
      <c r="P382" s="2" t="s">
        <v>1001</v>
      </c>
      <c r="Q382" s="2" t="s">
        <v>110</v>
      </c>
      <c r="R382" s="2" t="n">
        <v>0.55</v>
      </c>
      <c r="S382" s="2" t="s">
        <v>2146</v>
      </c>
      <c r="T382" s="2" t="s">
        <v>743</v>
      </c>
      <c r="U382" s="2" t="s">
        <v>2147</v>
      </c>
      <c r="V382" s="2" t="s">
        <v>2148</v>
      </c>
      <c r="W382" s="2" t="s">
        <v>2149</v>
      </c>
      <c r="X382" s="2" t="s">
        <v>1588</v>
      </c>
    </row>
    <row r="383" customFormat="false" ht="15" hidden="false" customHeight="false" outlineLevel="0" collapsed="false">
      <c r="A383" s="2" t="n">
        <v>342</v>
      </c>
      <c r="B383" s="2" t="s">
        <v>2028</v>
      </c>
      <c r="C383" s="2" t="s">
        <v>2150</v>
      </c>
      <c r="D383" s="2" t="s">
        <v>1140</v>
      </c>
      <c r="E383" s="2" t="s">
        <v>2151</v>
      </c>
      <c r="F383" s="2"/>
      <c r="G383" s="2" t="s">
        <v>2152</v>
      </c>
      <c r="H383" s="2" t="s">
        <v>1374</v>
      </c>
      <c r="I383" s="2" t="s">
        <v>1337</v>
      </c>
      <c r="J383" s="2" t="n">
        <v>-0.303</v>
      </c>
      <c r="K383" s="2" t="n">
        <v>100.369</v>
      </c>
      <c r="L383" s="2" t="s">
        <v>124</v>
      </c>
      <c r="M383" s="2" t="s">
        <v>60</v>
      </c>
      <c r="N383" s="2"/>
      <c r="O383" s="2" t="s">
        <v>2153</v>
      </c>
      <c r="P383" s="2" t="s">
        <v>2154</v>
      </c>
      <c r="Q383" s="2" t="s">
        <v>110</v>
      </c>
      <c r="R383" s="2" t="n">
        <v>0.8</v>
      </c>
      <c r="S383" s="2" t="s">
        <v>2155</v>
      </c>
      <c r="T383" s="2" t="s">
        <v>2148</v>
      </c>
      <c r="U383" s="2" t="s">
        <v>2156</v>
      </c>
      <c r="V383" s="2" t="s">
        <v>2157</v>
      </c>
      <c r="W383" s="2" t="s">
        <v>2158</v>
      </c>
      <c r="X383" s="2" t="s">
        <v>1588</v>
      </c>
    </row>
    <row r="384" customFormat="false" ht="15" hidden="false" customHeight="false" outlineLevel="0" collapsed="false">
      <c r="A384" s="2" t="n">
        <v>343</v>
      </c>
      <c r="B384" s="2" t="s">
        <v>2028</v>
      </c>
      <c r="C384" s="2" t="s">
        <v>2142</v>
      </c>
      <c r="D384" s="2" t="s">
        <v>410</v>
      </c>
      <c r="E384" s="2" t="s">
        <v>1335</v>
      </c>
      <c r="F384" s="2" t="s">
        <v>2143</v>
      </c>
      <c r="G384" s="2" t="s">
        <v>2144</v>
      </c>
      <c r="H384" s="2" t="s">
        <v>1336</v>
      </c>
      <c r="I384" s="2" t="s">
        <v>1337</v>
      </c>
      <c r="J384" s="2" t="n">
        <v>-0.924</v>
      </c>
      <c r="K384" s="2" t="n">
        <v>100.3625</v>
      </c>
      <c r="L384" s="2" t="s">
        <v>124</v>
      </c>
      <c r="M384" s="2" t="s">
        <v>60</v>
      </c>
      <c r="N384" s="2"/>
      <c r="O384" s="2" t="s">
        <v>2159</v>
      </c>
      <c r="P384" s="2" t="s">
        <v>1001</v>
      </c>
      <c r="Q384" s="2" t="s">
        <v>110</v>
      </c>
      <c r="R384" s="2" t="n">
        <v>0.55</v>
      </c>
      <c r="S384" s="2" t="s">
        <v>2160</v>
      </c>
      <c r="T384" s="2" t="s">
        <v>963</v>
      </c>
      <c r="U384" s="2" t="s">
        <v>2161</v>
      </c>
      <c r="V384" s="2" t="s">
        <v>178</v>
      </c>
      <c r="W384" s="2" t="s">
        <v>2162</v>
      </c>
      <c r="X384" s="2" t="s">
        <v>507</v>
      </c>
    </row>
    <row r="385" customFormat="false" ht="15" hidden="false" customHeight="false" outlineLevel="0" collapsed="false">
      <c r="A385" s="2" t="n">
        <v>344</v>
      </c>
      <c r="B385" s="2" t="s">
        <v>2028</v>
      </c>
      <c r="C385" s="2" t="s">
        <v>2163</v>
      </c>
      <c r="D385" s="2" t="s">
        <v>410</v>
      </c>
      <c r="E385" s="2" t="s">
        <v>2164</v>
      </c>
      <c r="F385" s="2"/>
      <c r="G385" s="2" t="s">
        <v>2085</v>
      </c>
      <c r="H385" s="2" t="s">
        <v>1336</v>
      </c>
      <c r="I385" s="2" t="s">
        <v>1337</v>
      </c>
      <c r="J385" s="2" t="n">
        <v>-0.948</v>
      </c>
      <c r="K385" s="2" t="n">
        <v>100.35</v>
      </c>
      <c r="L385" s="2" t="s">
        <v>124</v>
      </c>
      <c r="M385" s="2" t="s">
        <v>60</v>
      </c>
      <c r="N385" s="2"/>
      <c r="O385" s="2" t="s">
        <v>2165</v>
      </c>
      <c r="P385" s="2" t="s">
        <v>109</v>
      </c>
      <c r="Q385" s="2" t="s">
        <v>62</v>
      </c>
      <c r="R385" s="2" t="n">
        <v>0.8</v>
      </c>
      <c r="S385" s="2" t="s">
        <v>2166</v>
      </c>
      <c r="T385" s="2" t="s">
        <v>176</v>
      </c>
      <c r="U385" s="2" t="s">
        <v>2167</v>
      </c>
      <c r="V385" s="2" t="s">
        <v>745</v>
      </c>
      <c r="W385" s="2" t="s">
        <v>2168</v>
      </c>
      <c r="X385" s="2" t="s">
        <v>507</v>
      </c>
    </row>
    <row r="386" customFormat="false" ht="15" hidden="false" customHeight="false" outlineLevel="0" collapsed="false">
      <c r="A386" s="2" t="n">
        <v>344</v>
      </c>
      <c r="B386" s="2" t="s">
        <v>2028</v>
      </c>
      <c r="C386" s="2" t="s">
        <v>2169</v>
      </c>
      <c r="D386" s="2" t="s">
        <v>410</v>
      </c>
      <c r="E386" s="2" t="s">
        <v>2170</v>
      </c>
      <c r="F386" s="2" t="s">
        <v>2143</v>
      </c>
      <c r="G386" s="2" t="s">
        <v>2144</v>
      </c>
      <c r="H386" s="2" t="s">
        <v>1336</v>
      </c>
      <c r="I386" s="2" t="s">
        <v>1337</v>
      </c>
      <c r="J386" s="2" t="n">
        <v>-0.924</v>
      </c>
      <c r="K386" s="2" t="n">
        <v>100.3625</v>
      </c>
      <c r="L386" s="2" t="s">
        <v>124</v>
      </c>
      <c r="M386" s="2" t="s">
        <v>60</v>
      </c>
      <c r="N386" s="2"/>
      <c r="O386" s="2" t="s">
        <v>2171</v>
      </c>
      <c r="P386" s="2"/>
      <c r="Q386" s="2" t="s">
        <v>62</v>
      </c>
      <c r="R386" s="2" t="n">
        <v>0.8</v>
      </c>
      <c r="S386" s="2" t="s">
        <v>2166</v>
      </c>
      <c r="T386" s="2" t="s">
        <v>176</v>
      </c>
      <c r="U386" s="2" t="s">
        <v>2167</v>
      </c>
      <c r="V386" s="2" t="s">
        <v>745</v>
      </c>
      <c r="W386" s="2" t="s">
        <v>2168</v>
      </c>
      <c r="X386" s="2" t="s">
        <v>507</v>
      </c>
    </row>
    <row r="387" customFormat="false" ht="15" hidden="false" customHeight="false" outlineLevel="0" collapsed="false">
      <c r="A387" s="2" t="n">
        <v>344</v>
      </c>
      <c r="B387" s="2" t="s">
        <v>2028</v>
      </c>
      <c r="C387" s="2" t="s">
        <v>2172</v>
      </c>
      <c r="D387" s="2" t="s">
        <v>1130</v>
      </c>
      <c r="E387" s="2" t="s">
        <v>2170</v>
      </c>
      <c r="F387" s="2" t="s">
        <v>2173</v>
      </c>
      <c r="G387" s="2" t="s">
        <v>2085</v>
      </c>
      <c r="H387" s="2" t="s">
        <v>1336</v>
      </c>
      <c r="I387" s="2" t="s">
        <v>1337</v>
      </c>
      <c r="J387" s="2" t="n">
        <v>-0.954</v>
      </c>
      <c r="K387" s="2" t="n">
        <v>100.354</v>
      </c>
      <c r="L387" s="2" t="s">
        <v>124</v>
      </c>
      <c r="M387" s="2" t="s">
        <v>60</v>
      </c>
      <c r="N387" s="2"/>
      <c r="O387" s="2" t="s">
        <v>2174</v>
      </c>
      <c r="P387" s="2"/>
      <c r="Q387" s="2" t="s">
        <v>62</v>
      </c>
      <c r="R387" s="2" t="n">
        <v>0.85</v>
      </c>
      <c r="S387" s="2" t="s">
        <v>2166</v>
      </c>
      <c r="T387" s="2" t="s">
        <v>176</v>
      </c>
      <c r="U387" s="2" t="s">
        <v>2167</v>
      </c>
      <c r="V387" s="2" t="s">
        <v>745</v>
      </c>
      <c r="W387" s="2" t="s">
        <v>2168</v>
      </c>
      <c r="X387" s="2" t="s">
        <v>507</v>
      </c>
    </row>
    <row r="388" customFormat="false" ht="15" hidden="false" customHeight="false" outlineLevel="0" collapsed="false">
      <c r="A388" s="2" t="n">
        <v>344</v>
      </c>
      <c r="B388" s="2" t="s">
        <v>2028</v>
      </c>
      <c r="C388" s="2" t="s">
        <v>2175</v>
      </c>
      <c r="D388" s="2" t="s">
        <v>410</v>
      </c>
      <c r="E388" s="2" t="s">
        <v>2176</v>
      </c>
      <c r="F388" s="2"/>
      <c r="G388" s="2" t="s">
        <v>2177</v>
      </c>
      <c r="H388" s="2" t="s">
        <v>1336</v>
      </c>
      <c r="I388" s="2" t="s">
        <v>1337</v>
      </c>
      <c r="J388" s="2" t="n">
        <v>-1.05</v>
      </c>
      <c r="K388" s="2" t="n">
        <v>100.4</v>
      </c>
      <c r="L388" s="2" t="s">
        <v>84</v>
      </c>
      <c r="M388" s="2" t="s">
        <v>60</v>
      </c>
      <c r="N388" s="2" t="s">
        <v>2178</v>
      </c>
      <c r="O388" s="2" t="s">
        <v>2179</v>
      </c>
      <c r="P388" s="2"/>
      <c r="Q388" s="2" t="s">
        <v>62</v>
      </c>
      <c r="R388" s="2" t="n">
        <v>0.8</v>
      </c>
      <c r="S388" s="2" t="s">
        <v>2166</v>
      </c>
      <c r="T388" s="2" t="s">
        <v>176</v>
      </c>
      <c r="U388" s="2" t="s">
        <v>2167</v>
      </c>
      <c r="V388" s="2" t="s">
        <v>745</v>
      </c>
      <c r="W388" s="2" t="s">
        <v>2168</v>
      </c>
      <c r="X388" s="2" t="s">
        <v>507</v>
      </c>
    </row>
    <row r="389" customFormat="false" ht="15" hidden="false" customHeight="false" outlineLevel="0" collapsed="false">
      <c r="A389" s="2" t="n">
        <v>344</v>
      </c>
      <c r="B389" s="2" t="s">
        <v>2028</v>
      </c>
      <c r="C389" s="2" t="s">
        <v>2180</v>
      </c>
      <c r="D389" s="2" t="s">
        <v>410</v>
      </c>
      <c r="E389" s="2" t="s">
        <v>2170</v>
      </c>
      <c r="F389" s="2"/>
      <c r="G389" s="2"/>
      <c r="H389" s="2" t="s">
        <v>1336</v>
      </c>
      <c r="I389" s="2" t="s">
        <v>1337</v>
      </c>
      <c r="J389" s="2" t="n">
        <v>-0.966</v>
      </c>
      <c r="K389" s="2" t="n">
        <v>100.36</v>
      </c>
      <c r="L389" s="2" t="s">
        <v>124</v>
      </c>
      <c r="M389" s="2" t="s">
        <v>60</v>
      </c>
      <c r="N389" s="2" t="s">
        <v>2181</v>
      </c>
      <c r="O389" s="2" t="s">
        <v>2182</v>
      </c>
      <c r="P389" s="2"/>
      <c r="Q389" s="2" t="s">
        <v>62</v>
      </c>
      <c r="R389" s="2" t="n">
        <v>0.6</v>
      </c>
      <c r="S389" s="2" t="s">
        <v>2166</v>
      </c>
      <c r="T389" s="2" t="s">
        <v>176</v>
      </c>
      <c r="U389" s="2" t="s">
        <v>2167</v>
      </c>
      <c r="V389" s="2" t="s">
        <v>745</v>
      </c>
      <c r="W389" s="2" t="s">
        <v>2168</v>
      </c>
      <c r="X389" s="2" t="s">
        <v>507</v>
      </c>
    </row>
    <row r="390" customFormat="false" ht="15" hidden="false" customHeight="false" outlineLevel="0" collapsed="false">
      <c r="A390" s="2" t="n">
        <v>345</v>
      </c>
      <c r="B390" s="2" t="s">
        <v>2028</v>
      </c>
      <c r="C390" s="2" t="s">
        <v>2183</v>
      </c>
      <c r="D390" s="2" t="s">
        <v>1140</v>
      </c>
      <c r="E390" s="2" t="s">
        <v>2184</v>
      </c>
      <c r="F390" s="2"/>
      <c r="G390" s="2" t="s">
        <v>2152</v>
      </c>
      <c r="H390" s="2" t="s">
        <v>1374</v>
      </c>
      <c r="I390" s="2" t="s">
        <v>1337</v>
      </c>
      <c r="J390" s="2" t="n">
        <v>-0.303</v>
      </c>
      <c r="K390" s="2" t="n">
        <v>100.369</v>
      </c>
      <c r="L390" s="2" t="s">
        <v>124</v>
      </c>
      <c r="M390" s="2" t="s">
        <v>60</v>
      </c>
      <c r="N390" s="2"/>
      <c r="O390" s="2" t="s">
        <v>2185</v>
      </c>
      <c r="P390" s="2" t="s">
        <v>2154</v>
      </c>
      <c r="Q390" s="2" t="s">
        <v>110</v>
      </c>
      <c r="R390" s="2" t="n">
        <v>0.85</v>
      </c>
      <c r="S390" s="2" t="s">
        <v>2186</v>
      </c>
      <c r="T390" s="2" t="s">
        <v>743</v>
      </c>
      <c r="U390" s="2" t="s">
        <v>2187</v>
      </c>
      <c r="V390" s="2" t="s">
        <v>745</v>
      </c>
      <c r="W390" s="2" t="s">
        <v>1574</v>
      </c>
      <c r="X390" s="2" t="s">
        <v>1588</v>
      </c>
    </row>
    <row r="391" customFormat="false" ht="15" hidden="false" customHeight="false" outlineLevel="0" collapsed="false">
      <c r="A391" s="2" t="n">
        <v>346</v>
      </c>
      <c r="B391" s="2" t="s">
        <v>2028</v>
      </c>
      <c r="C391" s="2" t="s">
        <v>2188</v>
      </c>
      <c r="D391" s="2" t="s">
        <v>1130</v>
      </c>
      <c r="E391" s="2" t="s">
        <v>2189</v>
      </c>
      <c r="F391" s="2" t="s">
        <v>2190</v>
      </c>
      <c r="G391" s="2" t="s">
        <v>2191</v>
      </c>
      <c r="H391" s="2" t="s">
        <v>716</v>
      </c>
      <c r="I391" s="2" t="s">
        <v>74</v>
      </c>
      <c r="J391" s="2" t="n">
        <v>-6.172</v>
      </c>
      <c r="K391" s="2" t="n">
        <v>106.765</v>
      </c>
      <c r="L391" s="2" t="s">
        <v>59</v>
      </c>
      <c r="M391" s="2" t="s">
        <v>60</v>
      </c>
      <c r="N391" s="2"/>
      <c r="O391" s="2" t="s">
        <v>2192</v>
      </c>
      <c r="P391" s="2" t="s">
        <v>298</v>
      </c>
      <c r="Q391" s="2" t="s">
        <v>62</v>
      </c>
      <c r="R391" s="2" t="n">
        <v>0.85</v>
      </c>
      <c r="S391" s="2" t="s">
        <v>2193</v>
      </c>
      <c r="T391" s="2" t="s">
        <v>743</v>
      </c>
      <c r="U391" s="2" t="s">
        <v>2194</v>
      </c>
      <c r="V391" s="2" t="s">
        <v>2195</v>
      </c>
      <c r="W391" s="2" t="s">
        <v>2196</v>
      </c>
      <c r="X391" s="2" t="s">
        <v>1588</v>
      </c>
    </row>
    <row r="392" customFormat="false" ht="15" hidden="false" customHeight="false" outlineLevel="0" collapsed="false">
      <c r="A392" s="2" t="n">
        <v>355</v>
      </c>
      <c r="B392" s="2" t="s">
        <v>2028</v>
      </c>
      <c r="C392" s="2" t="s">
        <v>2197</v>
      </c>
      <c r="D392" s="2" t="s">
        <v>121</v>
      </c>
      <c r="E392" s="2" t="s">
        <v>2198</v>
      </c>
      <c r="F392" s="2"/>
      <c r="G392" s="2"/>
      <c r="H392" s="2" t="s">
        <v>1336</v>
      </c>
      <c r="I392" s="2" t="s">
        <v>1337</v>
      </c>
      <c r="J392" s="2" t="n">
        <v>-0.947</v>
      </c>
      <c r="K392" s="2" t="n">
        <v>100.417</v>
      </c>
      <c r="L392" s="2" t="s">
        <v>101</v>
      </c>
      <c r="M392" s="2" t="s">
        <v>60</v>
      </c>
      <c r="N392" s="2"/>
      <c r="O392" s="2" t="s">
        <v>2199</v>
      </c>
      <c r="P392" s="2" t="s">
        <v>2200</v>
      </c>
      <c r="Q392" s="2" t="s">
        <v>62</v>
      </c>
      <c r="R392" s="2" t="n">
        <v>0.6</v>
      </c>
      <c r="S392" s="2" t="s">
        <v>2201</v>
      </c>
      <c r="T392" s="2" t="s">
        <v>2202</v>
      </c>
      <c r="U392" s="2" t="s">
        <v>2203</v>
      </c>
      <c r="V392" s="2" t="s">
        <v>745</v>
      </c>
      <c r="W392" s="2" t="s">
        <v>2204</v>
      </c>
      <c r="X392" s="2" t="s">
        <v>1588</v>
      </c>
    </row>
    <row r="393" customFormat="false" ht="15" hidden="false" customHeight="false" outlineLevel="0" collapsed="false">
      <c r="A393" s="2" t="n">
        <v>358</v>
      </c>
      <c r="B393" s="2" t="s">
        <v>2028</v>
      </c>
      <c r="C393" s="2" t="s">
        <v>2205</v>
      </c>
      <c r="D393" s="2" t="s">
        <v>121</v>
      </c>
      <c r="E393" s="2" t="s">
        <v>2206</v>
      </c>
      <c r="F393" s="2"/>
      <c r="G393" s="2"/>
      <c r="H393" s="2" t="s">
        <v>2207</v>
      </c>
      <c r="I393" s="2" t="s">
        <v>1337</v>
      </c>
      <c r="J393" s="2" t="n">
        <v>-0.47</v>
      </c>
      <c r="K393" s="2" t="n">
        <v>100.58</v>
      </c>
      <c r="L393" s="2" t="s">
        <v>101</v>
      </c>
      <c r="M393" s="2" t="s">
        <v>60</v>
      </c>
      <c r="N393" s="2" t="s">
        <v>2208</v>
      </c>
      <c r="O393" s="2" t="s">
        <v>2209</v>
      </c>
      <c r="P393" s="2" t="s">
        <v>2210</v>
      </c>
      <c r="Q393" s="2" t="s">
        <v>62</v>
      </c>
      <c r="R393" s="2" t="n">
        <v>0.7</v>
      </c>
      <c r="S393" s="2" t="s">
        <v>2211</v>
      </c>
      <c r="T393" s="2" t="s">
        <v>2212</v>
      </c>
      <c r="U393" s="2" t="s">
        <v>2213</v>
      </c>
      <c r="V393" s="2" t="s">
        <v>2214</v>
      </c>
      <c r="W393" s="2" t="s">
        <v>2215</v>
      </c>
      <c r="X393" s="2" t="s">
        <v>507</v>
      </c>
    </row>
    <row r="394" customFormat="false" ht="15" hidden="false" customHeight="false" outlineLevel="0" collapsed="false">
      <c r="A394" s="2" t="n">
        <v>358</v>
      </c>
      <c r="B394" s="2" t="s">
        <v>2028</v>
      </c>
      <c r="C394" s="2" t="s">
        <v>2216</v>
      </c>
      <c r="D394" s="2" t="s">
        <v>1130</v>
      </c>
      <c r="E394" s="2" t="s">
        <v>2217</v>
      </c>
      <c r="F394" s="2" t="s">
        <v>2218</v>
      </c>
      <c r="G394" s="2" t="s">
        <v>2219</v>
      </c>
      <c r="H394" s="2" t="s">
        <v>2207</v>
      </c>
      <c r="I394" s="2" t="s">
        <v>1337</v>
      </c>
      <c r="J394" s="2" t="n">
        <v>-0.4712</v>
      </c>
      <c r="K394" s="2" t="n">
        <v>100.6214</v>
      </c>
      <c r="L394" s="2" t="s">
        <v>124</v>
      </c>
      <c r="M394" s="2" t="s">
        <v>60</v>
      </c>
      <c r="N394" s="2"/>
      <c r="O394" s="2" t="s">
        <v>2220</v>
      </c>
      <c r="P394" s="2"/>
      <c r="Q394" s="2" t="s">
        <v>62</v>
      </c>
      <c r="R394" s="2" t="n">
        <v>0.6</v>
      </c>
      <c r="S394" s="2" t="s">
        <v>2211</v>
      </c>
      <c r="T394" s="2" t="s">
        <v>2212</v>
      </c>
      <c r="U394" s="2" t="s">
        <v>2213</v>
      </c>
      <c r="V394" s="2" t="s">
        <v>2214</v>
      </c>
      <c r="W394" s="2" t="s">
        <v>2215</v>
      </c>
      <c r="X394" s="2" t="s">
        <v>507</v>
      </c>
    </row>
    <row r="395" customFormat="false" ht="15" hidden="false" customHeight="false" outlineLevel="0" collapsed="false">
      <c r="A395" s="2" t="n">
        <v>360</v>
      </c>
      <c r="B395" s="2" t="s">
        <v>2221</v>
      </c>
      <c r="C395" s="2" t="s">
        <v>2222</v>
      </c>
      <c r="D395" s="2" t="s">
        <v>410</v>
      </c>
      <c r="E395" s="2" t="s">
        <v>2223</v>
      </c>
      <c r="F395" s="2" t="s">
        <v>2224</v>
      </c>
      <c r="G395" s="2" t="s">
        <v>2225</v>
      </c>
      <c r="H395" s="2" t="s">
        <v>2226</v>
      </c>
      <c r="I395" s="2" t="s">
        <v>2227</v>
      </c>
      <c r="J395" s="2" t="n">
        <v>-3.3</v>
      </c>
      <c r="K395" s="2" t="n">
        <v>101.95</v>
      </c>
      <c r="L395" s="2" t="s">
        <v>101</v>
      </c>
      <c r="M395" s="2" t="s">
        <v>60</v>
      </c>
      <c r="N395" s="2"/>
      <c r="O395" s="2" t="s">
        <v>2228</v>
      </c>
      <c r="P395" s="2" t="s">
        <v>2229</v>
      </c>
      <c r="Q395" s="2" t="s">
        <v>62</v>
      </c>
      <c r="R395" s="2" t="n">
        <v>0.7</v>
      </c>
      <c r="S395" s="2" t="s">
        <v>2230</v>
      </c>
      <c r="T395" s="2" t="s">
        <v>2231</v>
      </c>
      <c r="U395" s="2" t="s">
        <v>2232</v>
      </c>
      <c r="V395" s="2" t="s">
        <v>2233</v>
      </c>
      <c r="W395" s="2" t="s">
        <v>2234</v>
      </c>
      <c r="X395" s="2" t="s">
        <v>1588</v>
      </c>
    </row>
    <row r="396" customFormat="false" ht="15" hidden="false" customHeight="false" outlineLevel="0" collapsed="false">
      <c r="A396" s="2" t="n">
        <v>361</v>
      </c>
      <c r="B396" s="2" t="s">
        <v>2221</v>
      </c>
      <c r="C396" s="2" t="s">
        <v>2235</v>
      </c>
      <c r="D396" s="2" t="s">
        <v>121</v>
      </c>
      <c r="E396" s="2" t="s">
        <v>2236</v>
      </c>
      <c r="F396" s="2" t="s">
        <v>2218</v>
      </c>
      <c r="G396" s="2" t="s">
        <v>2219</v>
      </c>
      <c r="H396" s="2" t="s">
        <v>2207</v>
      </c>
      <c r="I396" s="2" t="s">
        <v>1337</v>
      </c>
      <c r="J396" s="2" t="n">
        <v>-0.4712</v>
      </c>
      <c r="K396" s="2" t="n">
        <v>100.6214</v>
      </c>
      <c r="L396" s="2" t="s">
        <v>124</v>
      </c>
      <c r="M396" s="2" t="s">
        <v>60</v>
      </c>
      <c r="N396" s="2"/>
      <c r="O396" s="2" t="s">
        <v>2237</v>
      </c>
      <c r="P396" s="2" t="s">
        <v>2210</v>
      </c>
      <c r="Q396" s="2" t="s">
        <v>62</v>
      </c>
      <c r="R396" s="2" t="n">
        <v>0.7</v>
      </c>
      <c r="S396" s="2" t="s">
        <v>2238</v>
      </c>
      <c r="T396" s="2" t="s">
        <v>2239</v>
      </c>
      <c r="U396" s="2" t="s">
        <v>2240</v>
      </c>
      <c r="V396" s="2" t="s">
        <v>745</v>
      </c>
      <c r="W396" s="2" t="s">
        <v>2241</v>
      </c>
      <c r="X396" s="2" t="s">
        <v>1588</v>
      </c>
    </row>
    <row r="397" customFormat="false" ht="15" hidden="false" customHeight="false" outlineLevel="0" collapsed="false">
      <c r="A397" s="2" t="n">
        <v>362</v>
      </c>
      <c r="B397" s="2" t="s">
        <v>2221</v>
      </c>
      <c r="C397" s="2" t="s">
        <v>2242</v>
      </c>
      <c r="D397" s="2" t="s">
        <v>121</v>
      </c>
      <c r="E397" s="2" t="s">
        <v>2243</v>
      </c>
      <c r="F397" s="2"/>
      <c r="G397" s="2" t="s">
        <v>2244</v>
      </c>
      <c r="H397" s="2" t="s">
        <v>2245</v>
      </c>
      <c r="I397" s="2" t="s">
        <v>2246</v>
      </c>
      <c r="J397" s="2" t="n">
        <v>-0.53</v>
      </c>
      <c r="K397" s="2" t="n">
        <v>101.56</v>
      </c>
      <c r="L397" s="2" t="s">
        <v>84</v>
      </c>
      <c r="M397" s="2" t="s">
        <v>60</v>
      </c>
      <c r="N397" s="2" t="s">
        <v>2247</v>
      </c>
      <c r="O397" s="2" t="s">
        <v>2248</v>
      </c>
      <c r="P397" s="2" t="s">
        <v>2249</v>
      </c>
      <c r="Q397" s="2" t="s">
        <v>110</v>
      </c>
      <c r="R397" s="2" t="n">
        <v>0.7</v>
      </c>
      <c r="S397" s="2" t="s">
        <v>2250</v>
      </c>
      <c r="T397" s="2" t="s">
        <v>743</v>
      </c>
      <c r="U397" s="2" t="s">
        <v>2251</v>
      </c>
      <c r="V397" s="2" t="s">
        <v>661</v>
      </c>
      <c r="W397" s="2" t="s">
        <v>2252</v>
      </c>
      <c r="X397" s="2" t="s">
        <v>1588</v>
      </c>
    </row>
    <row r="398" customFormat="false" ht="15" hidden="false" customHeight="false" outlineLevel="0" collapsed="false">
      <c r="A398" s="2" t="n">
        <v>363</v>
      </c>
      <c r="B398" s="2" t="s">
        <v>2221</v>
      </c>
      <c r="C398" s="2" t="s">
        <v>2253</v>
      </c>
      <c r="D398" s="2" t="s">
        <v>53</v>
      </c>
      <c r="E398" s="2" t="s">
        <v>2254</v>
      </c>
      <c r="F398" s="2"/>
      <c r="G398" s="2"/>
      <c r="H398" s="2" t="s">
        <v>655</v>
      </c>
      <c r="I398" s="2" t="s">
        <v>656</v>
      </c>
      <c r="J398" s="2" t="n">
        <v>1.08</v>
      </c>
      <c r="K398" s="2" t="n">
        <v>104.03</v>
      </c>
      <c r="L398" s="2" t="s">
        <v>101</v>
      </c>
      <c r="M398" s="2" t="s">
        <v>60</v>
      </c>
      <c r="N398" s="2" t="s">
        <v>2255</v>
      </c>
      <c r="O398" s="2" t="s">
        <v>2256</v>
      </c>
      <c r="P398" s="2"/>
      <c r="Q398" s="2" t="s">
        <v>62</v>
      </c>
      <c r="R398" s="2" t="n">
        <v>0.8</v>
      </c>
      <c r="S398" s="2" t="s">
        <v>2257</v>
      </c>
      <c r="T398" s="2" t="s">
        <v>659</v>
      </c>
      <c r="U398" s="2" t="s">
        <v>2258</v>
      </c>
      <c r="V398" s="2" t="s">
        <v>661</v>
      </c>
      <c r="W398" s="2" t="s">
        <v>1138</v>
      </c>
      <c r="X398" s="2" t="s">
        <v>160</v>
      </c>
    </row>
    <row r="399" customFormat="false" ht="15" hidden="false" customHeight="false" outlineLevel="0" collapsed="false">
      <c r="A399" s="2" t="n">
        <v>363</v>
      </c>
      <c r="B399" s="2" t="s">
        <v>2221</v>
      </c>
      <c r="C399" s="2" t="s">
        <v>2259</v>
      </c>
      <c r="D399" s="2" t="s">
        <v>53</v>
      </c>
      <c r="E399" s="2" t="s">
        <v>2260</v>
      </c>
      <c r="F399" s="2" t="s">
        <v>2261</v>
      </c>
      <c r="G399" s="2" t="s">
        <v>2262</v>
      </c>
      <c r="H399" s="2" t="s">
        <v>655</v>
      </c>
      <c r="I399" s="2" t="s">
        <v>656</v>
      </c>
      <c r="J399" s="2" t="n">
        <v>1.15</v>
      </c>
      <c r="K399" s="2" t="n">
        <v>104.04</v>
      </c>
      <c r="L399" s="2" t="s">
        <v>84</v>
      </c>
      <c r="M399" s="2" t="s">
        <v>60</v>
      </c>
      <c r="N399" s="2"/>
      <c r="O399" s="2" t="s">
        <v>2263</v>
      </c>
      <c r="P399" s="2"/>
      <c r="Q399" s="2" t="s">
        <v>62</v>
      </c>
      <c r="R399" s="2" t="n">
        <v>0.8</v>
      </c>
      <c r="S399" s="2" t="s">
        <v>2257</v>
      </c>
      <c r="T399" s="2" t="s">
        <v>659</v>
      </c>
      <c r="U399" s="2" t="s">
        <v>2258</v>
      </c>
      <c r="V399" s="2" t="s">
        <v>661</v>
      </c>
      <c r="W399" s="2" t="s">
        <v>1138</v>
      </c>
      <c r="X399" s="2" t="s">
        <v>160</v>
      </c>
    </row>
    <row r="400" customFormat="false" ht="15" hidden="false" customHeight="false" outlineLevel="0" collapsed="false">
      <c r="A400" s="2" t="n">
        <v>363</v>
      </c>
      <c r="B400" s="2" t="s">
        <v>2221</v>
      </c>
      <c r="C400" s="2" t="s">
        <v>2264</v>
      </c>
      <c r="D400" s="2" t="s">
        <v>53</v>
      </c>
      <c r="E400" s="2" t="s">
        <v>2265</v>
      </c>
      <c r="F400" s="2"/>
      <c r="G400" s="2" t="s">
        <v>2266</v>
      </c>
      <c r="H400" s="2" t="s">
        <v>655</v>
      </c>
      <c r="I400" s="2" t="s">
        <v>656</v>
      </c>
      <c r="J400" s="2" t="n">
        <v>1.16</v>
      </c>
      <c r="K400" s="2" t="n">
        <v>104.11</v>
      </c>
      <c r="L400" s="2" t="s">
        <v>84</v>
      </c>
      <c r="M400" s="2" t="s">
        <v>60</v>
      </c>
      <c r="N400" s="2" t="s">
        <v>2267</v>
      </c>
      <c r="O400" s="2" t="s">
        <v>2268</v>
      </c>
      <c r="P400" s="2"/>
      <c r="Q400" s="2" t="s">
        <v>62</v>
      </c>
      <c r="R400" s="2" t="n">
        <v>0.8</v>
      </c>
      <c r="S400" s="2" t="s">
        <v>2257</v>
      </c>
      <c r="T400" s="2" t="s">
        <v>659</v>
      </c>
      <c r="U400" s="2" t="s">
        <v>2258</v>
      </c>
      <c r="V400" s="2" t="s">
        <v>661</v>
      </c>
      <c r="W400" s="2" t="s">
        <v>1138</v>
      </c>
      <c r="X400" s="2" t="s">
        <v>160</v>
      </c>
    </row>
    <row r="401" customFormat="false" ht="15" hidden="false" customHeight="false" outlineLevel="0" collapsed="false">
      <c r="A401" s="2" t="n">
        <v>363</v>
      </c>
      <c r="B401" s="2" t="s">
        <v>2221</v>
      </c>
      <c r="C401" s="2" t="s">
        <v>2269</v>
      </c>
      <c r="D401" s="2" t="s">
        <v>53</v>
      </c>
      <c r="E401" s="2" t="s">
        <v>2270</v>
      </c>
      <c r="F401" s="2" t="s">
        <v>2271</v>
      </c>
      <c r="G401" s="2" t="s">
        <v>2266</v>
      </c>
      <c r="H401" s="2" t="s">
        <v>655</v>
      </c>
      <c r="I401" s="2" t="s">
        <v>656</v>
      </c>
      <c r="J401" s="2" t="n">
        <v>1.16</v>
      </c>
      <c r="K401" s="2" t="n">
        <v>104.11</v>
      </c>
      <c r="L401" s="2" t="s">
        <v>84</v>
      </c>
      <c r="M401" s="2" t="s">
        <v>60</v>
      </c>
      <c r="N401" s="2"/>
      <c r="O401" s="2" t="s">
        <v>2272</v>
      </c>
      <c r="P401" s="2"/>
      <c r="Q401" s="2" t="s">
        <v>62</v>
      </c>
      <c r="R401" s="2" t="n">
        <v>0.8</v>
      </c>
      <c r="S401" s="2" t="s">
        <v>2257</v>
      </c>
      <c r="T401" s="2" t="s">
        <v>659</v>
      </c>
      <c r="U401" s="2" t="s">
        <v>2258</v>
      </c>
      <c r="V401" s="2" t="s">
        <v>661</v>
      </c>
      <c r="W401" s="2" t="s">
        <v>1138</v>
      </c>
      <c r="X401" s="2" t="s">
        <v>160</v>
      </c>
    </row>
    <row r="402" customFormat="false" ht="15" hidden="false" customHeight="false" outlineLevel="0" collapsed="false">
      <c r="A402" s="2" t="n">
        <v>363</v>
      </c>
      <c r="B402" s="2" t="s">
        <v>2221</v>
      </c>
      <c r="C402" s="2" t="s">
        <v>2273</v>
      </c>
      <c r="D402" s="2" t="s">
        <v>53</v>
      </c>
      <c r="E402" s="2" t="s">
        <v>2274</v>
      </c>
      <c r="F402" s="2" t="s">
        <v>2275</v>
      </c>
      <c r="G402" s="2" t="s">
        <v>678</v>
      </c>
      <c r="H402" s="2" t="s">
        <v>655</v>
      </c>
      <c r="I402" s="2" t="s">
        <v>656</v>
      </c>
      <c r="J402" s="2" t="n">
        <v>1.04</v>
      </c>
      <c r="K402" s="2" t="n">
        <v>103.96</v>
      </c>
      <c r="L402" s="2" t="s">
        <v>84</v>
      </c>
      <c r="M402" s="2" t="s">
        <v>60</v>
      </c>
      <c r="N402" s="2"/>
      <c r="O402" s="2" t="s">
        <v>2276</v>
      </c>
      <c r="P402" s="2"/>
      <c r="Q402" s="2" t="s">
        <v>62</v>
      </c>
      <c r="R402" s="2" t="n">
        <v>0.8</v>
      </c>
      <c r="S402" s="2" t="s">
        <v>2257</v>
      </c>
      <c r="T402" s="2" t="s">
        <v>659</v>
      </c>
      <c r="U402" s="2" t="s">
        <v>2258</v>
      </c>
      <c r="V402" s="2" t="s">
        <v>661</v>
      </c>
      <c r="W402" s="2" t="s">
        <v>1138</v>
      </c>
      <c r="X402" s="2" t="s">
        <v>160</v>
      </c>
    </row>
    <row r="403" customFormat="false" ht="15" hidden="false" customHeight="false" outlineLevel="0" collapsed="false">
      <c r="A403" s="2" t="n">
        <v>364</v>
      </c>
      <c r="B403" s="2" t="s">
        <v>2221</v>
      </c>
      <c r="C403" s="2" t="s">
        <v>2277</v>
      </c>
      <c r="D403" s="2" t="s">
        <v>53</v>
      </c>
      <c r="E403" s="2" t="s">
        <v>2278</v>
      </c>
      <c r="F403" s="2" t="s">
        <v>2279</v>
      </c>
      <c r="G403" s="2" t="s">
        <v>2266</v>
      </c>
      <c r="H403" s="2" t="s">
        <v>655</v>
      </c>
      <c r="I403" s="2" t="s">
        <v>656</v>
      </c>
      <c r="J403" s="2" t="n">
        <v>1.16</v>
      </c>
      <c r="K403" s="2" t="n">
        <v>104.11</v>
      </c>
      <c r="L403" s="2" t="s">
        <v>84</v>
      </c>
      <c r="M403" s="2" t="s">
        <v>60</v>
      </c>
      <c r="N403" s="2"/>
      <c r="O403" s="2" t="s">
        <v>2280</v>
      </c>
      <c r="P403" s="2"/>
      <c r="Q403" s="2" t="s">
        <v>62</v>
      </c>
      <c r="R403" s="2" t="n">
        <v>0.75</v>
      </c>
      <c r="S403" s="2" t="s">
        <v>2281</v>
      </c>
      <c r="T403" s="2" t="s">
        <v>659</v>
      </c>
      <c r="U403" s="2" t="s">
        <v>2282</v>
      </c>
      <c r="V403" s="2" t="s">
        <v>2283</v>
      </c>
      <c r="W403" s="2" t="s">
        <v>662</v>
      </c>
      <c r="X403" s="2" t="s">
        <v>1588</v>
      </c>
    </row>
    <row r="404" customFormat="false" ht="15" hidden="false" customHeight="false" outlineLevel="0" collapsed="false">
      <c r="A404" s="2" t="n">
        <v>364</v>
      </c>
      <c r="B404" s="2" t="s">
        <v>2221</v>
      </c>
      <c r="C404" s="2" t="s">
        <v>2284</v>
      </c>
      <c r="D404" s="2" t="s">
        <v>134</v>
      </c>
      <c r="E404" s="2" t="s">
        <v>2285</v>
      </c>
      <c r="F404" s="2" t="s">
        <v>2279</v>
      </c>
      <c r="G404" s="2" t="s">
        <v>2266</v>
      </c>
      <c r="H404" s="2" t="s">
        <v>655</v>
      </c>
      <c r="I404" s="2" t="s">
        <v>656</v>
      </c>
      <c r="J404" s="2" t="n">
        <v>1.16</v>
      </c>
      <c r="K404" s="2" t="n">
        <v>104.11</v>
      </c>
      <c r="L404" s="2" t="s">
        <v>84</v>
      </c>
      <c r="M404" s="2" t="s">
        <v>60</v>
      </c>
      <c r="N404" s="2"/>
      <c r="O404" s="2" t="s">
        <v>2286</v>
      </c>
      <c r="P404" s="2"/>
      <c r="Q404" s="2" t="s">
        <v>62</v>
      </c>
      <c r="R404" s="2" t="n">
        <v>0.8</v>
      </c>
      <c r="S404" s="2" t="s">
        <v>2281</v>
      </c>
      <c r="T404" s="2" t="s">
        <v>659</v>
      </c>
      <c r="U404" s="2" t="s">
        <v>2282</v>
      </c>
      <c r="V404" s="2" t="s">
        <v>2283</v>
      </c>
      <c r="W404" s="2" t="s">
        <v>662</v>
      </c>
      <c r="X404" s="2" t="s">
        <v>1588</v>
      </c>
    </row>
    <row r="405" customFormat="false" ht="15" hidden="false" customHeight="false" outlineLevel="0" collapsed="false">
      <c r="A405" s="2" t="n">
        <v>364</v>
      </c>
      <c r="B405" s="2" t="s">
        <v>2221</v>
      </c>
      <c r="C405" s="2" t="s">
        <v>2287</v>
      </c>
      <c r="D405" s="2" t="s">
        <v>134</v>
      </c>
      <c r="E405" s="2" t="s">
        <v>2288</v>
      </c>
      <c r="F405" s="2" t="s">
        <v>2271</v>
      </c>
      <c r="G405" s="2" t="s">
        <v>2266</v>
      </c>
      <c r="H405" s="2" t="s">
        <v>655</v>
      </c>
      <c r="I405" s="2" t="s">
        <v>656</v>
      </c>
      <c r="J405" s="2" t="n">
        <v>1.16</v>
      </c>
      <c r="K405" s="2" t="n">
        <v>104.11</v>
      </c>
      <c r="L405" s="2" t="s">
        <v>84</v>
      </c>
      <c r="M405" s="2" t="s">
        <v>60</v>
      </c>
      <c r="N405" s="2"/>
      <c r="O405" s="2" t="s">
        <v>2289</v>
      </c>
      <c r="P405" s="2"/>
      <c r="Q405" s="2" t="s">
        <v>62</v>
      </c>
      <c r="R405" s="2" t="n">
        <v>0.8</v>
      </c>
      <c r="S405" s="2" t="s">
        <v>2281</v>
      </c>
      <c r="T405" s="2" t="s">
        <v>659</v>
      </c>
      <c r="U405" s="2" t="s">
        <v>2282</v>
      </c>
      <c r="V405" s="2" t="s">
        <v>2283</v>
      </c>
      <c r="W405" s="2" t="s">
        <v>662</v>
      </c>
      <c r="X405" s="2" t="s">
        <v>1588</v>
      </c>
    </row>
    <row r="406" customFormat="false" ht="15" hidden="false" customHeight="false" outlineLevel="0" collapsed="false">
      <c r="A406" s="2" t="n">
        <v>365</v>
      </c>
      <c r="B406" s="2" t="s">
        <v>2221</v>
      </c>
      <c r="C406" s="2" t="s">
        <v>2290</v>
      </c>
      <c r="D406" s="2" t="s">
        <v>351</v>
      </c>
      <c r="E406" s="2" t="s">
        <v>1622</v>
      </c>
      <c r="F406" s="2" t="s">
        <v>424</v>
      </c>
      <c r="G406" s="2" t="s">
        <v>425</v>
      </c>
      <c r="H406" s="2" t="s">
        <v>426</v>
      </c>
      <c r="I406" s="2" t="s">
        <v>74</v>
      </c>
      <c r="J406" s="2" t="n">
        <v>-6.244</v>
      </c>
      <c r="K406" s="2" t="n">
        <v>106.801</v>
      </c>
      <c r="L406" s="2" t="s">
        <v>124</v>
      </c>
      <c r="M406" s="2" t="s">
        <v>60</v>
      </c>
      <c r="N406" s="2"/>
      <c r="O406" s="2" t="s">
        <v>2291</v>
      </c>
      <c r="P406" s="2" t="s">
        <v>109</v>
      </c>
      <c r="Q406" s="2" t="s">
        <v>110</v>
      </c>
      <c r="R406" s="2" t="n">
        <v>0.8</v>
      </c>
      <c r="S406" s="2" t="s">
        <v>2292</v>
      </c>
      <c r="T406" s="2" t="s">
        <v>2293</v>
      </c>
      <c r="U406" s="2" t="s">
        <v>2294</v>
      </c>
      <c r="V406" s="2" t="s">
        <v>245</v>
      </c>
      <c r="W406" s="2" t="s">
        <v>1587</v>
      </c>
      <c r="X406" s="2" t="s">
        <v>1588</v>
      </c>
    </row>
    <row r="407" customFormat="false" ht="15" hidden="false" customHeight="false" outlineLevel="0" collapsed="false">
      <c r="A407" s="2" t="n">
        <v>365</v>
      </c>
      <c r="B407" s="2" t="s">
        <v>2221</v>
      </c>
      <c r="C407" s="2" t="s">
        <v>2295</v>
      </c>
      <c r="D407" s="2" t="s">
        <v>134</v>
      </c>
      <c r="E407" s="2" t="s">
        <v>1622</v>
      </c>
      <c r="F407" s="2" t="s">
        <v>424</v>
      </c>
      <c r="G407" s="2" t="s">
        <v>425</v>
      </c>
      <c r="H407" s="2" t="s">
        <v>426</v>
      </c>
      <c r="I407" s="2" t="s">
        <v>74</v>
      </c>
      <c r="J407" s="2" t="n">
        <v>-6.244</v>
      </c>
      <c r="K407" s="2" t="n">
        <v>106.801</v>
      </c>
      <c r="L407" s="2" t="s">
        <v>124</v>
      </c>
      <c r="M407" s="2" t="s">
        <v>60</v>
      </c>
      <c r="N407" s="2"/>
      <c r="O407" s="2" t="s">
        <v>2296</v>
      </c>
      <c r="P407" s="2" t="s">
        <v>109</v>
      </c>
      <c r="Q407" s="2" t="s">
        <v>110</v>
      </c>
      <c r="R407" s="2" t="n">
        <v>0.75</v>
      </c>
      <c r="S407" s="2" t="s">
        <v>2292</v>
      </c>
      <c r="T407" s="2" t="s">
        <v>2293</v>
      </c>
      <c r="U407" s="2" t="s">
        <v>2294</v>
      </c>
      <c r="V407" s="2" t="s">
        <v>245</v>
      </c>
      <c r="W407" s="2" t="s">
        <v>1587</v>
      </c>
      <c r="X407" s="2" t="s">
        <v>1588</v>
      </c>
    </row>
    <row r="408" customFormat="false" ht="15" hidden="false" customHeight="false" outlineLevel="0" collapsed="false">
      <c r="A408" s="2" t="n">
        <v>366</v>
      </c>
      <c r="B408" s="2" t="s">
        <v>2221</v>
      </c>
      <c r="C408" s="2" t="s">
        <v>2297</v>
      </c>
      <c r="D408" s="2" t="s">
        <v>53</v>
      </c>
      <c r="E408" s="2" t="s">
        <v>2298</v>
      </c>
      <c r="F408" s="2"/>
      <c r="G408" s="2"/>
      <c r="H408" s="2" t="s">
        <v>2299</v>
      </c>
      <c r="I408" s="2" t="s">
        <v>2246</v>
      </c>
      <c r="J408" s="2" t="n">
        <v>0.507</v>
      </c>
      <c r="K408" s="2" t="n">
        <v>101.448</v>
      </c>
      <c r="L408" s="2" t="s">
        <v>101</v>
      </c>
      <c r="M408" s="2" t="s">
        <v>60</v>
      </c>
      <c r="N408" s="2"/>
      <c r="O408" s="2" t="s">
        <v>2300</v>
      </c>
      <c r="P408" s="2"/>
      <c r="Q408" s="2" t="s">
        <v>62</v>
      </c>
      <c r="R408" s="2" t="n">
        <v>0.8</v>
      </c>
      <c r="S408" s="2" t="s">
        <v>2301</v>
      </c>
      <c r="T408" s="2" t="s">
        <v>243</v>
      </c>
      <c r="U408" s="2" t="s">
        <v>2302</v>
      </c>
      <c r="V408" s="2" t="s">
        <v>661</v>
      </c>
      <c r="W408" s="2" t="s">
        <v>2303</v>
      </c>
      <c r="X408" s="2" t="s">
        <v>1588</v>
      </c>
    </row>
    <row r="409" customFormat="false" ht="15" hidden="false" customHeight="false" outlineLevel="0" collapsed="false">
      <c r="A409" s="2" t="n">
        <v>366</v>
      </c>
      <c r="B409" s="2" t="s">
        <v>2221</v>
      </c>
      <c r="C409" s="2" t="s">
        <v>2304</v>
      </c>
      <c r="D409" s="2" t="s">
        <v>53</v>
      </c>
      <c r="E409" s="2" t="s">
        <v>2298</v>
      </c>
      <c r="F409" s="2"/>
      <c r="G409" s="2"/>
      <c r="H409" s="2" t="s">
        <v>2299</v>
      </c>
      <c r="I409" s="2" t="s">
        <v>2246</v>
      </c>
      <c r="J409" s="2" t="n">
        <v>0.507</v>
      </c>
      <c r="K409" s="2" t="n">
        <v>101.448</v>
      </c>
      <c r="L409" s="2" t="s">
        <v>101</v>
      </c>
      <c r="M409" s="2" t="s">
        <v>60</v>
      </c>
      <c r="N409" s="2"/>
      <c r="O409" s="2" t="s">
        <v>2305</v>
      </c>
      <c r="P409" s="2"/>
      <c r="Q409" s="2" t="s">
        <v>62</v>
      </c>
      <c r="R409" s="2" t="n">
        <v>0.8</v>
      </c>
      <c r="S409" s="2" t="s">
        <v>2301</v>
      </c>
      <c r="T409" s="2" t="s">
        <v>243</v>
      </c>
      <c r="U409" s="2" t="s">
        <v>2302</v>
      </c>
      <c r="V409" s="2" t="s">
        <v>661</v>
      </c>
      <c r="W409" s="2" t="s">
        <v>2303</v>
      </c>
      <c r="X409" s="2" t="s">
        <v>1588</v>
      </c>
    </row>
    <row r="410" customFormat="false" ht="15" hidden="false" customHeight="false" outlineLevel="0" collapsed="false">
      <c r="A410" s="2" t="n">
        <v>367</v>
      </c>
      <c r="B410" s="2" t="s">
        <v>2221</v>
      </c>
      <c r="C410" s="2" t="s">
        <v>2306</v>
      </c>
      <c r="D410" s="2" t="s">
        <v>53</v>
      </c>
      <c r="E410" s="2" t="s">
        <v>2307</v>
      </c>
      <c r="F410" s="2"/>
      <c r="G410" s="2" t="s">
        <v>2308</v>
      </c>
      <c r="H410" s="2" t="s">
        <v>655</v>
      </c>
      <c r="I410" s="2" t="s">
        <v>656</v>
      </c>
      <c r="J410" s="2" t="n">
        <v>1.05</v>
      </c>
      <c r="K410" s="2" t="n">
        <v>103.99</v>
      </c>
      <c r="L410" s="2" t="s">
        <v>84</v>
      </c>
      <c r="M410" s="2" t="s">
        <v>60</v>
      </c>
      <c r="N410" s="2"/>
      <c r="O410" s="2" t="s">
        <v>2309</v>
      </c>
      <c r="P410" s="2"/>
      <c r="Q410" s="2" t="s">
        <v>110</v>
      </c>
      <c r="R410" s="2" t="n">
        <v>0.85</v>
      </c>
      <c r="S410" s="2" t="s">
        <v>2310</v>
      </c>
      <c r="T410" s="2" t="s">
        <v>659</v>
      </c>
      <c r="U410" s="2" t="s">
        <v>2311</v>
      </c>
      <c r="V410" s="2" t="s">
        <v>2312</v>
      </c>
      <c r="W410" s="2" t="s">
        <v>2313</v>
      </c>
      <c r="X410" s="2" t="s">
        <v>1588</v>
      </c>
    </row>
    <row r="411" customFormat="false" ht="15" hidden="false" customHeight="false" outlineLevel="0" collapsed="false">
      <c r="A411" s="2" t="n">
        <v>367</v>
      </c>
      <c r="B411" s="2" t="s">
        <v>2221</v>
      </c>
      <c r="C411" s="2" t="s">
        <v>2314</v>
      </c>
      <c r="D411" s="2" t="s">
        <v>53</v>
      </c>
      <c r="E411" s="2" t="s">
        <v>2315</v>
      </c>
      <c r="F411" s="2" t="s">
        <v>2316</v>
      </c>
      <c r="G411" s="2" t="s">
        <v>2262</v>
      </c>
      <c r="H411" s="2" t="s">
        <v>655</v>
      </c>
      <c r="I411" s="2" t="s">
        <v>656</v>
      </c>
      <c r="J411" s="2" t="n">
        <v>1.15</v>
      </c>
      <c r="K411" s="2" t="n">
        <v>104.04</v>
      </c>
      <c r="L411" s="2" t="s">
        <v>84</v>
      </c>
      <c r="M411" s="2" t="s">
        <v>60</v>
      </c>
      <c r="N411" s="2"/>
      <c r="O411" s="2" t="s">
        <v>2317</v>
      </c>
      <c r="P411" s="2"/>
      <c r="Q411" s="2" t="s">
        <v>110</v>
      </c>
      <c r="R411" s="2" t="n">
        <v>0.6</v>
      </c>
      <c r="S411" s="2" t="s">
        <v>2310</v>
      </c>
      <c r="T411" s="2" t="s">
        <v>659</v>
      </c>
      <c r="U411" s="2" t="s">
        <v>2311</v>
      </c>
      <c r="V411" s="2" t="s">
        <v>2312</v>
      </c>
      <c r="W411" s="2" t="s">
        <v>2313</v>
      </c>
      <c r="X411" s="2" t="s">
        <v>1588</v>
      </c>
    </row>
    <row r="412" customFormat="false" ht="15" hidden="false" customHeight="false" outlineLevel="0" collapsed="false">
      <c r="A412" s="2" t="n">
        <v>367</v>
      </c>
      <c r="B412" s="2" t="s">
        <v>2221</v>
      </c>
      <c r="C412" s="2" t="s">
        <v>2318</v>
      </c>
      <c r="D412" s="2" t="s">
        <v>53</v>
      </c>
      <c r="E412" s="2" t="s">
        <v>2080</v>
      </c>
      <c r="F412" s="2"/>
      <c r="G412" s="2"/>
      <c r="H412" s="2" t="s">
        <v>655</v>
      </c>
      <c r="I412" s="2" t="s">
        <v>656</v>
      </c>
      <c r="J412" s="2" t="n">
        <v>1.08</v>
      </c>
      <c r="K412" s="2" t="n">
        <v>104.03</v>
      </c>
      <c r="L412" s="2" t="s">
        <v>101</v>
      </c>
      <c r="M412" s="2" t="s">
        <v>60</v>
      </c>
      <c r="N412" s="2"/>
      <c r="O412" s="2" t="s">
        <v>2319</v>
      </c>
      <c r="P412" s="2"/>
      <c r="Q412" s="2" t="s">
        <v>110</v>
      </c>
      <c r="R412" s="2" t="n">
        <v>0.75</v>
      </c>
      <c r="S412" s="2" t="s">
        <v>2310</v>
      </c>
      <c r="T412" s="2" t="s">
        <v>659</v>
      </c>
      <c r="U412" s="2" t="s">
        <v>2311</v>
      </c>
      <c r="V412" s="2" t="s">
        <v>2312</v>
      </c>
      <c r="W412" s="2" t="s">
        <v>2313</v>
      </c>
      <c r="X412" s="2" t="s">
        <v>1588</v>
      </c>
    </row>
    <row r="413" customFormat="false" ht="15" hidden="false" customHeight="false" outlineLevel="0" collapsed="false">
      <c r="A413" s="2" t="n">
        <v>367</v>
      </c>
      <c r="B413" s="2" t="s">
        <v>2221</v>
      </c>
      <c r="C413" s="2" t="s">
        <v>2320</v>
      </c>
      <c r="D413" s="2" t="s">
        <v>53</v>
      </c>
      <c r="E413" s="2" t="s">
        <v>2321</v>
      </c>
      <c r="F413" s="2" t="s">
        <v>2316</v>
      </c>
      <c r="G413" s="2" t="s">
        <v>2262</v>
      </c>
      <c r="H413" s="2" t="s">
        <v>655</v>
      </c>
      <c r="I413" s="2" t="s">
        <v>656</v>
      </c>
      <c r="J413" s="2" t="n">
        <v>1.15</v>
      </c>
      <c r="K413" s="2" t="n">
        <v>104.04</v>
      </c>
      <c r="L413" s="2" t="s">
        <v>84</v>
      </c>
      <c r="M413" s="2" t="s">
        <v>60</v>
      </c>
      <c r="N413" s="2"/>
      <c r="O413" s="2" t="s">
        <v>2322</v>
      </c>
      <c r="P413" s="2"/>
      <c r="Q413" s="2" t="s">
        <v>110</v>
      </c>
      <c r="R413" s="2" t="n">
        <v>0.75</v>
      </c>
      <c r="S413" s="2" t="s">
        <v>2310</v>
      </c>
      <c r="T413" s="2" t="s">
        <v>659</v>
      </c>
      <c r="U413" s="2" t="s">
        <v>2311</v>
      </c>
      <c r="V413" s="2" t="s">
        <v>2312</v>
      </c>
      <c r="W413" s="2" t="s">
        <v>2313</v>
      </c>
      <c r="X413" s="2" t="s">
        <v>1588</v>
      </c>
    </row>
    <row r="414" customFormat="false" ht="15" hidden="false" customHeight="false" outlineLevel="0" collapsed="false">
      <c r="A414" s="2" t="n">
        <v>367</v>
      </c>
      <c r="B414" s="2" t="s">
        <v>2221</v>
      </c>
      <c r="C414" s="2" t="s">
        <v>2323</v>
      </c>
      <c r="D414" s="2" t="s">
        <v>134</v>
      </c>
      <c r="E414" s="2" t="s">
        <v>2324</v>
      </c>
      <c r="F414" s="2" t="s">
        <v>653</v>
      </c>
      <c r="G414" s="2" t="s">
        <v>654</v>
      </c>
      <c r="H414" s="2" t="s">
        <v>655</v>
      </c>
      <c r="I414" s="2" t="s">
        <v>656</v>
      </c>
      <c r="J414" s="2" t="n">
        <v>1.135</v>
      </c>
      <c r="K414" s="2" t="n">
        <v>104.055</v>
      </c>
      <c r="L414" s="2" t="s">
        <v>84</v>
      </c>
      <c r="M414" s="2" t="s">
        <v>60</v>
      </c>
      <c r="N414" s="2"/>
      <c r="O414" s="2" t="s">
        <v>2325</v>
      </c>
      <c r="P414" s="2"/>
      <c r="Q414" s="2" t="s">
        <v>110</v>
      </c>
      <c r="R414" s="2" t="n">
        <v>0.75</v>
      </c>
      <c r="S414" s="2" t="s">
        <v>2310</v>
      </c>
      <c r="T414" s="2" t="s">
        <v>659</v>
      </c>
      <c r="U414" s="2" t="s">
        <v>2311</v>
      </c>
      <c r="V414" s="2" t="s">
        <v>2312</v>
      </c>
      <c r="W414" s="2" t="s">
        <v>2313</v>
      </c>
      <c r="X414" s="2" t="s">
        <v>1588</v>
      </c>
    </row>
    <row r="415" customFormat="false" ht="15" hidden="false" customHeight="false" outlineLevel="0" collapsed="false">
      <c r="A415" s="2" t="n">
        <v>369</v>
      </c>
      <c r="B415" s="2" t="s">
        <v>2221</v>
      </c>
      <c r="C415" s="2" t="s">
        <v>2326</v>
      </c>
      <c r="D415" s="2" t="s">
        <v>1130</v>
      </c>
      <c r="E415" s="2" t="s">
        <v>2327</v>
      </c>
      <c r="F415" s="2" t="s">
        <v>2328</v>
      </c>
      <c r="G415" s="2" t="s">
        <v>2329</v>
      </c>
      <c r="H415" s="2" t="s">
        <v>2299</v>
      </c>
      <c r="I415" s="2" t="s">
        <v>2246</v>
      </c>
      <c r="J415" s="2" t="n">
        <v>0.54</v>
      </c>
      <c r="K415" s="2" t="n">
        <v>101.445</v>
      </c>
      <c r="L415" s="2" t="s">
        <v>84</v>
      </c>
      <c r="M415" s="2" t="s">
        <v>60</v>
      </c>
      <c r="N415" s="2"/>
      <c r="O415" s="2" t="s">
        <v>2330</v>
      </c>
      <c r="P415" s="2" t="s">
        <v>1001</v>
      </c>
      <c r="Q415" s="2" t="s">
        <v>62</v>
      </c>
      <c r="R415" s="2" t="n">
        <v>0.6</v>
      </c>
      <c r="S415" s="2" t="s">
        <v>2331</v>
      </c>
      <c r="T415" s="2" t="s">
        <v>2332</v>
      </c>
      <c r="U415" s="2" t="s">
        <v>2333</v>
      </c>
      <c r="V415" s="2" t="s">
        <v>2312</v>
      </c>
      <c r="W415" s="2" t="s">
        <v>2334</v>
      </c>
      <c r="X415" s="2" t="s">
        <v>1588</v>
      </c>
    </row>
    <row r="416" customFormat="false" ht="15" hidden="false" customHeight="false" outlineLevel="0" collapsed="false">
      <c r="A416" s="2" t="n">
        <v>369</v>
      </c>
      <c r="B416" s="2" t="s">
        <v>2221</v>
      </c>
      <c r="C416" s="2" t="s">
        <v>2335</v>
      </c>
      <c r="D416" s="2" t="s">
        <v>134</v>
      </c>
      <c r="E416" s="2" t="s">
        <v>2298</v>
      </c>
      <c r="F416" s="2"/>
      <c r="G416" s="2"/>
      <c r="H416" s="2" t="s">
        <v>2299</v>
      </c>
      <c r="I416" s="2" t="s">
        <v>2246</v>
      </c>
      <c r="J416" s="2" t="n">
        <v>0.507</v>
      </c>
      <c r="K416" s="2" t="n">
        <v>101.448</v>
      </c>
      <c r="L416" s="2" t="s">
        <v>101</v>
      </c>
      <c r="M416" s="2" t="s">
        <v>60</v>
      </c>
      <c r="N416" s="2"/>
      <c r="O416" s="2" t="s">
        <v>2336</v>
      </c>
      <c r="P416" s="2"/>
      <c r="Q416" s="2" t="s">
        <v>62</v>
      </c>
      <c r="R416" s="2" t="n">
        <v>0.6</v>
      </c>
      <c r="S416" s="2" t="s">
        <v>2331</v>
      </c>
      <c r="T416" s="2" t="s">
        <v>2332</v>
      </c>
      <c r="U416" s="2" t="s">
        <v>2333</v>
      </c>
      <c r="V416" s="2" t="s">
        <v>2312</v>
      </c>
      <c r="W416" s="2" t="s">
        <v>2334</v>
      </c>
      <c r="X416" s="2" t="s">
        <v>1588</v>
      </c>
    </row>
    <row r="417" customFormat="false" ht="15" hidden="false" customHeight="false" outlineLevel="0" collapsed="false">
      <c r="A417" s="2" t="n">
        <v>371</v>
      </c>
      <c r="B417" s="2" t="s">
        <v>2221</v>
      </c>
      <c r="C417" s="2" t="s">
        <v>2337</v>
      </c>
      <c r="D417" s="2" t="s">
        <v>1130</v>
      </c>
      <c r="E417" s="2" t="s">
        <v>830</v>
      </c>
      <c r="F417" s="2" t="s">
        <v>2338</v>
      </c>
      <c r="G417" s="2" t="s">
        <v>2339</v>
      </c>
      <c r="H417" s="2" t="s">
        <v>716</v>
      </c>
      <c r="I417" s="2" t="s">
        <v>74</v>
      </c>
      <c r="J417" s="2" t="n">
        <v>-6.1373</v>
      </c>
      <c r="K417" s="2" t="n">
        <v>106.813</v>
      </c>
      <c r="L417" s="2" t="s">
        <v>124</v>
      </c>
      <c r="M417" s="2" t="s">
        <v>60</v>
      </c>
      <c r="N417" s="2" t="s">
        <v>2340</v>
      </c>
      <c r="O417" s="2" t="s">
        <v>2341</v>
      </c>
      <c r="P417" s="2"/>
      <c r="Q417" s="2" t="s">
        <v>62</v>
      </c>
      <c r="R417" s="2" t="n">
        <v>0.8</v>
      </c>
      <c r="S417" s="2" t="s">
        <v>2342</v>
      </c>
      <c r="T417" s="2" t="s">
        <v>2343</v>
      </c>
      <c r="U417" s="2" t="s">
        <v>2344</v>
      </c>
      <c r="V417" s="2" t="s">
        <v>2345</v>
      </c>
      <c r="W417" s="2" t="s">
        <v>2346</v>
      </c>
      <c r="X417" s="2" t="s">
        <v>1588</v>
      </c>
    </row>
    <row r="418" customFormat="false" ht="15" hidden="false" customHeight="false" outlineLevel="0" collapsed="false">
      <c r="A418" s="2" t="n">
        <v>376</v>
      </c>
      <c r="B418" s="2" t="s">
        <v>2221</v>
      </c>
      <c r="C418" s="2" t="s">
        <v>2347</v>
      </c>
      <c r="D418" s="2" t="s">
        <v>351</v>
      </c>
      <c r="E418" s="2" t="s">
        <v>2348</v>
      </c>
      <c r="F418" s="2"/>
      <c r="G418" s="2"/>
      <c r="H418" s="2"/>
      <c r="I418" s="2"/>
      <c r="J418" s="2"/>
      <c r="K418" s="2"/>
      <c r="L418" s="2"/>
      <c r="M418" s="2" t="s">
        <v>340</v>
      </c>
      <c r="N418" s="2" t="s">
        <v>2349</v>
      </c>
      <c r="O418" s="2" t="s">
        <v>2350</v>
      </c>
      <c r="P418" s="2"/>
      <c r="Q418" s="2" t="s">
        <v>110</v>
      </c>
      <c r="R418" s="2" t="n">
        <v>0.6</v>
      </c>
      <c r="S418" s="2" t="s">
        <v>2351</v>
      </c>
      <c r="T418" s="2" t="s">
        <v>2352</v>
      </c>
      <c r="U418" s="2" t="s">
        <v>2353</v>
      </c>
      <c r="V418" s="2" t="s">
        <v>2354</v>
      </c>
      <c r="W418" s="2" t="s">
        <v>262</v>
      </c>
      <c r="X418" s="2" t="s">
        <v>507</v>
      </c>
    </row>
    <row r="419" customFormat="false" ht="15" hidden="false" customHeight="false" outlineLevel="0" collapsed="false">
      <c r="A419" s="2" t="n">
        <v>377</v>
      </c>
      <c r="B419" s="2" t="s">
        <v>2221</v>
      </c>
      <c r="C419" s="2" t="s">
        <v>2355</v>
      </c>
      <c r="D419" s="2" t="s">
        <v>410</v>
      </c>
      <c r="E419" s="2" t="s">
        <v>2356</v>
      </c>
      <c r="F419" s="2"/>
      <c r="G419" s="2"/>
      <c r="H419" s="2"/>
      <c r="I419" s="2"/>
      <c r="J419" s="2"/>
      <c r="K419" s="2"/>
      <c r="L419" s="2"/>
      <c r="M419" s="2" t="s">
        <v>340</v>
      </c>
      <c r="N419" s="2" t="s">
        <v>2357</v>
      </c>
      <c r="O419" s="2" t="s">
        <v>2358</v>
      </c>
      <c r="P419" s="2" t="s">
        <v>702</v>
      </c>
      <c r="Q419" s="2" t="s">
        <v>62</v>
      </c>
      <c r="R419" s="2" t="n">
        <v>0.8</v>
      </c>
      <c r="S419" s="2" t="s">
        <v>2359</v>
      </c>
      <c r="T419" s="2" t="s">
        <v>2360</v>
      </c>
      <c r="U419" s="2" t="s">
        <v>2361</v>
      </c>
      <c r="V419" s="2" t="s">
        <v>1077</v>
      </c>
      <c r="W419" s="2" t="s">
        <v>1932</v>
      </c>
      <c r="X419" s="2" t="s">
        <v>1588</v>
      </c>
    </row>
    <row r="420" customFormat="false" ht="15" hidden="false" customHeight="false" outlineLevel="0" collapsed="false">
      <c r="A420" s="2" t="n">
        <v>382</v>
      </c>
      <c r="B420" s="2" t="s">
        <v>2221</v>
      </c>
      <c r="C420" s="2" t="s">
        <v>2362</v>
      </c>
      <c r="D420" s="2" t="s">
        <v>121</v>
      </c>
      <c r="E420" s="2" t="s">
        <v>2363</v>
      </c>
      <c r="F420" s="2"/>
      <c r="G420" s="2"/>
      <c r="H420" s="2" t="s">
        <v>2299</v>
      </c>
      <c r="I420" s="2" t="s">
        <v>2246</v>
      </c>
      <c r="J420" s="2" t="n">
        <v>0.507</v>
      </c>
      <c r="K420" s="2" t="n">
        <v>101.448</v>
      </c>
      <c r="L420" s="2" t="s">
        <v>101</v>
      </c>
      <c r="M420" s="2" t="s">
        <v>60</v>
      </c>
      <c r="N420" s="2" t="s">
        <v>2364</v>
      </c>
      <c r="O420" s="2" t="s">
        <v>2365</v>
      </c>
      <c r="P420" s="2" t="s">
        <v>2019</v>
      </c>
      <c r="Q420" s="2" t="s">
        <v>110</v>
      </c>
      <c r="R420" s="2" t="n">
        <v>0.8</v>
      </c>
      <c r="S420" s="2" t="s">
        <v>2366</v>
      </c>
      <c r="T420" s="2" t="s">
        <v>2367</v>
      </c>
      <c r="U420" s="2" t="s">
        <v>2368</v>
      </c>
      <c r="V420" s="2" t="s">
        <v>2369</v>
      </c>
      <c r="W420" s="2" t="s">
        <v>2370</v>
      </c>
      <c r="X420" s="2" t="s">
        <v>507</v>
      </c>
    </row>
    <row r="421" customFormat="false" ht="15" hidden="false" customHeight="false" outlineLevel="0" collapsed="false">
      <c r="A421" s="2" t="n">
        <v>383</v>
      </c>
      <c r="B421" s="2" t="s">
        <v>2221</v>
      </c>
      <c r="C421" s="2" t="s">
        <v>2371</v>
      </c>
      <c r="D421" s="2" t="s">
        <v>121</v>
      </c>
      <c r="E421" s="2" t="s">
        <v>2372</v>
      </c>
      <c r="F421" s="2"/>
      <c r="G421" s="2"/>
      <c r="H421" s="2" t="s">
        <v>2299</v>
      </c>
      <c r="I421" s="2" t="s">
        <v>2246</v>
      </c>
      <c r="J421" s="2" t="n">
        <v>0.507</v>
      </c>
      <c r="K421" s="2" t="n">
        <v>101.448</v>
      </c>
      <c r="L421" s="2" t="s">
        <v>101</v>
      </c>
      <c r="M421" s="2" t="s">
        <v>60</v>
      </c>
      <c r="N421" s="2"/>
      <c r="O421" s="2" t="s">
        <v>2373</v>
      </c>
      <c r="P421" s="2" t="s">
        <v>2374</v>
      </c>
      <c r="Q421" s="2" t="s">
        <v>110</v>
      </c>
      <c r="R421" s="2" t="n">
        <v>0.85</v>
      </c>
      <c r="S421" s="2" t="s">
        <v>2375</v>
      </c>
      <c r="T421" s="2" t="s">
        <v>2376</v>
      </c>
      <c r="U421" s="2" t="s">
        <v>2377</v>
      </c>
      <c r="V421" s="2" t="s">
        <v>2378</v>
      </c>
      <c r="W421" s="2" t="s">
        <v>2379</v>
      </c>
      <c r="X421" s="2" t="s">
        <v>1588</v>
      </c>
    </row>
    <row r="422" customFormat="false" ht="15" hidden="false" customHeight="false" outlineLevel="0" collapsed="false">
      <c r="A422" s="2" t="n">
        <v>383</v>
      </c>
      <c r="B422" s="2" t="s">
        <v>2221</v>
      </c>
      <c r="C422" s="2" t="s">
        <v>2380</v>
      </c>
      <c r="D422" s="2" t="s">
        <v>53</v>
      </c>
      <c r="E422" s="2" t="s">
        <v>2381</v>
      </c>
      <c r="F422" s="2"/>
      <c r="G422" s="2"/>
      <c r="H422" s="2" t="s">
        <v>2299</v>
      </c>
      <c r="I422" s="2" t="s">
        <v>2246</v>
      </c>
      <c r="J422" s="2" t="n">
        <v>0.507</v>
      </c>
      <c r="K422" s="2" t="n">
        <v>101.448</v>
      </c>
      <c r="L422" s="2" t="s">
        <v>101</v>
      </c>
      <c r="M422" s="2" t="s">
        <v>60</v>
      </c>
      <c r="N422" s="2" t="s">
        <v>2382</v>
      </c>
      <c r="O422" s="2" t="s">
        <v>2383</v>
      </c>
      <c r="P422" s="2"/>
      <c r="Q422" s="2" t="s">
        <v>62</v>
      </c>
      <c r="R422" s="2" t="n">
        <v>0.65</v>
      </c>
      <c r="S422" s="2" t="s">
        <v>2375</v>
      </c>
      <c r="T422" s="2" t="s">
        <v>2376</v>
      </c>
      <c r="U422" s="2" t="s">
        <v>2377</v>
      </c>
      <c r="V422" s="2" t="s">
        <v>2378</v>
      </c>
      <c r="W422" s="2" t="s">
        <v>2379</v>
      </c>
      <c r="X422" s="2" t="s">
        <v>1588</v>
      </c>
    </row>
    <row r="423" customFormat="false" ht="15" hidden="false" customHeight="false" outlineLevel="0" collapsed="false">
      <c r="A423" s="2" t="n">
        <v>383</v>
      </c>
      <c r="B423" s="2" t="s">
        <v>2221</v>
      </c>
      <c r="C423" s="2" t="s">
        <v>2384</v>
      </c>
      <c r="D423" s="2" t="s">
        <v>53</v>
      </c>
      <c r="E423" s="2" t="s">
        <v>2381</v>
      </c>
      <c r="F423" s="2"/>
      <c r="G423" s="2"/>
      <c r="H423" s="2" t="s">
        <v>2299</v>
      </c>
      <c r="I423" s="2" t="s">
        <v>2246</v>
      </c>
      <c r="J423" s="2" t="n">
        <v>0.507</v>
      </c>
      <c r="K423" s="2" t="n">
        <v>101.448</v>
      </c>
      <c r="L423" s="2" t="s">
        <v>101</v>
      </c>
      <c r="M423" s="2" t="s">
        <v>60</v>
      </c>
      <c r="N423" s="2" t="s">
        <v>2382</v>
      </c>
      <c r="O423" s="2" t="s">
        <v>2385</v>
      </c>
      <c r="P423" s="2"/>
      <c r="Q423" s="2" t="s">
        <v>62</v>
      </c>
      <c r="R423" s="2" t="n">
        <v>0.65</v>
      </c>
      <c r="S423" s="2" t="s">
        <v>2375</v>
      </c>
      <c r="T423" s="2" t="s">
        <v>2376</v>
      </c>
      <c r="U423" s="2" t="s">
        <v>2377</v>
      </c>
      <c r="V423" s="2" t="s">
        <v>2378</v>
      </c>
      <c r="W423" s="2" t="s">
        <v>2379</v>
      </c>
      <c r="X423" s="2" t="s">
        <v>1588</v>
      </c>
    </row>
    <row r="424" customFormat="false" ht="15" hidden="false" customHeight="false" outlineLevel="0" collapsed="false">
      <c r="A424" s="2" t="n">
        <v>383</v>
      </c>
      <c r="B424" s="2" t="s">
        <v>2221</v>
      </c>
      <c r="C424" s="2" t="s">
        <v>2386</v>
      </c>
      <c r="D424" s="2" t="s">
        <v>351</v>
      </c>
      <c r="E424" s="2" t="s">
        <v>2381</v>
      </c>
      <c r="F424" s="2"/>
      <c r="G424" s="2"/>
      <c r="H424" s="2" t="s">
        <v>2299</v>
      </c>
      <c r="I424" s="2" t="s">
        <v>2246</v>
      </c>
      <c r="J424" s="2" t="n">
        <v>0.507</v>
      </c>
      <c r="K424" s="2" t="n">
        <v>101.448</v>
      </c>
      <c r="L424" s="2" t="s">
        <v>101</v>
      </c>
      <c r="M424" s="2" t="s">
        <v>60</v>
      </c>
      <c r="N424" s="2" t="s">
        <v>2382</v>
      </c>
      <c r="O424" s="2" t="s">
        <v>2387</v>
      </c>
      <c r="P424" s="2"/>
      <c r="Q424" s="2" t="s">
        <v>110</v>
      </c>
      <c r="R424" s="2" t="n">
        <v>0.75</v>
      </c>
      <c r="S424" s="2" t="s">
        <v>2375</v>
      </c>
      <c r="T424" s="2" t="s">
        <v>2376</v>
      </c>
      <c r="U424" s="2" t="s">
        <v>2377</v>
      </c>
      <c r="V424" s="2" t="s">
        <v>2378</v>
      </c>
      <c r="W424" s="2" t="s">
        <v>2379</v>
      </c>
      <c r="X424" s="2" t="s">
        <v>1588</v>
      </c>
    </row>
    <row r="425" customFormat="false" ht="15" hidden="false" customHeight="false" outlineLevel="0" collapsed="false">
      <c r="A425" s="2" t="n">
        <v>383</v>
      </c>
      <c r="B425" s="2" t="s">
        <v>2221</v>
      </c>
      <c r="C425" s="2" t="s">
        <v>2388</v>
      </c>
      <c r="D425" s="2" t="s">
        <v>134</v>
      </c>
      <c r="E425" s="2" t="s">
        <v>2381</v>
      </c>
      <c r="F425" s="2"/>
      <c r="G425" s="2"/>
      <c r="H425" s="2" t="s">
        <v>2299</v>
      </c>
      <c r="I425" s="2" t="s">
        <v>2246</v>
      </c>
      <c r="J425" s="2" t="n">
        <v>0.507</v>
      </c>
      <c r="K425" s="2" t="n">
        <v>101.448</v>
      </c>
      <c r="L425" s="2" t="s">
        <v>101</v>
      </c>
      <c r="M425" s="2" t="s">
        <v>60</v>
      </c>
      <c r="N425" s="2" t="s">
        <v>2382</v>
      </c>
      <c r="O425" s="2" t="s">
        <v>2389</v>
      </c>
      <c r="P425" s="2"/>
      <c r="Q425" s="2" t="s">
        <v>62</v>
      </c>
      <c r="R425" s="2" t="n">
        <v>0.6</v>
      </c>
      <c r="S425" s="2" t="s">
        <v>2375</v>
      </c>
      <c r="T425" s="2" t="s">
        <v>2376</v>
      </c>
      <c r="U425" s="2" t="s">
        <v>2377</v>
      </c>
      <c r="V425" s="2" t="s">
        <v>2378</v>
      </c>
      <c r="W425" s="2" t="s">
        <v>2379</v>
      </c>
      <c r="X425" s="2" t="s">
        <v>1588</v>
      </c>
    </row>
    <row r="426" customFormat="false" ht="15" hidden="false" customHeight="false" outlineLevel="0" collapsed="false">
      <c r="A426" s="2" t="n">
        <v>383</v>
      </c>
      <c r="B426" s="2" t="s">
        <v>2221</v>
      </c>
      <c r="C426" s="2" t="s">
        <v>2390</v>
      </c>
      <c r="D426" s="2" t="s">
        <v>134</v>
      </c>
      <c r="E426" s="2" t="s">
        <v>2381</v>
      </c>
      <c r="F426" s="2"/>
      <c r="G426" s="2"/>
      <c r="H426" s="2" t="s">
        <v>2299</v>
      </c>
      <c r="I426" s="2" t="s">
        <v>2246</v>
      </c>
      <c r="J426" s="2" t="n">
        <v>0.507</v>
      </c>
      <c r="K426" s="2" t="n">
        <v>101.448</v>
      </c>
      <c r="L426" s="2" t="s">
        <v>101</v>
      </c>
      <c r="M426" s="2" t="s">
        <v>60</v>
      </c>
      <c r="N426" s="2" t="s">
        <v>2382</v>
      </c>
      <c r="O426" s="2" t="s">
        <v>2391</v>
      </c>
      <c r="P426" s="2"/>
      <c r="Q426" s="2" t="s">
        <v>62</v>
      </c>
      <c r="R426" s="2" t="n">
        <v>0.6</v>
      </c>
      <c r="S426" s="2" t="s">
        <v>2375</v>
      </c>
      <c r="T426" s="2" t="s">
        <v>2376</v>
      </c>
      <c r="U426" s="2" t="s">
        <v>2377</v>
      </c>
      <c r="V426" s="2" t="s">
        <v>2378</v>
      </c>
      <c r="W426" s="2" t="s">
        <v>2379</v>
      </c>
      <c r="X426" s="2" t="s">
        <v>1588</v>
      </c>
    </row>
    <row r="427" customFormat="false" ht="15" hidden="false" customHeight="false" outlineLevel="0" collapsed="false">
      <c r="A427" s="2" t="n">
        <v>385</v>
      </c>
      <c r="B427" s="2" t="s">
        <v>2221</v>
      </c>
      <c r="C427" s="2" t="s">
        <v>2392</v>
      </c>
      <c r="D427" s="2" t="s">
        <v>53</v>
      </c>
      <c r="E427" s="2" t="s">
        <v>2393</v>
      </c>
      <c r="F427" s="2" t="s">
        <v>2394</v>
      </c>
      <c r="G427" s="2" t="s">
        <v>2395</v>
      </c>
      <c r="H427" s="2" t="s">
        <v>655</v>
      </c>
      <c r="I427" s="2" t="s">
        <v>656</v>
      </c>
      <c r="J427" s="2" t="n">
        <v>1.12</v>
      </c>
      <c r="K427" s="2" t="n">
        <v>103.96</v>
      </c>
      <c r="L427" s="2" t="s">
        <v>84</v>
      </c>
      <c r="M427" s="2" t="s">
        <v>60</v>
      </c>
      <c r="N427" s="2"/>
      <c r="O427" s="2" t="s">
        <v>2396</v>
      </c>
      <c r="P427" s="2"/>
      <c r="Q427" s="2" t="s">
        <v>62</v>
      </c>
      <c r="R427" s="2" t="n">
        <v>0.6</v>
      </c>
      <c r="S427" s="2" t="s">
        <v>2397</v>
      </c>
      <c r="T427" s="2" t="s">
        <v>659</v>
      </c>
      <c r="U427" s="2" t="s">
        <v>2398</v>
      </c>
      <c r="V427" s="2" t="s">
        <v>661</v>
      </c>
      <c r="W427" s="2" t="s">
        <v>2399</v>
      </c>
      <c r="X427" s="2" t="s">
        <v>68</v>
      </c>
    </row>
    <row r="428" customFormat="false" ht="15" hidden="false" customHeight="false" outlineLevel="0" collapsed="false">
      <c r="A428" s="2" t="n">
        <v>385</v>
      </c>
      <c r="B428" s="2" t="s">
        <v>2221</v>
      </c>
      <c r="C428" s="2" t="s">
        <v>2400</v>
      </c>
      <c r="D428" s="2" t="s">
        <v>53</v>
      </c>
      <c r="E428" s="2" t="s">
        <v>2401</v>
      </c>
      <c r="F428" s="2" t="s">
        <v>2394</v>
      </c>
      <c r="G428" s="2" t="s">
        <v>2395</v>
      </c>
      <c r="H428" s="2" t="s">
        <v>655</v>
      </c>
      <c r="I428" s="2" t="s">
        <v>656</v>
      </c>
      <c r="J428" s="2" t="n">
        <v>1.12</v>
      </c>
      <c r="K428" s="2" t="n">
        <v>103.96</v>
      </c>
      <c r="L428" s="2" t="s">
        <v>84</v>
      </c>
      <c r="M428" s="2" t="s">
        <v>60</v>
      </c>
      <c r="N428" s="2"/>
      <c r="O428" s="2" t="s">
        <v>2402</v>
      </c>
      <c r="P428" s="2"/>
      <c r="Q428" s="2" t="s">
        <v>62</v>
      </c>
      <c r="R428" s="2" t="n">
        <v>0.8</v>
      </c>
      <c r="S428" s="2" t="s">
        <v>2397</v>
      </c>
      <c r="T428" s="2" t="s">
        <v>659</v>
      </c>
      <c r="U428" s="2" t="s">
        <v>2398</v>
      </c>
      <c r="V428" s="2" t="s">
        <v>661</v>
      </c>
      <c r="W428" s="2" t="s">
        <v>2399</v>
      </c>
      <c r="X428" s="2" t="s">
        <v>68</v>
      </c>
    </row>
    <row r="429" customFormat="false" ht="15" hidden="false" customHeight="false" outlineLevel="0" collapsed="false">
      <c r="A429" s="2" t="n">
        <v>385</v>
      </c>
      <c r="B429" s="2" t="s">
        <v>2221</v>
      </c>
      <c r="C429" s="2" t="s">
        <v>2403</v>
      </c>
      <c r="D429" s="2" t="s">
        <v>134</v>
      </c>
      <c r="E429" s="2" t="s">
        <v>2404</v>
      </c>
      <c r="F429" s="2" t="s">
        <v>2405</v>
      </c>
      <c r="G429" s="2" t="s">
        <v>2395</v>
      </c>
      <c r="H429" s="2" t="s">
        <v>655</v>
      </c>
      <c r="I429" s="2" t="s">
        <v>656</v>
      </c>
      <c r="J429" s="2" t="n">
        <v>1.12</v>
      </c>
      <c r="K429" s="2" t="n">
        <v>103.96</v>
      </c>
      <c r="L429" s="2" t="s">
        <v>84</v>
      </c>
      <c r="M429" s="2" t="s">
        <v>60</v>
      </c>
      <c r="N429" s="2"/>
      <c r="O429" s="2" t="s">
        <v>2406</v>
      </c>
      <c r="P429" s="2"/>
      <c r="Q429" s="2" t="s">
        <v>62</v>
      </c>
      <c r="R429" s="2" t="n">
        <v>0.8</v>
      </c>
      <c r="S429" s="2" t="s">
        <v>2397</v>
      </c>
      <c r="T429" s="2" t="s">
        <v>659</v>
      </c>
      <c r="U429" s="2" t="s">
        <v>2398</v>
      </c>
      <c r="V429" s="2" t="s">
        <v>661</v>
      </c>
      <c r="W429" s="2" t="s">
        <v>2399</v>
      </c>
      <c r="X429" s="2" t="s">
        <v>68</v>
      </c>
    </row>
    <row r="430" customFormat="false" ht="15" hidden="false" customHeight="false" outlineLevel="0" collapsed="false">
      <c r="A430" s="2" t="n">
        <v>385</v>
      </c>
      <c r="B430" s="2" t="s">
        <v>2221</v>
      </c>
      <c r="C430" s="2" t="s">
        <v>2407</v>
      </c>
      <c r="D430" s="2" t="s">
        <v>53</v>
      </c>
      <c r="E430" s="2" t="s">
        <v>2408</v>
      </c>
      <c r="F430" s="2" t="s">
        <v>2394</v>
      </c>
      <c r="G430" s="2" t="s">
        <v>2395</v>
      </c>
      <c r="H430" s="2" t="s">
        <v>655</v>
      </c>
      <c r="I430" s="2" t="s">
        <v>656</v>
      </c>
      <c r="J430" s="2" t="n">
        <v>1.12</v>
      </c>
      <c r="K430" s="2" t="n">
        <v>103.96</v>
      </c>
      <c r="L430" s="2" t="s">
        <v>84</v>
      </c>
      <c r="M430" s="2" t="s">
        <v>60</v>
      </c>
      <c r="N430" s="2"/>
      <c r="O430" s="2" t="s">
        <v>2409</v>
      </c>
      <c r="P430" s="2"/>
      <c r="Q430" s="2" t="s">
        <v>62</v>
      </c>
      <c r="R430" s="2" t="n">
        <v>0.8</v>
      </c>
      <c r="S430" s="2" t="s">
        <v>2397</v>
      </c>
      <c r="T430" s="2" t="s">
        <v>659</v>
      </c>
      <c r="U430" s="2" t="s">
        <v>2398</v>
      </c>
      <c r="V430" s="2" t="s">
        <v>661</v>
      </c>
      <c r="W430" s="2" t="s">
        <v>2399</v>
      </c>
      <c r="X430" s="2" t="s">
        <v>68</v>
      </c>
    </row>
    <row r="431" customFormat="false" ht="15" hidden="false" customHeight="false" outlineLevel="0" collapsed="false">
      <c r="A431" s="2" t="n">
        <v>386</v>
      </c>
      <c r="B431" s="2" t="s">
        <v>2221</v>
      </c>
      <c r="C431" s="2" t="s">
        <v>2410</v>
      </c>
      <c r="D431" s="2" t="s">
        <v>134</v>
      </c>
      <c r="E431" s="2" t="s">
        <v>2411</v>
      </c>
      <c r="F431" s="2"/>
      <c r="G431" s="2" t="s">
        <v>654</v>
      </c>
      <c r="H431" s="2" t="s">
        <v>655</v>
      </c>
      <c r="I431" s="2" t="s">
        <v>656</v>
      </c>
      <c r="J431" s="2" t="n">
        <v>1.135</v>
      </c>
      <c r="K431" s="2" t="n">
        <v>104.055</v>
      </c>
      <c r="L431" s="2" t="s">
        <v>84</v>
      </c>
      <c r="M431" s="2" t="s">
        <v>60</v>
      </c>
      <c r="N431" s="2" t="s">
        <v>2411</v>
      </c>
      <c r="O431" s="2" t="s">
        <v>2412</v>
      </c>
      <c r="P431" s="2"/>
      <c r="Q431" s="2" t="s">
        <v>62</v>
      </c>
      <c r="R431" s="2" t="n">
        <v>0.8</v>
      </c>
      <c r="S431" s="2" t="s">
        <v>2413</v>
      </c>
      <c r="T431" s="2" t="s">
        <v>659</v>
      </c>
      <c r="U431" s="2" t="s">
        <v>2414</v>
      </c>
      <c r="V431" s="2" t="s">
        <v>661</v>
      </c>
      <c r="W431" s="2" t="s">
        <v>1397</v>
      </c>
      <c r="X431" s="2" t="s">
        <v>160</v>
      </c>
    </row>
    <row r="432" customFormat="false" ht="15" hidden="false" customHeight="false" outlineLevel="0" collapsed="false">
      <c r="A432" s="2" t="n">
        <v>386</v>
      </c>
      <c r="B432" s="2" t="s">
        <v>2221</v>
      </c>
      <c r="C432" s="2" t="s">
        <v>2415</v>
      </c>
      <c r="D432" s="2" t="s">
        <v>134</v>
      </c>
      <c r="E432" s="2" t="s">
        <v>2416</v>
      </c>
      <c r="F432" s="2" t="s">
        <v>653</v>
      </c>
      <c r="G432" s="2" t="s">
        <v>654</v>
      </c>
      <c r="H432" s="2" t="s">
        <v>655</v>
      </c>
      <c r="I432" s="2" t="s">
        <v>656</v>
      </c>
      <c r="J432" s="2" t="n">
        <v>1.135</v>
      </c>
      <c r="K432" s="2" t="n">
        <v>104.055</v>
      </c>
      <c r="L432" s="2" t="s">
        <v>84</v>
      </c>
      <c r="M432" s="2" t="s">
        <v>60</v>
      </c>
      <c r="N432" s="2"/>
      <c r="O432" s="2" t="s">
        <v>2417</v>
      </c>
      <c r="P432" s="2"/>
      <c r="Q432" s="2" t="s">
        <v>62</v>
      </c>
      <c r="R432" s="2" t="n">
        <v>0.75</v>
      </c>
      <c r="S432" s="2" t="s">
        <v>2413</v>
      </c>
      <c r="T432" s="2" t="s">
        <v>659</v>
      </c>
      <c r="U432" s="2" t="s">
        <v>2414</v>
      </c>
      <c r="V432" s="2" t="s">
        <v>661</v>
      </c>
      <c r="W432" s="2" t="s">
        <v>1397</v>
      </c>
      <c r="X432" s="2" t="s">
        <v>160</v>
      </c>
    </row>
    <row r="433" customFormat="false" ht="15" hidden="false" customHeight="false" outlineLevel="0" collapsed="false">
      <c r="A433" s="2" t="n">
        <v>386</v>
      </c>
      <c r="B433" s="2" t="s">
        <v>2221</v>
      </c>
      <c r="C433" s="2" t="s">
        <v>2277</v>
      </c>
      <c r="D433" s="2" t="s">
        <v>53</v>
      </c>
      <c r="E433" s="2" t="s">
        <v>2278</v>
      </c>
      <c r="F433" s="2" t="s">
        <v>2279</v>
      </c>
      <c r="G433" s="2" t="s">
        <v>2266</v>
      </c>
      <c r="H433" s="2" t="s">
        <v>655</v>
      </c>
      <c r="I433" s="2" t="s">
        <v>656</v>
      </c>
      <c r="J433" s="2" t="n">
        <v>1.16</v>
      </c>
      <c r="K433" s="2" t="n">
        <v>104.11</v>
      </c>
      <c r="L433" s="2" t="s">
        <v>84</v>
      </c>
      <c r="M433" s="2" t="s">
        <v>60</v>
      </c>
      <c r="N433" s="2"/>
      <c r="O433" s="2" t="s">
        <v>2418</v>
      </c>
      <c r="P433" s="2"/>
      <c r="Q433" s="2" t="s">
        <v>62</v>
      </c>
      <c r="R433" s="2" t="n">
        <v>0.75</v>
      </c>
      <c r="S433" s="2" t="s">
        <v>2413</v>
      </c>
      <c r="T433" s="2" t="s">
        <v>659</v>
      </c>
      <c r="U433" s="2" t="s">
        <v>2414</v>
      </c>
      <c r="V433" s="2" t="s">
        <v>661</v>
      </c>
      <c r="W433" s="2" t="s">
        <v>1397</v>
      </c>
      <c r="X433" s="2" t="s">
        <v>160</v>
      </c>
    </row>
    <row r="434" customFormat="false" ht="15" hidden="false" customHeight="false" outlineLevel="0" collapsed="false">
      <c r="A434" s="2" t="n">
        <v>386</v>
      </c>
      <c r="B434" s="2" t="s">
        <v>2221</v>
      </c>
      <c r="C434" s="2" t="s">
        <v>2419</v>
      </c>
      <c r="D434" s="2" t="s">
        <v>134</v>
      </c>
      <c r="E434" s="2" t="s">
        <v>2420</v>
      </c>
      <c r="F434" s="2" t="s">
        <v>2421</v>
      </c>
      <c r="G434" s="2" t="s">
        <v>654</v>
      </c>
      <c r="H434" s="2" t="s">
        <v>655</v>
      </c>
      <c r="I434" s="2" t="s">
        <v>656</v>
      </c>
      <c r="J434" s="2" t="n">
        <v>1.135</v>
      </c>
      <c r="K434" s="2" t="n">
        <v>104.055</v>
      </c>
      <c r="L434" s="2" t="s">
        <v>84</v>
      </c>
      <c r="M434" s="2" t="s">
        <v>60</v>
      </c>
      <c r="N434" s="2"/>
      <c r="O434" s="2" t="s">
        <v>2422</v>
      </c>
      <c r="P434" s="2"/>
      <c r="Q434" s="2" t="s">
        <v>62</v>
      </c>
      <c r="R434" s="2" t="n">
        <v>0.8</v>
      </c>
      <c r="S434" s="2" t="s">
        <v>2413</v>
      </c>
      <c r="T434" s="2" t="s">
        <v>659</v>
      </c>
      <c r="U434" s="2" t="s">
        <v>2414</v>
      </c>
      <c r="V434" s="2" t="s">
        <v>661</v>
      </c>
      <c r="W434" s="2" t="s">
        <v>1397</v>
      </c>
      <c r="X434" s="2" t="s">
        <v>160</v>
      </c>
    </row>
    <row r="435" customFormat="false" ht="15" hidden="false" customHeight="false" outlineLevel="0" collapsed="false">
      <c r="A435" s="2" t="n">
        <v>386</v>
      </c>
      <c r="B435" s="2" t="s">
        <v>2221</v>
      </c>
      <c r="C435" s="2" t="s">
        <v>2423</v>
      </c>
      <c r="D435" s="2" t="s">
        <v>134</v>
      </c>
      <c r="E435" s="2" t="s">
        <v>2080</v>
      </c>
      <c r="F435" s="2"/>
      <c r="G435" s="2"/>
      <c r="H435" s="2" t="s">
        <v>655</v>
      </c>
      <c r="I435" s="2" t="s">
        <v>656</v>
      </c>
      <c r="J435" s="2" t="n">
        <v>1.08</v>
      </c>
      <c r="K435" s="2" t="n">
        <v>104.03</v>
      </c>
      <c r="L435" s="2" t="s">
        <v>101</v>
      </c>
      <c r="M435" s="2" t="s">
        <v>60</v>
      </c>
      <c r="N435" s="2"/>
      <c r="O435" s="2" t="s">
        <v>2424</v>
      </c>
      <c r="P435" s="2"/>
      <c r="Q435" s="2" t="s">
        <v>62</v>
      </c>
      <c r="R435" s="2" t="n">
        <v>0.7</v>
      </c>
      <c r="S435" s="2" t="s">
        <v>2413</v>
      </c>
      <c r="T435" s="2" t="s">
        <v>659</v>
      </c>
      <c r="U435" s="2" t="s">
        <v>2414</v>
      </c>
      <c r="V435" s="2" t="s">
        <v>661</v>
      </c>
      <c r="W435" s="2" t="s">
        <v>1397</v>
      </c>
      <c r="X435" s="2" t="s">
        <v>160</v>
      </c>
    </row>
    <row r="436" customFormat="false" ht="15" hidden="false" customHeight="false" outlineLevel="0" collapsed="false">
      <c r="A436" s="2" t="n">
        <v>387</v>
      </c>
      <c r="B436" s="2" t="s">
        <v>2221</v>
      </c>
      <c r="C436" s="2" t="s">
        <v>2425</v>
      </c>
      <c r="D436" s="2" t="s">
        <v>53</v>
      </c>
      <c r="E436" s="2" t="s">
        <v>2426</v>
      </c>
      <c r="F436" s="2" t="s">
        <v>2427</v>
      </c>
      <c r="G436" s="2" t="s">
        <v>2262</v>
      </c>
      <c r="H436" s="2" t="s">
        <v>655</v>
      </c>
      <c r="I436" s="2" t="s">
        <v>656</v>
      </c>
      <c r="J436" s="2" t="n">
        <v>1.15</v>
      </c>
      <c r="K436" s="2" t="n">
        <v>104.04</v>
      </c>
      <c r="L436" s="2" t="s">
        <v>84</v>
      </c>
      <c r="M436" s="2" t="s">
        <v>60</v>
      </c>
      <c r="N436" s="2"/>
      <c r="O436" s="2" t="s">
        <v>2428</v>
      </c>
      <c r="P436" s="2"/>
      <c r="Q436" s="2" t="s">
        <v>62</v>
      </c>
      <c r="R436" s="2" t="n">
        <v>0.6</v>
      </c>
      <c r="S436" s="2" t="s">
        <v>2429</v>
      </c>
      <c r="T436" s="2" t="s">
        <v>659</v>
      </c>
      <c r="U436" s="2" t="s">
        <v>2430</v>
      </c>
      <c r="V436" s="2" t="s">
        <v>661</v>
      </c>
      <c r="W436" s="2" t="s">
        <v>2431</v>
      </c>
      <c r="X436" s="2" t="s">
        <v>1588</v>
      </c>
    </row>
    <row r="437" customFormat="false" ht="15" hidden="false" customHeight="false" outlineLevel="0" collapsed="false">
      <c r="A437" s="2" t="n">
        <v>387</v>
      </c>
      <c r="B437" s="2" t="s">
        <v>2221</v>
      </c>
      <c r="C437" s="2" t="s">
        <v>2432</v>
      </c>
      <c r="D437" s="2" t="s">
        <v>134</v>
      </c>
      <c r="E437" s="2" t="s">
        <v>2433</v>
      </c>
      <c r="F437" s="2" t="s">
        <v>2434</v>
      </c>
      <c r="G437" s="2" t="s">
        <v>2262</v>
      </c>
      <c r="H437" s="2" t="s">
        <v>655</v>
      </c>
      <c r="I437" s="2" t="s">
        <v>656</v>
      </c>
      <c r="J437" s="2" t="n">
        <v>1.15</v>
      </c>
      <c r="K437" s="2" t="n">
        <v>104.04</v>
      </c>
      <c r="L437" s="2" t="s">
        <v>84</v>
      </c>
      <c r="M437" s="2" t="s">
        <v>60</v>
      </c>
      <c r="N437" s="2"/>
      <c r="O437" s="2" t="s">
        <v>2435</v>
      </c>
      <c r="P437" s="2"/>
      <c r="Q437" s="2" t="s">
        <v>62</v>
      </c>
      <c r="R437" s="2" t="n">
        <v>0.8</v>
      </c>
      <c r="S437" s="2" t="s">
        <v>2429</v>
      </c>
      <c r="T437" s="2" t="s">
        <v>659</v>
      </c>
      <c r="U437" s="2" t="s">
        <v>2430</v>
      </c>
      <c r="V437" s="2" t="s">
        <v>661</v>
      </c>
      <c r="W437" s="2" t="s">
        <v>2431</v>
      </c>
      <c r="X437" s="2" t="s">
        <v>1588</v>
      </c>
    </row>
    <row r="438" customFormat="false" ht="15" hidden="false" customHeight="false" outlineLevel="0" collapsed="false">
      <c r="A438" s="2" t="n">
        <v>387</v>
      </c>
      <c r="B438" s="2" t="s">
        <v>2221</v>
      </c>
      <c r="C438" s="2" t="s">
        <v>2436</v>
      </c>
      <c r="D438" s="2" t="s">
        <v>53</v>
      </c>
      <c r="E438" s="2" t="s">
        <v>2437</v>
      </c>
      <c r="F438" s="2" t="s">
        <v>2316</v>
      </c>
      <c r="G438" s="2" t="s">
        <v>2262</v>
      </c>
      <c r="H438" s="2" t="s">
        <v>655</v>
      </c>
      <c r="I438" s="2" t="s">
        <v>656</v>
      </c>
      <c r="J438" s="2" t="n">
        <v>1.15</v>
      </c>
      <c r="K438" s="2" t="n">
        <v>104.04</v>
      </c>
      <c r="L438" s="2" t="s">
        <v>84</v>
      </c>
      <c r="M438" s="2" t="s">
        <v>60</v>
      </c>
      <c r="N438" s="2"/>
      <c r="O438" s="2" t="s">
        <v>2402</v>
      </c>
      <c r="P438" s="2"/>
      <c r="Q438" s="2" t="s">
        <v>62</v>
      </c>
      <c r="R438" s="2" t="n">
        <v>0.8</v>
      </c>
      <c r="S438" s="2" t="s">
        <v>2429</v>
      </c>
      <c r="T438" s="2" t="s">
        <v>659</v>
      </c>
      <c r="U438" s="2" t="s">
        <v>2430</v>
      </c>
      <c r="V438" s="2" t="s">
        <v>661</v>
      </c>
      <c r="W438" s="2" t="s">
        <v>2431</v>
      </c>
      <c r="X438" s="2" t="s">
        <v>1588</v>
      </c>
    </row>
    <row r="439" customFormat="false" ht="15" hidden="false" customHeight="false" outlineLevel="0" collapsed="false">
      <c r="A439" s="2" t="n">
        <v>387</v>
      </c>
      <c r="B439" s="2" t="s">
        <v>2221</v>
      </c>
      <c r="C439" s="2" t="s">
        <v>2438</v>
      </c>
      <c r="D439" s="2" t="s">
        <v>53</v>
      </c>
      <c r="E439" s="2" t="s">
        <v>2439</v>
      </c>
      <c r="F439" s="2" t="s">
        <v>2427</v>
      </c>
      <c r="G439" s="2" t="s">
        <v>2262</v>
      </c>
      <c r="H439" s="2" t="s">
        <v>655</v>
      </c>
      <c r="I439" s="2" t="s">
        <v>656</v>
      </c>
      <c r="J439" s="2" t="n">
        <v>1.15</v>
      </c>
      <c r="K439" s="2" t="n">
        <v>104.04</v>
      </c>
      <c r="L439" s="2" t="s">
        <v>84</v>
      </c>
      <c r="M439" s="2" t="s">
        <v>60</v>
      </c>
      <c r="N439" s="2"/>
      <c r="O439" s="2" t="s">
        <v>2440</v>
      </c>
      <c r="P439" s="2"/>
      <c r="Q439" s="2" t="s">
        <v>62</v>
      </c>
      <c r="R439" s="2" t="n">
        <v>0.8</v>
      </c>
      <c r="S439" s="2" t="s">
        <v>2429</v>
      </c>
      <c r="T439" s="2" t="s">
        <v>659</v>
      </c>
      <c r="U439" s="2" t="s">
        <v>2430</v>
      </c>
      <c r="V439" s="2" t="s">
        <v>661</v>
      </c>
      <c r="W439" s="2" t="s">
        <v>2431</v>
      </c>
      <c r="X439" s="2" t="s">
        <v>1588</v>
      </c>
    </row>
    <row r="440" customFormat="false" ht="15" hidden="false" customHeight="false" outlineLevel="0" collapsed="false">
      <c r="A440" s="2" t="n">
        <v>389</v>
      </c>
      <c r="B440" s="2" t="s">
        <v>2221</v>
      </c>
      <c r="C440" s="2" t="s">
        <v>2441</v>
      </c>
      <c r="D440" s="2" t="s">
        <v>410</v>
      </c>
      <c r="E440" s="2" t="s">
        <v>2442</v>
      </c>
      <c r="F440" s="2" t="s">
        <v>2443</v>
      </c>
      <c r="G440" s="2" t="s">
        <v>2444</v>
      </c>
      <c r="H440" s="2" t="s">
        <v>2445</v>
      </c>
      <c r="I440" s="2" t="s">
        <v>656</v>
      </c>
      <c r="J440" s="2" t="n">
        <v>1.17</v>
      </c>
      <c r="K440" s="2" t="n">
        <v>104.34</v>
      </c>
      <c r="L440" s="2" t="s">
        <v>59</v>
      </c>
      <c r="M440" s="2" t="s">
        <v>60</v>
      </c>
      <c r="N440" s="2"/>
      <c r="O440" s="2" t="s">
        <v>2446</v>
      </c>
      <c r="P440" s="2" t="s">
        <v>2447</v>
      </c>
      <c r="Q440" s="2" t="s">
        <v>62</v>
      </c>
      <c r="R440" s="2" t="n">
        <v>0.5</v>
      </c>
      <c r="S440" s="2" t="s">
        <v>2448</v>
      </c>
      <c r="T440" s="2" t="s">
        <v>2449</v>
      </c>
      <c r="U440" s="2" t="s">
        <v>2450</v>
      </c>
      <c r="V440" s="2" t="s">
        <v>2451</v>
      </c>
      <c r="W440" s="2" t="s">
        <v>1932</v>
      </c>
      <c r="X440" s="2" t="s">
        <v>1588</v>
      </c>
    </row>
    <row r="441" customFormat="false" ht="15" hidden="false" customHeight="false" outlineLevel="0" collapsed="false">
      <c r="A441" s="2" t="n">
        <v>393</v>
      </c>
      <c r="B441" s="2" t="s">
        <v>2452</v>
      </c>
      <c r="C441" s="2" t="s">
        <v>2453</v>
      </c>
      <c r="D441" s="2" t="s">
        <v>410</v>
      </c>
      <c r="E441" s="2" t="s">
        <v>2454</v>
      </c>
      <c r="F441" s="2"/>
      <c r="G441" s="2"/>
      <c r="H441" s="2" t="s">
        <v>655</v>
      </c>
      <c r="I441" s="2" t="s">
        <v>656</v>
      </c>
      <c r="J441" s="2" t="n">
        <v>1.08</v>
      </c>
      <c r="K441" s="2" t="n">
        <v>104.03</v>
      </c>
      <c r="L441" s="2" t="s">
        <v>101</v>
      </c>
      <c r="M441" s="2" t="s">
        <v>60</v>
      </c>
      <c r="N441" s="2"/>
      <c r="O441" s="2" t="s">
        <v>2455</v>
      </c>
      <c r="P441" s="2" t="s">
        <v>2456</v>
      </c>
      <c r="Q441" s="2" t="s">
        <v>62</v>
      </c>
      <c r="R441" s="2" t="n">
        <v>0.6</v>
      </c>
      <c r="S441" s="2" t="s">
        <v>2457</v>
      </c>
      <c r="T441" s="2" t="s">
        <v>803</v>
      </c>
      <c r="U441" s="2" t="s">
        <v>2458</v>
      </c>
      <c r="V441" s="2" t="s">
        <v>2459</v>
      </c>
      <c r="W441" s="2" t="s">
        <v>1793</v>
      </c>
      <c r="X441" s="2" t="s">
        <v>1588</v>
      </c>
    </row>
    <row r="442" customFormat="false" ht="15" hidden="false" customHeight="false" outlineLevel="0" collapsed="false">
      <c r="A442" s="2" t="n">
        <v>394</v>
      </c>
      <c r="B442" s="2" t="s">
        <v>2452</v>
      </c>
      <c r="C442" s="2" t="s">
        <v>2460</v>
      </c>
      <c r="D442" s="2" t="s">
        <v>410</v>
      </c>
      <c r="E442" s="2" t="s">
        <v>2461</v>
      </c>
      <c r="F442" s="2" t="s">
        <v>2462</v>
      </c>
      <c r="G442" s="2" t="s">
        <v>2463</v>
      </c>
      <c r="H442" s="2" t="s">
        <v>2464</v>
      </c>
      <c r="I442" s="2" t="s">
        <v>656</v>
      </c>
      <c r="J442" s="2" t="n">
        <v>0.927</v>
      </c>
      <c r="K442" s="2" t="n">
        <v>104.419</v>
      </c>
      <c r="L442" s="2" t="s">
        <v>59</v>
      </c>
      <c r="M442" s="2" t="s">
        <v>60</v>
      </c>
      <c r="N442" s="2"/>
      <c r="O442" s="2" t="s">
        <v>2465</v>
      </c>
      <c r="P442" s="2" t="s">
        <v>2466</v>
      </c>
      <c r="Q442" s="2" t="s">
        <v>62</v>
      </c>
      <c r="R442" s="2" t="n">
        <v>0.7</v>
      </c>
      <c r="S442" s="2" t="s">
        <v>2467</v>
      </c>
      <c r="T442" s="2" t="s">
        <v>2468</v>
      </c>
      <c r="U442" s="2" t="s">
        <v>2469</v>
      </c>
      <c r="V442" s="2" t="s">
        <v>2470</v>
      </c>
      <c r="W442" s="2" t="s">
        <v>1793</v>
      </c>
      <c r="X442" s="2" t="s">
        <v>68</v>
      </c>
    </row>
    <row r="443" customFormat="false" ht="15" hidden="false" customHeight="false" outlineLevel="0" collapsed="false">
      <c r="A443" s="2" t="n">
        <v>394</v>
      </c>
      <c r="B443" s="2" t="s">
        <v>2452</v>
      </c>
      <c r="C443" s="2" t="s">
        <v>2471</v>
      </c>
      <c r="D443" s="2" t="s">
        <v>410</v>
      </c>
      <c r="E443" s="2" t="s">
        <v>2472</v>
      </c>
      <c r="F443" s="2" t="s">
        <v>2462</v>
      </c>
      <c r="G443" s="2" t="s">
        <v>2463</v>
      </c>
      <c r="H443" s="2" t="s">
        <v>2464</v>
      </c>
      <c r="I443" s="2" t="s">
        <v>656</v>
      </c>
      <c r="J443" s="2" t="n">
        <v>0.927</v>
      </c>
      <c r="K443" s="2" t="n">
        <v>104.419</v>
      </c>
      <c r="L443" s="2" t="s">
        <v>59</v>
      </c>
      <c r="M443" s="2" t="s">
        <v>60</v>
      </c>
      <c r="N443" s="2"/>
      <c r="O443" s="2" t="s">
        <v>2473</v>
      </c>
      <c r="P443" s="2"/>
      <c r="Q443" s="2" t="s">
        <v>62</v>
      </c>
      <c r="R443" s="2" t="n">
        <v>0.5</v>
      </c>
      <c r="S443" s="2" t="s">
        <v>2467</v>
      </c>
      <c r="T443" s="2" t="s">
        <v>2468</v>
      </c>
      <c r="U443" s="2" t="s">
        <v>2469</v>
      </c>
      <c r="V443" s="2" t="s">
        <v>2470</v>
      </c>
      <c r="W443" s="2" t="s">
        <v>1793</v>
      </c>
      <c r="X443" s="2" t="s">
        <v>68</v>
      </c>
    </row>
    <row r="444" customFormat="false" ht="15" hidden="false" customHeight="false" outlineLevel="0" collapsed="false">
      <c r="A444" s="2" t="n">
        <v>394</v>
      </c>
      <c r="B444" s="2" t="s">
        <v>2452</v>
      </c>
      <c r="C444" s="2" t="s">
        <v>2474</v>
      </c>
      <c r="D444" s="2" t="s">
        <v>53</v>
      </c>
      <c r="E444" s="2" t="s">
        <v>2475</v>
      </c>
      <c r="F444" s="2"/>
      <c r="G444" s="2" t="s">
        <v>2476</v>
      </c>
      <c r="H444" s="2" t="s">
        <v>2445</v>
      </c>
      <c r="I444" s="2" t="s">
        <v>656</v>
      </c>
      <c r="J444" s="2" t="n">
        <v>0.85</v>
      </c>
      <c r="K444" s="2" t="n">
        <v>104.6</v>
      </c>
      <c r="L444" s="2" t="s">
        <v>84</v>
      </c>
      <c r="M444" s="2" t="s">
        <v>60</v>
      </c>
      <c r="N444" s="2" t="s">
        <v>2477</v>
      </c>
      <c r="O444" s="2" t="s">
        <v>2478</v>
      </c>
      <c r="P444" s="2" t="s">
        <v>2479</v>
      </c>
      <c r="Q444" s="2" t="s">
        <v>62</v>
      </c>
      <c r="R444" s="2" t="n">
        <v>0.55</v>
      </c>
      <c r="S444" s="2" t="s">
        <v>2467</v>
      </c>
      <c r="T444" s="2" t="s">
        <v>2468</v>
      </c>
      <c r="U444" s="2" t="s">
        <v>2469</v>
      </c>
      <c r="V444" s="2" t="s">
        <v>2470</v>
      </c>
      <c r="W444" s="2" t="s">
        <v>1793</v>
      </c>
      <c r="X444" s="2" t="s">
        <v>68</v>
      </c>
    </row>
    <row r="445" customFormat="false" ht="15" hidden="false" customHeight="false" outlineLevel="0" collapsed="false">
      <c r="A445" s="2" t="n">
        <v>394</v>
      </c>
      <c r="B445" s="2" t="s">
        <v>2452</v>
      </c>
      <c r="C445" s="2" t="s">
        <v>2480</v>
      </c>
      <c r="D445" s="2" t="s">
        <v>121</v>
      </c>
      <c r="E445" s="2" t="s">
        <v>2481</v>
      </c>
      <c r="F445" s="2" t="s">
        <v>2443</v>
      </c>
      <c r="G445" s="2" t="s">
        <v>2444</v>
      </c>
      <c r="H445" s="2" t="s">
        <v>2445</v>
      </c>
      <c r="I445" s="2" t="s">
        <v>656</v>
      </c>
      <c r="J445" s="2" t="n">
        <v>1.17</v>
      </c>
      <c r="K445" s="2" t="n">
        <v>104.34</v>
      </c>
      <c r="L445" s="2" t="s">
        <v>59</v>
      </c>
      <c r="M445" s="2" t="s">
        <v>60</v>
      </c>
      <c r="N445" s="2"/>
      <c r="O445" s="2" t="s">
        <v>2482</v>
      </c>
      <c r="P445" s="2" t="s">
        <v>2483</v>
      </c>
      <c r="Q445" s="2" t="s">
        <v>62</v>
      </c>
      <c r="R445" s="2" t="n">
        <v>0.6</v>
      </c>
      <c r="S445" s="2" t="s">
        <v>2467</v>
      </c>
      <c r="T445" s="2" t="s">
        <v>2468</v>
      </c>
      <c r="U445" s="2" t="s">
        <v>2469</v>
      </c>
      <c r="V445" s="2" t="s">
        <v>2470</v>
      </c>
      <c r="W445" s="2" t="s">
        <v>1793</v>
      </c>
      <c r="X445" s="2" t="s">
        <v>68</v>
      </c>
    </row>
    <row r="446" customFormat="false" ht="15" hidden="false" customHeight="false" outlineLevel="0" collapsed="false">
      <c r="A446" s="2" t="n">
        <v>395</v>
      </c>
      <c r="B446" s="2" t="s">
        <v>2452</v>
      </c>
      <c r="C446" s="2" t="s">
        <v>2480</v>
      </c>
      <c r="D446" s="2" t="s">
        <v>121</v>
      </c>
      <c r="E446" s="2" t="s">
        <v>2484</v>
      </c>
      <c r="F446" s="2" t="s">
        <v>2443</v>
      </c>
      <c r="G446" s="2" t="s">
        <v>2444</v>
      </c>
      <c r="H446" s="2" t="s">
        <v>2445</v>
      </c>
      <c r="I446" s="2" t="s">
        <v>656</v>
      </c>
      <c r="J446" s="2" t="n">
        <v>1.17</v>
      </c>
      <c r="K446" s="2" t="n">
        <v>104.34</v>
      </c>
      <c r="L446" s="2" t="s">
        <v>59</v>
      </c>
      <c r="M446" s="2" t="s">
        <v>60</v>
      </c>
      <c r="N446" s="2"/>
      <c r="O446" s="2" t="s">
        <v>2485</v>
      </c>
      <c r="P446" s="2" t="s">
        <v>2483</v>
      </c>
      <c r="Q446" s="2" t="s">
        <v>62</v>
      </c>
      <c r="R446" s="2" t="n">
        <v>0.6</v>
      </c>
      <c r="S446" s="2" t="s">
        <v>2486</v>
      </c>
      <c r="T446" s="2" t="s">
        <v>2470</v>
      </c>
      <c r="U446" s="2" t="s">
        <v>2487</v>
      </c>
      <c r="V446" s="2" t="s">
        <v>2488</v>
      </c>
      <c r="W446" s="2" t="s">
        <v>2489</v>
      </c>
      <c r="X446" s="2" t="s">
        <v>1588</v>
      </c>
    </row>
    <row r="447" customFormat="false" ht="15" hidden="false" customHeight="false" outlineLevel="0" collapsed="false">
      <c r="A447" s="2" t="n">
        <v>395</v>
      </c>
      <c r="B447" s="2" t="s">
        <v>2452</v>
      </c>
      <c r="C447" s="2" t="s">
        <v>2460</v>
      </c>
      <c r="D447" s="2" t="s">
        <v>410</v>
      </c>
      <c r="E447" s="2" t="s">
        <v>2472</v>
      </c>
      <c r="F447" s="2" t="s">
        <v>2462</v>
      </c>
      <c r="G447" s="2" t="s">
        <v>2463</v>
      </c>
      <c r="H447" s="2" t="s">
        <v>2464</v>
      </c>
      <c r="I447" s="2" t="s">
        <v>656</v>
      </c>
      <c r="J447" s="2" t="n">
        <v>0.927</v>
      </c>
      <c r="K447" s="2" t="n">
        <v>104.419</v>
      </c>
      <c r="L447" s="2" t="s">
        <v>59</v>
      </c>
      <c r="M447" s="2" t="s">
        <v>60</v>
      </c>
      <c r="N447" s="2"/>
      <c r="O447" s="2" t="s">
        <v>2490</v>
      </c>
      <c r="P447" s="2" t="s">
        <v>2466</v>
      </c>
      <c r="Q447" s="2" t="s">
        <v>62</v>
      </c>
      <c r="R447" s="2" t="n">
        <v>0.65</v>
      </c>
      <c r="S447" s="2" t="s">
        <v>2486</v>
      </c>
      <c r="T447" s="2" t="s">
        <v>2470</v>
      </c>
      <c r="U447" s="2" t="s">
        <v>2487</v>
      </c>
      <c r="V447" s="2" t="s">
        <v>2488</v>
      </c>
      <c r="W447" s="2" t="s">
        <v>2489</v>
      </c>
      <c r="X447" s="2" t="s">
        <v>1588</v>
      </c>
    </row>
    <row r="448" customFormat="false" ht="15" hidden="false" customHeight="false" outlineLevel="0" collapsed="false">
      <c r="A448" s="2" t="n">
        <v>397</v>
      </c>
      <c r="B448" s="2" t="s">
        <v>2452</v>
      </c>
      <c r="C448" s="2" t="s">
        <v>2491</v>
      </c>
      <c r="D448" s="2" t="s">
        <v>410</v>
      </c>
      <c r="E448" s="2" t="s">
        <v>2492</v>
      </c>
      <c r="F448" s="2"/>
      <c r="G448" s="2"/>
      <c r="H448" s="2" t="s">
        <v>2493</v>
      </c>
      <c r="I448" s="2" t="s">
        <v>656</v>
      </c>
      <c r="J448" s="2" t="n">
        <v>-0.2</v>
      </c>
      <c r="K448" s="2" t="n">
        <v>104.6</v>
      </c>
      <c r="L448" s="2" t="s">
        <v>101</v>
      </c>
      <c r="M448" s="2" t="s">
        <v>340</v>
      </c>
      <c r="N448" s="2"/>
      <c r="O448" s="2" t="s">
        <v>2494</v>
      </c>
      <c r="P448" s="2" t="s">
        <v>1001</v>
      </c>
      <c r="Q448" s="2" t="s">
        <v>110</v>
      </c>
      <c r="R448" s="2" t="n">
        <v>0.75</v>
      </c>
      <c r="S448" s="2" t="s">
        <v>2495</v>
      </c>
      <c r="T448" s="2" t="s">
        <v>2496</v>
      </c>
      <c r="U448" s="2" t="s">
        <v>2497</v>
      </c>
      <c r="V448" s="2" t="s">
        <v>2449</v>
      </c>
      <c r="W448" s="2" t="s">
        <v>1972</v>
      </c>
      <c r="X448" s="2" t="s">
        <v>1588</v>
      </c>
    </row>
    <row r="449" customFormat="false" ht="15" hidden="false" customHeight="false" outlineLevel="0" collapsed="false">
      <c r="A449" s="2" t="n">
        <v>397</v>
      </c>
      <c r="B449" s="2" t="s">
        <v>2452</v>
      </c>
      <c r="C449" s="2" t="s">
        <v>2498</v>
      </c>
      <c r="D449" s="2" t="s">
        <v>410</v>
      </c>
      <c r="E449" s="2" t="s">
        <v>2499</v>
      </c>
      <c r="F449" s="2"/>
      <c r="G449" s="2"/>
      <c r="H449" s="2" t="s">
        <v>2493</v>
      </c>
      <c r="I449" s="2" t="s">
        <v>656</v>
      </c>
      <c r="J449" s="2" t="n">
        <v>-0.2</v>
      </c>
      <c r="K449" s="2" t="n">
        <v>104.6</v>
      </c>
      <c r="L449" s="2" t="s">
        <v>101</v>
      </c>
      <c r="M449" s="2" t="s">
        <v>340</v>
      </c>
      <c r="N449" s="2"/>
      <c r="O449" s="2" t="s">
        <v>2500</v>
      </c>
      <c r="P449" s="2"/>
      <c r="Q449" s="2" t="s">
        <v>62</v>
      </c>
      <c r="R449" s="2" t="n">
        <v>0.6</v>
      </c>
      <c r="S449" s="2" t="s">
        <v>2495</v>
      </c>
      <c r="T449" s="2" t="s">
        <v>2496</v>
      </c>
      <c r="U449" s="2" t="s">
        <v>2497</v>
      </c>
      <c r="V449" s="2" t="s">
        <v>2449</v>
      </c>
      <c r="W449" s="2" t="s">
        <v>1972</v>
      </c>
      <c r="X449" s="2" t="s">
        <v>1588</v>
      </c>
    </row>
    <row r="450" customFormat="false" ht="15" hidden="false" customHeight="false" outlineLevel="0" collapsed="false">
      <c r="A450" s="2" t="n">
        <v>399</v>
      </c>
      <c r="B450" s="2" t="s">
        <v>2452</v>
      </c>
      <c r="C450" s="2" t="s">
        <v>2501</v>
      </c>
      <c r="D450" s="2" t="s">
        <v>410</v>
      </c>
      <c r="E450" s="2" t="s">
        <v>2445</v>
      </c>
      <c r="F450" s="2"/>
      <c r="G450" s="2"/>
      <c r="H450" s="2" t="s">
        <v>2445</v>
      </c>
      <c r="I450" s="2" t="s">
        <v>656</v>
      </c>
      <c r="J450" s="2" t="n">
        <v>1</v>
      </c>
      <c r="K450" s="2" t="n">
        <v>104.5</v>
      </c>
      <c r="L450" s="2" t="s">
        <v>101</v>
      </c>
      <c r="M450" s="2" t="s">
        <v>60</v>
      </c>
      <c r="N450" s="2"/>
      <c r="O450" s="2" t="s">
        <v>2502</v>
      </c>
      <c r="P450" s="2" t="s">
        <v>2503</v>
      </c>
      <c r="Q450" s="2" t="s">
        <v>62</v>
      </c>
      <c r="R450" s="2" t="n">
        <v>0.55</v>
      </c>
      <c r="S450" s="2" t="s">
        <v>2504</v>
      </c>
      <c r="T450" s="2" t="s">
        <v>2378</v>
      </c>
      <c r="U450" s="2" t="s">
        <v>2505</v>
      </c>
      <c r="V450" s="2" t="s">
        <v>2449</v>
      </c>
      <c r="W450" s="2" t="s">
        <v>2506</v>
      </c>
      <c r="X450" s="2" t="s">
        <v>1588</v>
      </c>
    </row>
    <row r="451" customFormat="false" ht="15" hidden="false" customHeight="false" outlineLevel="0" collapsed="false">
      <c r="A451" s="2" t="n">
        <v>399</v>
      </c>
      <c r="B451" s="2" t="s">
        <v>2452</v>
      </c>
      <c r="C451" s="2" t="s">
        <v>2507</v>
      </c>
      <c r="D451" s="2" t="s">
        <v>410</v>
      </c>
      <c r="E451" s="2" t="s">
        <v>2508</v>
      </c>
      <c r="F451" s="2"/>
      <c r="G451" s="2"/>
      <c r="H451" s="2" t="s">
        <v>2464</v>
      </c>
      <c r="I451" s="2" t="s">
        <v>656</v>
      </c>
      <c r="J451" s="2" t="n">
        <v>0.918</v>
      </c>
      <c r="K451" s="2" t="n">
        <v>104.47</v>
      </c>
      <c r="L451" s="2" t="s">
        <v>101</v>
      </c>
      <c r="M451" s="2" t="s">
        <v>60</v>
      </c>
      <c r="N451" s="2" t="s">
        <v>2509</v>
      </c>
      <c r="O451" s="2" t="s">
        <v>2510</v>
      </c>
      <c r="P451" s="2" t="s">
        <v>2511</v>
      </c>
      <c r="Q451" s="2" t="s">
        <v>62</v>
      </c>
      <c r="R451" s="2" t="n">
        <v>0.5</v>
      </c>
      <c r="S451" s="2" t="s">
        <v>2504</v>
      </c>
      <c r="T451" s="2" t="s">
        <v>2378</v>
      </c>
      <c r="U451" s="2" t="s">
        <v>2505</v>
      </c>
      <c r="V451" s="2" t="s">
        <v>2449</v>
      </c>
      <c r="W451" s="2" t="s">
        <v>2506</v>
      </c>
      <c r="X451" s="2" t="s">
        <v>1588</v>
      </c>
    </row>
    <row r="452" customFormat="false" ht="15" hidden="false" customHeight="false" outlineLevel="0" collapsed="false">
      <c r="A452" s="2" t="n">
        <v>399</v>
      </c>
      <c r="B452" s="2" t="s">
        <v>2452</v>
      </c>
      <c r="C452" s="2" t="s">
        <v>2512</v>
      </c>
      <c r="D452" s="2" t="s">
        <v>410</v>
      </c>
      <c r="E452" s="2" t="s">
        <v>2472</v>
      </c>
      <c r="F452" s="2" t="s">
        <v>2462</v>
      </c>
      <c r="G452" s="2" t="s">
        <v>2463</v>
      </c>
      <c r="H452" s="2" t="s">
        <v>2464</v>
      </c>
      <c r="I452" s="2" t="s">
        <v>656</v>
      </c>
      <c r="J452" s="2" t="n">
        <v>0.927</v>
      </c>
      <c r="K452" s="2" t="n">
        <v>104.419</v>
      </c>
      <c r="L452" s="2" t="s">
        <v>59</v>
      </c>
      <c r="M452" s="2" t="s">
        <v>60</v>
      </c>
      <c r="N452" s="2"/>
      <c r="O452" s="2" t="s">
        <v>2513</v>
      </c>
      <c r="P452" s="2" t="s">
        <v>2514</v>
      </c>
      <c r="Q452" s="2" t="s">
        <v>62</v>
      </c>
      <c r="R452" s="2" t="n">
        <v>0.6</v>
      </c>
      <c r="S452" s="2" t="s">
        <v>2504</v>
      </c>
      <c r="T452" s="2" t="s">
        <v>2378</v>
      </c>
      <c r="U452" s="2" t="s">
        <v>2505</v>
      </c>
      <c r="V452" s="2" t="s">
        <v>2449</v>
      </c>
      <c r="W452" s="2" t="s">
        <v>2506</v>
      </c>
      <c r="X452" s="2" t="s">
        <v>1588</v>
      </c>
    </row>
    <row r="453" customFormat="false" ht="15" hidden="false" customHeight="false" outlineLevel="0" collapsed="false">
      <c r="A453" s="2" t="n">
        <v>401</v>
      </c>
      <c r="B453" s="2" t="s">
        <v>2452</v>
      </c>
      <c r="C453" s="2" t="s">
        <v>2515</v>
      </c>
      <c r="D453" s="2" t="s">
        <v>351</v>
      </c>
      <c r="E453" s="2" t="s">
        <v>2516</v>
      </c>
      <c r="F453" s="2" t="s">
        <v>653</v>
      </c>
      <c r="G453" s="2" t="s">
        <v>654</v>
      </c>
      <c r="H453" s="2" t="s">
        <v>655</v>
      </c>
      <c r="I453" s="2" t="s">
        <v>656</v>
      </c>
      <c r="J453" s="2" t="n">
        <v>1.135</v>
      </c>
      <c r="K453" s="2" t="n">
        <v>104.055</v>
      </c>
      <c r="L453" s="2" t="s">
        <v>84</v>
      </c>
      <c r="M453" s="2" t="s">
        <v>60</v>
      </c>
      <c r="N453" s="2"/>
      <c r="O453" s="2" t="s">
        <v>2517</v>
      </c>
      <c r="P453" s="2"/>
      <c r="Q453" s="2" t="s">
        <v>110</v>
      </c>
      <c r="R453" s="2" t="n">
        <v>0.45</v>
      </c>
      <c r="S453" s="2" t="s">
        <v>2518</v>
      </c>
      <c r="T453" s="2" t="s">
        <v>2496</v>
      </c>
      <c r="U453" s="2" t="s">
        <v>2519</v>
      </c>
      <c r="V453" s="2" t="s">
        <v>2520</v>
      </c>
      <c r="W453" s="2" t="s">
        <v>262</v>
      </c>
      <c r="X453" s="2" t="s">
        <v>1588</v>
      </c>
    </row>
    <row r="454" customFormat="false" ht="15" hidden="false" customHeight="false" outlineLevel="0" collapsed="false">
      <c r="A454" s="2" t="n">
        <v>402</v>
      </c>
      <c r="B454" s="2" t="s">
        <v>2452</v>
      </c>
      <c r="C454" s="2" t="s">
        <v>2521</v>
      </c>
      <c r="D454" s="2" t="s">
        <v>1130</v>
      </c>
      <c r="E454" s="2" t="s">
        <v>2522</v>
      </c>
      <c r="F454" s="2" t="s">
        <v>2462</v>
      </c>
      <c r="G454" s="2" t="s">
        <v>2463</v>
      </c>
      <c r="H454" s="2" t="s">
        <v>2464</v>
      </c>
      <c r="I454" s="2" t="s">
        <v>656</v>
      </c>
      <c r="J454" s="2" t="n">
        <v>0.927</v>
      </c>
      <c r="K454" s="2" t="n">
        <v>104.419</v>
      </c>
      <c r="L454" s="2" t="s">
        <v>59</v>
      </c>
      <c r="M454" s="2" t="s">
        <v>60</v>
      </c>
      <c r="N454" s="2"/>
      <c r="O454" s="2" t="s">
        <v>2523</v>
      </c>
      <c r="P454" s="2" t="s">
        <v>2524</v>
      </c>
      <c r="Q454" s="2" t="s">
        <v>62</v>
      </c>
      <c r="R454" s="2" t="n">
        <v>0.8</v>
      </c>
      <c r="S454" s="2" t="s">
        <v>2525</v>
      </c>
      <c r="T454" s="2" t="s">
        <v>2520</v>
      </c>
      <c r="U454" s="2" t="s">
        <v>2526</v>
      </c>
      <c r="V454" s="2" t="s">
        <v>2449</v>
      </c>
      <c r="W454" s="2" t="s">
        <v>262</v>
      </c>
      <c r="X454" s="2" t="s">
        <v>68</v>
      </c>
    </row>
    <row r="455" customFormat="false" ht="15" hidden="false" customHeight="false" outlineLevel="0" collapsed="false">
      <c r="A455" s="2" t="n">
        <v>403</v>
      </c>
      <c r="B455" s="2" t="s">
        <v>2452</v>
      </c>
      <c r="C455" s="2" t="s">
        <v>2521</v>
      </c>
      <c r="D455" s="2" t="s">
        <v>1130</v>
      </c>
      <c r="E455" s="2" t="s">
        <v>2527</v>
      </c>
      <c r="F455" s="2" t="s">
        <v>2462</v>
      </c>
      <c r="G455" s="2" t="s">
        <v>2463</v>
      </c>
      <c r="H455" s="2" t="s">
        <v>2464</v>
      </c>
      <c r="I455" s="2" t="s">
        <v>656</v>
      </c>
      <c r="J455" s="2" t="n">
        <v>0.927</v>
      </c>
      <c r="K455" s="2" t="n">
        <v>104.419</v>
      </c>
      <c r="L455" s="2" t="s">
        <v>59</v>
      </c>
      <c r="M455" s="2" t="s">
        <v>60</v>
      </c>
      <c r="N455" s="2"/>
      <c r="O455" s="2" t="s">
        <v>2528</v>
      </c>
      <c r="P455" s="2" t="s">
        <v>567</v>
      </c>
      <c r="Q455" s="2" t="s">
        <v>62</v>
      </c>
      <c r="R455" s="2" t="n">
        <v>0.8</v>
      </c>
      <c r="S455" s="2" t="s">
        <v>2529</v>
      </c>
      <c r="T455" s="2" t="s">
        <v>2449</v>
      </c>
      <c r="U455" s="2" t="s">
        <v>2530</v>
      </c>
      <c r="V455" s="2" t="s">
        <v>2488</v>
      </c>
      <c r="W455" s="2" t="s">
        <v>262</v>
      </c>
      <c r="X455" s="2" t="s">
        <v>68</v>
      </c>
    </row>
    <row r="456" customFormat="false" ht="15" hidden="false" customHeight="false" outlineLevel="0" collapsed="false">
      <c r="A456" s="2" t="n">
        <v>404</v>
      </c>
      <c r="B456" s="2" t="s">
        <v>2452</v>
      </c>
      <c r="C456" s="2" t="s">
        <v>2521</v>
      </c>
      <c r="D456" s="2" t="s">
        <v>1130</v>
      </c>
      <c r="E456" s="2" t="s">
        <v>2472</v>
      </c>
      <c r="F456" s="2" t="s">
        <v>2462</v>
      </c>
      <c r="G456" s="2" t="s">
        <v>2463</v>
      </c>
      <c r="H456" s="2" t="s">
        <v>2464</v>
      </c>
      <c r="I456" s="2" t="s">
        <v>656</v>
      </c>
      <c r="J456" s="2" t="n">
        <v>0.927</v>
      </c>
      <c r="K456" s="2" t="n">
        <v>104.419</v>
      </c>
      <c r="L456" s="2" t="s">
        <v>59</v>
      </c>
      <c r="M456" s="2" t="s">
        <v>60</v>
      </c>
      <c r="N456" s="2"/>
      <c r="O456" s="2" t="s">
        <v>2531</v>
      </c>
      <c r="P456" s="2" t="s">
        <v>567</v>
      </c>
      <c r="Q456" s="2" t="s">
        <v>62</v>
      </c>
      <c r="R456" s="2" t="n">
        <v>0.8</v>
      </c>
      <c r="S456" s="2" t="s">
        <v>2532</v>
      </c>
      <c r="T456" s="2" t="s">
        <v>2533</v>
      </c>
      <c r="U456" s="2" t="s">
        <v>2534</v>
      </c>
      <c r="V456" s="2" t="s">
        <v>2535</v>
      </c>
      <c r="W456" s="2" t="s">
        <v>262</v>
      </c>
      <c r="X456" s="2" t="s">
        <v>68</v>
      </c>
    </row>
    <row r="457" customFormat="false" ht="15" hidden="false" customHeight="false" outlineLevel="0" collapsed="false">
      <c r="A457" s="2" t="n">
        <v>405</v>
      </c>
      <c r="B457" s="2" t="s">
        <v>2452</v>
      </c>
      <c r="C457" s="2" t="s">
        <v>2521</v>
      </c>
      <c r="D457" s="2" t="s">
        <v>1130</v>
      </c>
      <c r="E457" s="2" t="s">
        <v>2536</v>
      </c>
      <c r="F457" s="2" t="s">
        <v>2462</v>
      </c>
      <c r="G457" s="2" t="s">
        <v>2463</v>
      </c>
      <c r="H457" s="2" t="s">
        <v>2464</v>
      </c>
      <c r="I457" s="2" t="s">
        <v>656</v>
      </c>
      <c r="J457" s="2" t="n">
        <v>0.927</v>
      </c>
      <c r="K457" s="2" t="n">
        <v>104.419</v>
      </c>
      <c r="L457" s="2" t="s">
        <v>59</v>
      </c>
      <c r="M457" s="2" t="s">
        <v>60</v>
      </c>
      <c r="N457" s="2"/>
      <c r="O457" s="2" t="s">
        <v>2537</v>
      </c>
      <c r="P457" s="2" t="s">
        <v>567</v>
      </c>
      <c r="Q457" s="2" t="s">
        <v>62</v>
      </c>
      <c r="R457" s="2" t="n">
        <v>0.8</v>
      </c>
      <c r="S457" s="2" t="s">
        <v>2538</v>
      </c>
      <c r="T457" s="2" t="s">
        <v>2539</v>
      </c>
      <c r="U457" s="2" t="s">
        <v>2540</v>
      </c>
      <c r="V457" s="2" t="s">
        <v>2378</v>
      </c>
      <c r="W457" s="2" t="s">
        <v>421</v>
      </c>
      <c r="X457" s="2" t="s">
        <v>1588</v>
      </c>
    </row>
    <row r="458" customFormat="false" ht="15" hidden="false" customHeight="false" outlineLevel="0" collapsed="false">
      <c r="A458" s="2" t="n">
        <v>407</v>
      </c>
      <c r="B458" s="2" t="s">
        <v>2452</v>
      </c>
      <c r="C458" s="2" t="s">
        <v>2521</v>
      </c>
      <c r="D458" s="2" t="s">
        <v>1130</v>
      </c>
      <c r="E458" s="2" t="s">
        <v>2472</v>
      </c>
      <c r="F458" s="2" t="s">
        <v>2462</v>
      </c>
      <c r="G458" s="2" t="s">
        <v>2463</v>
      </c>
      <c r="H458" s="2" t="s">
        <v>2464</v>
      </c>
      <c r="I458" s="2" t="s">
        <v>656</v>
      </c>
      <c r="J458" s="2" t="n">
        <v>0.927</v>
      </c>
      <c r="K458" s="2" t="n">
        <v>104.419</v>
      </c>
      <c r="L458" s="2" t="s">
        <v>59</v>
      </c>
      <c r="M458" s="2" t="s">
        <v>60</v>
      </c>
      <c r="N458" s="2"/>
      <c r="O458" s="2" t="s">
        <v>2541</v>
      </c>
      <c r="P458" s="2" t="s">
        <v>2542</v>
      </c>
      <c r="Q458" s="2" t="s">
        <v>62</v>
      </c>
      <c r="R458" s="2" t="n">
        <v>0.75</v>
      </c>
      <c r="S458" s="2" t="s">
        <v>2543</v>
      </c>
      <c r="T458" s="2" t="s">
        <v>743</v>
      </c>
      <c r="U458" s="2" t="s">
        <v>2544</v>
      </c>
      <c r="V458" s="2" t="s">
        <v>2535</v>
      </c>
      <c r="W458" s="2" t="s">
        <v>262</v>
      </c>
      <c r="X458" s="2" t="s">
        <v>68</v>
      </c>
    </row>
    <row r="459" customFormat="false" ht="15" hidden="false" customHeight="false" outlineLevel="0" collapsed="false">
      <c r="A459" s="2" t="n">
        <v>408</v>
      </c>
      <c r="B459" s="2" t="s">
        <v>2452</v>
      </c>
      <c r="C459" s="2" t="s">
        <v>2521</v>
      </c>
      <c r="D459" s="2" t="s">
        <v>1130</v>
      </c>
      <c r="E459" s="2" t="s">
        <v>2472</v>
      </c>
      <c r="F459" s="2" t="s">
        <v>2462</v>
      </c>
      <c r="G459" s="2" t="s">
        <v>2463</v>
      </c>
      <c r="H459" s="2" t="s">
        <v>2464</v>
      </c>
      <c r="I459" s="2" t="s">
        <v>656</v>
      </c>
      <c r="J459" s="2" t="n">
        <v>0.927</v>
      </c>
      <c r="K459" s="2" t="n">
        <v>104.419</v>
      </c>
      <c r="L459" s="2" t="s">
        <v>59</v>
      </c>
      <c r="M459" s="2" t="s">
        <v>60</v>
      </c>
      <c r="N459" s="2"/>
      <c r="O459" s="2" t="s">
        <v>2545</v>
      </c>
      <c r="P459" s="2" t="s">
        <v>567</v>
      </c>
      <c r="Q459" s="2" t="s">
        <v>62</v>
      </c>
      <c r="R459" s="2" t="n">
        <v>0.8</v>
      </c>
      <c r="S459" s="2" t="s">
        <v>2546</v>
      </c>
      <c r="T459" s="2" t="s">
        <v>2539</v>
      </c>
      <c r="U459" s="2" t="s">
        <v>2547</v>
      </c>
      <c r="V459" s="2" t="s">
        <v>2449</v>
      </c>
      <c r="W459" s="2" t="s">
        <v>1365</v>
      </c>
      <c r="X459" s="2" t="s">
        <v>68</v>
      </c>
    </row>
    <row r="460" customFormat="false" ht="15" hidden="false" customHeight="false" outlineLevel="0" collapsed="false">
      <c r="A460" s="2" t="n">
        <v>409</v>
      </c>
      <c r="B460" s="2" t="s">
        <v>2452</v>
      </c>
      <c r="C460" s="2" t="s">
        <v>2521</v>
      </c>
      <c r="D460" s="2" t="s">
        <v>1130</v>
      </c>
      <c r="E460" s="2" t="s">
        <v>2472</v>
      </c>
      <c r="F460" s="2" t="s">
        <v>2462</v>
      </c>
      <c r="G460" s="2" t="s">
        <v>2463</v>
      </c>
      <c r="H460" s="2" t="s">
        <v>2464</v>
      </c>
      <c r="I460" s="2" t="s">
        <v>656</v>
      </c>
      <c r="J460" s="2" t="n">
        <v>0.927</v>
      </c>
      <c r="K460" s="2" t="n">
        <v>104.419</v>
      </c>
      <c r="L460" s="2" t="s">
        <v>59</v>
      </c>
      <c r="M460" s="2" t="s">
        <v>60</v>
      </c>
      <c r="N460" s="2"/>
      <c r="O460" s="2" t="s">
        <v>2548</v>
      </c>
      <c r="P460" s="2"/>
      <c r="Q460" s="2" t="s">
        <v>62</v>
      </c>
      <c r="R460" s="2" t="n">
        <v>0.75</v>
      </c>
      <c r="S460" s="2" t="s">
        <v>2549</v>
      </c>
      <c r="T460" s="2" t="s">
        <v>2449</v>
      </c>
      <c r="U460" s="2" t="s">
        <v>2550</v>
      </c>
      <c r="V460" s="2" t="s">
        <v>2535</v>
      </c>
      <c r="W460" s="2" t="s">
        <v>421</v>
      </c>
      <c r="X460" s="2" t="s">
        <v>68</v>
      </c>
    </row>
    <row r="461" customFormat="false" ht="15" hidden="false" customHeight="false" outlineLevel="0" collapsed="false">
      <c r="A461" s="2" t="n">
        <v>410</v>
      </c>
      <c r="B461" s="2" t="s">
        <v>2452</v>
      </c>
      <c r="C461" s="2" t="s">
        <v>2551</v>
      </c>
      <c r="D461" s="2" t="s">
        <v>410</v>
      </c>
      <c r="E461" s="2" t="s">
        <v>2472</v>
      </c>
      <c r="F461" s="2" t="s">
        <v>2462</v>
      </c>
      <c r="G461" s="2" t="s">
        <v>2463</v>
      </c>
      <c r="H461" s="2" t="s">
        <v>2464</v>
      </c>
      <c r="I461" s="2" t="s">
        <v>656</v>
      </c>
      <c r="J461" s="2" t="n">
        <v>0.927</v>
      </c>
      <c r="K461" s="2" t="n">
        <v>104.419</v>
      </c>
      <c r="L461" s="2" t="s">
        <v>59</v>
      </c>
      <c r="M461" s="2" t="s">
        <v>60</v>
      </c>
      <c r="N461" s="2"/>
      <c r="O461" s="2" t="s">
        <v>2552</v>
      </c>
      <c r="P461" s="2" t="s">
        <v>2553</v>
      </c>
      <c r="Q461" s="2" t="s">
        <v>62</v>
      </c>
      <c r="R461" s="2" t="n">
        <v>0.6</v>
      </c>
      <c r="S461" s="2" t="s">
        <v>2554</v>
      </c>
      <c r="T461" s="2" t="s">
        <v>2539</v>
      </c>
      <c r="U461" s="2" t="s">
        <v>2555</v>
      </c>
      <c r="V461" s="2" t="s">
        <v>2459</v>
      </c>
      <c r="W461" s="2" t="s">
        <v>1875</v>
      </c>
      <c r="X461" s="2" t="s">
        <v>68</v>
      </c>
    </row>
    <row r="462" customFormat="false" ht="15" hidden="false" customHeight="false" outlineLevel="0" collapsed="false">
      <c r="A462" s="2" t="n">
        <v>411</v>
      </c>
      <c r="B462" s="2" t="s">
        <v>2452</v>
      </c>
      <c r="C462" s="2" t="s">
        <v>2556</v>
      </c>
      <c r="D462" s="2" t="s">
        <v>1130</v>
      </c>
      <c r="E462" s="2" t="s">
        <v>2522</v>
      </c>
      <c r="F462" s="2" t="s">
        <v>2462</v>
      </c>
      <c r="G462" s="2" t="s">
        <v>2463</v>
      </c>
      <c r="H462" s="2" t="s">
        <v>2464</v>
      </c>
      <c r="I462" s="2" t="s">
        <v>656</v>
      </c>
      <c r="J462" s="2" t="n">
        <v>0.927</v>
      </c>
      <c r="K462" s="2" t="n">
        <v>104.419</v>
      </c>
      <c r="L462" s="2" t="s">
        <v>59</v>
      </c>
      <c r="M462" s="2" t="s">
        <v>60</v>
      </c>
      <c r="N462" s="2"/>
      <c r="O462" s="2" t="s">
        <v>2557</v>
      </c>
      <c r="P462" s="2" t="s">
        <v>2558</v>
      </c>
      <c r="Q462" s="2" t="s">
        <v>62</v>
      </c>
      <c r="R462" s="2" t="n">
        <v>0.75</v>
      </c>
      <c r="S462" s="2" t="s">
        <v>2559</v>
      </c>
      <c r="T462" s="2" t="s">
        <v>2468</v>
      </c>
      <c r="U462" s="2" t="s">
        <v>2560</v>
      </c>
      <c r="V462" s="2" t="s">
        <v>2561</v>
      </c>
      <c r="W462" s="2" t="s">
        <v>647</v>
      </c>
      <c r="X462" s="2" t="s">
        <v>1588</v>
      </c>
    </row>
    <row r="463" customFormat="false" ht="15" hidden="false" customHeight="false" outlineLevel="0" collapsed="false">
      <c r="A463" s="2" t="n">
        <v>412</v>
      </c>
      <c r="B463" s="2" t="s">
        <v>2452</v>
      </c>
      <c r="C463" s="2" t="s">
        <v>2562</v>
      </c>
      <c r="D463" s="2" t="s">
        <v>351</v>
      </c>
      <c r="E463" s="2" t="s">
        <v>2080</v>
      </c>
      <c r="F463" s="2" t="s">
        <v>653</v>
      </c>
      <c r="G463" s="2" t="s">
        <v>654</v>
      </c>
      <c r="H463" s="2" t="s">
        <v>655</v>
      </c>
      <c r="I463" s="2" t="s">
        <v>656</v>
      </c>
      <c r="J463" s="2" t="n">
        <v>1.135</v>
      </c>
      <c r="K463" s="2" t="n">
        <v>104.055</v>
      </c>
      <c r="L463" s="2" t="s">
        <v>84</v>
      </c>
      <c r="M463" s="2" t="s">
        <v>60</v>
      </c>
      <c r="N463" s="2"/>
      <c r="O463" s="2" t="s">
        <v>2563</v>
      </c>
      <c r="P463" s="2" t="s">
        <v>2564</v>
      </c>
      <c r="Q463" s="2" t="s">
        <v>110</v>
      </c>
      <c r="R463" s="2" t="n">
        <v>0.5</v>
      </c>
      <c r="S463" s="2" t="s">
        <v>2565</v>
      </c>
      <c r="T463" s="2" t="s">
        <v>2561</v>
      </c>
      <c r="U463" s="2" t="s">
        <v>2566</v>
      </c>
      <c r="V463" s="2" t="s">
        <v>2567</v>
      </c>
      <c r="W463" s="2" t="s">
        <v>1648</v>
      </c>
      <c r="X463" s="2" t="s">
        <v>1588</v>
      </c>
    </row>
    <row r="464" customFormat="false" ht="15" hidden="false" customHeight="false" outlineLevel="0" collapsed="false">
      <c r="A464" s="2" t="n">
        <v>413</v>
      </c>
      <c r="B464" s="2" t="s">
        <v>2452</v>
      </c>
      <c r="C464" s="2" t="s">
        <v>2521</v>
      </c>
      <c r="D464" s="2" t="s">
        <v>1130</v>
      </c>
      <c r="E464" s="2" t="s">
        <v>2472</v>
      </c>
      <c r="F464" s="2" t="s">
        <v>2462</v>
      </c>
      <c r="G464" s="2" t="s">
        <v>2463</v>
      </c>
      <c r="H464" s="2" t="s">
        <v>2464</v>
      </c>
      <c r="I464" s="2" t="s">
        <v>656</v>
      </c>
      <c r="J464" s="2" t="n">
        <v>0.927</v>
      </c>
      <c r="K464" s="2" t="n">
        <v>104.419</v>
      </c>
      <c r="L464" s="2" t="s">
        <v>59</v>
      </c>
      <c r="M464" s="2" t="s">
        <v>60</v>
      </c>
      <c r="N464" s="2"/>
      <c r="O464" s="2" t="s">
        <v>2568</v>
      </c>
      <c r="P464" s="2" t="s">
        <v>567</v>
      </c>
      <c r="Q464" s="2" t="s">
        <v>62</v>
      </c>
      <c r="R464" s="2" t="n">
        <v>0.8</v>
      </c>
      <c r="S464" s="2" t="s">
        <v>2569</v>
      </c>
      <c r="T464" s="2" t="s">
        <v>2570</v>
      </c>
      <c r="U464" s="2" t="s">
        <v>2571</v>
      </c>
      <c r="V464" s="2" t="s">
        <v>745</v>
      </c>
      <c r="W464" s="2" t="s">
        <v>159</v>
      </c>
      <c r="X464" s="2" t="s">
        <v>507</v>
      </c>
    </row>
    <row r="465" customFormat="false" ht="15" hidden="false" customHeight="false" outlineLevel="0" collapsed="false">
      <c r="A465" s="2" t="n">
        <v>418</v>
      </c>
      <c r="B465" s="2" t="s">
        <v>2452</v>
      </c>
      <c r="C465" s="2" t="s">
        <v>2572</v>
      </c>
      <c r="D465" s="2" t="s">
        <v>1140</v>
      </c>
      <c r="E465" s="2" t="s">
        <v>2573</v>
      </c>
      <c r="F465" s="2" t="s">
        <v>2434</v>
      </c>
      <c r="G465" s="2" t="s">
        <v>2262</v>
      </c>
      <c r="H465" s="2" t="s">
        <v>655</v>
      </c>
      <c r="I465" s="2" t="s">
        <v>656</v>
      </c>
      <c r="J465" s="2" t="n">
        <v>1.15</v>
      </c>
      <c r="K465" s="2" t="n">
        <v>104.04</v>
      </c>
      <c r="L465" s="2" t="s">
        <v>84</v>
      </c>
      <c r="M465" s="2" t="s">
        <v>60</v>
      </c>
      <c r="N465" s="2"/>
      <c r="O465" s="2" t="s">
        <v>2574</v>
      </c>
      <c r="P465" s="2"/>
      <c r="Q465" s="2" t="s">
        <v>62</v>
      </c>
      <c r="R465" s="2" t="n">
        <v>0.85</v>
      </c>
      <c r="S465" s="2" t="s">
        <v>2575</v>
      </c>
      <c r="T465" s="2" t="s">
        <v>243</v>
      </c>
      <c r="U465" s="2" t="s">
        <v>2576</v>
      </c>
      <c r="V465" s="2" t="s">
        <v>2577</v>
      </c>
      <c r="W465" s="2" t="s">
        <v>421</v>
      </c>
      <c r="X465" s="2" t="s">
        <v>507</v>
      </c>
    </row>
    <row r="466" customFormat="false" ht="15" hidden="false" customHeight="false" outlineLevel="0" collapsed="false">
      <c r="A466" s="2" t="n">
        <v>418</v>
      </c>
      <c r="B466" s="2" t="s">
        <v>2452</v>
      </c>
      <c r="C466" s="2" t="s">
        <v>2578</v>
      </c>
      <c r="D466" s="2" t="s">
        <v>410</v>
      </c>
      <c r="E466" s="2" t="s">
        <v>2080</v>
      </c>
      <c r="F466" s="2"/>
      <c r="G466" s="2"/>
      <c r="H466" s="2" t="s">
        <v>655</v>
      </c>
      <c r="I466" s="2" t="s">
        <v>656</v>
      </c>
      <c r="J466" s="2" t="n">
        <v>1.08</v>
      </c>
      <c r="K466" s="2" t="n">
        <v>104.03</v>
      </c>
      <c r="L466" s="2" t="s">
        <v>101</v>
      </c>
      <c r="M466" s="2" t="s">
        <v>60</v>
      </c>
      <c r="N466" s="2" t="s">
        <v>2579</v>
      </c>
      <c r="O466" s="2" t="s">
        <v>2580</v>
      </c>
      <c r="P466" s="2"/>
      <c r="Q466" s="2" t="s">
        <v>62</v>
      </c>
      <c r="R466" s="2" t="n">
        <v>0.8</v>
      </c>
      <c r="S466" s="2" t="s">
        <v>2575</v>
      </c>
      <c r="T466" s="2" t="s">
        <v>243</v>
      </c>
      <c r="U466" s="2" t="s">
        <v>2576</v>
      </c>
      <c r="V466" s="2" t="s">
        <v>2577</v>
      </c>
      <c r="W466" s="2" t="s">
        <v>421</v>
      </c>
      <c r="X466" s="2" t="s">
        <v>507</v>
      </c>
    </row>
    <row r="467" customFormat="false" ht="15" hidden="false" customHeight="false" outlineLevel="0" collapsed="false">
      <c r="A467" s="2" t="n">
        <v>420</v>
      </c>
      <c r="B467" s="2" t="s">
        <v>2581</v>
      </c>
      <c r="C467" s="2" t="s">
        <v>2582</v>
      </c>
      <c r="D467" s="2" t="s">
        <v>121</v>
      </c>
      <c r="E467" s="2" t="s">
        <v>2583</v>
      </c>
      <c r="F467" s="2"/>
      <c r="G467" s="2"/>
      <c r="H467" s="2" t="s">
        <v>2464</v>
      </c>
      <c r="I467" s="2" t="s">
        <v>656</v>
      </c>
      <c r="J467" s="2" t="n">
        <v>0.918</v>
      </c>
      <c r="K467" s="2" t="n">
        <v>104.47</v>
      </c>
      <c r="L467" s="2" t="s">
        <v>101</v>
      </c>
      <c r="M467" s="2" t="s">
        <v>60</v>
      </c>
      <c r="N467" s="2" t="s">
        <v>2584</v>
      </c>
      <c r="O467" s="2" t="s">
        <v>2585</v>
      </c>
      <c r="P467" s="2" t="s">
        <v>2586</v>
      </c>
      <c r="Q467" s="2" t="s">
        <v>62</v>
      </c>
      <c r="R467" s="2" t="n">
        <v>0.7</v>
      </c>
      <c r="S467" s="2" t="s">
        <v>2587</v>
      </c>
      <c r="T467" s="2" t="s">
        <v>2496</v>
      </c>
      <c r="U467" s="2" t="s">
        <v>2588</v>
      </c>
      <c r="V467" s="2" t="s">
        <v>2195</v>
      </c>
      <c r="W467" s="2" t="s">
        <v>344</v>
      </c>
      <c r="X467" s="2" t="s">
        <v>1588</v>
      </c>
    </row>
    <row r="468" customFormat="false" ht="15" hidden="false" customHeight="false" outlineLevel="0" collapsed="false">
      <c r="A468" s="2" t="n">
        <v>422</v>
      </c>
      <c r="B468" s="2" t="s">
        <v>2581</v>
      </c>
      <c r="C468" s="2" t="s">
        <v>2589</v>
      </c>
      <c r="D468" s="2" t="s">
        <v>351</v>
      </c>
      <c r="E468" s="2" t="s">
        <v>2080</v>
      </c>
      <c r="F468" s="2"/>
      <c r="G468" s="2"/>
      <c r="H468" s="2" t="s">
        <v>655</v>
      </c>
      <c r="I468" s="2" t="s">
        <v>656</v>
      </c>
      <c r="J468" s="2" t="n">
        <v>1.08</v>
      </c>
      <c r="K468" s="2" t="n">
        <v>104.03</v>
      </c>
      <c r="L468" s="2" t="s">
        <v>101</v>
      </c>
      <c r="M468" s="2" t="s">
        <v>60</v>
      </c>
      <c r="N468" s="2"/>
      <c r="O468" s="2" t="s">
        <v>2590</v>
      </c>
      <c r="P468" s="2"/>
      <c r="Q468" s="2" t="s">
        <v>110</v>
      </c>
      <c r="R468" s="2" t="n">
        <v>0.45</v>
      </c>
      <c r="S468" s="2" t="s">
        <v>2591</v>
      </c>
      <c r="T468" s="2" t="s">
        <v>2592</v>
      </c>
      <c r="U468" s="2" t="s">
        <v>2593</v>
      </c>
      <c r="V468" s="2" t="s">
        <v>2567</v>
      </c>
      <c r="W468" s="2" t="s">
        <v>2594</v>
      </c>
      <c r="X468" s="2" t="s">
        <v>507</v>
      </c>
    </row>
    <row r="469" customFormat="false" ht="15" hidden="false" customHeight="false" outlineLevel="0" collapsed="false">
      <c r="A469" s="2" t="n">
        <v>423</v>
      </c>
      <c r="B469" s="2" t="s">
        <v>2581</v>
      </c>
      <c r="C469" s="2" t="s">
        <v>2595</v>
      </c>
      <c r="D469" s="2" t="s">
        <v>410</v>
      </c>
      <c r="E469" s="2" t="s">
        <v>2596</v>
      </c>
      <c r="F469" s="2"/>
      <c r="G469" s="2" t="s">
        <v>2463</v>
      </c>
      <c r="H469" s="2" t="s">
        <v>2464</v>
      </c>
      <c r="I469" s="2" t="s">
        <v>656</v>
      </c>
      <c r="J469" s="2" t="n">
        <v>0.92</v>
      </c>
      <c r="K469" s="2" t="n">
        <v>104.45</v>
      </c>
      <c r="L469" s="2" t="s">
        <v>84</v>
      </c>
      <c r="M469" s="2" t="s">
        <v>60</v>
      </c>
      <c r="N469" s="2"/>
      <c r="O469" s="2" t="s">
        <v>2597</v>
      </c>
      <c r="P469" s="2" t="s">
        <v>2598</v>
      </c>
      <c r="Q469" s="2" t="s">
        <v>62</v>
      </c>
      <c r="R469" s="2" t="n">
        <v>0.55</v>
      </c>
      <c r="S469" s="2" t="s">
        <v>2599</v>
      </c>
      <c r="T469" s="2" t="s">
        <v>2496</v>
      </c>
      <c r="U469" s="2" t="s">
        <v>2600</v>
      </c>
      <c r="V469" s="2" t="s">
        <v>2601</v>
      </c>
      <c r="W469" s="2" t="s">
        <v>1266</v>
      </c>
      <c r="X469" s="2" t="s">
        <v>68</v>
      </c>
    </row>
    <row r="470" customFormat="false" ht="15" hidden="false" customHeight="false" outlineLevel="0" collapsed="false">
      <c r="A470" s="2" t="n">
        <v>424</v>
      </c>
      <c r="B470" s="2" t="s">
        <v>2581</v>
      </c>
      <c r="C470" s="2" t="s">
        <v>2602</v>
      </c>
      <c r="D470" s="2" t="s">
        <v>121</v>
      </c>
      <c r="E470" s="2" t="s">
        <v>2603</v>
      </c>
      <c r="F470" s="2"/>
      <c r="G470" s="2" t="s">
        <v>2463</v>
      </c>
      <c r="H470" s="2" t="s">
        <v>2464</v>
      </c>
      <c r="I470" s="2" t="s">
        <v>656</v>
      </c>
      <c r="J470" s="2" t="n">
        <v>0.92</v>
      </c>
      <c r="K470" s="2" t="n">
        <v>104.45</v>
      </c>
      <c r="L470" s="2" t="s">
        <v>84</v>
      </c>
      <c r="M470" s="2" t="s">
        <v>60</v>
      </c>
      <c r="N470" s="2" t="s">
        <v>2604</v>
      </c>
      <c r="O470" s="2" t="s">
        <v>2605</v>
      </c>
      <c r="P470" s="2" t="s">
        <v>2606</v>
      </c>
      <c r="Q470" s="2" t="s">
        <v>62</v>
      </c>
      <c r="R470" s="2" t="n">
        <v>0.75</v>
      </c>
      <c r="S470" s="2" t="s">
        <v>2607</v>
      </c>
      <c r="T470" s="2" t="s">
        <v>2601</v>
      </c>
      <c r="U470" s="2" t="s">
        <v>2608</v>
      </c>
      <c r="V470" s="2" t="s">
        <v>2520</v>
      </c>
      <c r="W470" s="2" t="s">
        <v>795</v>
      </c>
      <c r="X470" s="2" t="s">
        <v>1588</v>
      </c>
    </row>
    <row r="471" customFormat="false" ht="15" hidden="false" customHeight="false" outlineLevel="0" collapsed="false">
      <c r="A471" s="2" t="n">
        <v>426</v>
      </c>
      <c r="B471" s="2" t="s">
        <v>2581</v>
      </c>
      <c r="C471" s="2" t="s">
        <v>2602</v>
      </c>
      <c r="D471" s="2" t="s">
        <v>121</v>
      </c>
      <c r="E471" s="2" t="s">
        <v>2609</v>
      </c>
      <c r="F471" s="2"/>
      <c r="G471" s="2" t="s">
        <v>2463</v>
      </c>
      <c r="H471" s="2" t="s">
        <v>2464</v>
      </c>
      <c r="I471" s="2" t="s">
        <v>656</v>
      </c>
      <c r="J471" s="2" t="n">
        <v>0.92</v>
      </c>
      <c r="K471" s="2" t="n">
        <v>104.45</v>
      </c>
      <c r="L471" s="2" t="s">
        <v>84</v>
      </c>
      <c r="M471" s="2" t="s">
        <v>60</v>
      </c>
      <c r="N471" s="2" t="s">
        <v>2604</v>
      </c>
      <c r="O471" s="2" t="s">
        <v>2610</v>
      </c>
      <c r="P471" s="2" t="s">
        <v>2606</v>
      </c>
      <c r="Q471" s="2" t="s">
        <v>62</v>
      </c>
      <c r="R471" s="2" t="n">
        <v>0.75</v>
      </c>
      <c r="S471" s="2" t="s">
        <v>2611</v>
      </c>
      <c r="T471" s="2" t="s">
        <v>2601</v>
      </c>
      <c r="U471" s="2" t="s">
        <v>2612</v>
      </c>
      <c r="V471" s="2" t="s">
        <v>2520</v>
      </c>
      <c r="W471" s="2" t="s">
        <v>2613</v>
      </c>
      <c r="X471" s="2" t="s">
        <v>507</v>
      </c>
    </row>
    <row r="472" customFormat="false" ht="15" hidden="false" customHeight="false" outlineLevel="0" collapsed="false">
      <c r="A472" s="2" t="n">
        <v>430</v>
      </c>
      <c r="B472" s="2" t="s">
        <v>2581</v>
      </c>
      <c r="C472" s="2" t="s">
        <v>2614</v>
      </c>
      <c r="D472" s="2" t="s">
        <v>53</v>
      </c>
      <c r="E472" s="2" t="s">
        <v>2615</v>
      </c>
      <c r="F472" s="2"/>
      <c r="G472" s="2"/>
      <c r="H472" s="2" t="s">
        <v>1382</v>
      </c>
      <c r="I472" s="2" t="s">
        <v>1383</v>
      </c>
      <c r="J472" s="2" t="n">
        <v>-1.61</v>
      </c>
      <c r="K472" s="2" t="n">
        <v>103.613</v>
      </c>
      <c r="L472" s="2" t="s">
        <v>101</v>
      </c>
      <c r="M472" s="2" t="s">
        <v>60</v>
      </c>
      <c r="N472" s="2"/>
      <c r="O472" s="2" t="s">
        <v>2616</v>
      </c>
      <c r="P472" s="2" t="s">
        <v>2617</v>
      </c>
      <c r="Q472" s="2" t="s">
        <v>62</v>
      </c>
      <c r="R472" s="2" t="n">
        <v>0.85</v>
      </c>
      <c r="S472" s="2" t="s">
        <v>2618</v>
      </c>
      <c r="T472" s="2" t="s">
        <v>1135</v>
      </c>
      <c r="U472" s="2" t="s">
        <v>2619</v>
      </c>
      <c r="V472" s="2" t="s">
        <v>2620</v>
      </c>
      <c r="W472" s="2" t="s">
        <v>1875</v>
      </c>
      <c r="X472" s="2" t="s">
        <v>1588</v>
      </c>
    </row>
    <row r="473" customFormat="false" ht="15" hidden="false" customHeight="false" outlineLevel="0" collapsed="false">
      <c r="A473" s="2" t="n">
        <v>431</v>
      </c>
      <c r="B473" s="2" t="s">
        <v>2581</v>
      </c>
      <c r="C473" s="2" t="s">
        <v>2621</v>
      </c>
      <c r="D473" s="2" t="s">
        <v>351</v>
      </c>
      <c r="E473" s="2" t="s">
        <v>2622</v>
      </c>
      <c r="F473" s="2"/>
      <c r="G473" s="2" t="s">
        <v>2623</v>
      </c>
      <c r="H473" s="2" t="s">
        <v>1382</v>
      </c>
      <c r="I473" s="2" t="s">
        <v>1383</v>
      </c>
      <c r="J473" s="2" t="n">
        <v>-1.59</v>
      </c>
      <c r="K473" s="2" t="n">
        <v>103.615</v>
      </c>
      <c r="L473" s="2" t="s">
        <v>84</v>
      </c>
      <c r="M473" s="2" t="s">
        <v>60</v>
      </c>
      <c r="N473" s="2"/>
      <c r="O473" s="2" t="s">
        <v>2624</v>
      </c>
      <c r="P473" s="2" t="s">
        <v>2625</v>
      </c>
      <c r="Q473" s="2" t="s">
        <v>62</v>
      </c>
      <c r="R473" s="2" t="n">
        <v>0.8</v>
      </c>
      <c r="S473" s="2" t="s">
        <v>2626</v>
      </c>
      <c r="T473" s="2" t="s">
        <v>2627</v>
      </c>
      <c r="U473" s="2" t="s">
        <v>2628</v>
      </c>
      <c r="V473" s="2" t="s">
        <v>2629</v>
      </c>
      <c r="W473" s="2" t="s">
        <v>1424</v>
      </c>
      <c r="X473" s="2" t="s">
        <v>1588</v>
      </c>
    </row>
    <row r="474" customFormat="false" ht="15" hidden="false" customHeight="false" outlineLevel="0" collapsed="false">
      <c r="A474" s="2" t="n">
        <v>433</v>
      </c>
      <c r="B474" s="2" t="s">
        <v>2581</v>
      </c>
      <c r="C474" s="2" t="s">
        <v>2630</v>
      </c>
      <c r="D474" s="2" t="s">
        <v>410</v>
      </c>
      <c r="E474" s="2" t="s">
        <v>1382</v>
      </c>
      <c r="F474" s="2"/>
      <c r="G474" s="2"/>
      <c r="H474" s="2" t="s">
        <v>1382</v>
      </c>
      <c r="I474" s="2" t="s">
        <v>1383</v>
      </c>
      <c r="J474" s="2" t="n">
        <v>-1.61</v>
      </c>
      <c r="K474" s="2" t="n">
        <v>103.613</v>
      </c>
      <c r="L474" s="2" t="s">
        <v>101</v>
      </c>
      <c r="M474" s="2" t="s">
        <v>60</v>
      </c>
      <c r="N474" s="2"/>
      <c r="O474" s="2" t="s">
        <v>2631</v>
      </c>
      <c r="P474" s="2"/>
      <c r="Q474" s="2" t="s">
        <v>62</v>
      </c>
      <c r="R474" s="2" t="n">
        <v>0.8</v>
      </c>
      <c r="S474" s="2" t="s">
        <v>2632</v>
      </c>
      <c r="T474" s="2" t="s">
        <v>1236</v>
      </c>
      <c r="U474" s="2" t="s">
        <v>2633</v>
      </c>
      <c r="V474" s="2" t="s">
        <v>1238</v>
      </c>
      <c r="W474" s="2" t="s">
        <v>1332</v>
      </c>
      <c r="X474" s="2" t="s">
        <v>68</v>
      </c>
    </row>
    <row r="475" customFormat="false" ht="15" hidden="false" customHeight="false" outlineLevel="0" collapsed="false">
      <c r="A475" s="2" t="n">
        <v>433</v>
      </c>
      <c r="B475" s="2" t="s">
        <v>2581</v>
      </c>
      <c r="C475" s="2" t="s">
        <v>2634</v>
      </c>
      <c r="D475" s="2" t="s">
        <v>1130</v>
      </c>
      <c r="E475" s="2" t="s">
        <v>2635</v>
      </c>
      <c r="F475" s="2" t="s">
        <v>2636</v>
      </c>
      <c r="G475" s="2" t="s">
        <v>2637</v>
      </c>
      <c r="H475" s="2" t="s">
        <v>2638</v>
      </c>
      <c r="I475" s="2" t="s">
        <v>1383</v>
      </c>
      <c r="J475" s="2" t="n">
        <v>-1.477</v>
      </c>
      <c r="K475" s="2" t="n">
        <v>103.668</v>
      </c>
      <c r="L475" s="2" t="s">
        <v>124</v>
      </c>
      <c r="M475" s="2" t="s">
        <v>60</v>
      </c>
      <c r="N475" s="2"/>
      <c r="O475" s="2" t="s">
        <v>2639</v>
      </c>
      <c r="P475" s="2"/>
      <c r="Q475" s="2" t="s">
        <v>62</v>
      </c>
      <c r="R475" s="2" t="n">
        <v>0.85</v>
      </c>
      <c r="S475" s="2" t="s">
        <v>2632</v>
      </c>
      <c r="T475" s="2" t="s">
        <v>1236</v>
      </c>
      <c r="U475" s="2" t="s">
        <v>2633</v>
      </c>
      <c r="V475" s="2" t="s">
        <v>1238</v>
      </c>
      <c r="W475" s="2" t="s">
        <v>1332</v>
      </c>
      <c r="X475" s="2" t="s">
        <v>68</v>
      </c>
    </row>
    <row r="476" customFormat="false" ht="15" hidden="false" customHeight="false" outlineLevel="0" collapsed="false">
      <c r="A476" s="2" t="n">
        <v>433</v>
      </c>
      <c r="B476" s="2" t="s">
        <v>2581</v>
      </c>
      <c r="C476" s="2" t="s">
        <v>2640</v>
      </c>
      <c r="D476" s="2" t="s">
        <v>410</v>
      </c>
      <c r="E476" s="2" t="s">
        <v>1383</v>
      </c>
      <c r="F476" s="2"/>
      <c r="G476" s="2"/>
      <c r="H476" s="2" t="s">
        <v>2641</v>
      </c>
      <c r="I476" s="2" t="s">
        <v>1383</v>
      </c>
      <c r="J476" s="2" t="n">
        <v>-1.49</v>
      </c>
      <c r="K476" s="2" t="n">
        <v>102.45</v>
      </c>
      <c r="L476" s="2" t="s">
        <v>101</v>
      </c>
      <c r="M476" s="2" t="s">
        <v>60</v>
      </c>
      <c r="N476" s="2" t="s">
        <v>2642</v>
      </c>
      <c r="O476" s="2" t="s">
        <v>2643</v>
      </c>
      <c r="P476" s="2"/>
      <c r="Q476" s="2" t="s">
        <v>62</v>
      </c>
      <c r="R476" s="2" t="n">
        <v>0.75</v>
      </c>
      <c r="S476" s="2" t="s">
        <v>2632</v>
      </c>
      <c r="T476" s="2" t="s">
        <v>1236</v>
      </c>
      <c r="U476" s="2" t="s">
        <v>2633</v>
      </c>
      <c r="V476" s="2" t="s">
        <v>1238</v>
      </c>
      <c r="W476" s="2" t="s">
        <v>1332</v>
      </c>
      <c r="X476" s="2" t="s">
        <v>68</v>
      </c>
    </row>
    <row r="477" customFormat="false" ht="15" hidden="false" customHeight="false" outlineLevel="0" collapsed="false">
      <c r="A477" s="2" t="n">
        <v>433</v>
      </c>
      <c r="B477" s="2" t="s">
        <v>2581</v>
      </c>
      <c r="C477" s="2" t="s">
        <v>2644</v>
      </c>
      <c r="D477" s="2" t="s">
        <v>1130</v>
      </c>
      <c r="E477" s="2" t="s">
        <v>1382</v>
      </c>
      <c r="F477" s="2" t="s">
        <v>2645</v>
      </c>
      <c r="G477" s="2" t="s">
        <v>2646</v>
      </c>
      <c r="H477" s="2" t="s">
        <v>1382</v>
      </c>
      <c r="I477" s="2" t="s">
        <v>1383</v>
      </c>
      <c r="J477" s="2" t="n">
        <v>-1.5856</v>
      </c>
      <c r="K477" s="2" t="n">
        <v>103.6155</v>
      </c>
      <c r="L477" s="2" t="s">
        <v>124</v>
      </c>
      <c r="M477" s="2" t="s">
        <v>60</v>
      </c>
      <c r="N477" s="2" t="s">
        <v>2647</v>
      </c>
      <c r="O477" s="2" t="s">
        <v>2648</v>
      </c>
      <c r="P477" s="2"/>
      <c r="Q477" s="2" t="s">
        <v>62</v>
      </c>
      <c r="R477" s="2" t="n">
        <v>0.8</v>
      </c>
      <c r="S477" s="2" t="s">
        <v>2632</v>
      </c>
      <c r="T477" s="2" t="s">
        <v>1236</v>
      </c>
      <c r="U477" s="2" t="s">
        <v>2633</v>
      </c>
      <c r="V477" s="2" t="s">
        <v>1238</v>
      </c>
      <c r="W477" s="2" t="s">
        <v>1332</v>
      </c>
      <c r="X477" s="2" t="s">
        <v>68</v>
      </c>
    </row>
    <row r="478" customFormat="false" ht="15" hidden="false" customHeight="false" outlineLevel="0" collapsed="false">
      <c r="A478" s="2" t="n">
        <v>434</v>
      </c>
      <c r="B478" s="2" t="s">
        <v>2581</v>
      </c>
      <c r="C478" s="2" t="s">
        <v>2634</v>
      </c>
      <c r="D478" s="2" t="s">
        <v>1130</v>
      </c>
      <c r="E478" s="2" t="s">
        <v>2635</v>
      </c>
      <c r="F478" s="2" t="s">
        <v>2636</v>
      </c>
      <c r="G478" s="2" t="s">
        <v>2637</v>
      </c>
      <c r="H478" s="2" t="s">
        <v>2638</v>
      </c>
      <c r="I478" s="2" t="s">
        <v>1383</v>
      </c>
      <c r="J478" s="2" t="n">
        <v>-1.477</v>
      </c>
      <c r="K478" s="2" t="n">
        <v>103.668</v>
      </c>
      <c r="L478" s="2" t="s">
        <v>124</v>
      </c>
      <c r="M478" s="2" t="s">
        <v>60</v>
      </c>
      <c r="N478" s="2"/>
      <c r="O478" s="2" t="s">
        <v>2649</v>
      </c>
      <c r="P478" s="2"/>
      <c r="Q478" s="2" t="s">
        <v>62</v>
      </c>
      <c r="R478" s="2" t="n">
        <v>0.85</v>
      </c>
      <c r="S478" s="2" t="s">
        <v>2650</v>
      </c>
      <c r="T478" s="2" t="s">
        <v>1236</v>
      </c>
      <c r="U478" s="2" t="s">
        <v>2651</v>
      </c>
      <c r="V478" s="2" t="s">
        <v>2652</v>
      </c>
      <c r="W478" s="2" t="s">
        <v>2252</v>
      </c>
      <c r="X478" s="2" t="s">
        <v>1588</v>
      </c>
    </row>
    <row r="479" customFormat="false" ht="15" hidden="false" customHeight="false" outlineLevel="0" collapsed="false">
      <c r="A479" s="2" t="n">
        <v>434</v>
      </c>
      <c r="B479" s="2" t="s">
        <v>2581</v>
      </c>
      <c r="C479" s="2" t="s">
        <v>1575</v>
      </c>
      <c r="D479" s="2" t="s">
        <v>410</v>
      </c>
      <c r="E479" s="2" t="s">
        <v>1576</v>
      </c>
      <c r="F479" s="2"/>
      <c r="G479" s="2"/>
      <c r="H479" s="2" t="s">
        <v>1577</v>
      </c>
      <c r="I479" s="2" t="s">
        <v>1383</v>
      </c>
      <c r="J479" s="2" t="n">
        <v>-2.05</v>
      </c>
      <c r="K479" s="2" t="n">
        <v>101.4</v>
      </c>
      <c r="L479" s="2" t="s">
        <v>101</v>
      </c>
      <c r="M479" s="2" t="s">
        <v>60</v>
      </c>
      <c r="N479" s="2"/>
      <c r="O479" s="2" t="s">
        <v>2653</v>
      </c>
      <c r="P479" s="2"/>
      <c r="Q479" s="2" t="s">
        <v>62</v>
      </c>
      <c r="R479" s="2" t="n">
        <v>0.85</v>
      </c>
      <c r="S479" s="2" t="s">
        <v>2650</v>
      </c>
      <c r="T479" s="2" t="s">
        <v>1236</v>
      </c>
      <c r="U479" s="2" t="s">
        <v>2651</v>
      </c>
      <c r="V479" s="2" t="s">
        <v>2652</v>
      </c>
      <c r="W479" s="2" t="s">
        <v>2252</v>
      </c>
      <c r="X479" s="2" t="s">
        <v>1588</v>
      </c>
    </row>
    <row r="480" customFormat="false" ht="15" hidden="false" customHeight="false" outlineLevel="0" collapsed="false">
      <c r="A480" s="2" t="n">
        <v>434</v>
      </c>
      <c r="B480" s="2" t="s">
        <v>2581</v>
      </c>
      <c r="C480" s="2" t="s">
        <v>2654</v>
      </c>
      <c r="D480" s="2" t="s">
        <v>410</v>
      </c>
      <c r="E480" s="2" t="s">
        <v>2655</v>
      </c>
      <c r="F480" s="2"/>
      <c r="G480" s="2"/>
      <c r="H480" s="2" t="s">
        <v>1577</v>
      </c>
      <c r="I480" s="2" t="s">
        <v>1383</v>
      </c>
      <c r="J480" s="2" t="n">
        <v>-1.705</v>
      </c>
      <c r="K480" s="2" t="n">
        <v>101.395</v>
      </c>
      <c r="L480" s="2" t="s">
        <v>124</v>
      </c>
      <c r="M480" s="2" t="s">
        <v>60</v>
      </c>
      <c r="N480" s="2"/>
      <c r="O480" s="2" t="s">
        <v>2656</v>
      </c>
      <c r="P480" s="2"/>
      <c r="Q480" s="2" t="s">
        <v>62</v>
      </c>
      <c r="R480" s="2" t="n">
        <v>0.85</v>
      </c>
      <c r="S480" s="2" t="s">
        <v>2650</v>
      </c>
      <c r="T480" s="2" t="s">
        <v>1236</v>
      </c>
      <c r="U480" s="2" t="s">
        <v>2651</v>
      </c>
      <c r="V480" s="2" t="s">
        <v>2652</v>
      </c>
      <c r="W480" s="2" t="s">
        <v>2252</v>
      </c>
      <c r="X480" s="2" t="s">
        <v>1588</v>
      </c>
    </row>
    <row r="481" customFormat="false" ht="15" hidden="false" customHeight="false" outlineLevel="0" collapsed="false">
      <c r="A481" s="2" t="n">
        <v>434</v>
      </c>
      <c r="B481" s="2" t="s">
        <v>2581</v>
      </c>
      <c r="C481" s="2" t="s">
        <v>2657</v>
      </c>
      <c r="D481" s="2" t="s">
        <v>410</v>
      </c>
      <c r="E481" s="2" t="s">
        <v>2658</v>
      </c>
      <c r="F481" s="2"/>
      <c r="G481" s="2"/>
      <c r="H481" s="2" t="s">
        <v>2659</v>
      </c>
      <c r="I481" s="2" t="s">
        <v>1383</v>
      </c>
      <c r="J481" s="2" t="n">
        <v>-2.08</v>
      </c>
      <c r="K481" s="2" t="n">
        <v>102.13</v>
      </c>
      <c r="L481" s="2" t="s">
        <v>101</v>
      </c>
      <c r="M481" s="2" t="s">
        <v>60</v>
      </c>
      <c r="N481" s="2"/>
      <c r="O481" s="2" t="s">
        <v>2660</v>
      </c>
      <c r="P481" s="2"/>
      <c r="Q481" s="2" t="s">
        <v>62</v>
      </c>
      <c r="R481" s="2" t="n">
        <v>0.85</v>
      </c>
      <c r="S481" s="2" t="s">
        <v>2650</v>
      </c>
      <c r="T481" s="2" t="s">
        <v>1236</v>
      </c>
      <c r="U481" s="2" t="s">
        <v>2651</v>
      </c>
      <c r="V481" s="2" t="s">
        <v>2652</v>
      </c>
      <c r="W481" s="2" t="s">
        <v>2252</v>
      </c>
      <c r="X481" s="2" t="s">
        <v>1588</v>
      </c>
    </row>
    <row r="482" customFormat="false" ht="15" hidden="false" customHeight="false" outlineLevel="0" collapsed="false">
      <c r="A482" s="2" t="n">
        <v>435</v>
      </c>
      <c r="B482" s="2" t="s">
        <v>2581</v>
      </c>
      <c r="C482" s="2" t="s">
        <v>2661</v>
      </c>
      <c r="D482" s="2" t="s">
        <v>410</v>
      </c>
      <c r="E482" s="2" t="s">
        <v>2662</v>
      </c>
      <c r="F482" s="2" t="s">
        <v>2663</v>
      </c>
      <c r="G482" s="2" t="s">
        <v>2664</v>
      </c>
      <c r="H482" s="2" t="s">
        <v>1382</v>
      </c>
      <c r="I482" s="2" t="s">
        <v>1383</v>
      </c>
      <c r="J482" s="2" t="n">
        <v>-1.58</v>
      </c>
      <c r="K482" s="2" t="n">
        <v>103.62</v>
      </c>
      <c r="L482" s="2" t="s">
        <v>84</v>
      </c>
      <c r="M482" s="2" t="s">
        <v>60</v>
      </c>
      <c r="N482" s="2"/>
      <c r="O482" s="2" t="s">
        <v>2665</v>
      </c>
      <c r="P482" s="2" t="s">
        <v>298</v>
      </c>
      <c r="Q482" s="2" t="s">
        <v>62</v>
      </c>
      <c r="R482" s="2" t="n">
        <v>0.75</v>
      </c>
      <c r="S482" s="2" t="s">
        <v>2666</v>
      </c>
      <c r="T482" s="2" t="s">
        <v>2667</v>
      </c>
      <c r="U482" s="2" t="s">
        <v>2668</v>
      </c>
      <c r="V482" s="2" t="s">
        <v>2652</v>
      </c>
      <c r="W482" s="2" t="s">
        <v>2613</v>
      </c>
      <c r="X482" s="2" t="s">
        <v>1588</v>
      </c>
    </row>
    <row r="483" customFormat="false" ht="15" hidden="false" customHeight="false" outlineLevel="0" collapsed="false">
      <c r="A483" s="2" t="n">
        <v>436</v>
      </c>
      <c r="B483" s="2" t="s">
        <v>2581</v>
      </c>
      <c r="C483" s="2" t="s">
        <v>2669</v>
      </c>
      <c r="D483" s="2" t="s">
        <v>410</v>
      </c>
      <c r="E483" s="2" t="s">
        <v>2670</v>
      </c>
      <c r="F483" s="2"/>
      <c r="G483" s="2" t="s">
        <v>2623</v>
      </c>
      <c r="H483" s="2" t="s">
        <v>1382</v>
      </c>
      <c r="I483" s="2" t="s">
        <v>1383</v>
      </c>
      <c r="J483" s="2" t="n">
        <v>-1.59</v>
      </c>
      <c r="K483" s="2" t="n">
        <v>103.615</v>
      </c>
      <c r="L483" s="2" t="s">
        <v>84</v>
      </c>
      <c r="M483" s="2" t="s">
        <v>60</v>
      </c>
      <c r="N483" s="2"/>
      <c r="O483" s="2" t="s">
        <v>2671</v>
      </c>
      <c r="P483" s="2" t="s">
        <v>2672</v>
      </c>
      <c r="Q483" s="2" t="s">
        <v>62</v>
      </c>
      <c r="R483" s="2" t="n">
        <v>0.8</v>
      </c>
      <c r="S483" s="2" t="s">
        <v>2673</v>
      </c>
      <c r="T483" s="2" t="s">
        <v>2667</v>
      </c>
      <c r="U483" s="2" t="s">
        <v>2674</v>
      </c>
      <c r="V483" s="2" t="s">
        <v>97</v>
      </c>
      <c r="W483" s="2" t="s">
        <v>2675</v>
      </c>
      <c r="X483" s="2" t="s">
        <v>1588</v>
      </c>
    </row>
    <row r="484" customFormat="false" ht="15" hidden="false" customHeight="false" outlineLevel="0" collapsed="false">
      <c r="A484" s="2" t="n">
        <v>436</v>
      </c>
      <c r="B484" s="2" t="s">
        <v>2581</v>
      </c>
      <c r="C484" s="2" t="s">
        <v>2676</v>
      </c>
      <c r="D484" s="2" t="s">
        <v>410</v>
      </c>
      <c r="E484" s="2" t="s">
        <v>2677</v>
      </c>
      <c r="F484" s="2"/>
      <c r="G484" s="2"/>
      <c r="H484" s="2" t="s">
        <v>1382</v>
      </c>
      <c r="I484" s="2" t="s">
        <v>1383</v>
      </c>
      <c r="J484" s="2" t="n">
        <v>-1.61</v>
      </c>
      <c r="K484" s="2" t="n">
        <v>103.613</v>
      </c>
      <c r="L484" s="2" t="s">
        <v>101</v>
      </c>
      <c r="M484" s="2" t="s">
        <v>60</v>
      </c>
      <c r="N484" s="2" t="s">
        <v>2340</v>
      </c>
      <c r="O484" s="2" t="s">
        <v>2678</v>
      </c>
      <c r="P484" s="2"/>
      <c r="Q484" s="2" t="s">
        <v>62</v>
      </c>
      <c r="R484" s="2" t="n">
        <v>0.5</v>
      </c>
      <c r="S484" s="2" t="s">
        <v>2673</v>
      </c>
      <c r="T484" s="2" t="s">
        <v>2667</v>
      </c>
      <c r="U484" s="2" t="s">
        <v>2674</v>
      </c>
      <c r="V484" s="2" t="s">
        <v>97</v>
      </c>
      <c r="W484" s="2" t="s">
        <v>2675</v>
      </c>
      <c r="X484" s="2" t="s">
        <v>1588</v>
      </c>
    </row>
    <row r="485" customFormat="false" ht="15" hidden="false" customHeight="false" outlineLevel="0" collapsed="false">
      <c r="A485" s="2" t="n">
        <v>437</v>
      </c>
      <c r="B485" s="2" t="s">
        <v>2581</v>
      </c>
      <c r="C485" s="2" t="s">
        <v>2679</v>
      </c>
      <c r="D485" s="2" t="s">
        <v>1130</v>
      </c>
      <c r="E485" s="2" t="s">
        <v>2680</v>
      </c>
      <c r="F485" s="2"/>
      <c r="G485" s="2" t="s">
        <v>2637</v>
      </c>
      <c r="H485" s="2" t="s">
        <v>2638</v>
      </c>
      <c r="I485" s="2" t="s">
        <v>1383</v>
      </c>
      <c r="J485" s="2" t="n">
        <v>-1.48</v>
      </c>
      <c r="K485" s="2" t="n">
        <v>103.67</v>
      </c>
      <c r="L485" s="2" t="s">
        <v>84</v>
      </c>
      <c r="M485" s="2" t="s">
        <v>60</v>
      </c>
      <c r="N485" s="2" t="s">
        <v>2681</v>
      </c>
      <c r="O485" s="2" t="s">
        <v>2682</v>
      </c>
      <c r="P485" s="2" t="s">
        <v>1339</v>
      </c>
      <c r="Q485" s="2" t="s">
        <v>62</v>
      </c>
      <c r="R485" s="2" t="n">
        <v>0.9</v>
      </c>
      <c r="S485" s="2" t="s">
        <v>2683</v>
      </c>
      <c r="T485" s="2" t="s">
        <v>95</v>
      </c>
      <c r="U485" s="2" t="s">
        <v>2684</v>
      </c>
      <c r="V485" s="2" t="s">
        <v>2685</v>
      </c>
      <c r="W485" s="2" t="s">
        <v>1332</v>
      </c>
      <c r="X485" s="2" t="s">
        <v>68</v>
      </c>
    </row>
    <row r="486" customFormat="false" ht="15" hidden="false" customHeight="false" outlineLevel="0" collapsed="false">
      <c r="A486" s="2" t="n">
        <v>438</v>
      </c>
      <c r="B486" s="2" t="s">
        <v>2581</v>
      </c>
      <c r="C486" s="2" t="s">
        <v>2679</v>
      </c>
      <c r="D486" s="2" t="s">
        <v>1130</v>
      </c>
      <c r="E486" s="2" t="s">
        <v>2681</v>
      </c>
      <c r="F486" s="2"/>
      <c r="G486" s="2" t="s">
        <v>2637</v>
      </c>
      <c r="H486" s="2" t="s">
        <v>2638</v>
      </c>
      <c r="I486" s="2" t="s">
        <v>1383</v>
      </c>
      <c r="J486" s="2" t="n">
        <v>-1.48</v>
      </c>
      <c r="K486" s="2" t="n">
        <v>103.67</v>
      </c>
      <c r="L486" s="2" t="s">
        <v>84</v>
      </c>
      <c r="M486" s="2" t="s">
        <v>60</v>
      </c>
      <c r="N486" s="2" t="s">
        <v>2681</v>
      </c>
      <c r="O486" s="2" t="s">
        <v>2686</v>
      </c>
      <c r="P486" s="2" t="s">
        <v>2687</v>
      </c>
      <c r="Q486" s="2" t="s">
        <v>62</v>
      </c>
      <c r="R486" s="2" t="n">
        <v>0.9</v>
      </c>
      <c r="S486" s="2" t="s">
        <v>2688</v>
      </c>
      <c r="T486" s="2" t="s">
        <v>2689</v>
      </c>
      <c r="U486" s="2" t="s">
        <v>2690</v>
      </c>
      <c r="V486" s="2" t="s">
        <v>2691</v>
      </c>
      <c r="W486" s="2" t="s">
        <v>2692</v>
      </c>
      <c r="X486" s="2" t="s">
        <v>1588</v>
      </c>
    </row>
    <row r="487" customFormat="false" ht="15" hidden="false" customHeight="false" outlineLevel="0" collapsed="false">
      <c r="A487" s="2" t="n">
        <v>440</v>
      </c>
      <c r="B487" s="2" t="s">
        <v>2581</v>
      </c>
      <c r="C487" s="2" t="s">
        <v>2634</v>
      </c>
      <c r="D487" s="2" t="s">
        <v>1130</v>
      </c>
      <c r="E487" s="2" t="s">
        <v>2635</v>
      </c>
      <c r="F487" s="2" t="s">
        <v>2636</v>
      </c>
      <c r="G487" s="2" t="s">
        <v>2637</v>
      </c>
      <c r="H487" s="2" t="s">
        <v>2638</v>
      </c>
      <c r="I487" s="2" t="s">
        <v>1383</v>
      </c>
      <c r="J487" s="2" t="n">
        <v>-1.477</v>
      </c>
      <c r="K487" s="2" t="n">
        <v>103.668</v>
      </c>
      <c r="L487" s="2" t="s">
        <v>124</v>
      </c>
      <c r="M487" s="2" t="s">
        <v>60</v>
      </c>
      <c r="N487" s="2"/>
      <c r="O487" s="2" t="s">
        <v>2693</v>
      </c>
      <c r="P487" s="2" t="s">
        <v>692</v>
      </c>
      <c r="Q487" s="2" t="s">
        <v>62</v>
      </c>
      <c r="R487" s="2" t="n">
        <v>0.7</v>
      </c>
      <c r="S487" s="2" t="s">
        <v>2694</v>
      </c>
      <c r="T487" s="2" t="s">
        <v>2695</v>
      </c>
      <c r="U487" s="2" t="s">
        <v>2696</v>
      </c>
      <c r="V487" s="2" t="s">
        <v>2697</v>
      </c>
      <c r="W487" s="2" t="s">
        <v>821</v>
      </c>
      <c r="X487" s="2" t="s">
        <v>1588</v>
      </c>
    </row>
    <row r="488" customFormat="false" ht="15" hidden="false" customHeight="false" outlineLevel="0" collapsed="false">
      <c r="A488" s="2" t="n">
        <v>440</v>
      </c>
      <c r="B488" s="2" t="s">
        <v>2581</v>
      </c>
      <c r="C488" s="2" t="s">
        <v>2698</v>
      </c>
      <c r="D488" s="2" t="s">
        <v>1130</v>
      </c>
      <c r="E488" s="2" t="s">
        <v>1383</v>
      </c>
      <c r="F488" s="2"/>
      <c r="G488" s="2"/>
      <c r="H488" s="2"/>
      <c r="I488" s="2" t="s">
        <v>1383</v>
      </c>
      <c r="J488" s="2" t="n">
        <v>-1.61</v>
      </c>
      <c r="K488" s="2" t="n">
        <v>103.613</v>
      </c>
      <c r="L488" s="2" t="s">
        <v>101</v>
      </c>
      <c r="M488" s="2" t="s">
        <v>340</v>
      </c>
      <c r="N488" s="2" t="s">
        <v>2699</v>
      </c>
      <c r="O488" s="2" t="s">
        <v>2700</v>
      </c>
      <c r="P488" s="2" t="s">
        <v>2687</v>
      </c>
      <c r="Q488" s="2" t="s">
        <v>62</v>
      </c>
      <c r="R488" s="2" t="n">
        <v>0.6</v>
      </c>
      <c r="S488" s="2" t="s">
        <v>2694</v>
      </c>
      <c r="T488" s="2" t="s">
        <v>2695</v>
      </c>
      <c r="U488" s="2" t="s">
        <v>2696</v>
      </c>
      <c r="V488" s="2" t="s">
        <v>2697</v>
      </c>
      <c r="W488" s="2" t="s">
        <v>821</v>
      </c>
      <c r="X488" s="2" t="s">
        <v>1588</v>
      </c>
    </row>
    <row r="489" customFormat="false" ht="15" hidden="false" customHeight="false" outlineLevel="0" collapsed="false">
      <c r="A489" s="2" t="n">
        <v>440</v>
      </c>
      <c r="B489" s="2" t="s">
        <v>2581</v>
      </c>
      <c r="C489" s="2" t="s">
        <v>2679</v>
      </c>
      <c r="D489" s="2" t="s">
        <v>1130</v>
      </c>
      <c r="E489" s="2" t="s">
        <v>2701</v>
      </c>
      <c r="F489" s="2"/>
      <c r="G489" s="2" t="s">
        <v>2637</v>
      </c>
      <c r="H489" s="2" t="s">
        <v>2638</v>
      </c>
      <c r="I489" s="2" t="s">
        <v>1383</v>
      </c>
      <c r="J489" s="2" t="n">
        <v>-1.48</v>
      </c>
      <c r="K489" s="2" t="n">
        <v>103.67</v>
      </c>
      <c r="L489" s="2" t="s">
        <v>84</v>
      </c>
      <c r="M489" s="2" t="s">
        <v>60</v>
      </c>
      <c r="N489" s="2"/>
      <c r="O489" s="2" t="s">
        <v>2702</v>
      </c>
      <c r="P489" s="2" t="s">
        <v>2687</v>
      </c>
      <c r="Q489" s="2" t="s">
        <v>62</v>
      </c>
      <c r="R489" s="2" t="n">
        <v>0.8</v>
      </c>
      <c r="S489" s="2" t="s">
        <v>2694</v>
      </c>
      <c r="T489" s="2" t="s">
        <v>2695</v>
      </c>
      <c r="U489" s="2" t="s">
        <v>2696</v>
      </c>
      <c r="V489" s="2" t="s">
        <v>2697</v>
      </c>
      <c r="W489" s="2" t="s">
        <v>821</v>
      </c>
      <c r="X489" s="2" t="s">
        <v>1588</v>
      </c>
    </row>
    <row r="490" customFormat="false" ht="15" hidden="false" customHeight="false" outlineLevel="0" collapsed="false">
      <c r="A490" s="2" t="n">
        <v>441</v>
      </c>
      <c r="B490" s="2" t="s">
        <v>2581</v>
      </c>
      <c r="C490" s="2" t="s">
        <v>2679</v>
      </c>
      <c r="D490" s="2" t="s">
        <v>1130</v>
      </c>
      <c r="E490" s="2" t="s">
        <v>2638</v>
      </c>
      <c r="F490" s="2"/>
      <c r="G490" s="2" t="s">
        <v>2637</v>
      </c>
      <c r="H490" s="2" t="s">
        <v>2638</v>
      </c>
      <c r="I490" s="2" t="s">
        <v>1383</v>
      </c>
      <c r="J490" s="2" t="n">
        <v>-1.48</v>
      </c>
      <c r="K490" s="2" t="n">
        <v>103.67</v>
      </c>
      <c r="L490" s="2" t="s">
        <v>84</v>
      </c>
      <c r="M490" s="2" t="s">
        <v>60</v>
      </c>
      <c r="N490" s="2"/>
      <c r="O490" s="2" t="s">
        <v>2703</v>
      </c>
      <c r="P490" s="2" t="s">
        <v>2704</v>
      </c>
      <c r="Q490" s="2" t="s">
        <v>62</v>
      </c>
      <c r="R490" s="2" t="n">
        <v>0.7</v>
      </c>
      <c r="S490" s="2" t="s">
        <v>2705</v>
      </c>
      <c r="T490" s="2" t="s">
        <v>2697</v>
      </c>
      <c r="U490" s="2" t="s">
        <v>2706</v>
      </c>
      <c r="V490" s="2" t="s">
        <v>2707</v>
      </c>
      <c r="W490" s="2" t="s">
        <v>1774</v>
      </c>
      <c r="X490" s="2" t="s">
        <v>1588</v>
      </c>
    </row>
    <row r="491" customFormat="false" ht="15" hidden="false" customHeight="false" outlineLevel="0" collapsed="false">
      <c r="A491" s="2" t="n">
        <v>449</v>
      </c>
      <c r="B491" s="2" t="s">
        <v>2581</v>
      </c>
      <c r="C491" s="2" t="s">
        <v>2708</v>
      </c>
      <c r="D491" s="2" t="s">
        <v>121</v>
      </c>
      <c r="E491" s="2" t="s">
        <v>2709</v>
      </c>
      <c r="F491" s="2" t="s">
        <v>2710</v>
      </c>
      <c r="G491" s="2" t="s">
        <v>2664</v>
      </c>
      <c r="H491" s="2" t="s">
        <v>1382</v>
      </c>
      <c r="I491" s="2" t="s">
        <v>1383</v>
      </c>
      <c r="J491" s="2" t="n">
        <v>-1.58</v>
      </c>
      <c r="K491" s="2" t="n">
        <v>103.62</v>
      </c>
      <c r="L491" s="2" t="s">
        <v>84</v>
      </c>
      <c r="M491" s="2" t="s">
        <v>60</v>
      </c>
      <c r="N491" s="2"/>
      <c r="O491" s="2" t="s">
        <v>2711</v>
      </c>
      <c r="P491" s="2" t="s">
        <v>2712</v>
      </c>
      <c r="Q491" s="2" t="s">
        <v>62</v>
      </c>
      <c r="R491" s="2" t="n">
        <v>0.6</v>
      </c>
      <c r="S491" s="2" t="s">
        <v>2713</v>
      </c>
      <c r="T491" s="2" t="s">
        <v>2667</v>
      </c>
      <c r="U491" s="2" t="s">
        <v>2714</v>
      </c>
      <c r="V491" s="2" t="s">
        <v>2697</v>
      </c>
      <c r="W491" s="2" t="s">
        <v>795</v>
      </c>
      <c r="X491" s="2" t="s">
        <v>1588</v>
      </c>
    </row>
    <row r="492" customFormat="false" ht="15" hidden="false" customHeight="false" outlineLevel="0" collapsed="false">
      <c r="A492" s="2" t="n">
        <v>450</v>
      </c>
      <c r="B492" s="2" t="s">
        <v>2715</v>
      </c>
      <c r="C492" s="2" t="s">
        <v>2716</v>
      </c>
      <c r="D492" s="2" t="s">
        <v>121</v>
      </c>
      <c r="E492" s="2" t="s">
        <v>2717</v>
      </c>
      <c r="F492" s="2"/>
      <c r="G492" s="2"/>
      <c r="H492" s="2" t="s">
        <v>1382</v>
      </c>
      <c r="I492" s="2" t="s">
        <v>1383</v>
      </c>
      <c r="J492" s="2" t="n">
        <v>-1.61</v>
      </c>
      <c r="K492" s="2" t="n">
        <v>103.613</v>
      </c>
      <c r="L492" s="2" t="s">
        <v>101</v>
      </c>
      <c r="M492" s="2" t="s">
        <v>60</v>
      </c>
      <c r="N492" s="2" t="s">
        <v>2718</v>
      </c>
      <c r="O492" s="2" t="s">
        <v>2719</v>
      </c>
      <c r="P492" s="2" t="s">
        <v>2720</v>
      </c>
      <c r="Q492" s="2" t="s">
        <v>62</v>
      </c>
      <c r="R492" s="2" t="n">
        <v>0.7</v>
      </c>
      <c r="S492" s="2" t="s">
        <v>2721</v>
      </c>
      <c r="T492" s="2" t="s">
        <v>2697</v>
      </c>
      <c r="U492" s="2" t="s">
        <v>2722</v>
      </c>
      <c r="V492" s="2" t="s">
        <v>420</v>
      </c>
      <c r="W492" s="2" t="s">
        <v>2723</v>
      </c>
      <c r="X492" s="2" t="s">
        <v>1588</v>
      </c>
    </row>
    <row r="493" customFormat="false" ht="15" hidden="false" customHeight="false" outlineLevel="0" collapsed="false">
      <c r="A493" s="2" t="n">
        <v>453</v>
      </c>
      <c r="B493" s="2" t="s">
        <v>2715</v>
      </c>
      <c r="C493" s="2" t="s">
        <v>2724</v>
      </c>
      <c r="D493" s="2" t="s">
        <v>410</v>
      </c>
      <c r="E493" s="2" t="s">
        <v>2725</v>
      </c>
      <c r="F493" s="2"/>
      <c r="G493" s="2"/>
      <c r="H493" s="2" t="s">
        <v>2726</v>
      </c>
      <c r="I493" s="2" t="s">
        <v>1383</v>
      </c>
      <c r="J493" s="2" t="n">
        <v>-1.7</v>
      </c>
      <c r="K493" s="2" t="n">
        <v>103.08</v>
      </c>
      <c r="L493" s="2" t="s">
        <v>101</v>
      </c>
      <c r="M493" s="2" t="s">
        <v>340</v>
      </c>
      <c r="N493" s="2"/>
      <c r="O493" s="2" t="s">
        <v>2727</v>
      </c>
      <c r="P493" s="2" t="s">
        <v>2728</v>
      </c>
      <c r="Q493" s="2" t="s">
        <v>62</v>
      </c>
      <c r="R493" s="2" t="n">
        <v>0.5</v>
      </c>
      <c r="S493" s="2" t="s">
        <v>2729</v>
      </c>
      <c r="T493" s="2" t="s">
        <v>803</v>
      </c>
      <c r="U493" s="2" t="s">
        <v>2730</v>
      </c>
      <c r="V493" s="2" t="s">
        <v>494</v>
      </c>
      <c r="W493" s="2" t="s">
        <v>2731</v>
      </c>
      <c r="X493" s="2" t="s">
        <v>1588</v>
      </c>
    </row>
    <row r="494" customFormat="false" ht="15" hidden="false" customHeight="false" outlineLevel="0" collapsed="false">
      <c r="A494" s="2" t="n">
        <v>454</v>
      </c>
      <c r="B494" s="2" t="s">
        <v>2715</v>
      </c>
      <c r="C494" s="2" t="s">
        <v>2732</v>
      </c>
      <c r="D494" s="2" t="s">
        <v>53</v>
      </c>
      <c r="E494" s="2" t="s">
        <v>2733</v>
      </c>
      <c r="F494" s="2" t="s">
        <v>2734</v>
      </c>
      <c r="G494" s="2" t="s">
        <v>2735</v>
      </c>
      <c r="H494" s="2" t="s">
        <v>325</v>
      </c>
      <c r="I494" s="2" t="s">
        <v>326</v>
      </c>
      <c r="J494" s="2" t="n">
        <v>-2.985</v>
      </c>
      <c r="K494" s="2" t="n">
        <v>104.75</v>
      </c>
      <c r="L494" s="2" t="s">
        <v>84</v>
      </c>
      <c r="M494" s="2" t="s">
        <v>60</v>
      </c>
      <c r="N494" s="2"/>
      <c r="O494" s="2" t="s">
        <v>2736</v>
      </c>
      <c r="P494" s="2"/>
      <c r="Q494" s="2" t="s">
        <v>62</v>
      </c>
      <c r="R494" s="2" t="n">
        <v>0.85</v>
      </c>
      <c r="S494" s="2" t="s">
        <v>2737</v>
      </c>
      <c r="T494" s="2" t="s">
        <v>492</v>
      </c>
      <c r="U494" s="2" t="s">
        <v>2738</v>
      </c>
      <c r="V494" s="2" t="s">
        <v>2739</v>
      </c>
      <c r="W494" s="2" t="s">
        <v>1424</v>
      </c>
      <c r="X494" s="2" t="s">
        <v>68</v>
      </c>
    </row>
    <row r="495" customFormat="false" ht="15" hidden="false" customHeight="false" outlineLevel="0" collapsed="false">
      <c r="A495" s="2" t="n">
        <v>454</v>
      </c>
      <c r="B495" s="2" t="s">
        <v>2715</v>
      </c>
      <c r="C495" s="2" t="s">
        <v>2740</v>
      </c>
      <c r="D495" s="2" t="s">
        <v>53</v>
      </c>
      <c r="E495" s="2" t="s">
        <v>2741</v>
      </c>
      <c r="F495" s="2"/>
      <c r="G495" s="2"/>
      <c r="H495" s="2" t="s">
        <v>325</v>
      </c>
      <c r="I495" s="2" t="s">
        <v>326</v>
      </c>
      <c r="J495" s="2" t="n">
        <v>-2.976</v>
      </c>
      <c r="K495" s="2" t="n">
        <v>104.775</v>
      </c>
      <c r="L495" s="2" t="s">
        <v>101</v>
      </c>
      <c r="M495" s="2" t="s">
        <v>60</v>
      </c>
      <c r="N495" s="2"/>
      <c r="O495" s="2" t="s">
        <v>2742</v>
      </c>
      <c r="P495" s="2"/>
      <c r="Q495" s="2" t="s">
        <v>62</v>
      </c>
      <c r="R495" s="2" t="n">
        <v>0.8</v>
      </c>
      <c r="S495" s="2" t="s">
        <v>2737</v>
      </c>
      <c r="T495" s="2" t="s">
        <v>492</v>
      </c>
      <c r="U495" s="2" t="s">
        <v>2738</v>
      </c>
      <c r="V495" s="2" t="s">
        <v>2739</v>
      </c>
      <c r="W495" s="2" t="s">
        <v>1424</v>
      </c>
      <c r="X495" s="2" t="s">
        <v>68</v>
      </c>
    </row>
    <row r="496" customFormat="false" ht="15" hidden="false" customHeight="false" outlineLevel="0" collapsed="false">
      <c r="A496" s="2" t="n">
        <v>455</v>
      </c>
      <c r="B496" s="2" t="s">
        <v>2715</v>
      </c>
      <c r="C496" s="2" t="s">
        <v>2743</v>
      </c>
      <c r="D496" s="2" t="s">
        <v>53</v>
      </c>
      <c r="E496" s="2" t="s">
        <v>2744</v>
      </c>
      <c r="F496" s="2" t="s">
        <v>2745</v>
      </c>
      <c r="G496" s="2" t="s">
        <v>2735</v>
      </c>
      <c r="H496" s="2" t="s">
        <v>325</v>
      </c>
      <c r="I496" s="2" t="s">
        <v>326</v>
      </c>
      <c r="J496" s="2" t="n">
        <v>-2.985</v>
      </c>
      <c r="K496" s="2" t="n">
        <v>104.75</v>
      </c>
      <c r="L496" s="2" t="s">
        <v>84</v>
      </c>
      <c r="M496" s="2" t="s">
        <v>60</v>
      </c>
      <c r="N496" s="2"/>
      <c r="O496" s="2" t="s">
        <v>2746</v>
      </c>
      <c r="P496" s="2"/>
      <c r="Q496" s="2" t="s">
        <v>62</v>
      </c>
      <c r="R496" s="2" t="n">
        <v>0.8</v>
      </c>
      <c r="S496" s="2" t="s">
        <v>2747</v>
      </c>
      <c r="T496" s="2" t="s">
        <v>2748</v>
      </c>
      <c r="U496" s="2" t="s">
        <v>2749</v>
      </c>
      <c r="V496" s="2" t="s">
        <v>2750</v>
      </c>
      <c r="W496" s="2" t="s">
        <v>1768</v>
      </c>
      <c r="X496" s="2" t="s">
        <v>1588</v>
      </c>
    </row>
    <row r="497" customFormat="false" ht="15" hidden="false" customHeight="false" outlineLevel="0" collapsed="false">
      <c r="A497" s="2" t="n">
        <v>455</v>
      </c>
      <c r="B497" s="2" t="s">
        <v>2715</v>
      </c>
      <c r="C497" s="2" t="s">
        <v>2751</v>
      </c>
      <c r="D497" s="2" t="s">
        <v>53</v>
      </c>
      <c r="E497" s="2" t="s">
        <v>2752</v>
      </c>
      <c r="F497" s="2" t="s">
        <v>2753</v>
      </c>
      <c r="G497" s="2" t="s">
        <v>2754</v>
      </c>
      <c r="H497" s="2" t="s">
        <v>325</v>
      </c>
      <c r="I497" s="2" t="s">
        <v>326</v>
      </c>
      <c r="J497" s="2" t="n">
        <v>-2.93</v>
      </c>
      <c r="K497" s="2" t="n">
        <v>104.71</v>
      </c>
      <c r="L497" s="2" t="s">
        <v>84</v>
      </c>
      <c r="M497" s="2" t="s">
        <v>60</v>
      </c>
      <c r="N497" s="2"/>
      <c r="O497" s="2" t="s">
        <v>2755</v>
      </c>
      <c r="P497" s="2"/>
      <c r="Q497" s="2" t="s">
        <v>62</v>
      </c>
      <c r="R497" s="2" t="n">
        <v>0.8</v>
      </c>
      <c r="S497" s="2" t="s">
        <v>2747</v>
      </c>
      <c r="T497" s="2" t="s">
        <v>2748</v>
      </c>
      <c r="U497" s="2" t="s">
        <v>2749</v>
      </c>
      <c r="V497" s="2" t="s">
        <v>2750</v>
      </c>
      <c r="W497" s="2" t="s">
        <v>1768</v>
      </c>
      <c r="X497" s="2" t="s">
        <v>1588</v>
      </c>
    </row>
    <row r="498" customFormat="false" ht="15" hidden="false" customHeight="false" outlineLevel="0" collapsed="false">
      <c r="A498" s="2" t="n">
        <v>455</v>
      </c>
      <c r="B498" s="2" t="s">
        <v>2715</v>
      </c>
      <c r="C498" s="2" t="s">
        <v>2756</v>
      </c>
      <c r="D498" s="2" t="s">
        <v>53</v>
      </c>
      <c r="E498" s="2" t="s">
        <v>2757</v>
      </c>
      <c r="F498" s="2"/>
      <c r="G498" s="2"/>
      <c r="H498" s="2" t="s">
        <v>325</v>
      </c>
      <c r="I498" s="2" t="s">
        <v>326</v>
      </c>
      <c r="J498" s="2" t="n">
        <v>-2.976</v>
      </c>
      <c r="K498" s="2" t="n">
        <v>104.775</v>
      </c>
      <c r="L498" s="2" t="s">
        <v>101</v>
      </c>
      <c r="M498" s="2" t="s">
        <v>60</v>
      </c>
      <c r="N498" s="2"/>
      <c r="O498" s="2" t="s">
        <v>2758</v>
      </c>
      <c r="P498" s="2"/>
      <c r="Q498" s="2" t="s">
        <v>62</v>
      </c>
      <c r="R498" s="2" t="n">
        <v>0.75</v>
      </c>
      <c r="S498" s="2" t="s">
        <v>2747</v>
      </c>
      <c r="T498" s="2" t="s">
        <v>2748</v>
      </c>
      <c r="U498" s="2" t="s">
        <v>2749</v>
      </c>
      <c r="V498" s="2" t="s">
        <v>2750</v>
      </c>
      <c r="W498" s="2" t="s">
        <v>1768</v>
      </c>
      <c r="X498" s="2" t="s">
        <v>1588</v>
      </c>
    </row>
    <row r="499" customFormat="false" ht="15" hidden="false" customHeight="false" outlineLevel="0" collapsed="false">
      <c r="A499" s="2" t="n">
        <v>456</v>
      </c>
      <c r="B499" s="2" t="s">
        <v>2715</v>
      </c>
      <c r="C499" s="2" t="s">
        <v>2759</v>
      </c>
      <c r="D499" s="2" t="s">
        <v>410</v>
      </c>
      <c r="E499" s="2" t="s">
        <v>2760</v>
      </c>
      <c r="F499" s="2"/>
      <c r="G499" s="2"/>
      <c r="H499" s="2" t="s">
        <v>2761</v>
      </c>
      <c r="I499" s="2" t="s">
        <v>326</v>
      </c>
      <c r="J499" s="2" t="n">
        <v>-4.02</v>
      </c>
      <c r="K499" s="2" t="n">
        <v>103.25</v>
      </c>
      <c r="L499" s="2" t="s">
        <v>101</v>
      </c>
      <c r="M499" s="2" t="s">
        <v>340</v>
      </c>
      <c r="N499" s="2" t="s">
        <v>2762</v>
      </c>
      <c r="O499" s="2" t="s">
        <v>2763</v>
      </c>
      <c r="P499" s="2" t="s">
        <v>2764</v>
      </c>
      <c r="Q499" s="2" t="s">
        <v>110</v>
      </c>
      <c r="R499" s="2" t="n">
        <v>0.85</v>
      </c>
      <c r="S499" s="2" t="s">
        <v>2765</v>
      </c>
      <c r="T499" s="2" t="s">
        <v>2766</v>
      </c>
      <c r="U499" s="2" t="s">
        <v>2767</v>
      </c>
      <c r="V499" s="2" t="s">
        <v>2768</v>
      </c>
      <c r="W499" s="2" t="s">
        <v>370</v>
      </c>
      <c r="X499" s="2" t="s">
        <v>1588</v>
      </c>
    </row>
    <row r="500" customFormat="false" ht="15" hidden="false" customHeight="false" outlineLevel="0" collapsed="false">
      <c r="A500" s="2" t="n">
        <v>457</v>
      </c>
      <c r="B500" s="2" t="s">
        <v>2715</v>
      </c>
      <c r="C500" s="2" t="s">
        <v>2769</v>
      </c>
      <c r="D500" s="2" t="s">
        <v>410</v>
      </c>
      <c r="E500" s="2" t="s">
        <v>2770</v>
      </c>
      <c r="F500" s="2" t="s">
        <v>2771</v>
      </c>
      <c r="G500" s="2" t="s">
        <v>2771</v>
      </c>
      <c r="H500" s="2" t="s">
        <v>2772</v>
      </c>
      <c r="I500" s="2" t="s">
        <v>2773</v>
      </c>
      <c r="J500" s="2" t="n">
        <v>-2.34</v>
      </c>
      <c r="K500" s="2" t="n">
        <v>106.23</v>
      </c>
      <c r="L500" s="2" t="s">
        <v>101</v>
      </c>
      <c r="M500" s="2" t="s">
        <v>60</v>
      </c>
      <c r="N500" s="2"/>
      <c r="O500" s="2" t="s">
        <v>2774</v>
      </c>
      <c r="P500" s="2" t="s">
        <v>2775</v>
      </c>
      <c r="Q500" s="2" t="s">
        <v>110</v>
      </c>
      <c r="R500" s="2" t="n">
        <v>0.9</v>
      </c>
      <c r="S500" s="2" t="s">
        <v>2776</v>
      </c>
      <c r="T500" s="2" t="s">
        <v>2777</v>
      </c>
      <c r="U500" s="2" t="s">
        <v>2778</v>
      </c>
      <c r="V500" s="2" t="s">
        <v>965</v>
      </c>
      <c r="W500" s="2" t="s">
        <v>2158</v>
      </c>
      <c r="X500" s="2" t="s">
        <v>1588</v>
      </c>
    </row>
    <row r="501" customFormat="false" ht="15" hidden="false" customHeight="false" outlineLevel="0" collapsed="false">
      <c r="A501" s="2" t="n">
        <v>457</v>
      </c>
      <c r="B501" s="2" t="s">
        <v>2715</v>
      </c>
      <c r="C501" s="2" t="s">
        <v>2779</v>
      </c>
      <c r="D501" s="2" t="s">
        <v>134</v>
      </c>
      <c r="E501" s="2" t="s">
        <v>2780</v>
      </c>
      <c r="F501" s="2" t="s">
        <v>2771</v>
      </c>
      <c r="G501" s="2" t="s">
        <v>2771</v>
      </c>
      <c r="H501" s="2" t="s">
        <v>2772</v>
      </c>
      <c r="I501" s="2" t="s">
        <v>2773</v>
      </c>
      <c r="J501" s="2" t="n">
        <v>-2.34</v>
      </c>
      <c r="K501" s="2" t="n">
        <v>106.23</v>
      </c>
      <c r="L501" s="2" t="s">
        <v>101</v>
      </c>
      <c r="M501" s="2" t="s">
        <v>60</v>
      </c>
      <c r="N501" s="2"/>
      <c r="O501" s="2" t="s">
        <v>2781</v>
      </c>
      <c r="P501" s="2" t="s">
        <v>2782</v>
      </c>
      <c r="Q501" s="2" t="s">
        <v>62</v>
      </c>
      <c r="R501" s="2" t="n">
        <v>0.6</v>
      </c>
      <c r="S501" s="2" t="s">
        <v>2776</v>
      </c>
      <c r="T501" s="2" t="s">
        <v>2777</v>
      </c>
      <c r="U501" s="2" t="s">
        <v>2778</v>
      </c>
      <c r="V501" s="2" t="s">
        <v>965</v>
      </c>
      <c r="W501" s="2" t="s">
        <v>2158</v>
      </c>
      <c r="X501" s="2" t="s">
        <v>1588</v>
      </c>
    </row>
    <row r="502" customFormat="false" ht="15" hidden="false" customHeight="false" outlineLevel="0" collapsed="false">
      <c r="A502" s="2" t="n">
        <v>457</v>
      </c>
      <c r="B502" s="2" t="s">
        <v>2715</v>
      </c>
      <c r="C502" s="2" t="s">
        <v>2783</v>
      </c>
      <c r="D502" s="2" t="s">
        <v>134</v>
      </c>
      <c r="E502" s="2" t="s">
        <v>2780</v>
      </c>
      <c r="F502" s="2" t="s">
        <v>2771</v>
      </c>
      <c r="G502" s="2" t="s">
        <v>2771</v>
      </c>
      <c r="H502" s="2" t="s">
        <v>2772</v>
      </c>
      <c r="I502" s="2" t="s">
        <v>2773</v>
      </c>
      <c r="J502" s="2" t="n">
        <v>-2.34</v>
      </c>
      <c r="K502" s="2" t="n">
        <v>106.23</v>
      </c>
      <c r="L502" s="2" t="s">
        <v>101</v>
      </c>
      <c r="M502" s="2" t="s">
        <v>60</v>
      </c>
      <c r="N502" s="2"/>
      <c r="O502" s="2" t="s">
        <v>2781</v>
      </c>
      <c r="P502" s="2" t="s">
        <v>2782</v>
      </c>
      <c r="Q502" s="2" t="s">
        <v>62</v>
      </c>
      <c r="R502" s="2" t="n">
        <v>0.6</v>
      </c>
      <c r="S502" s="2" t="s">
        <v>2776</v>
      </c>
      <c r="T502" s="2" t="s">
        <v>2777</v>
      </c>
      <c r="U502" s="2" t="s">
        <v>2778</v>
      </c>
      <c r="V502" s="2" t="s">
        <v>965</v>
      </c>
      <c r="W502" s="2" t="s">
        <v>2158</v>
      </c>
      <c r="X502" s="2" t="s">
        <v>1588</v>
      </c>
    </row>
    <row r="503" customFormat="false" ht="15" hidden="false" customHeight="false" outlineLevel="0" collapsed="false">
      <c r="A503" s="2" t="n">
        <v>458</v>
      </c>
      <c r="B503" s="2" t="s">
        <v>2715</v>
      </c>
      <c r="C503" s="2" t="s">
        <v>2784</v>
      </c>
      <c r="D503" s="2" t="s">
        <v>410</v>
      </c>
      <c r="E503" s="2" t="s">
        <v>2785</v>
      </c>
      <c r="F503" s="2" t="s">
        <v>2786</v>
      </c>
      <c r="G503" s="2"/>
      <c r="H503" s="2" t="s">
        <v>2787</v>
      </c>
      <c r="I503" s="2" t="s">
        <v>326</v>
      </c>
      <c r="J503" s="2" t="n">
        <v>-3.75</v>
      </c>
      <c r="K503" s="2" t="n">
        <v>102.9</v>
      </c>
      <c r="L503" s="2" t="s">
        <v>101</v>
      </c>
      <c r="M503" s="2" t="s">
        <v>340</v>
      </c>
      <c r="N503" s="2"/>
      <c r="O503" s="2" t="s">
        <v>2788</v>
      </c>
      <c r="P503" s="2" t="s">
        <v>2789</v>
      </c>
      <c r="Q503" s="2" t="s">
        <v>62</v>
      </c>
      <c r="R503" s="2" t="n">
        <v>0.75</v>
      </c>
      <c r="S503" s="2" t="s">
        <v>2790</v>
      </c>
      <c r="T503" s="2" t="s">
        <v>963</v>
      </c>
      <c r="U503" s="2" t="s">
        <v>2791</v>
      </c>
      <c r="V503" s="2" t="s">
        <v>734</v>
      </c>
      <c r="W503" s="2" t="s">
        <v>1429</v>
      </c>
      <c r="X503" s="2" t="s">
        <v>1588</v>
      </c>
    </row>
    <row r="504" customFormat="false" ht="15" hidden="false" customHeight="false" outlineLevel="0" collapsed="false">
      <c r="A504" s="2" t="n">
        <v>461</v>
      </c>
      <c r="B504" s="2" t="s">
        <v>2715</v>
      </c>
      <c r="C504" s="2" t="s">
        <v>2792</v>
      </c>
      <c r="D504" s="2" t="s">
        <v>351</v>
      </c>
      <c r="E504" s="2" t="s">
        <v>2793</v>
      </c>
      <c r="F504" s="2"/>
      <c r="G504" s="2" t="s">
        <v>2794</v>
      </c>
      <c r="H504" s="2" t="s">
        <v>2795</v>
      </c>
      <c r="I504" s="2" t="s">
        <v>326</v>
      </c>
      <c r="J504" s="2" t="n">
        <v>-4.13</v>
      </c>
      <c r="K504" s="2" t="n">
        <v>104.17</v>
      </c>
      <c r="L504" s="2" t="s">
        <v>84</v>
      </c>
      <c r="M504" s="2" t="s">
        <v>60</v>
      </c>
      <c r="N504" s="2" t="s">
        <v>2796</v>
      </c>
      <c r="O504" s="2" t="s">
        <v>2797</v>
      </c>
      <c r="P504" s="2" t="s">
        <v>2798</v>
      </c>
      <c r="Q504" s="2" t="s">
        <v>110</v>
      </c>
      <c r="R504" s="2" t="n">
        <v>0.35</v>
      </c>
      <c r="S504" s="2" t="s">
        <v>2799</v>
      </c>
      <c r="T504" s="2" t="s">
        <v>2800</v>
      </c>
      <c r="U504" s="2" t="s">
        <v>2801</v>
      </c>
      <c r="V504" s="2" t="s">
        <v>2802</v>
      </c>
      <c r="W504" s="2" t="s">
        <v>1964</v>
      </c>
      <c r="X504" s="2" t="s">
        <v>1588</v>
      </c>
    </row>
    <row r="505" customFormat="false" ht="15" hidden="false" customHeight="false" outlineLevel="0" collapsed="false">
      <c r="A505" s="2" t="n">
        <v>464</v>
      </c>
      <c r="B505" s="2" t="s">
        <v>2715</v>
      </c>
      <c r="C505" s="2" t="s">
        <v>2803</v>
      </c>
      <c r="D505" s="2" t="s">
        <v>351</v>
      </c>
      <c r="E505" s="2" t="s">
        <v>2804</v>
      </c>
      <c r="F505" s="2"/>
      <c r="G505" s="2" t="s">
        <v>2805</v>
      </c>
      <c r="H505" s="2" t="s">
        <v>2806</v>
      </c>
      <c r="I505" s="2" t="s">
        <v>326</v>
      </c>
      <c r="J505" s="2" t="n">
        <v>-3.4</v>
      </c>
      <c r="K505" s="2" t="n">
        <v>105.5</v>
      </c>
      <c r="L505" s="2" t="s">
        <v>101</v>
      </c>
      <c r="M505" s="2" t="s">
        <v>340</v>
      </c>
      <c r="N505" s="2" t="s">
        <v>2807</v>
      </c>
      <c r="O505" s="2" t="s">
        <v>2808</v>
      </c>
      <c r="P505" s="2" t="s">
        <v>2809</v>
      </c>
      <c r="Q505" s="2" t="s">
        <v>110</v>
      </c>
      <c r="R505" s="2" t="n">
        <v>0.5</v>
      </c>
      <c r="S505" s="2" t="s">
        <v>2810</v>
      </c>
      <c r="T505" s="2" t="s">
        <v>963</v>
      </c>
      <c r="U505" s="2" t="s">
        <v>2811</v>
      </c>
      <c r="V505" s="2" t="s">
        <v>2750</v>
      </c>
      <c r="W505" s="2" t="s">
        <v>538</v>
      </c>
      <c r="X505" s="2" t="s">
        <v>1588</v>
      </c>
    </row>
    <row r="506" customFormat="false" ht="15" hidden="false" customHeight="false" outlineLevel="0" collapsed="false">
      <c r="A506" s="2" t="n">
        <v>465</v>
      </c>
      <c r="B506" s="2" t="s">
        <v>2715</v>
      </c>
      <c r="C506" s="2" t="s">
        <v>2812</v>
      </c>
      <c r="D506" s="2" t="s">
        <v>53</v>
      </c>
      <c r="E506" s="2" t="s">
        <v>2813</v>
      </c>
      <c r="F506" s="2" t="s">
        <v>2814</v>
      </c>
      <c r="G506" s="2" t="s">
        <v>334</v>
      </c>
      <c r="H506" s="2" t="s">
        <v>325</v>
      </c>
      <c r="I506" s="2" t="s">
        <v>326</v>
      </c>
      <c r="J506" s="2" t="n">
        <v>-2.988</v>
      </c>
      <c r="K506" s="2" t="n">
        <v>104.761</v>
      </c>
      <c r="L506" s="2" t="s">
        <v>59</v>
      </c>
      <c r="M506" s="2" t="s">
        <v>60</v>
      </c>
      <c r="N506" s="2"/>
      <c r="O506" s="2" t="s">
        <v>2815</v>
      </c>
      <c r="P506" s="2" t="s">
        <v>692</v>
      </c>
      <c r="Q506" s="2" t="s">
        <v>110</v>
      </c>
      <c r="R506" s="2" t="n">
        <v>0.85</v>
      </c>
      <c r="S506" s="2" t="s">
        <v>2816</v>
      </c>
      <c r="T506" s="2" t="s">
        <v>2766</v>
      </c>
      <c r="U506" s="2" t="s">
        <v>2817</v>
      </c>
      <c r="V506" s="2" t="s">
        <v>420</v>
      </c>
      <c r="W506" s="2" t="s">
        <v>283</v>
      </c>
      <c r="X506" s="2" t="s">
        <v>1588</v>
      </c>
    </row>
    <row r="507" customFormat="false" ht="15" hidden="false" customHeight="false" outlineLevel="0" collapsed="false">
      <c r="A507" s="2" t="n">
        <v>466</v>
      </c>
      <c r="B507" s="2" t="s">
        <v>2715</v>
      </c>
      <c r="C507" s="2" t="s">
        <v>2803</v>
      </c>
      <c r="D507" s="2" t="s">
        <v>351</v>
      </c>
      <c r="E507" s="2" t="s">
        <v>2818</v>
      </c>
      <c r="F507" s="2"/>
      <c r="G507" s="2" t="s">
        <v>2805</v>
      </c>
      <c r="H507" s="2" t="s">
        <v>2806</v>
      </c>
      <c r="I507" s="2" t="s">
        <v>326</v>
      </c>
      <c r="J507" s="2" t="n">
        <v>-3.4</v>
      </c>
      <c r="K507" s="2" t="n">
        <v>105.5</v>
      </c>
      <c r="L507" s="2" t="s">
        <v>101</v>
      </c>
      <c r="M507" s="2" t="s">
        <v>60</v>
      </c>
      <c r="N507" s="2" t="s">
        <v>2807</v>
      </c>
      <c r="O507" s="2" t="s">
        <v>2819</v>
      </c>
      <c r="P507" s="2" t="s">
        <v>2809</v>
      </c>
      <c r="Q507" s="2" t="s">
        <v>110</v>
      </c>
      <c r="R507" s="2" t="n">
        <v>0.5</v>
      </c>
      <c r="S507" s="2" t="s">
        <v>2820</v>
      </c>
      <c r="T507" s="2" t="s">
        <v>803</v>
      </c>
      <c r="U507" s="2" t="s">
        <v>2821</v>
      </c>
      <c r="V507" s="2" t="s">
        <v>745</v>
      </c>
      <c r="W507" s="2" t="s">
        <v>283</v>
      </c>
      <c r="X507" s="2" t="s">
        <v>68</v>
      </c>
    </row>
    <row r="508" customFormat="false" ht="15" hidden="false" customHeight="false" outlineLevel="0" collapsed="false">
      <c r="A508" s="2" t="n">
        <v>467</v>
      </c>
      <c r="B508" s="2" t="s">
        <v>2715</v>
      </c>
      <c r="C508" s="2" t="s">
        <v>2803</v>
      </c>
      <c r="D508" s="2" t="s">
        <v>351</v>
      </c>
      <c r="E508" s="2" t="s">
        <v>2818</v>
      </c>
      <c r="F508" s="2"/>
      <c r="G508" s="2" t="s">
        <v>2805</v>
      </c>
      <c r="H508" s="2" t="s">
        <v>2806</v>
      </c>
      <c r="I508" s="2" t="s">
        <v>326</v>
      </c>
      <c r="J508" s="2" t="n">
        <v>-3.4</v>
      </c>
      <c r="K508" s="2" t="n">
        <v>105.5</v>
      </c>
      <c r="L508" s="2" t="s">
        <v>101</v>
      </c>
      <c r="M508" s="2" t="s">
        <v>60</v>
      </c>
      <c r="N508" s="2" t="s">
        <v>2807</v>
      </c>
      <c r="O508" s="2" t="s">
        <v>2822</v>
      </c>
      <c r="P508" s="2" t="s">
        <v>2809</v>
      </c>
      <c r="Q508" s="2" t="s">
        <v>110</v>
      </c>
      <c r="R508" s="2" t="n">
        <v>0.5</v>
      </c>
      <c r="S508" s="2" t="s">
        <v>2823</v>
      </c>
      <c r="T508" s="2" t="s">
        <v>743</v>
      </c>
      <c r="U508" s="2" t="s">
        <v>2824</v>
      </c>
      <c r="V508" s="2" t="s">
        <v>420</v>
      </c>
      <c r="W508" s="2" t="s">
        <v>2825</v>
      </c>
      <c r="X508" s="2" t="s">
        <v>1588</v>
      </c>
    </row>
    <row r="509" customFormat="false" ht="15" hidden="false" customHeight="false" outlineLevel="0" collapsed="false">
      <c r="A509" s="2" t="n">
        <v>468</v>
      </c>
      <c r="B509" s="2" t="s">
        <v>2715</v>
      </c>
      <c r="C509" s="2" t="s">
        <v>2812</v>
      </c>
      <c r="D509" s="2" t="s">
        <v>53</v>
      </c>
      <c r="E509" s="2" t="s">
        <v>2826</v>
      </c>
      <c r="F509" s="2" t="s">
        <v>2814</v>
      </c>
      <c r="G509" s="2" t="s">
        <v>334</v>
      </c>
      <c r="H509" s="2" t="s">
        <v>325</v>
      </c>
      <c r="I509" s="2" t="s">
        <v>326</v>
      </c>
      <c r="J509" s="2" t="n">
        <v>-2.988</v>
      </c>
      <c r="K509" s="2" t="n">
        <v>104.761</v>
      </c>
      <c r="L509" s="2" t="s">
        <v>59</v>
      </c>
      <c r="M509" s="2" t="s">
        <v>60</v>
      </c>
      <c r="N509" s="2"/>
      <c r="O509" s="2" t="s">
        <v>2827</v>
      </c>
      <c r="P509" s="2" t="s">
        <v>692</v>
      </c>
      <c r="Q509" s="2" t="s">
        <v>110</v>
      </c>
      <c r="R509" s="2" t="n">
        <v>0.85</v>
      </c>
      <c r="S509" s="2" t="s">
        <v>2828</v>
      </c>
      <c r="T509" s="2" t="s">
        <v>803</v>
      </c>
      <c r="U509" s="2" t="s">
        <v>2829</v>
      </c>
      <c r="V509" s="2" t="s">
        <v>2830</v>
      </c>
      <c r="W509" s="2" t="s">
        <v>1793</v>
      </c>
      <c r="X509" s="2" t="s">
        <v>68</v>
      </c>
    </row>
    <row r="510" customFormat="false" ht="15" hidden="false" customHeight="false" outlineLevel="0" collapsed="false">
      <c r="A510" s="2" t="n">
        <v>469</v>
      </c>
      <c r="B510" s="2" t="s">
        <v>2715</v>
      </c>
      <c r="C510" s="2" t="s">
        <v>2812</v>
      </c>
      <c r="D510" s="2" t="s">
        <v>53</v>
      </c>
      <c r="E510" s="2" t="s">
        <v>2813</v>
      </c>
      <c r="F510" s="2" t="s">
        <v>2814</v>
      </c>
      <c r="G510" s="2" t="s">
        <v>334</v>
      </c>
      <c r="H510" s="2" t="s">
        <v>325</v>
      </c>
      <c r="I510" s="2" t="s">
        <v>326</v>
      </c>
      <c r="J510" s="2" t="n">
        <v>-2.988</v>
      </c>
      <c r="K510" s="2" t="n">
        <v>104.761</v>
      </c>
      <c r="L510" s="2" t="s">
        <v>59</v>
      </c>
      <c r="M510" s="2" t="s">
        <v>60</v>
      </c>
      <c r="N510" s="2"/>
      <c r="O510" s="2" t="s">
        <v>2831</v>
      </c>
      <c r="P510" s="2" t="s">
        <v>773</v>
      </c>
      <c r="Q510" s="2" t="s">
        <v>110</v>
      </c>
      <c r="R510" s="2" t="n">
        <v>0.85</v>
      </c>
      <c r="S510" s="2" t="s">
        <v>2832</v>
      </c>
      <c r="T510" s="2" t="s">
        <v>2830</v>
      </c>
      <c r="U510" s="2" t="s">
        <v>2833</v>
      </c>
      <c r="V510" s="2" t="s">
        <v>745</v>
      </c>
      <c r="W510" s="2" t="s">
        <v>2168</v>
      </c>
      <c r="X510" s="2" t="s">
        <v>1588</v>
      </c>
    </row>
    <row r="511" customFormat="false" ht="15" hidden="false" customHeight="false" outlineLevel="0" collapsed="false">
      <c r="A511" s="2" t="n">
        <v>470</v>
      </c>
      <c r="B511" s="2" t="s">
        <v>2715</v>
      </c>
      <c r="C511" s="2" t="s">
        <v>2834</v>
      </c>
      <c r="D511" s="2" t="s">
        <v>351</v>
      </c>
      <c r="E511" s="2" t="s">
        <v>2835</v>
      </c>
      <c r="F511" s="2"/>
      <c r="G511" s="2" t="s">
        <v>2836</v>
      </c>
      <c r="H511" s="2" t="s">
        <v>325</v>
      </c>
      <c r="I511" s="2" t="s">
        <v>326</v>
      </c>
      <c r="J511" s="2" t="n">
        <v>-3.01</v>
      </c>
      <c r="K511" s="2" t="n">
        <v>104.79</v>
      </c>
      <c r="L511" s="2" t="s">
        <v>84</v>
      </c>
      <c r="M511" s="2" t="s">
        <v>60</v>
      </c>
      <c r="N511" s="2"/>
      <c r="O511" s="2" t="s">
        <v>2837</v>
      </c>
      <c r="P511" s="2" t="s">
        <v>2558</v>
      </c>
      <c r="Q511" s="2" t="s">
        <v>110</v>
      </c>
      <c r="R511" s="2" t="n">
        <v>0.5</v>
      </c>
      <c r="S511" s="2" t="s">
        <v>2838</v>
      </c>
      <c r="T511" s="2" t="s">
        <v>743</v>
      </c>
      <c r="U511" s="2" t="s">
        <v>2839</v>
      </c>
      <c r="V511" s="2" t="s">
        <v>2840</v>
      </c>
      <c r="W511" s="2" t="s">
        <v>1509</v>
      </c>
      <c r="X511" s="2" t="s">
        <v>1588</v>
      </c>
    </row>
    <row r="512" customFormat="false" ht="15" hidden="false" customHeight="false" outlineLevel="0" collapsed="false">
      <c r="A512" s="2" t="n">
        <v>471</v>
      </c>
      <c r="B512" s="2" t="s">
        <v>2715</v>
      </c>
      <c r="C512" s="2" t="s">
        <v>2841</v>
      </c>
      <c r="D512" s="2" t="s">
        <v>351</v>
      </c>
      <c r="E512" s="2" t="s">
        <v>2741</v>
      </c>
      <c r="F512" s="2" t="s">
        <v>2734</v>
      </c>
      <c r="G512" s="2" t="s">
        <v>2735</v>
      </c>
      <c r="H512" s="2" t="s">
        <v>325</v>
      </c>
      <c r="I512" s="2" t="s">
        <v>326</v>
      </c>
      <c r="J512" s="2" t="n">
        <v>-2.985</v>
      </c>
      <c r="K512" s="2" t="n">
        <v>104.75</v>
      </c>
      <c r="L512" s="2" t="s">
        <v>84</v>
      </c>
      <c r="M512" s="2" t="s">
        <v>60</v>
      </c>
      <c r="N512" s="2"/>
      <c r="O512" s="2" t="s">
        <v>2842</v>
      </c>
      <c r="P512" s="2"/>
      <c r="Q512" s="2" t="s">
        <v>110</v>
      </c>
      <c r="R512" s="2" t="n">
        <v>0.8</v>
      </c>
      <c r="S512" s="2" t="s">
        <v>2843</v>
      </c>
      <c r="T512" s="2" t="s">
        <v>2844</v>
      </c>
      <c r="U512" s="2" t="s">
        <v>2845</v>
      </c>
      <c r="V512" s="2" t="s">
        <v>1314</v>
      </c>
      <c r="W512" s="2" t="s">
        <v>2846</v>
      </c>
      <c r="X512" s="2" t="s">
        <v>1588</v>
      </c>
    </row>
    <row r="513" customFormat="false" ht="15" hidden="false" customHeight="false" outlineLevel="0" collapsed="false">
      <c r="A513" s="2" t="n">
        <v>474</v>
      </c>
      <c r="B513" s="2" t="s">
        <v>2715</v>
      </c>
      <c r="C513" s="2" t="s">
        <v>2847</v>
      </c>
      <c r="D513" s="2" t="s">
        <v>351</v>
      </c>
      <c r="E513" s="2" t="s">
        <v>2741</v>
      </c>
      <c r="F513" s="2" t="s">
        <v>2734</v>
      </c>
      <c r="G513" s="2" t="s">
        <v>2735</v>
      </c>
      <c r="H513" s="2" t="s">
        <v>325</v>
      </c>
      <c r="I513" s="2" t="s">
        <v>326</v>
      </c>
      <c r="J513" s="2" t="n">
        <v>-2.985</v>
      </c>
      <c r="K513" s="2" t="n">
        <v>104.75</v>
      </c>
      <c r="L513" s="2" t="s">
        <v>84</v>
      </c>
      <c r="M513" s="2" t="s">
        <v>60</v>
      </c>
      <c r="N513" s="2"/>
      <c r="O513" s="2" t="s">
        <v>2848</v>
      </c>
      <c r="P513" s="2" t="s">
        <v>2558</v>
      </c>
      <c r="Q513" s="2" t="s">
        <v>110</v>
      </c>
      <c r="R513" s="2" t="n">
        <v>0.8</v>
      </c>
      <c r="S513" s="2" t="s">
        <v>2849</v>
      </c>
      <c r="T513" s="2" t="s">
        <v>743</v>
      </c>
      <c r="U513" s="2" t="s">
        <v>2850</v>
      </c>
      <c r="V513" s="2" t="s">
        <v>2851</v>
      </c>
      <c r="W513" s="2" t="s">
        <v>2852</v>
      </c>
      <c r="X513" s="2" t="s">
        <v>1588</v>
      </c>
    </row>
    <row r="514" customFormat="false" ht="15" hidden="false" customHeight="false" outlineLevel="0" collapsed="false">
      <c r="A514" s="2" t="n">
        <v>475</v>
      </c>
      <c r="B514" s="2" t="s">
        <v>2715</v>
      </c>
      <c r="C514" s="2" t="s">
        <v>2853</v>
      </c>
      <c r="D514" s="2" t="s">
        <v>121</v>
      </c>
      <c r="E514" s="2" t="s">
        <v>2854</v>
      </c>
      <c r="F514" s="2"/>
      <c r="G514" s="2"/>
      <c r="H514" s="2" t="s">
        <v>325</v>
      </c>
      <c r="I514" s="2" t="s">
        <v>326</v>
      </c>
      <c r="J514" s="2" t="n">
        <v>-2.976</v>
      </c>
      <c r="K514" s="2" t="n">
        <v>104.775</v>
      </c>
      <c r="L514" s="2" t="s">
        <v>101</v>
      </c>
      <c r="M514" s="2" t="s">
        <v>60</v>
      </c>
      <c r="N514" s="2"/>
      <c r="O514" s="2" t="s">
        <v>2855</v>
      </c>
      <c r="P514" s="2" t="s">
        <v>2856</v>
      </c>
      <c r="Q514" s="2" t="s">
        <v>62</v>
      </c>
      <c r="R514" s="2" t="n">
        <v>0.6</v>
      </c>
      <c r="S514" s="2" t="s">
        <v>2857</v>
      </c>
      <c r="T514" s="2" t="s">
        <v>2800</v>
      </c>
      <c r="U514" s="2" t="s">
        <v>2858</v>
      </c>
      <c r="V514" s="2" t="s">
        <v>2859</v>
      </c>
      <c r="W514" s="2" t="s">
        <v>1261</v>
      </c>
      <c r="X514" s="2" t="s">
        <v>1588</v>
      </c>
    </row>
    <row r="515" customFormat="false" ht="15" hidden="false" customHeight="false" outlineLevel="0" collapsed="false">
      <c r="A515" s="2" t="n">
        <v>476</v>
      </c>
      <c r="B515" s="2" t="s">
        <v>2715</v>
      </c>
      <c r="C515" s="2" t="s">
        <v>2860</v>
      </c>
      <c r="D515" s="2" t="s">
        <v>121</v>
      </c>
      <c r="E515" s="2" t="s">
        <v>2861</v>
      </c>
      <c r="F515" s="2"/>
      <c r="G515" s="2"/>
      <c r="H515" s="2" t="s">
        <v>325</v>
      </c>
      <c r="I515" s="2" t="s">
        <v>326</v>
      </c>
      <c r="J515" s="2" t="n">
        <v>-2.976</v>
      </c>
      <c r="K515" s="2" t="n">
        <v>104.775</v>
      </c>
      <c r="L515" s="2" t="s">
        <v>101</v>
      </c>
      <c r="M515" s="2" t="s">
        <v>60</v>
      </c>
      <c r="N515" s="2" t="s">
        <v>2862</v>
      </c>
      <c r="O515" s="2" t="s">
        <v>2863</v>
      </c>
      <c r="P515" s="2" t="s">
        <v>2864</v>
      </c>
      <c r="Q515" s="2" t="s">
        <v>110</v>
      </c>
      <c r="R515" s="2" t="n">
        <v>0.8</v>
      </c>
      <c r="S515" s="2" t="s">
        <v>2865</v>
      </c>
      <c r="T515" s="2" t="s">
        <v>2859</v>
      </c>
      <c r="U515" s="2" t="s">
        <v>2866</v>
      </c>
      <c r="V515" s="2" t="s">
        <v>2867</v>
      </c>
      <c r="W515" s="2" t="s">
        <v>604</v>
      </c>
      <c r="X515" s="2" t="s">
        <v>1588</v>
      </c>
    </row>
    <row r="516" customFormat="false" ht="15" hidden="false" customHeight="false" outlineLevel="0" collapsed="false">
      <c r="A516" s="2" t="n">
        <v>478</v>
      </c>
      <c r="B516" s="2" t="s">
        <v>2715</v>
      </c>
      <c r="C516" s="2" t="s">
        <v>2860</v>
      </c>
      <c r="D516" s="2" t="s">
        <v>121</v>
      </c>
      <c r="E516" s="2" t="s">
        <v>2868</v>
      </c>
      <c r="F516" s="2"/>
      <c r="G516" s="2"/>
      <c r="H516" s="2" t="s">
        <v>325</v>
      </c>
      <c r="I516" s="2" t="s">
        <v>326</v>
      </c>
      <c r="J516" s="2" t="n">
        <v>-2.976</v>
      </c>
      <c r="K516" s="2" t="n">
        <v>104.775</v>
      </c>
      <c r="L516" s="2" t="s">
        <v>101</v>
      </c>
      <c r="M516" s="2" t="s">
        <v>60</v>
      </c>
      <c r="N516" s="2" t="s">
        <v>2862</v>
      </c>
      <c r="O516" s="2" t="s">
        <v>2869</v>
      </c>
      <c r="P516" s="2" t="s">
        <v>2864</v>
      </c>
      <c r="Q516" s="2" t="s">
        <v>110</v>
      </c>
      <c r="R516" s="2" t="n">
        <v>0.85</v>
      </c>
      <c r="S516" s="2" t="s">
        <v>2870</v>
      </c>
      <c r="T516" s="2" t="s">
        <v>2800</v>
      </c>
      <c r="U516" s="2" t="s">
        <v>2871</v>
      </c>
      <c r="V516" s="2" t="s">
        <v>2750</v>
      </c>
      <c r="W516" s="2" t="s">
        <v>370</v>
      </c>
      <c r="X516" s="2" t="s">
        <v>1588</v>
      </c>
    </row>
    <row r="517" customFormat="false" ht="15" hidden="false" customHeight="false" outlineLevel="0" collapsed="false">
      <c r="A517" s="2" t="n">
        <v>478</v>
      </c>
      <c r="B517" s="2" t="s">
        <v>2715</v>
      </c>
      <c r="C517" s="2" t="s">
        <v>2872</v>
      </c>
      <c r="D517" s="2" t="s">
        <v>53</v>
      </c>
      <c r="E517" s="2" t="s">
        <v>2873</v>
      </c>
      <c r="F517" s="2"/>
      <c r="G517" s="2"/>
      <c r="H517" s="2" t="s">
        <v>325</v>
      </c>
      <c r="I517" s="2" t="s">
        <v>326</v>
      </c>
      <c r="J517" s="2" t="n">
        <v>-2.976</v>
      </c>
      <c r="K517" s="2" t="n">
        <v>104.775</v>
      </c>
      <c r="L517" s="2" t="s">
        <v>101</v>
      </c>
      <c r="M517" s="2" t="s">
        <v>60</v>
      </c>
      <c r="N517" s="2" t="s">
        <v>2874</v>
      </c>
      <c r="O517" s="2" t="s">
        <v>2875</v>
      </c>
      <c r="P517" s="2"/>
      <c r="Q517" s="2" t="s">
        <v>110</v>
      </c>
      <c r="R517" s="2" t="n">
        <v>0.65</v>
      </c>
      <c r="S517" s="2" t="s">
        <v>2870</v>
      </c>
      <c r="T517" s="2" t="s">
        <v>2800</v>
      </c>
      <c r="U517" s="2" t="s">
        <v>2871</v>
      </c>
      <c r="V517" s="2" t="s">
        <v>2750</v>
      </c>
      <c r="W517" s="2" t="s">
        <v>370</v>
      </c>
      <c r="X517" s="2" t="s">
        <v>1588</v>
      </c>
    </row>
    <row r="518" customFormat="false" ht="15" hidden="false" customHeight="false" outlineLevel="0" collapsed="false">
      <c r="A518" s="2" t="n">
        <v>478</v>
      </c>
      <c r="B518" s="2" t="s">
        <v>2715</v>
      </c>
      <c r="C518" s="2" t="s">
        <v>2876</v>
      </c>
      <c r="D518" s="2" t="s">
        <v>134</v>
      </c>
      <c r="E518" s="2" t="s">
        <v>2873</v>
      </c>
      <c r="F518" s="2"/>
      <c r="G518" s="2"/>
      <c r="H518" s="2" t="s">
        <v>325</v>
      </c>
      <c r="I518" s="2" t="s">
        <v>326</v>
      </c>
      <c r="J518" s="2" t="n">
        <v>-2.976</v>
      </c>
      <c r="K518" s="2" t="n">
        <v>104.775</v>
      </c>
      <c r="L518" s="2" t="s">
        <v>101</v>
      </c>
      <c r="M518" s="2" t="s">
        <v>60</v>
      </c>
      <c r="N518" s="2" t="s">
        <v>2874</v>
      </c>
      <c r="O518" s="2" t="s">
        <v>2875</v>
      </c>
      <c r="P518" s="2"/>
      <c r="Q518" s="2" t="s">
        <v>110</v>
      </c>
      <c r="R518" s="2" t="n">
        <v>0.65</v>
      </c>
      <c r="S518" s="2" t="s">
        <v>2870</v>
      </c>
      <c r="T518" s="2" t="s">
        <v>2800</v>
      </c>
      <c r="U518" s="2" t="s">
        <v>2871</v>
      </c>
      <c r="V518" s="2" t="s">
        <v>2750</v>
      </c>
      <c r="W518" s="2" t="s">
        <v>370</v>
      </c>
      <c r="X518" s="2" t="s">
        <v>1588</v>
      </c>
    </row>
    <row r="519" customFormat="false" ht="15" hidden="false" customHeight="false" outlineLevel="0" collapsed="false">
      <c r="A519" s="2" t="n">
        <v>478</v>
      </c>
      <c r="B519" s="2" t="s">
        <v>2715</v>
      </c>
      <c r="C519" s="2" t="s">
        <v>2877</v>
      </c>
      <c r="D519" s="2" t="s">
        <v>351</v>
      </c>
      <c r="E519" s="2" t="s">
        <v>2873</v>
      </c>
      <c r="F519" s="2"/>
      <c r="G519" s="2"/>
      <c r="H519" s="2" t="s">
        <v>325</v>
      </c>
      <c r="I519" s="2" t="s">
        <v>326</v>
      </c>
      <c r="J519" s="2" t="n">
        <v>-2.976</v>
      </c>
      <c r="K519" s="2" t="n">
        <v>104.775</v>
      </c>
      <c r="L519" s="2" t="s">
        <v>101</v>
      </c>
      <c r="M519" s="2" t="s">
        <v>60</v>
      </c>
      <c r="N519" s="2" t="s">
        <v>2874</v>
      </c>
      <c r="O519" s="2" t="s">
        <v>2875</v>
      </c>
      <c r="P519" s="2"/>
      <c r="Q519" s="2" t="s">
        <v>110</v>
      </c>
      <c r="R519" s="2" t="n">
        <v>0.65</v>
      </c>
      <c r="S519" s="2" t="s">
        <v>2870</v>
      </c>
      <c r="T519" s="2" t="s">
        <v>2800</v>
      </c>
      <c r="U519" s="2" t="s">
        <v>2871</v>
      </c>
      <c r="V519" s="2" t="s">
        <v>2750</v>
      </c>
      <c r="W519" s="2" t="s">
        <v>370</v>
      </c>
      <c r="X519" s="2" t="s">
        <v>1588</v>
      </c>
    </row>
    <row r="520" customFormat="false" ht="15" hidden="false" customHeight="false" outlineLevel="0" collapsed="false">
      <c r="A520" s="2" t="n">
        <v>478</v>
      </c>
      <c r="B520" s="2" t="s">
        <v>2715</v>
      </c>
      <c r="C520" s="2" t="s">
        <v>2878</v>
      </c>
      <c r="D520" s="2" t="s">
        <v>134</v>
      </c>
      <c r="E520" s="2" t="s">
        <v>2873</v>
      </c>
      <c r="F520" s="2"/>
      <c r="G520" s="2"/>
      <c r="H520" s="2" t="s">
        <v>325</v>
      </c>
      <c r="I520" s="2" t="s">
        <v>326</v>
      </c>
      <c r="J520" s="2" t="n">
        <v>-2.976</v>
      </c>
      <c r="K520" s="2" t="n">
        <v>104.775</v>
      </c>
      <c r="L520" s="2" t="s">
        <v>101</v>
      </c>
      <c r="M520" s="2" t="s">
        <v>60</v>
      </c>
      <c r="N520" s="2" t="s">
        <v>2874</v>
      </c>
      <c r="O520" s="2" t="s">
        <v>2875</v>
      </c>
      <c r="P520" s="2"/>
      <c r="Q520" s="2" t="s">
        <v>110</v>
      </c>
      <c r="R520" s="2" t="n">
        <v>0.65</v>
      </c>
      <c r="S520" s="2" t="s">
        <v>2870</v>
      </c>
      <c r="T520" s="2" t="s">
        <v>2800</v>
      </c>
      <c r="U520" s="2" t="s">
        <v>2871</v>
      </c>
      <c r="V520" s="2" t="s">
        <v>2750</v>
      </c>
      <c r="W520" s="2" t="s">
        <v>370</v>
      </c>
      <c r="X520" s="2" t="s">
        <v>1588</v>
      </c>
    </row>
    <row r="521" customFormat="false" ht="15" hidden="false" customHeight="false" outlineLevel="0" collapsed="false">
      <c r="A521" s="2" t="n">
        <v>478</v>
      </c>
      <c r="B521" s="2" t="s">
        <v>2715</v>
      </c>
      <c r="C521" s="2" t="s">
        <v>2879</v>
      </c>
      <c r="D521" s="2" t="s">
        <v>351</v>
      </c>
      <c r="E521" s="2" t="s">
        <v>2873</v>
      </c>
      <c r="F521" s="2"/>
      <c r="G521" s="2"/>
      <c r="H521" s="2" t="s">
        <v>325</v>
      </c>
      <c r="I521" s="2" t="s">
        <v>326</v>
      </c>
      <c r="J521" s="2" t="n">
        <v>-2.976</v>
      </c>
      <c r="K521" s="2" t="n">
        <v>104.775</v>
      </c>
      <c r="L521" s="2" t="s">
        <v>101</v>
      </c>
      <c r="M521" s="2" t="s">
        <v>60</v>
      </c>
      <c r="N521" s="2" t="s">
        <v>2874</v>
      </c>
      <c r="O521" s="2" t="s">
        <v>2875</v>
      </c>
      <c r="P521" s="2"/>
      <c r="Q521" s="2" t="s">
        <v>110</v>
      </c>
      <c r="R521" s="2" t="n">
        <v>0.65</v>
      </c>
      <c r="S521" s="2" t="s">
        <v>2870</v>
      </c>
      <c r="T521" s="2" t="s">
        <v>2800</v>
      </c>
      <c r="U521" s="2" t="s">
        <v>2871</v>
      </c>
      <c r="V521" s="2" t="s">
        <v>2750</v>
      </c>
      <c r="W521" s="2" t="s">
        <v>370</v>
      </c>
      <c r="X521" s="2" t="s">
        <v>1588</v>
      </c>
    </row>
    <row r="522" customFormat="false" ht="15" hidden="false" customHeight="false" outlineLevel="0" collapsed="false">
      <c r="A522" s="2" t="n">
        <v>479</v>
      </c>
      <c r="B522" s="2" t="s">
        <v>2715</v>
      </c>
      <c r="C522" s="2" t="s">
        <v>2880</v>
      </c>
      <c r="D522" s="2" t="s">
        <v>351</v>
      </c>
      <c r="E522" s="2" t="s">
        <v>2741</v>
      </c>
      <c r="F522" s="2"/>
      <c r="G522" s="2" t="s">
        <v>2836</v>
      </c>
      <c r="H522" s="2" t="s">
        <v>325</v>
      </c>
      <c r="I522" s="2" t="s">
        <v>326</v>
      </c>
      <c r="J522" s="2" t="n">
        <v>-3.0187</v>
      </c>
      <c r="K522" s="2" t="n">
        <v>104.7879</v>
      </c>
      <c r="L522" s="2" t="s">
        <v>124</v>
      </c>
      <c r="M522" s="2" t="s">
        <v>60</v>
      </c>
      <c r="N522" s="2"/>
      <c r="O522" s="2" t="s">
        <v>2881</v>
      </c>
      <c r="P522" s="2" t="s">
        <v>2798</v>
      </c>
      <c r="Q522" s="2" t="s">
        <v>62</v>
      </c>
      <c r="R522" s="2" t="n">
        <v>0.35</v>
      </c>
      <c r="S522" s="2" t="s">
        <v>2882</v>
      </c>
      <c r="T522" s="2" t="s">
        <v>2766</v>
      </c>
      <c r="U522" s="2" t="s">
        <v>2883</v>
      </c>
      <c r="V522" s="2" t="s">
        <v>494</v>
      </c>
      <c r="W522" s="2" t="s">
        <v>512</v>
      </c>
      <c r="X522" s="2" t="s">
        <v>1588</v>
      </c>
    </row>
    <row r="523" customFormat="false" ht="15" hidden="false" customHeight="false" outlineLevel="0" collapsed="false">
      <c r="A523" s="2" t="n">
        <v>480</v>
      </c>
      <c r="B523" s="2" t="s">
        <v>2884</v>
      </c>
      <c r="C523" s="2" t="s">
        <v>2885</v>
      </c>
      <c r="D523" s="2" t="s">
        <v>410</v>
      </c>
      <c r="E523" s="2" t="s">
        <v>2886</v>
      </c>
      <c r="F523" s="2" t="s">
        <v>2887</v>
      </c>
      <c r="G523" s="2" t="s">
        <v>2888</v>
      </c>
      <c r="H523" s="2" t="s">
        <v>2889</v>
      </c>
      <c r="I523" s="2" t="s">
        <v>2773</v>
      </c>
      <c r="J523" s="2" t="n">
        <v>-2.553</v>
      </c>
      <c r="K523" s="2" t="n">
        <v>107.712</v>
      </c>
      <c r="L523" s="2" t="s">
        <v>124</v>
      </c>
      <c r="M523" s="2" t="s">
        <v>60</v>
      </c>
      <c r="N523" s="2" t="s">
        <v>2890</v>
      </c>
      <c r="O523" s="2" t="s">
        <v>2891</v>
      </c>
      <c r="P523" s="2"/>
      <c r="Q523" s="2" t="s">
        <v>62</v>
      </c>
      <c r="R523" s="2" t="n">
        <v>0.9</v>
      </c>
      <c r="S523" s="2" t="s">
        <v>2892</v>
      </c>
      <c r="T523" s="2" t="s">
        <v>492</v>
      </c>
      <c r="U523" s="2" t="s">
        <v>2893</v>
      </c>
      <c r="V523" s="2" t="s">
        <v>745</v>
      </c>
      <c r="W523" s="2" t="s">
        <v>2013</v>
      </c>
      <c r="X523" s="2" t="s">
        <v>1588</v>
      </c>
    </row>
    <row r="524" customFormat="false" ht="15" hidden="false" customHeight="false" outlineLevel="0" collapsed="false">
      <c r="A524" s="2" t="n">
        <v>484</v>
      </c>
      <c r="B524" s="2" t="s">
        <v>2884</v>
      </c>
      <c r="C524" s="2" t="s">
        <v>2894</v>
      </c>
      <c r="D524" s="2" t="s">
        <v>410</v>
      </c>
      <c r="E524" s="2" t="s">
        <v>2895</v>
      </c>
      <c r="F524" s="2" t="s">
        <v>2896</v>
      </c>
      <c r="G524" s="2" t="s">
        <v>2897</v>
      </c>
      <c r="H524" s="2" t="s">
        <v>2772</v>
      </c>
      <c r="I524" s="2" t="s">
        <v>2773</v>
      </c>
      <c r="J524" s="2" t="n">
        <v>-2.34</v>
      </c>
      <c r="K524" s="2" t="n">
        <v>106.23</v>
      </c>
      <c r="L524" s="2" t="s">
        <v>101</v>
      </c>
      <c r="M524" s="2" t="s">
        <v>60</v>
      </c>
      <c r="N524" s="2"/>
      <c r="O524" s="2" t="s">
        <v>2898</v>
      </c>
      <c r="P524" s="2"/>
      <c r="Q524" s="2" t="s">
        <v>62</v>
      </c>
      <c r="R524" s="2" t="n">
        <v>0.8</v>
      </c>
      <c r="S524" s="2" t="s">
        <v>2899</v>
      </c>
      <c r="T524" s="2" t="s">
        <v>95</v>
      </c>
      <c r="U524" s="2" t="s">
        <v>2900</v>
      </c>
      <c r="V524" s="2" t="s">
        <v>745</v>
      </c>
      <c r="W524" s="2" t="s">
        <v>2901</v>
      </c>
      <c r="X524" s="2" t="s">
        <v>1588</v>
      </c>
    </row>
    <row r="525" customFormat="false" ht="15" hidden="false" customHeight="false" outlineLevel="0" collapsed="false">
      <c r="A525" s="2" t="n">
        <v>485</v>
      </c>
      <c r="B525" s="2" t="s">
        <v>2884</v>
      </c>
      <c r="C525" s="2" t="s">
        <v>2902</v>
      </c>
      <c r="D525" s="2" t="s">
        <v>410</v>
      </c>
      <c r="E525" s="2" t="s">
        <v>2903</v>
      </c>
      <c r="F525" s="2" t="s">
        <v>2887</v>
      </c>
      <c r="G525" s="2" t="s">
        <v>2888</v>
      </c>
      <c r="H525" s="2" t="s">
        <v>2889</v>
      </c>
      <c r="I525" s="2" t="s">
        <v>2773</v>
      </c>
      <c r="J525" s="2" t="n">
        <v>-2.553</v>
      </c>
      <c r="K525" s="2" t="n">
        <v>107.712</v>
      </c>
      <c r="L525" s="2" t="s">
        <v>124</v>
      </c>
      <c r="M525" s="2" t="s">
        <v>60</v>
      </c>
      <c r="N525" s="2"/>
      <c r="O525" s="2" t="s">
        <v>2904</v>
      </c>
      <c r="P525" s="2" t="s">
        <v>109</v>
      </c>
      <c r="Q525" s="2" t="s">
        <v>62</v>
      </c>
      <c r="R525" s="2" t="n">
        <v>0.85</v>
      </c>
      <c r="S525" s="2" t="s">
        <v>2905</v>
      </c>
      <c r="T525" s="2" t="s">
        <v>743</v>
      </c>
      <c r="U525" s="2" t="s">
        <v>2906</v>
      </c>
      <c r="V525" s="2" t="s">
        <v>420</v>
      </c>
      <c r="W525" s="2" t="s">
        <v>67</v>
      </c>
      <c r="X525" s="2" t="s">
        <v>1588</v>
      </c>
    </row>
    <row r="526" customFormat="false" ht="15" hidden="false" customHeight="false" outlineLevel="0" collapsed="false">
      <c r="A526" s="2" t="n">
        <v>485</v>
      </c>
      <c r="B526" s="2" t="s">
        <v>2884</v>
      </c>
      <c r="C526" s="2" t="s">
        <v>2907</v>
      </c>
      <c r="D526" s="2" t="s">
        <v>410</v>
      </c>
      <c r="E526" s="2" t="s">
        <v>2903</v>
      </c>
      <c r="F526" s="2" t="s">
        <v>2887</v>
      </c>
      <c r="G526" s="2" t="s">
        <v>2888</v>
      </c>
      <c r="H526" s="2" t="s">
        <v>2889</v>
      </c>
      <c r="I526" s="2" t="s">
        <v>2773</v>
      </c>
      <c r="J526" s="2" t="n">
        <v>-2.555</v>
      </c>
      <c r="K526" s="2" t="n">
        <v>107.68</v>
      </c>
      <c r="L526" s="2" t="s">
        <v>124</v>
      </c>
      <c r="M526" s="2" t="s">
        <v>60</v>
      </c>
      <c r="N526" s="2"/>
      <c r="O526" s="2" t="s">
        <v>2908</v>
      </c>
      <c r="P526" s="2"/>
      <c r="Q526" s="2" t="s">
        <v>62</v>
      </c>
      <c r="R526" s="2" t="n">
        <v>0.85</v>
      </c>
      <c r="S526" s="2" t="s">
        <v>2905</v>
      </c>
      <c r="T526" s="2" t="s">
        <v>743</v>
      </c>
      <c r="U526" s="2" t="s">
        <v>2906</v>
      </c>
      <c r="V526" s="2" t="s">
        <v>420</v>
      </c>
      <c r="W526" s="2" t="s">
        <v>67</v>
      </c>
      <c r="X526" s="2" t="s">
        <v>1588</v>
      </c>
    </row>
    <row r="527" customFormat="false" ht="15" hidden="false" customHeight="false" outlineLevel="0" collapsed="false">
      <c r="A527" s="2" t="n">
        <v>486</v>
      </c>
      <c r="B527" s="2" t="s">
        <v>2884</v>
      </c>
      <c r="C527" s="2" t="s">
        <v>2909</v>
      </c>
      <c r="D527" s="2" t="s">
        <v>121</v>
      </c>
      <c r="E527" s="2" t="s">
        <v>2910</v>
      </c>
      <c r="F527" s="2"/>
      <c r="G527" s="2" t="s">
        <v>2911</v>
      </c>
      <c r="H527" s="2" t="s">
        <v>2912</v>
      </c>
      <c r="I527" s="2" t="s">
        <v>2773</v>
      </c>
      <c r="J527" s="2" t="n">
        <v>-3.01</v>
      </c>
      <c r="K527" s="2" t="n">
        <v>106.46</v>
      </c>
      <c r="L527" s="2" t="s">
        <v>84</v>
      </c>
      <c r="M527" s="2" t="s">
        <v>60</v>
      </c>
      <c r="N527" s="2"/>
      <c r="O527" s="2" t="s">
        <v>2913</v>
      </c>
      <c r="P527" s="2" t="s">
        <v>1376</v>
      </c>
      <c r="Q527" s="2" t="s">
        <v>62</v>
      </c>
      <c r="R527" s="2" t="n">
        <v>0.6</v>
      </c>
      <c r="S527" s="2" t="s">
        <v>2914</v>
      </c>
      <c r="T527" s="2" t="s">
        <v>803</v>
      </c>
      <c r="U527" s="2" t="s">
        <v>2915</v>
      </c>
      <c r="V527" s="2" t="s">
        <v>2916</v>
      </c>
      <c r="W527" s="2" t="s">
        <v>2506</v>
      </c>
      <c r="X527" s="2" t="s">
        <v>1588</v>
      </c>
    </row>
    <row r="528" customFormat="false" ht="15" hidden="false" customHeight="false" outlineLevel="0" collapsed="false">
      <c r="A528" s="2" t="n">
        <v>491</v>
      </c>
      <c r="B528" s="2" t="s">
        <v>2884</v>
      </c>
      <c r="C528" s="2" t="s">
        <v>2917</v>
      </c>
      <c r="D528" s="2" t="s">
        <v>121</v>
      </c>
      <c r="E528" s="2" t="s">
        <v>2918</v>
      </c>
      <c r="F528" s="2"/>
      <c r="G528" s="2" t="s">
        <v>2919</v>
      </c>
      <c r="H528" s="2" t="s">
        <v>2889</v>
      </c>
      <c r="I528" s="2" t="s">
        <v>2773</v>
      </c>
      <c r="J528" s="2" t="n">
        <v>-2.74</v>
      </c>
      <c r="K528" s="2" t="n">
        <v>107.64</v>
      </c>
      <c r="L528" s="2" t="s">
        <v>84</v>
      </c>
      <c r="M528" s="2" t="s">
        <v>60</v>
      </c>
      <c r="N528" s="2" t="s">
        <v>2920</v>
      </c>
      <c r="O528" s="2" t="s">
        <v>2921</v>
      </c>
      <c r="P528" s="2" t="s">
        <v>2922</v>
      </c>
      <c r="Q528" s="2" t="s">
        <v>62</v>
      </c>
      <c r="R528" s="2" t="n">
        <v>0.65</v>
      </c>
      <c r="S528" s="2" t="s">
        <v>2923</v>
      </c>
      <c r="T528" s="2" t="s">
        <v>2924</v>
      </c>
      <c r="U528" s="2" t="s">
        <v>2925</v>
      </c>
      <c r="V528" s="2" t="s">
        <v>2926</v>
      </c>
      <c r="W528" s="2" t="s">
        <v>2927</v>
      </c>
      <c r="X528" s="2" t="s">
        <v>1588</v>
      </c>
    </row>
    <row r="529" customFormat="false" ht="15" hidden="false" customHeight="false" outlineLevel="0" collapsed="false">
      <c r="A529" s="2" t="n">
        <v>491</v>
      </c>
      <c r="B529" s="2" t="s">
        <v>2884</v>
      </c>
      <c r="C529" s="2" t="s">
        <v>2928</v>
      </c>
      <c r="D529" s="2" t="s">
        <v>410</v>
      </c>
      <c r="E529" s="2" t="s">
        <v>2929</v>
      </c>
      <c r="F529" s="2"/>
      <c r="G529" s="2" t="s">
        <v>2919</v>
      </c>
      <c r="H529" s="2" t="s">
        <v>2889</v>
      </c>
      <c r="I529" s="2" t="s">
        <v>2773</v>
      </c>
      <c r="J529" s="2" t="n">
        <v>-2.74</v>
      </c>
      <c r="K529" s="2" t="n">
        <v>107.64</v>
      </c>
      <c r="L529" s="2" t="s">
        <v>84</v>
      </c>
      <c r="M529" s="2" t="s">
        <v>60</v>
      </c>
      <c r="N529" s="2"/>
      <c r="O529" s="2" t="s">
        <v>2930</v>
      </c>
      <c r="P529" s="2" t="s">
        <v>2922</v>
      </c>
      <c r="Q529" s="2" t="s">
        <v>62</v>
      </c>
      <c r="R529" s="2" t="n">
        <v>0.5</v>
      </c>
      <c r="S529" s="2" t="s">
        <v>2923</v>
      </c>
      <c r="T529" s="2" t="s">
        <v>2924</v>
      </c>
      <c r="U529" s="2" t="s">
        <v>2925</v>
      </c>
      <c r="V529" s="2" t="s">
        <v>2926</v>
      </c>
      <c r="W529" s="2" t="s">
        <v>2927</v>
      </c>
      <c r="X529" s="2" t="s">
        <v>1588</v>
      </c>
    </row>
    <row r="530" customFormat="false" ht="15" hidden="false" customHeight="false" outlineLevel="0" collapsed="false">
      <c r="A530" s="2" t="n">
        <v>499</v>
      </c>
      <c r="B530" s="2" t="s">
        <v>2884</v>
      </c>
      <c r="C530" s="2" t="s">
        <v>2931</v>
      </c>
      <c r="D530" s="2" t="s">
        <v>410</v>
      </c>
      <c r="E530" s="2" t="s">
        <v>2932</v>
      </c>
      <c r="F530" s="2"/>
      <c r="G530" s="2"/>
      <c r="H530" s="2" t="s">
        <v>2932</v>
      </c>
      <c r="I530" s="2" t="s">
        <v>2227</v>
      </c>
      <c r="J530" s="2" t="n">
        <v>-3.81</v>
      </c>
      <c r="K530" s="2" t="n">
        <v>102.27</v>
      </c>
      <c r="L530" s="2" t="s">
        <v>124</v>
      </c>
      <c r="M530" s="2" t="s">
        <v>60</v>
      </c>
      <c r="N530" s="2" t="s">
        <v>2933</v>
      </c>
      <c r="O530" s="2" t="s">
        <v>2934</v>
      </c>
      <c r="P530" s="2"/>
      <c r="Q530" s="2" t="s">
        <v>62</v>
      </c>
      <c r="R530" s="2" t="n">
        <v>0.75</v>
      </c>
      <c r="S530" s="2" t="s">
        <v>2935</v>
      </c>
      <c r="T530" s="2" t="s">
        <v>2936</v>
      </c>
      <c r="U530" s="2" t="s">
        <v>2937</v>
      </c>
      <c r="V530" s="2" t="s">
        <v>2938</v>
      </c>
      <c r="W530" s="2" t="s">
        <v>2939</v>
      </c>
      <c r="X530" s="2" t="s">
        <v>1588</v>
      </c>
    </row>
    <row r="531" customFormat="false" ht="15" hidden="false" customHeight="false" outlineLevel="0" collapsed="false">
      <c r="A531" s="2" t="n">
        <v>500</v>
      </c>
      <c r="B531" s="2" t="s">
        <v>2884</v>
      </c>
      <c r="C531" s="2" t="s">
        <v>2940</v>
      </c>
      <c r="D531" s="2" t="s">
        <v>410</v>
      </c>
      <c r="E531" s="2" t="s">
        <v>2941</v>
      </c>
      <c r="F531" s="2"/>
      <c r="G531" s="2"/>
      <c r="H531" s="2" t="s">
        <v>2932</v>
      </c>
      <c r="I531" s="2" t="s">
        <v>2227</v>
      </c>
      <c r="J531" s="2" t="n">
        <v>-3.81</v>
      </c>
      <c r="K531" s="2" t="n">
        <v>102.27</v>
      </c>
      <c r="L531" s="2" t="s">
        <v>124</v>
      </c>
      <c r="M531" s="2" t="s">
        <v>60</v>
      </c>
      <c r="N531" s="2" t="s">
        <v>2942</v>
      </c>
      <c r="O531" s="2" t="s">
        <v>2943</v>
      </c>
      <c r="P531" s="2" t="s">
        <v>2944</v>
      </c>
      <c r="Q531" s="2" t="s">
        <v>110</v>
      </c>
      <c r="R531" s="2" t="n">
        <v>0.75</v>
      </c>
      <c r="S531" s="2" t="s">
        <v>2945</v>
      </c>
      <c r="T531" s="2" t="s">
        <v>2946</v>
      </c>
      <c r="U531" s="2" t="s">
        <v>2947</v>
      </c>
      <c r="V531" s="2" t="s">
        <v>2948</v>
      </c>
      <c r="W531" s="2" t="s">
        <v>1429</v>
      </c>
      <c r="X531" s="2" t="s">
        <v>160</v>
      </c>
    </row>
    <row r="532" customFormat="false" ht="15" hidden="false" customHeight="false" outlineLevel="0" collapsed="false">
      <c r="A532" s="2" t="n">
        <v>501</v>
      </c>
      <c r="B532" s="2" t="s">
        <v>2884</v>
      </c>
      <c r="C532" s="2" t="s">
        <v>2931</v>
      </c>
      <c r="D532" s="2" t="s">
        <v>410</v>
      </c>
      <c r="E532" s="2" t="s">
        <v>2932</v>
      </c>
      <c r="F532" s="2"/>
      <c r="G532" s="2"/>
      <c r="H532" s="2" t="s">
        <v>2932</v>
      </c>
      <c r="I532" s="2" t="s">
        <v>2227</v>
      </c>
      <c r="J532" s="2" t="n">
        <v>-3.81</v>
      </c>
      <c r="K532" s="2" t="n">
        <v>102.27</v>
      </c>
      <c r="L532" s="2" t="s">
        <v>124</v>
      </c>
      <c r="M532" s="2" t="s">
        <v>60</v>
      </c>
      <c r="N532" s="2" t="s">
        <v>2933</v>
      </c>
      <c r="O532" s="2" t="s">
        <v>2949</v>
      </c>
      <c r="P532" s="2" t="s">
        <v>2950</v>
      </c>
      <c r="Q532" s="2" t="s">
        <v>62</v>
      </c>
      <c r="R532" s="2" t="n">
        <v>0.6</v>
      </c>
      <c r="S532" s="2" t="s">
        <v>2951</v>
      </c>
      <c r="T532" s="2" t="s">
        <v>2952</v>
      </c>
      <c r="U532" s="2" t="s">
        <v>2953</v>
      </c>
      <c r="V532" s="2" t="s">
        <v>1238</v>
      </c>
      <c r="W532" s="2" t="s">
        <v>1964</v>
      </c>
      <c r="X532" s="2" t="s">
        <v>1588</v>
      </c>
    </row>
    <row r="533" customFormat="false" ht="15" hidden="false" customHeight="false" outlineLevel="0" collapsed="false">
      <c r="A533" s="2" t="n">
        <v>501</v>
      </c>
      <c r="B533" s="2" t="s">
        <v>2884</v>
      </c>
      <c r="C533" s="2" t="s">
        <v>2954</v>
      </c>
      <c r="D533" s="2" t="s">
        <v>351</v>
      </c>
      <c r="E533" s="2" t="s">
        <v>2955</v>
      </c>
      <c r="F533" s="2"/>
      <c r="G533" s="2"/>
      <c r="H533" s="2" t="s">
        <v>2932</v>
      </c>
      <c r="I533" s="2" t="s">
        <v>2227</v>
      </c>
      <c r="J533" s="2" t="n">
        <v>-3.8</v>
      </c>
      <c r="K533" s="2" t="n">
        <v>102.265</v>
      </c>
      <c r="L533" s="2" t="s">
        <v>101</v>
      </c>
      <c r="M533" s="2" t="s">
        <v>60</v>
      </c>
      <c r="N533" s="2" t="s">
        <v>2942</v>
      </c>
      <c r="O533" s="2" t="s">
        <v>2956</v>
      </c>
      <c r="P533" s="2"/>
      <c r="Q533" s="2" t="s">
        <v>62</v>
      </c>
      <c r="R533" s="2" t="n">
        <v>0.4</v>
      </c>
      <c r="S533" s="2" t="s">
        <v>2951</v>
      </c>
      <c r="T533" s="2" t="s">
        <v>2952</v>
      </c>
      <c r="U533" s="2" t="s">
        <v>2953</v>
      </c>
      <c r="V533" s="2" t="s">
        <v>1238</v>
      </c>
      <c r="W533" s="2" t="s">
        <v>1964</v>
      </c>
      <c r="X533" s="2" t="s">
        <v>1588</v>
      </c>
    </row>
    <row r="534" customFormat="false" ht="15" hidden="false" customHeight="false" outlineLevel="0" collapsed="false">
      <c r="A534" s="2" t="n">
        <v>502</v>
      </c>
      <c r="B534" s="2" t="s">
        <v>2884</v>
      </c>
      <c r="C534" s="2" t="s">
        <v>2931</v>
      </c>
      <c r="D534" s="2" t="s">
        <v>410</v>
      </c>
      <c r="E534" s="2" t="s">
        <v>2932</v>
      </c>
      <c r="F534" s="2"/>
      <c r="G534" s="2"/>
      <c r="H534" s="2" t="s">
        <v>2932</v>
      </c>
      <c r="I534" s="2" t="s">
        <v>2227</v>
      </c>
      <c r="J534" s="2" t="n">
        <v>-3.81</v>
      </c>
      <c r="K534" s="2" t="n">
        <v>102.27</v>
      </c>
      <c r="L534" s="2" t="s">
        <v>124</v>
      </c>
      <c r="M534" s="2" t="s">
        <v>60</v>
      </c>
      <c r="N534" s="2" t="s">
        <v>2933</v>
      </c>
      <c r="O534" s="2" t="s">
        <v>2957</v>
      </c>
      <c r="P534" s="2"/>
      <c r="Q534" s="2" t="s">
        <v>62</v>
      </c>
      <c r="R534" s="2" t="n">
        <v>0.85</v>
      </c>
      <c r="S534" s="2" t="s">
        <v>2958</v>
      </c>
      <c r="T534" s="2" t="s">
        <v>1236</v>
      </c>
      <c r="U534" s="2" t="s">
        <v>2959</v>
      </c>
      <c r="V534" s="2" t="s">
        <v>97</v>
      </c>
      <c r="W534" s="2" t="s">
        <v>918</v>
      </c>
      <c r="X534" s="2" t="s">
        <v>1588</v>
      </c>
    </row>
    <row r="535" customFormat="false" ht="15" hidden="false" customHeight="false" outlineLevel="0" collapsed="false">
      <c r="A535" s="2" t="n">
        <v>502</v>
      </c>
      <c r="B535" s="2" t="s">
        <v>2884</v>
      </c>
      <c r="C535" s="2" t="s">
        <v>2960</v>
      </c>
      <c r="D535" s="2" t="s">
        <v>410</v>
      </c>
      <c r="E535" s="2" t="s">
        <v>2961</v>
      </c>
      <c r="F535" s="2"/>
      <c r="G535" s="2"/>
      <c r="H535" s="2" t="s">
        <v>2962</v>
      </c>
      <c r="I535" s="2" t="s">
        <v>2227</v>
      </c>
      <c r="J535" s="2" t="n">
        <v>-3.7</v>
      </c>
      <c r="K535" s="2" t="n">
        <v>102.4</v>
      </c>
      <c r="L535" s="2" t="s">
        <v>101</v>
      </c>
      <c r="M535" s="2" t="s">
        <v>60</v>
      </c>
      <c r="N535" s="2"/>
      <c r="O535" s="2" t="s">
        <v>2963</v>
      </c>
      <c r="P535" s="2"/>
      <c r="Q535" s="2" t="s">
        <v>62</v>
      </c>
      <c r="R535" s="2" t="n">
        <v>0.85</v>
      </c>
      <c r="S535" s="2" t="s">
        <v>2958</v>
      </c>
      <c r="T535" s="2" t="s">
        <v>1236</v>
      </c>
      <c r="U535" s="2" t="s">
        <v>2959</v>
      </c>
      <c r="V535" s="2" t="s">
        <v>97</v>
      </c>
      <c r="W535" s="2" t="s">
        <v>918</v>
      </c>
      <c r="X535" s="2" t="s">
        <v>1588</v>
      </c>
    </row>
    <row r="536" customFormat="false" ht="15" hidden="false" customHeight="false" outlineLevel="0" collapsed="false">
      <c r="A536" s="2" t="n">
        <v>502</v>
      </c>
      <c r="B536" s="2" t="s">
        <v>2884</v>
      </c>
      <c r="C536" s="2" t="s">
        <v>2964</v>
      </c>
      <c r="D536" s="2" t="s">
        <v>410</v>
      </c>
      <c r="E536" s="2" t="s">
        <v>2227</v>
      </c>
      <c r="F536" s="2"/>
      <c r="G536" s="2"/>
      <c r="H536" s="2"/>
      <c r="I536" s="2" t="s">
        <v>2227</v>
      </c>
      <c r="J536" s="2" t="n">
        <v>-3.577</v>
      </c>
      <c r="K536" s="2" t="n">
        <v>102.346</v>
      </c>
      <c r="L536" s="2" t="s">
        <v>239</v>
      </c>
      <c r="M536" s="2" t="s">
        <v>340</v>
      </c>
      <c r="N536" s="2" t="s">
        <v>2965</v>
      </c>
      <c r="O536" s="2" t="s">
        <v>2966</v>
      </c>
      <c r="P536" s="2"/>
      <c r="Q536" s="2" t="s">
        <v>62</v>
      </c>
      <c r="R536" s="2" t="n">
        <v>0.8</v>
      </c>
      <c r="S536" s="2" t="s">
        <v>2958</v>
      </c>
      <c r="T536" s="2" t="s">
        <v>1236</v>
      </c>
      <c r="U536" s="2" t="s">
        <v>2959</v>
      </c>
      <c r="V536" s="2" t="s">
        <v>97</v>
      </c>
      <c r="W536" s="2" t="s">
        <v>918</v>
      </c>
      <c r="X536" s="2" t="s">
        <v>1588</v>
      </c>
    </row>
    <row r="537" customFormat="false" ht="15" hidden="false" customHeight="false" outlineLevel="0" collapsed="false">
      <c r="A537" s="2" t="n">
        <v>502</v>
      </c>
      <c r="B537" s="2" t="s">
        <v>2884</v>
      </c>
      <c r="C537" s="2" t="s">
        <v>2967</v>
      </c>
      <c r="D537" s="2" t="s">
        <v>1130</v>
      </c>
      <c r="E537" s="2" t="s">
        <v>2932</v>
      </c>
      <c r="F537" s="2"/>
      <c r="G537" s="2" t="s">
        <v>2968</v>
      </c>
      <c r="H537" s="2" t="s">
        <v>2932</v>
      </c>
      <c r="I537" s="2" t="s">
        <v>2227</v>
      </c>
      <c r="J537" s="2" t="n">
        <v>-3.787</v>
      </c>
      <c r="K537" s="2" t="n">
        <v>102.251</v>
      </c>
      <c r="L537" s="2" t="s">
        <v>124</v>
      </c>
      <c r="M537" s="2" t="s">
        <v>60</v>
      </c>
      <c r="N537" s="2"/>
      <c r="O537" s="2" t="s">
        <v>2969</v>
      </c>
      <c r="P537" s="2"/>
      <c r="Q537" s="2" t="s">
        <v>62</v>
      </c>
      <c r="R537" s="2" t="n">
        <v>0.85</v>
      </c>
      <c r="S537" s="2" t="s">
        <v>2958</v>
      </c>
      <c r="T537" s="2" t="s">
        <v>1236</v>
      </c>
      <c r="U537" s="2" t="s">
        <v>2959</v>
      </c>
      <c r="V537" s="2" t="s">
        <v>97</v>
      </c>
      <c r="W537" s="2" t="s">
        <v>918</v>
      </c>
      <c r="X537" s="2" t="s">
        <v>1588</v>
      </c>
    </row>
    <row r="538" customFormat="false" ht="15" hidden="false" customHeight="false" outlineLevel="0" collapsed="false">
      <c r="A538" s="2" t="n">
        <v>503</v>
      </c>
      <c r="B538" s="2" t="s">
        <v>2884</v>
      </c>
      <c r="C538" s="2" t="s">
        <v>2970</v>
      </c>
      <c r="D538" s="2" t="s">
        <v>410</v>
      </c>
      <c r="E538" s="2" t="s">
        <v>2971</v>
      </c>
      <c r="F538" s="2" t="s">
        <v>2972</v>
      </c>
      <c r="G538" s="2" t="s">
        <v>2973</v>
      </c>
      <c r="H538" s="2" t="s">
        <v>2974</v>
      </c>
      <c r="I538" s="2" t="s">
        <v>2227</v>
      </c>
      <c r="J538" s="2" t="n">
        <v>-3.64</v>
      </c>
      <c r="K538" s="2" t="n">
        <v>102.58</v>
      </c>
      <c r="L538" s="2" t="s">
        <v>84</v>
      </c>
      <c r="M538" s="2" t="s">
        <v>340</v>
      </c>
      <c r="N538" s="2"/>
      <c r="O538" s="2" t="s">
        <v>2975</v>
      </c>
      <c r="P538" s="2" t="s">
        <v>2976</v>
      </c>
      <c r="Q538" s="2" t="s">
        <v>110</v>
      </c>
      <c r="R538" s="2" t="n">
        <v>0.9</v>
      </c>
      <c r="S538" s="2" t="s">
        <v>2977</v>
      </c>
      <c r="T538" s="2" t="s">
        <v>95</v>
      </c>
      <c r="U538" s="2" t="s">
        <v>2978</v>
      </c>
      <c r="V538" s="2" t="s">
        <v>2979</v>
      </c>
      <c r="W538" s="2" t="s">
        <v>1700</v>
      </c>
      <c r="X538" s="2" t="s">
        <v>1588</v>
      </c>
    </row>
    <row r="539" customFormat="false" ht="15" hidden="false" customHeight="false" outlineLevel="0" collapsed="false">
      <c r="A539" s="2" t="n">
        <v>504</v>
      </c>
      <c r="B539" s="2" t="s">
        <v>2884</v>
      </c>
      <c r="C539" s="2" t="s">
        <v>2931</v>
      </c>
      <c r="D539" s="2" t="s">
        <v>410</v>
      </c>
      <c r="E539" s="2" t="s">
        <v>2932</v>
      </c>
      <c r="F539" s="2"/>
      <c r="G539" s="2"/>
      <c r="H539" s="2" t="s">
        <v>2932</v>
      </c>
      <c r="I539" s="2" t="s">
        <v>2227</v>
      </c>
      <c r="J539" s="2" t="n">
        <v>-3.81</v>
      </c>
      <c r="K539" s="2" t="n">
        <v>102.27</v>
      </c>
      <c r="L539" s="2" t="s">
        <v>124</v>
      </c>
      <c r="M539" s="2" t="s">
        <v>60</v>
      </c>
      <c r="N539" s="2" t="s">
        <v>2933</v>
      </c>
      <c r="O539" s="2" t="s">
        <v>2980</v>
      </c>
      <c r="P539" s="2" t="s">
        <v>1449</v>
      </c>
      <c r="Q539" s="2" t="s">
        <v>62</v>
      </c>
      <c r="R539" s="2" t="n">
        <v>0.6</v>
      </c>
      <c r="S539" s="2" t="s">
        <v>2981</v>
      </c>
      <c r="T539" s="2" t="s">
        <v>2952</v>
      </c>
      <c r="U539" s="2" t="s">
        <v>2982</v>
      </c>
      <c r="V539" s="2" t="s">
        <v>2983</v>
      </c>
      <c r="W539" s="2" t="s">
        <v>360</v>
      </c>
      <c r="X539" s="2" t="s">
        <v>507</v>
      </c>
    </row>
    <row r="540" customFormat="false" ht="15" hidden="false" customHeight="false" outlineLevel="0" collapsed="false">
      <c r="A540" s="2" t="n">
        <v>505</v>
      </c>
      <c r="B540" s="2" t="s">
        <v>2884</v>
      </c>
      <c r="C540" s="2" t="s">
        <v>2984</v>
      </c>
      <c r="D540" s="2" t="s">
        <v>410</v>
      </c>
      <c r="E540" s="2" t="s">
        <v>2985</v>
      </c>
      <c r="F540" s="2"/>
      <c r="G540" s="2" t="s">
        <v>2986</v>
      </c>
      <c r="H540" s="2" t="s">
        <v>2987</v>
      </c>
      <c r="I540" s="2" t="s">
        <v>2227</v>
      </c>
      <c r="J540" s="2" t="n">
        <v>-3.47</v>
      </c>
      <c r="K540" s="2" t="n">
        <v>102.52</v>
      </c>
      <c r="L540" s="2" t="s">
        <v>84</v>
      </c>
      <c r="M540" s="2" t="s">
        <v>60</v>
      </c>
      <c r="N540" s="2"/>
      <c r="O540" s="2" t="s">
        <v>2988</v>
      </c>
      <c r="P540" s="2"/>
      <c r="Q540" s="2" t="s">
        <v>110</v>
      </c>
      <c r="R540" s="2" t="n">
        <v>0.9</v>
      </c>
      <c r="S540" s="2" t="s">
        <v>2989</v>
      </c>
      <c r="T540" s="2" t="s">
        <v>2936</v>
      </c>
      <c r="U540" s="2" t="s">
        <v>2990</v>
      </c>
      <c r="V540" s="2" t="s">
        <v>2948</v>
      </c>
      <c r="W540" s="2" t="s">
        <v>2313</v>
      </c>
      <c r="X540" s="2" t="s">
        <v>1588</v>
      </c>
    </row>
    <row r="541" customFormat="false" ht="15" hidden="false" customHeight="false" outlineLevel="0" collapsed="false">
      <c r="A541" s="2" t="n">
        <v>505</v>
      </c>
      <c r="B541" s="2" t="s">
        <v>2884</v>
      </c>
      <c r="C541" s="2" t="s">
        <v>2991</v>
      </c>
      <c r="D541" s="2" t="s">
        <v>410</v>
      </c>
      <c r="E541" s="2" t="s">
        <v>2932</v>
      </c>
      <c r="F541" s="2"/>
      <c r="G541" s="2"/>
      <c r="H541" s="2" t="s">
        <v>2932</v>
      </c>
      <c r="I541" s="2" t="s">
        <v>2227</v>
      </c>
      <c r="J541" s="2" t="n">
        <v>-3.8</v>
      </c>
      <c r="K541" s="2" t="n">
        <v>102.265</v>
      </c>
      <c r="L541" s="2" t="s">
        <v>101</v>
      </c>
      <c r="M541" s="2" t="s">
        <v>60</v>
      </c>
      <c r="N541" s="2"/>
      <c r="O541" s="2" t="s">
        <v>2992</v>
      </c>
      <c r="P541" s="2"/>
      <c r="Q541" s="2" t="s">
        <v>110</v>
      </c>
      <c r="R541" s="2" t="n">
        <v>0.45</v>
      </c>
      <c r="S541" s="2" t="s">
        <v>2989</v>
      </c>
      <c r="T541" s="2" t="s">
        <v>2936</v>
      </c>
      <c r="U541" s="2" t="s">
        <v>2990</v>
      </c>
      <c r="V541" s="2" t="s">
        <v>2948</v>
      </c>
      <c r="W541" s="2" t="s">
        <v>2313</v>
      </c>
      <c r="X541" s="2" t="s">
        <v>1588</v>
      </c>
    </row>
    <row r="542" customFormat="false" ht="15" hidden="false" customHeight="false" outlineLevel="0" collapsed="false">
      <c r="A542" s="2" t="n">
        <v>505</v>
      </c>
      <c r="B542" s="2" t="s">
        <v>2884</v>
      </c>
      <c r="C542" s="2" t="s">
        <v>2993</v>
      </c>
      <c r="D542" s="2" t="s">
        <v>410</v>
      </c>
      <c r="E542" s="2" t="s">
        <v>2932</v>
      </c>
      <c r="F542" s="2"/>
      <c r="G542" s="2"/>
      <c r="H542" s="2" t="s">
        <v>2932</v>
      </c>
      <c r="I542" s="2" t="s">
        <v>2227</v>
      </c>
      <c r="J542" s="2" t="n">
        <v>-3.8</v>
      </c>
      <c r="K542" s="2" t="n">
        <v>102.265</v>
      </c>
      <c r="L542" s="2" t="s">
        <v>101</v>
      </c>
      <c r="M542" s="2" t="s">
        <v>60</v>
      </c>
      <c r="N542" s="2"/>
      <c r="O542" s="2" t="s">
        <v>2994</v>
      </c>
      <c r="P542" s="2"/>
      <c r="Q542" s="2" t="s">
        <v>62</v>
      </c>
      <c r="R542" s="2" t="n">
        <v>0.45</v>
      </c>
      <c r="S542" s="2" t="s">
        <v>2989</v>
      </c>
      <c r="T542" s="2" t="s">
        <v>2936</v>
      </c>
      <c r="U542" s="2" t="s">
        <v>2990</v>
      </c>
      <c r="V542" s="2" t="s">
        <v>2948</v>
      </c>
      <c r="W542" s="2" t="s">
        <v>2313</v>
      </c>
      <c r="X542" s="2" t="s">
        <v>1588</v>
      </c>
    </row>
    <row r="543" customFormat="false" ht="15" hidden="false" customHeight="false" outlineLevel="0" collapsed="false">
      <c r="A543" s="2" t="n">
        <v>506</v>
      </c>
      <c r="B543" s="2" t="s">
        <v>2884</v>
      </c>
      <c r="C543" s="2" t="s">
        <v>2931</v>
      </c>
      <c r="D543" s="2" t="s">
        <v>410</v>
      </c>
      <c r="E543" s="2" t="s">
        <v>2932</v>
      </c>
      <c r="F543" s="2"/>
      <c r="G543" s="2"/>
      <c r="H543" s="2" t="s">
        <v>2932</v>
      </c>
      <c r="I543" s="2" t="s">
        <v>2227</v>
      </c>
      <c r="J543" s="2" t="n">
        <v>-3.81</v>
      </c>
      <c r="K543" s="2" t="n">
        <v>102.27</v>
      </c>
      <c r="L543" s="2" t="s">
        <v>124</v>
      </c>
      <c r="M543" s="2" t="s">
        <v>60</v>
      </c>
      <c r="N543" s="2" t="s">
        <v>2933</v>
      </c>
      <c r="O543" s="2" t="s">
        <v>2995</v>
      </c>
      <c r="P543" s="2" t="s">
        <v>2996</v>
      </c>
      <c r="Q543" s="2" t="s">
        <v>62</v>
      </c>
      <c r="R543" s="2" t="n">
        <v>0.55</v>
      </c>
      <c r="S543" s="2" t="s">
        <v>2997</v>
      </c>
      <c r="T543" s="2" t="s">
        <v>2952</v>
      </c>
      <c r="U543" s="2" t="s">
        <v>2998</v>
      </c>
      <c r="V543" s="2" t="s">
        <v>2948</v>
      </c>
      <c r="W543" s="2" t="s">
        <v>2999</v>
      </c>
      <c r="X543" s="2" t="s">
        <v>68</v>
      </c>
    </row>
    <row r="544" customFormat="false" ht="15" hidden="false" customHeight="false" outlineLevel="0" collapsed="false">
      <c r="A544" s="2" t="n">
        <v>506</v>
      </c>
      <c r="B544" s="2" t="s">
        <v>2884</v>
      </c>
      <c r="C544" s="2" t="s">
        <v>3000</v>
      </c>
      <c r="D544" s="2" t="s">
        <v>410</v>
      </c>
      <c r="E544" s="2" t="s">
        <v>2932</v>
      </c>
      <c r="F544" s="2"/>
      <c r="G544" s="2"/>
      <c r="H544" s="2" t="s">
        <v>2932</v>
      </c>
      <c r="I544" s="2" t="s">
        <v>2227</v>
      </c>
      <c r="J544" s="2" t="n">
        <v>-3.8</v>
      </c>
      <c r="K544" s="2" t="n">
        <v>102.265</v>
      </c>
      <c r="L544" s="2" t="s">
        <v>101</v>
      </c>
      <c r="M544" s="2" t="s">
        <v>60</v>
      </c>
      <c r="N544" s="2"/>
      <c r="O544" s="2" t="s">
        <v>2995</v>
      </c>
      <c r="P544" s="2" t="s">
        <v>2996</v>
      </c>
      <c r="Q544" s="2" t="s">
        <v>62</v>
      </c>
      <c r="R544" s="2" t="n">
        <v>0.55</v>
      </c>
      <c r="S544" s="2" t="s">
        <v>2997</v>
      </c>
      <c r="T544" s="2" t="s">
        <v>2952</v>
      </c>
      <c r="U544" s="2" t="s">
        <v>2998</v>
      </c>
      <c r="V544" s="2" t="s">
        <v>2948</v>
      </c>
      <c r="W544" s="2" t="s">
        <v>2999</v>
      </c>
      <c r="X544" s="2" t="s">
        <v>68</v>
      </c>
    </row>
    <row r="545" customFormat="false" ht="15" hidden="false" customHeight="false" outlineLevel="0" collapsed="false">
      <c r="A545" s="2" t="n">
        <v>507</v>
      </c>
      <c r="B545" s="2" t="s">
        <v>2884</v>
      </c>
      <c r="C545" s="2" t="s">
        <v>3000</v>
      </c>
      <c r="D545" s="2" t="s">
        <v>410</v>
      </c>
      <c r="E545" s="2" t="s">
        <v>2932</v>
      </c>
      <c r="F545" s="2"/>
      <c r="G545" s="2"/>
      <c r="H545" s="2" t="s">
        <v>2932</v>
      </c>
      <c r="I545" s="2" t="s">
        <v>2227</v>
      </c>
      <c r="J545" s="2" t="n">
        <v>-3.8</v>
      </c>
      <c r="K545" s="2" t="n">
        <v>102.265</v>
      </c>
      <c r="L545" s="2" t="s">
        <v>101</v>
      </c>
      <c r="M545" s="2" t="s">
        <v>60</v>
      </c>
      <c r="N545" s="2"/>
      <c r="O545" s="2" t="s">
        <v>2995</v>
      </c>
      <c r="P545" s="2" t="s">
        <v>1457</v>
      </c>
      <c r="Q545" s="2" t="s">
        <v>62</v>
      </c>
      <c r="R545" s="2" t="n">
        <v>0.5</v>
      </c>
      <c r="S545" s="2" t="s">
        <v>3001</v>
      </c>
      <c r="T545" s="2" t="s">
        <v>2952</v>
      </c>
      <c r="U545" s="2" t="s">
        <v>3002</v>
      </c>
      <c r="V545" s="2" t="s">
        <v>2983</v>
      </c>
      <c r="W545" s="2" t="s">
        <v>159</v>
      </c>
      <c r="X545" s="2" t="s">
        <v>1588</v>
      </c>
    </row>
    <row r="546" customFormat="false" ht="15" hidden="false" customHeight="false" outlineLevel="0" collapsed="false">
      <c r="A546" s="2" t="n">
        <v>507</v>
      </c>
      <c r="B546" s="2" t="s">
        <v>2884</v>
      </c>
      <c r="C546" s="2" t="s">
        <v>2931</v>
      </c>
      <c r="D546" s="2" t="s">
        <v>410</v>
      </c>
      <c r="E546" s="2" t="s">
        <v>2932</v>
      </c>
      <c r="F546" s="2"/>
      <c r="G546" s="2"/>
      <c r="H546" s="2" t="s">
        <v>2932</v>
      </c>
      <c r="I546" s="2" t="s">
        <v>2227</v>
      </c>
      <c r="J546" s="2" t="n">
        <v>-3.81</v>
      </c>
      <c r="K546" s="2" t="n">
        <v>102.27</v>
      </c>
      <c r="L546" s="2" t="s">
        <v>124</v>
      </c>
      <c r="M546" s="2" t="s">
        <v>60</v>
      </c>
      <c r="N546" s="2" t="s">
        <v>2933</v>
      </c>
      <c r="O546" s="2" t="s">
        <v>2995</v>
      </c>
      <c r="P546" s="2" t="s">
        <v>1457</v>
      </c>
      <c r="Q546" s="2" t="s">
        <v>62</v>
      </c>
      <c r="R546" s="2" t="n">
        <v>0.5</v>
      </c>
      <c r="S546" s="2" t="s">
        <v>3001</v>
      </c>
      <c r="T546" s="2" t="s">
        <v>2952</v>
      </c>
      <c r="U546" s="2" t="s">
        <v>3002</v>
      </c>
      <c r="V546" s="2" t="s">
        <v>2983</v>
      </c>
      <c r="W546" s="2" t="s">
        <v>159</v>
      </c>
      <c r="X546" s="2" t="s">
        <v>1588</v>
      </c>
    </row>
    <row r="547" customFormat="false" ht="15" hidden="false" customHeight="false" outlineLevel="0" collapsed="false">
      <c r="A547" s="2" t="n">
        <v>515</v>
      </c>
      <c r="B547" s="2" t="s">
        <v>3003</v>
      </c>
      <c r="C547" s="2" t="s">
        <v>3004</v>
      </c>
      <c r="D547" s="2" t="s">
        <v>351</v>
      </c>
      <c r="E547" s="2" t="s">
        <v>3005</v>
      </c>
      <c r="F547" s="2" t="s">
        <v>3006</v>
      </c>
      <c r="G547" s="2" t="s">
        <v>3007</v>
      </c>
      <c r="H547" s="2" t="s">
        <v>3008</v>
      </c>
      <c r="I547" s="2" t="s">
        <v>2227</v>
      </c>
      <c r="J547" s="2" t="n">
        <v>-4.06</v>
      </c>
      <c r="K547" s="2" t="n">
        <v>102.58</v>
      </c>
      <c r="L547" s="2" t="s">
        <v>101</v>
      </c>
      <c r="M547" s="2" t="s">
        <v>60</v>
      </c>
      <c r="N547" s="2"/>
      <c r="O547" s="2" t="s">
        <v>3009</v>
      </c>
      <c r="P547" s="2" t="s">
        <v>2558</v>
      </c>
      <c r="Q547" s="2" t="s">
        <v>110</v>
      </c>
      <c r="R547" s="2" t="n">
        <v>0.35</v>
      </c>
      <c r="S547" s="2" t="s">
        <v>3010</v>
      </c>
      <c r="T547" s="2" t="s">
        <v>3011</v>
      </c>
      <c r="U547" s="2" t="s">
        <v>3012</v>
      </c>
      <c r="V547" s="2" t="s">
        <v>2948</v>
      </c>
      <c r="W547" s="2" t="s">
        <v>1875</v>
      </c>
      <c r="X547" s="2" t="s">
        <v>507</v>
      </c>
    </row>
    <row r="548" customFormat="false" ht="15" hidden="false" customHeight="false" outlineLevel="0" collapsed="false">
      <c r="A548" s="2" t="n">
        <v>516</v>
      </c>
      <c r="B548" s="2" t="s">
        <v>3003</v>
      </c>
      <c r="C548" s="2" t="s">
        <v>3013</v>
      </c>
      <c r="D548" s="2" t="s">
        <v>351</v>
      </c>
      <c r="E548" s="2" t="s">
        <v>2932</v>
      </c>
      <c r="F548" s="2"/>
      <c r="G548" s="2"/>
      <c r="H548" s="2" t="s">
        <v>2932</v>
      </c>
      <c r="I548" s="2" t="s">
        <v>2227</v>
      </c>
      <c r="J548" s="2" t="n">
        <v>-3.8</v>
      </c>
      <c r="K548" s="2" t="n">
        <v>102.265</v>
      </c>
      <c r="L548" s="2" t="s">
        <v>101</v>
      </c>
      <c r="M548" s="2" t="s">
        <v>60</v>
      </c>
      <c r="N548" s="2"/>
      <c r="O548" s="2" t="s">
        <v>3014</v>
      </c>
      <c r="P548" s="2" t="s">
        <v>2558</v>
      </c>
      <c r="Q548" s="2" t="s">
        <v>62</v>
      </c>
      <c r="R548" s="2" t="n">
        <v>0.45</v>
      </c>
      <c r="S548" s="2" t="s">
        <v>3015</v>
      </c>
      <c r="T548" s="2" t="s">
        <v>2952</v>
      </c>
      <c r="U548" s="2" t="s">
        <v>3016</v>
      </c>
      <c r="V548" s="2" t="s">
        <v>2948</v>
      </c>
      <c r="W548" s="2" t="s">
        <v>3017</v>
      </c>
      <c r="X548" s="2" t="s">
        <v>1588</v>
      </c>
    </row>
    <row r="549" customFormat="false" ht="15" hidden="false" customHeight="false" outlineLevel="0" collapsed="false">
      <c r="A549" s="2" t="n">
        <v>518</v>
      </c>
      <c r="B549" s="2" t="s">
        <v>3003</v>
      </c>
      <c r="C549" s="2" t="s">
        <v>3018</v>
      </c>
      <c r="D549" s="2" t="s">
        <v>121</v>
      </c>
      <c r="E549" s="2" t="s">
        <v>3019</v>
      </c>
      <c r="F549" s="2"/>
      <c r="G549" s="2"/>
      <c r="H549" s="2" t="s">
        <v>2932</v>
      </c>
      <c r="I549" s="2" t="s">
        <v>2227</v>
      </c>
      <c r="J549" s="2" t="n">
        <v>-3.8</v>
      </c>
      <c r="K549" s="2" t="n">
        <v>102.265</v>
      </c>
      <c r="L549" s="2" t="s">
        <v>101</v>
      </c>
      <c r="M549" s="2" t="s">
        <v>60</v>
      </c>
      <c r="N549" s="2"/>
      <c r="O549" s="2" t="s">
        <v>3020</v>
      </c>
      <c r="P549" s="2" t="s">
        <v>1955</v>
      </c>
      <c r="Q549" s="2" t="s">
        <v>62</v>
      </c>
      <c r="R549" s="2" t="n">
        <v>0.4</v>
      </c>
      <c r="S549" s="2" t="s">
        <v>3021</v>
      </c>
      <c r="T549" s="2" t="s">
        <v>2936</v>
      </c>
      <c r="U549" s="2" t="s">
        <v>3022</v>
      </c>
      <c r="V549" s="2" t="s">
        <v>420</v>
      </c>
      <c r="W549" s="2" t="s">
        <v>3023</v>
      </c>
      <c r="X549" s="2" t="s">
        <v>1588</v>
      </c>
    </row>
    <row r="550" customFormat="false" ht="15" hidden="false" customHeight="false" outlineLevel="0" collapsed="false">
      <c r="A550" s="2" t="n">
        <v>519</v>
      </c>
      <c r="B550" s="2" t="s">
        <v>3003</v>
      </c>
      <c r="C550" s="2" t="s">
        <v>3024</v>
      </c>
      <c r="D550" s="2" t="s">
        <v>121</v>
      </c>
      <c r="E550" s="2" t="s">
        <v>3025</v>
      </c>
      <c r="F550" s="2"/>
      <c r="G550" s="2"/>
      <c r="H550" s="2" t="s">
        <v>2932</v>
      </c>
      <c r="I550" s="2" t="s">
        <v>2227</v>
      </c>
      <c r="J550" s="2" t="n">
        <v>-3.8</v>
      </c>
      <c r="K550" s="2" t="n">
        <v>102.265</v>
      </c>
      <c r="L550" s="2" t="s">
        <v>101</v>
      </c>
      <c r="M550" s="2" t="s">
        <v>60</v>
      </c>
      <c r="N550" s="2"/>
      <c r="O550" s="2" t="s">
        <v>3026</v>
      </c>
      <c r="P550" s="2" t="s">
        <v>3027</v>
      </c>
      <c r="Q550" s="2" t="s">
        <v>62</v>
      </c>
      <c r="R550" s="2" t="n">
        <v>0.75</v>
      </c>
      <c r="S550" s="2" t="s">
        <v>3028</v>
      </c>
      <c r="T550" s="2" t="s">
        <v>1563</v>
      </c>
      <c r="U550" s="2" t="s">
        <v>3029</v>
      </c>
      <c r="V550" s="2" t="s">
        <v>2948</v>
      </c>
      <c r="W550" s="2" t="s">
        <v>3017</v>
      </c>
      <c r="X550" s="2" t="s">
        <v>1588</v>
      </c>
    </row>
    <row r="551" customFormat="false" ht="15" hidden="false" customHeight="false" outlineLevel="0" collapsed="false">
      <c r="A551" s="2" t="n">
        <v>520</v>
      </c>
      <c r="B551" s="2" t="s">
        <v>3003</v>
      </c>
      <c r="C551" s="2" t="s">
        <v>3030</v>
      </c>
      <c r="D551" s="2" t="s">
        <v>121</v>
      </c>
      <c r="E551" s="2" t="s">
        <v>2932</v>
      </c>
      <c r="F551" s="2"/>
      <c r="G551" s="2"/>
      <c r="H551" s="2" t="s">
        <v>2932</v>
      </c>
      <c r="I551" s="2" t="s">
        <v>2227</v>
      </c>
      <c r="J551" s="2" t="n">
        <v>-3.8</v>
      </c>
      <c r="K551" s="2" t="n">
        <v>102.265</v>
      </c>
      <c r="L551" s="2" t="s">
        <v>101</v>
      </c>
      <c r="M551" s="2" t="s">
        <v>60</v>
      </c>
      <c r="N551" s="2"/>
      <c r="O551" s="2" t="s">
        <v>3031</v>
      </c>
      <c r="P551" s="2" t="s">
        <v>3032</v>
      </c>
      <c r="Q551" s="2" t="s">
        <v>62</v>
      </c>
      <c r="R551" s="2" t="n">
        <v>0.6</v>
      </c>
      <c r="S551" s="2" t="s">
        <v>3033</v>
      </c>
      <c r="T551" s="2" t="s">
        <v>2952</v>
      </c>
      <c r="U551" s="2" t="s">
        <v>3034</v>
      </c>
      <c r="V551" s="2" t="s">
        <v>2948</v>
      </c>
      <c r="W551" s="2" t="s">
        <v>1972</v>
      </c>
      <c r="X551" s="2" t="s">
        <v>1588</v>
      </c>
    </row>
    <row r="552" customFormat="false" ht="15" hidden="false" customHeight="false" outlineLevel="0" collapsed="false">
      <c r="A552" s="2" t="n">
        <v>521</v>
      </c>
      <c r="B552" s="2" t="s">
        <v>3003</v>
      </c>
      <c r="C552" s="2" t="s">
        <v>3024</v>
      </c>
      <c r="D552" s="2" t="s">
        <v>121</v>
      </c>
      <c r="E552" s="2" t="s">
        <v>2932</v>
      </c>
      <c r="F552" s="2"/>
      <c r="G552" s="2"/>
      <c r="H552" s="2" t="s">
        <v>2932</v>
      </c>
      <c r="I552" s="2" t="s">
        <v>2227</v>
      </c>
      <c r="J552" s="2" t="n">
        <v>-3.8</v>
      </c>
      <c r="K552" s="2" t="n">
        <v>102.265</v>
      </c>
      <c r="L552" s="2" t="s">
        <v>101</v>
      </c>
      <c r="M552" s="2" t="s">
        <v>60</v>
      </c>
      <c r="N552" s="2"/>
      <c r="O552" s="2" t="s">
        <v>3035</v>
      </c>
      <c r="P552" s="2" t="s">
        <v>298</v>
      </c>
      <c r="Q552" s="2" t="s">
        <v>62</v>
      </c>
      <c r="R552" s="2" t="n">
        <v>0.6</v>
      </c>
      <c r="S552" s="2" t="s">
        <v>3036</v>
      </c>
      <c r="T552" s="2" t="s">
        <v>2952</v>
      </c>
      <c r="U552" s="2" t="s">
        <v>3037</v>
      </c>
      <c r="V552" s="2" t="s">
        <v>2948</v>
      </c>
      <c r="W552" s="2" t="s">
        <v>1138</v>
      </c>
      <c r="X552" s="2" t="s">
        <v>1588</v>
      </c>
    </row>
    <row r="553" customFormat="false" ht="15" hidden="false" customHeight="false" outlineLevel="0" collapsed="false">
      <c r="A553" s="2" t="n">
        <v>523</v>
      </c>
      <c r="B553" s="2" t="s">
        <v>3003</v>
      </c>
      <c r="C553" s="2" t="s">
        <v>3024</v>
      </c>
      <c r="D553" s="2" t="s">
        <v>121</v>
      </c>
      <c r="E553" s="2" t="s">
        <v>3025</v>
      </c>
      <c r="F553" s="2"/>
      <c r="G553" s="2"/>
      <c r="H553" s="2" t="s">
        <v>2932</v>
      </c>
      <c r="I553" s="2" t="s">
        <v>2227</v>
      </c>
      <c r="J553" s="2" t="n">
        <v>-3.8</v>
      </c>
      <c r="K553" s="2" t="n">
        <v>102.265</v>
      </c>
      <c r="L553" s="2" t="s">
        <v>101</v>
      </c>
      <c r="M553" s="2" t="s">
        <v>60</v>
      </c>
      <c r="N553" s="2"/>
      <c r="O553" s="2" t="s">
        <v>3038</v>
      </c>
      <c r="P553" s="2" t="s">
        <v>3027</v>
      </c>
      <c r="Q553" s="2" t="s">
        <v>62</v>
      </c>
      <c r="R553" s="2" t="n">
        <v>0.75</v>
      </c>
      <c r="S553" s="2" t="s">
        <v>3039</v>
      </c>
      <c r="T553" s="2" t="s">
        <v>1378</v>
      </c>
      <c r="U553" s="2" t="s">
        <v>3040</v>
      </c>
      <c r="V553" s="2" t="s">
        <v>2948</v>
      </c>
      <c r="W553" s="2" t="s">
        <v>3017</v>
      </c>
      <c r="X553" s="2" t="s">
        <v>1588</v>
      </c>
    </row>
    <row r="554" customFormat="false" ht="15" hidden="false" customHeight="false" outlineLevel="0" collapsed="false">
      <c r="A554" s="2" t="n">
        <v>524</v>
      </c>
      <c r="B554" s="2" t="s">
        <v>3003</v>
      </c>
      <c r="C554" s="2" t="s">
        <v>3041</v>
      </c>
      <c r="D554" s="2" t="s">
        <v>121</v>
      </c>
      <c r="E554" s="2" t="s">
        <v>3042</v>
      </c>
      <c r="F554" s="2"/>
      <c r="G554" s="2"/>
      <c r="H554" s="2" t="s">
        <v>2932</v>
      </c>
      <c r="I554" s="2" t="s">
        <v>2227</v>
      </c>
      <c r="J554" s="2" t="n">
        <v>-3.8</v>
      </c>
      <c r="K554" s="2" t="n">
        <v>102.265</v>
      </c>
      <c r="L554" s="2" t="s">
        <v>101</v>
      </c>
      <c r="M554" s="2" t="s">
        <v>60</v>
      </c>
      <c r="N554" s="2" t="s">
        <v>3043</v>
      </c>
      <c r="O554" s="2" t="s">
        <v>3044</v>
      </c>
      <c r="P554" s="2" t="s">
        <v>3032</v>
      </c>
      <c r="Q554" s="2" t="s">
        <v>62</v>
      </c>
      <c r="R554" s="2" t="n">
        <v>0.7</v>
      </c>
      <c r="S554" s="2" t="s">
        <v>3045</v>
      </c>
      <c r="T554" s="2" t="s">
        <v>2952</v>
      </c>
      <c r="U554" s="2" t="s">
        <v>3046</v>
      </c>
      <c r="V554" s="2" t="s">
        <v>2948</v>
      </c>
      <c r="W554" s="2" t="s">
        <v>2149</v>
      </c>
      <c r="X554" s="2" t="s">
        <v>1588</v>
      </c>
    </row>
    <row r="555" customFormat="false" ht="15" hidden="false" customHeight="false" outlineLevel="0" collapsed="false">
      <c r="A555" s="2" t="n">
        <v>526</v>
      </c>
      <c r="B555" s="2" t="s">
        <v>3003</v>
      </c>
      <c r="C555" s="2" t="s">
        <v>3047</v>
      </c>
      <c r="D555" s="2" t="s">
        <v>121</v>
      </c>
      <c r="E555" s="2" t="s">
        <v>3048</v>
      </c>
      <c r="F555" s="2"/>
      <c r="G555" s="2"/>
      <c r="H555" s="2" t="s">
        <v>2932</v>
      </c>
      <c r="I555" s="2" t="s">
        <v>2227</v>
      </c>
      <c r="J555" s="2" t="n">
        <v>-3.8</v>
      </c>
      <c r="K555" s="2" t="n">
        <v>102.265</v>
      </c>
      <c r="L555" s="2" t="s">
        <v>101</v>
      </c>
      <c r="M555" s="2" t="s">
        <v>60</v>
      </c>
      <c r="N555" s="2" t="s">
        <v>3049</v>
      </c>
      <c r="O555" s="2" t="s">
        <v>3050</v>
      </c>
      <c r="P555" s="2" t="s">
        <v>3051</v>
      </c>
      <c r="Q555" s="2" t="s">
        <v>62</v>
      </c>
      <c r="R555" s="2" t="n">
        <v>0.7</v>
      </c>
      <c r="S555" s="2" t="s">
        <v>3052</v>
      </c>
      <c r="T555" s="2" t="s">
        <v>2936</v>
      </c>
      <c r="U555" s="2" t="s">
        <v>3053</v>
      </c>
      <c r="V555" s="2" t="s">
        <v>2983</v>
      </c>
      <c r="W555" s="2" t="s">
        <v>132</v>
      </c>
      <c r="X555" s="2" t="s">
        <v>1588</v>
      </c>
    </row>
    <row r="556" customFormat="false" ht="15" hidden="false" customHeight="false" outlineLevel="0" collapsed="false">
      <c r="A556" s="2" t="n">
        <v>528</v>
      </c>
      <c r="B556" s="2" t="s">
        <v>3003</v>
      </c>
      <c r="C556" s="2" t="s">
        <v>3054</v>
      </c>
      <c r="D556" s="2" t="s">
        <v>53</v>
      </c>
      <c r="E556" s="2" t="s">
        <v>3055</v>
      </c>
      <c r="F556" s="2"/>
      <c r="G556" s="2"/>
      <c r="H556" s="2" t="s">
        <v>587</v>
      </c>
      <c r="I556" s="2" t="s">
        <v>588</v>
      </c>
      <c r="J556" s="2" t="n">
        <v>-5.429</v>
      </c>
      <c r="K556" s="2" t="n">
        <v>105.262</v>
      </c>
      <c r="L556" s="2" t="s">
        <v>101</v>
      </c>
      <c r="M556" s="2" t="s">
        <v>60</v>
      </c>
      <c r="N556" s="2"/>
      <c r="O556" s="2" t="s">
        <v>3056</v>
      </c>
      <c r="P556" s="2"/>
      <c r="Q556" s="2" t="s">
        <v>62</v>
      </c>
      <c r="R556" s="2" t="n">
        <v>0.85</v>
      </c>
      <c r="S556" s="2" t="s">
        <v>3057</v>
      </c>
      <c r="T556" s="2" t="s">
        <v>243</v>
      </c>
      <c r="U556" s="2" t="s">
        <v>3058</v>
      </c>
      <c r="V556" s="2" t="s">
        <v>594</v>
      </c>
      <c r="W556" s="2" t="s">
        <v>768</v>
      </c>
      <c r="X556" s="2" t="s">
        <v>68</v>
      </c>
    </row>
    <row r="557" customFormat="false" ht="15" hidden="false" customHeight="false" outlineLevel="0" collapsed="false">
      <c r="A557" s="2" t="n">
        <v>528</v>
      </c>
      <c r="B557" s="2" t="s">
        <v>3003</v>
      </c>
      <c r="C557" s="2" t="s">
        <v>3059</v>
      </c>
      <c r="D557" s="2" t="s">
        <v>53</v>
      </c>
      <c r="E557" s="2" t="s">
        <v>3055</v>
      </c>
      <c r="F557" s="2"/>
      <c r="G557" s="2"/>
      <c r="H557" s="2" t="s">
        <v>587</v>
      </c>
      <c r="I557" s="2" t="s">
        <v>588</v>
      </c>
      <c r="J557" s="2" t="n">
        <v>-5.429</v>
      </c>
      <c r="K557" s="2" t="n">
        <v>105.262</v>
      </c>
      <c r="L557" s="2" t="s">
        <v>101</v>
      </c>
      <c r="M557" s="2" t="s">
        <v>60</v>
      </c>
      <c r="N557" s="2"/>
      <c r="O557" s="2" t="s">
        <v>3060</v>
      </c>
      <c r="P557" s="2"/>
      <c r="Q557" s="2" t="s">
        <v>62</v>
      </c>
      <c r="R557" s="2" t="n">
        <v>0.8</v>
      </c>
      <c r="S557" s="2" t="s">
        <v>3057</v>
      </c>
      <c r="T557" s="2" t="s">
        <v>243</v>
      </c>
      <c r="U557" s="2" t="s">
        <v>3058</v>
      </c>
      <c r="V557" s="2" t="s">
        <v>594</v>
      </c>
      <c r="W557" s="2" t="s">
        <v>768</v>
      </c>
      <c r="X557" s="2" t="s">
        <v>68</v>
      </c>
    </row>
    <row r="558" customFormat="false" ht="15" hidden="false" customHeight="false" outlineLevel="0" collapsed="false">
      <c r="A558" s="2" t="n">
        <v>529</v>
      </c>
      <c r="B558" s="2" t="s">
        <v>3003</v>
      </c>
      <c r="C558" s="2" t="s">
        <v>3061</v>
      </c>
      <c r="D558" s="2" t="s">
        <v>53</v>
      </c>
      <c r="E558" s="2" t="s">
        <v>3062</v>
      </c>
      <c r="F558" s="2"/>
      <c r="G558" s="2"/>
      <c r="H558" s="2" t="s">
        <v>587</v>
      </c>
      <c r="I558" s="2" t="s">
        <v>588</v>
      </c>
      <c r="J558" s="2" t="n">
        <v>-5.429</v>
      </c>
      <c r="K558" s="2" t="n">
        <v>105.262</v>
      </c>
      <c r="L558" s="2" t="s">
        <v>101</v>
      </c>
      <c r="M558" s="2" t="s">
        <v>60</v>
      </c>
      <c r="N558" s="2" t="s">
        <v>3063</v>
      </c>
      <c r="O558" s="2" t="s">
        <v>3064</v>
      </c>
      <c r="P558" s="2"/>
      <c r="Q558" s="2" t="s">
        <v>110</v>
      </c>
      <c r="R558" s="2" t="n">
        <v>0.75</v>
      </c>
      <c r="S558" s="2" t="s">
        <v>3065</v>
      </c>
      <c r="T558" s="2" t="s">
        <v>592</v>
      </c>
      <c r="U558" s="2" t="s">
        <v>3066</v>
      </c>
      <c r="V558" s="2" t="s">
        <v>745</v>
      </c>
      <c r="W558" s="2" t="s">
        <v>115</v>
      </c>
      <c r="X558" s="2" t="s">
        <v>1588</v>
      </c>
    </row>
    <row r="559" customFormat="false" ht="15" hidden="false" customHeight="false" outlineLevel="0" collapsed="false">
      <c r="A559" s="2" t="n">
        <v>529</v>
      </c>
      <c r="B559" s="2" t="s">
        <v>3003</v>
      </c>
      <c r="C559" s="2" t="s">
        <v>3067</v>
      </c>
      <c r="D559" s="2" t="s">
        <v>53</v>
      </c>
      <c r="E559" s="2" t="s">
        <v>3068</v>
      </c>
      <c r="F559" s="2"/>
      <c r="G559" s="2" t="s">
        <v>586</v>
      </c>
      <c r="H559" s="2" t="s">
        <v>587</v>
      </c>
      <c r="I559" s="2" t="s">
        <v>588</v>
      </c>
      <c r="J559" s="2" t="n">
        <v>-5.42</v>
      </c>
      <c r="K559" s="2" t="n">
        <v>105.263</v>
      </c>
      <c r="L559" s="2" t="s">
        <v>84</v>
      </c>
      <c r="M559" s="2" t="s">
        <v>60</v>
      </c>
      <c r="N559" s="2"/>
      <c r="O559" s="2" t="s">
        <v>3069</v>
      </c>
      <c r="P559" s="2"/>
      <c r="Q559" s="2" t="s">
        <v>62</v>
      </c>
      <c r="R559" s="2" t="n">
        <v>0.8</v>
      </c>
      <c r="S559" s="2" t="s">
        <v>3065</v>
      </c>
      <c r="T559" s="2" t="s">
        <v>592</v>
      </c>
      <c r="U559" s="2" t="s">
        <v>3066</v>
      </c>
      <c r="V559" s="2" t="s">
        <v>745</v>
      </c>
      <c r="W559" s="2" t="s">
        <v>115</v>
      </c>
      <c r="X559" s="2" t="s">
        <v>1588</v>
      </c>
    </row>
    <row r="560" customFormat="false" ht="15" hidden="false" customHeight="false" outlineLevel="0" collapsed="false">
      <c r="A560" s="2" t="n">
        <v>529</v>
      </c>
      <c r="B560" s="2" t="s">
        <v>3003</v>
      </c>
      <c r="C560" s="2" t="s">
        <v>3070</v>
      </c>
      <c r="D560" s="2" t="s">
        <v>53</v>
      </c>
      <c r="E560" s="2" t="s">
        <v>3071</v>
      </c>
      <c r="F560" s="2"/>
      <c r="G560" s="2"/>
      <c r="H560" s="2" t="s">
        <v>587</v>
      </c>
      <c r="I560" s="2" t="s">
        <v>588</v>
      </c>
      <c r="J560" s="2" t="n">
        <v>-5.429</v>
      </c>
      <c r="K560" s="2" t="n">
        <v>105.262</v>
      </c>
      <c r="L560" s="2" t="s">
        <v>101</v>
      </c>
      <c r="M560" s="2" t="s">
        <v>60</v>
      </c>
      <c r="N560" s="2"/>
      <c r="O560" s="2" t="s">
        <v>3072</v>
      </c>
      <c r="P560" s="2"/>
      <c r="Q560" s="2" t="s">
        <v>62</v>
      </c>
      <c r="R560" s="2" t="n">
        <v>0.8</v>
      </c>
      <c r="S560" s="2" t="s">
        <v>3065</v>
      </c>
      <c r="T560" s="2" t="s">
        <v>592</v>
      </c>
      <c r="U560" s="2" t="s">
        <v>3066</v>
      </c>
      <c r="V560" s="2" t="s">
        <v>745</v>
      </c>
      <c r="W560" s="2" t="s">
        <v>115</v>
      </c>
      <c r="X560" s="2" t="s">
        <v>1588</v>
      </c>
    </row>
    <row r="561" customFormat="false" ht="15" hidden="false" customHeight="false" outlineLevel="0" collapsed="false">
      <c r="A561" s="2" t="n">
        <v>530</v>
      </c>
      <c r="B561" s="2" t="s">
        <v>3003</v>
      </c>
      <c r="C561" s="2" t="s">
        <v>3073</v>
      </c>
      <c r="D561" s="2" t="s">
        <v>410</v>
      </c>
      <c r="E561" s="2" t="s">
        <v>3074</v>
      </c>
      <c r="F561" s="2" t="s">
        <v>3073</v>
      </c>
      <c r="G561" s="2"/>
      <c r="H561" s="2" t="s">
        <v>1184</v>
      </c>
      <c r="I561" s="2" t="s">
        <v>588</v>
      </c>
      <c r="J561" s="2" t="n">
        <v>-5.67</v>
      </c>
      <c r="K561" s="2" t="n">
        <v>105.21</v>
      </c>
      <c r="L561" s="2" t="s">
        <v>124</v>
      </c>
      <c r="M561" s="2" t="s">
        <v>60</v>
      </c>
      <c r="N561" s="2"/>
      <c r="O561" s="2" t="s">
        <v>3075</v>
      </c>
      <c r="P561" s="2" t="s">
        <v>109</v>
      </c>
      <c r="Q561" s="2" t="s">
        <v>62</v>
      </c>
      <c r="R561" s="2" t="n">
        <v>0.85</v>
      </c>
      <c r="S561" s="2" t="s">
        <v>3076</v>
      </c>
      <c r="T561" s="2" t="s">
        <v>743</v>
      </c>
      <c r="U561" s="2" t="s">
        <v>3077</v>
      </c>
      <c r="V561" s="2" t="s">
        <v>594</v>
      </c>
      <c r="W561" s="2" t="s">
        <v>2506</v>
      </c>
      <c r="X561" s="2" t="s">
        <v>1588</v>
      </c>
    </row>
    <row r="562" customFormat="false" ht="15" hidden="false" customHeight="false" outlineLevel="0" collapsed="false">
      <c r="A562" s="2" t="n">
        <v>530</v>
      </c>
      <c r="B562" s="2" t="s">
        <v>3003</v>
      </c>
      <c r="C562" s="2" t="s">
        <v>3078</v>
      </c>
      <c r="D562" s="2" t="s">
        <v>410</v>
      </c>
      <c r="E562" s="2" t="s">
        <v>3079</v>
      </c>
      <c r="F562" s="2"/>
      <c r="G562" s="2"/>
      <c r="H562" s="2" t="s">
        <v>3079</v>
      </c>
      <c r="I562" s="2" t="s">
        <v>588</v>
      </c>
      <c r="J562" s="2" t="n">
        <v>-5.6</v>
      </c>
      <c r="K562" s="2" t="n">
        <v>105.55</v>
      </c>
      <c r="L562" s="2" t="s">
        <v>101</v>
      </c>
      <c r="M562" s="2" t="s">
        <v>60</v>
      </c>
      <c r="N562" s="2"/>
      <c r="O562" s="2" t="s">
        <v>3080</v>
      </c>
      <c r="P562" s="2" t="s">
        <v>109</v>
      </c>
      <c r="Q562" s="2" t="s">
        <v>62</v>
      </c>
      <c r="R562" s="2" t="n">
        <v>0.85</v>
      </c>
      <c r="S562" s="2" t="s">
        <v>3076</v>
      </c>
      <c r="T562" s="2" t="s">
        <v>743</v>
      </c>
      <c r="U562" s="2" t="s">
        <v>3077</v>
      </c>
      <c r="V562" s="2" t="s">
        <v>594</v>
      </c>
      <c r="W562" s="2" t="s">
        <v>2506</v>
      </c>
      <c r="X562" s="2" t="s">
        <v>1588</v>
      </c>
    </row>
    <row r="563" customFormat="false" ht="15" hidden="false" customHeight="false" outlineLevel="0" collapsed="false">
      <c r="A563" s="2" t="n">
        <v>531</v>
      </c>
      <c r="B563" s="2" t="s">
        <v>3003</v>
      </c>
      <c r="C563" s="2" t="s">
        <v>3081</v>
      </c>
      <c r="D563" s="2" t="s">
        <v>53</v>
      </c>
      <c r="E563" s="2" t="s">
        <v>3082</v>
      </c>
      <c r="F563" s="2" t="s">
        <v>1598</v>
      </c>
      <c r="G563" s="2" t="s">
        <v>3083</v>
      </c>
      <c r="H563" s="2" t="s">
        <v>587</v>
      </c>
      <c r="I563" s="2" t="s">
        <v>588</v>
      </c>
      <c r="J563" s="2" t="n">
        <v>-5.38</v>
      </c>
      <c r="K563" s="2" t="n">
        <v>105.25</v>
      </c>
      <c r="L563" s="2" t="s">
        <v>84</v>
      </c>
      <c r="M563" s="2" t="s">
        <v>60</v>
      </c>
      <c r="N563" s="2"/>
      <c r="O563" s="2" t="s">
        <v>3084</v>
      </c>
      <c r="P563" s="2" t="s">
        <v>3085</v>
      </c>
      <c r="Q563" s="2" t="s">
        <v>110</v>
      </c>
      <c r="R563" s="2" t="n">
        <v>0.9</v>
      </c>
      <c r="S563" s="2" t="s">
        <v>3086</v>
      </c>
      <c r="T563" s="2" t="s">
        <v>592</v>
      </c>
      <c r="U563" s="2" t="s">
        <v>3087</v>
      </c>
      <c r="V563" s="2" t="s">
        <v>594</v>
      </c>
      <c r="W563" s="2" t="s">
        <v>3088</v>
      </c>
      <c r="X563" s="2" t="s">
        <v>1588</v>
      </c>
    </row>
    <row r="564" customFormat="false" ht="15" hidden="false" customHeight="false" outlineLevel="0" collapsed="false">
      <c r="A564" s="2" t="n">
        <v>532</v>
      </c>
      <c r="B564" s="2" t="s">
        <v>3003</v>
      </c>
      <c r="C564" s="2" t="s">
        <v>3089</v>
      </c>
      <c r="D564" s="2" t="s">
        <v>1140</v>
      </c>
      <c r="E564" s="2" t="s">
        <v>3090</v>
      </c>
      <c r="F564" s="2" t="s">
        <v>3091</v>
      </c>
      <c r="G564" s="2" t="s">
        <v>3092</v>
      </c>
      <c r="H564" s="2" t="s">
        <v>587</v>
      </c>
      <c r="I564" s="2" t="s">
        <v>588</v>
      </c>
      <c r="J564" s="2" t="n">
        <v>-5.41</v>
      </c>
      <c r="K564" s="2" t="n">
        <v>105.24</v>
      </c>
      <c r="L564" s="2" t="s">
        <v>84</v>
      </c>
      <c r="M564" s="2" t="s">
        <v>60</v>
      </c>
      <c r="N564" s="2"/>
      <c r="O564" s="2" t="s">
        <v>3093</v>
      </c>
      <c r="P564" s="2"/>
      <c r="Q564" s="2" t="s">
        <v>62</v>
      </c>
      <c r="R564" s="2" t="n">
        <v>0.85</v>
      </c>
      <c r="S564" s="2" t="s">
        <v>3094</v>
      </c>
      <c r="T564" s="2" t="s">
        <v>592</v>
      </c>
      <c r="U564" s="2" t="s">
        <v>3095</v>
      </c>
      <c r="V564" s="2" t="s">
        <v>745</v>
      </c>
      <c r="W564" s="2" t="s">
        <v>2149</v>
      </c>
      <c r="X564" s="2" t="s">
        <v>68</v>
      </c>
    </row>
    <row r="565" customFormat="false" ht="15" hidden="false" customHeight="false" outlineLevel="0" collapsed="false">
      <c r="A565" s="2" t="n">
        <v>532</v>
      </c>
      <c r="B565" s="2" t="s">
        <v>3003</v>
      </c>
      <c r="C565" s="2" t="s">
        <v>3096</v>
      </c>
      <c r="D565" s="2" t="s">
        <v>410</v>
      </c>
      <c r="E565" s="2" t="s">
        <v>3097</v>
      </c>
      <c r="F565" s="2" t="s">
        <v>3098</v>
      </c>
      <c r="G565" s="2" t="s">
        <v>1279</v>
      </c>
      <c r="H565" s="2" t="s">
        <v>587</v>
      </c>
      <c r="I565" s="2" t="s">
        <v>588</v>
      </c>
      <c r="J565" s="2" t="n">
        <v>-5.4</v>
      </c>
      <c r="K565" s="2" t="n">
        <v>105.31</v>
      </c>
      <c r="L565" s="2" t="s">
        <v>84</v>
      </c>
      <c r="M565" s="2" t="s">
        <v>60</v>
      </c>
      <c r="N565" s="2"/>
      <c r="O565" s="2" t="s">
        <v>3099</v>
      </c>
      <c r="P565" s="2"/>
      <c r="Q565" s="2" t="s">
        <v>62</v>
      </c>
      <c r="R565" s="2" t="n">
        <v>0.85</v>
      </c>
      <c r="S565" s="2" t="s">
        <v>3094</v>
      </c>
      <c r="T565" s="2" t="s">
        <v>592</v>
      </c>
      <c r="U565" s="2" t="s">
        <v>3095</v>
      </c>
      <c r="V565" s="2" t="s">
        <v>745</v>
      </c>
      <c r="W565" s="2" t="s">
        <v>2149</v>
      </c>
      <c r="X565" s="2" t="s">
        <v>68</v>
      </c>
    </row>
    <row r="566" customFormat="false" ht="15" hidden="false" customHeight="false" outlineLevel="0" collapsed="false">
      <c r="A566" s="2" t="n">
        <v>533</v>
      </c>
      <c r="B566" s="2" t="s">
        <v>3003</v>
      </c>
      <c r="C566" s="2" t="s">
        <v>3100</v>
      </c>
      <c r="D566" s="2" t="s">
        <v>410</v>
      </c>
      <c r="E566" s="2" t="s">
        <v>3101</v>
      </c>
      <c r="F566" s="2"/>
      <c r="G566" s="2"/>
      <c r="H566" s="2" t="s">
        <v>3079</v>
      </c>
      <c r="I566" s="2" t="s">
        <v>588</v>
      </c>
      <c r="J566" s="2" t="n">
        <v>-5.6</v>
      </c>
      <c r="K566" s="2" t="n">
        <v>105.55</v>
      </c>
      <c r="L566" s="2" t="s">
        <v>101</v>
      </c>
      <c r="M566" s="2" t="s">
        <v>60</v>
      </c>
      <c r="N566" s="2"/>
      <c r="O566" s="2" t="s">
        <v>3102</v>
      </c>
      <c r="P566" s="2"/>
      <c r="Q566" s="2" t="s">
        <v>110</v>
      </c>
      <c r="R566" s="2" t="n">
        <v>0.85</v>
      </c>
      <c r="S566" s="2" t="s">
        <v>3103</v>
      </c>
      <c r="T566" s="2" t="s">
        <v>743</v>
      </c>
      <c r="U566" s="2" t="s">
        <v>3104</v>
      </c>
      <c r="V566" s="2" t="s">
        <v>1238</v>
      </c>
      <c r="W566" s="2" t="s">
        <v>1332</v>
      </c>
      <c r="X566" s="2" t="s">
        <v>1588</v>
      </c>
    </row>
    <row r="567" customFormat="false" ht="15" hidden="false" customHeight="false" outlineLevel="0" collapsed="false">
      <c r="A567" s="2" t="n">
        <v>533</v>
      </c>
      <c r="B567" s="2" t="s">
        <v>3003</v>
      </c>
      <c r="C567" s="2" t="s">
        <v>3105</v>
      </c>
      <c r="D567" s="2" t="s">
        <v>410</v>
      </c>
      <c r="E567" s="2" t="s">
        <v>3106</v>
      </c>
      <c r="F567" s="2" t="s">
        <v>3107</v>
      </c>
      <c r="G567" s="2"/>
      <c r="H567" s="2" t="s">
        <v>1184</v>
      </c>
      <c r="I567" s="2" t="s">
        <v>588</v>
      </c>
      <c r="J567" s="2" t="n">
        <v>-5.5</v>
      </c>
      <c r="K567" s="2" t="n">
        <v>105.08</v>
      </c>
      <c r="L567" s="2" t="s">
        <v>101</v>
      </c>
      <c r="M567" s="2" t="s">
        <v>340</v>
      </c>
      <c r="N567" s="2"/>
      <c r="O567" s="2" t="s">
        <v>3108</v>
      </c>
      <c r="P567" s="2"/>
      <c r="Q567" s="2" t="s">
        <v>110</v>
      </c>
      <c r="R567" s="2" t="n">
        <v>0.8</v>
      </c>
      <c r="S567" s="2" t="s">
        <v>3103</v>
      </c>
      <c r="T567" s="2" t="s">
        <v>743</v>
      </c>
      <c r="U567" s="2" t="s">
        <v>3104</v>
      </c>
      <c r="V567" s="2" t="s">
        <v>1238</v>
      </c>
      <c r="W567" s="2" t="s">
        <v>1332</v>
      </c>
      <c r="X567" s="2" t="s">
        <v>1588</v>
      </c>
    </row>
    <row r="568" customFormat="false" ht="15" hidden="false" customHeight="false" outlineLevel="0" collapsed="false">
      <c r="A568" s="2" t="n">
        <v>533</v>
      </c>
      <c r="B568" s="2" t="s">
        <v>3003</v>
      </c>
      <c r="C568" s="2" t="s">
        <v>3109</v>
      </c>
      <c r="D568" s="2" t="s">
        <v>410</v>
      </c>
      <c r="E568" s="2" t="s">
        <v>588</v>
      </c>
      <c r="F568" s="2"/>
      <c r="G568" s="2"/>
      <c r="H568" s="2"/>
      <c r="I568" s="2" t="s">
        <v>588</v>
      </c>
      <c r="J568" s="2" t="n">
        <v>-4.56</v>
      </c>
      <c r="K568" s="2" t="n">
        <v>105.4</v>
      </c>
      <c r="L568" s="2" t="s">
        <v>239</v>
      </c>
      <c r="M568" s="2" t="s">
        <v>340</v>
      </c>
      <c r="N568" s="2" t="s">
        <v>2965</v>
      </c>
      <c r="O568" s="2" t="s">
        <v>3110</v>
      </c>
      <c r="P568" s="2"/>
      <c r="Q568" s="2" t="s">
        <v>110</v>
      </c>
      <c r="R568" s="2" t="n">
        <v>0.7</v>
      </c>
      <c r="S568" s="2" t="s">
        <v>3103</v>
      </c>
      <c r="T568" s="2" t="s">
        <v>743</v>
      </c>
      <c r="U568" s="2" t="s">
        <v>3104</v>
      </c>
      <c r="V568" s="2" t="s">
        <v>1238</v>
      </c>
      <c r="W568" s="2" t="s">
        <v>1332</v>
      </c>
      <c r="X568" s="2" t="s">
        <v>1588</v>
      </c>
    </row>
    <row r="569" customFormat="false" ht="15" hidden="false" customHeight="false" outlineLevel="0" collapsed="false">
      <c r="A569" s="2" t="n">
        <v>534</v>
      </c>
      <c r="B569" s="2" t="s">
        <v>3003</v>
      </c>
      <c r="C569" s="2" t="s">
        <v>3111</v>
      </c>
      <c r="D569" s="2" t="s">
        <v>410</v>
      </c>
      <c r="E569" s="2" t="s">
        <v>3055</v>
      </c>
      <c r="F569" s="2"/>
      <c r="G569" s="2"/>
      <c r="H569" s="2" t="s">
        <v>587</v>
      </c>
      <c r="I569" s="2" t="s">
        <v>588</v>
      </c>
      <c r="J569" s="2" t="n">
        <v>-5.429</v>
      </c>
      <c r="K569" s="2" t="n">
        <v>105.262</v>
      </c>
      <c r="L569" s="2" t="s">
        <v>101</v>
      </c>
      <c r="M569" s="2" t="s">
        <v>60</v>
      </c>
      <c r="N569" s="2"/>
      <c r="O569" s="2" t="s">
        <v>3112</v>
      </c>
      <c r="P569" s="2"/>
      <c r="Q569" s="2" t="s">
        <v>62</v>
      </c>
      <c r="R569" s="2" t="n">
        <v>0.85</v>
      </c>
      <c r="S569" s="2" t="s">
        <v>3113</v>
      </c>
      <c r="T569" s="2" t="s">
        <v>1236</v>
      </c>
      <c r="U569" s="2" t="s">
        <v>3114</v>
      </c>
      <c r="V569" s="2" t="s">
        <v>745</v>
      </c>
      <c r="W569" s="2" t="s">
        <v>1768</v>
      </c>
      <c r="X569" s="2" t="s">
        <v>68</v>
      </c>
    </row>
    <row r="570" customFormat="false" ht="15" hidden="false" customHeight="false" outlineLevel="0" collapsed="false">
      <c r="A570" s="2" t="n">
        <v>534</v>
      </c>
      <c r="B570" s="2" t="s">
        <v>3003</v>
      </c>
      <c r="C570" s="2" t="s">
        <v>3115</v>
      </c>
      <c r="D570" s="2" t="s">
        <v>410</v>
      </c>
      <c r="E570" s="2" t="s">
        <v>3055</v>
      </c>
      <c r="F570" s="2"/>
      <c r="G570" s="2"/>
      <c r="H570" s="2" t="s">
        <v>587</v>
      </c>
      <c r="I570" s="2" t="s">
        <v>588</v>
      </c>
      <c r="J570" s="2" t="n">
        <v>-5.429</v>
      </c>
      <c r="K570" s="2" t="n">
        <v>105.262</v>
      </c>
      <c r="L570" s="2" t="s">
        <v>101</v>
      </c>
      <c r="M570" s="2" t="s">
        <v>60</v>
      </c>
      <c r="N570" s="2"/>
      <c r="O570" s="2" t="s">
        <v>3116</v>
      </c>
      <c r="P570" s="2"/>
      <c r="Q570" s="2" t="s">
        <v>62</v>
      </c>
      <c r="R570" s="2" t="n">
        <v>0.85</v>
      </c>
      <c r="S570" s="2" t="s">
        <v>3113</v>
      </c>
      <c r="T570" s="2" t="s">
        <v>1236</v>
      </c>
      <c r="U570" s="2" t="s">
        <v>3114</v>
      </c>
      <c r="V570" s="2" t="s">
        <v>745</v>
      </c>
      <c r="W570" s="2" t="s">
        <v>1768</v>
      </c>
      <c r="X570" s="2" t="s">
        <v>68</v>
      </c>
    </row>
    <row r="571" customFormat="false" ht="15" hidden="false" customHeight="false" outlineLevel="0" collapsed="false">
      <c r="A571" s="2" t="n">
        <v>534</v>
      </c>
      <c r="B571" s="2" t="s">
        <v>3003</v>
      </c>
      <c r="C571" s="2" t="s">
        <v>3089</v>
      </c>
      <c r="D571" s="2" t="s">
        <v>1140</v>
      </c>
      <c r="E571" s="2" t="s">
        <v>3055</v>
      </c>
      <c r="F571" s="2"/>
      <c r="G571" s="2"/>
      <c r="H571" s="2" t="s">
        <v>587</v>
      </c>
      <c r="I571" s="2" t="s">
        <v>588</v>
      </c>
      <c r="J571" s="2" t="n">
        <v>-5.429</v>
      </c>
      <c r="K571" s="2" t="n">
        <v>105.262</v>
      </c>
      <c r="L571" s="2" t="s">
        <v>101</v>
      </c>
      <c r="M571" s="2" t="s">
        <v>60</v>
      </c>
      <c r="N571" s="2"/>
      <c r="O571" s="2" t="s">
        <v>3117</v>
      </c>
      <c r="P571" s="2"/>
      <c r="Q571" s="2" t="s">
        <v>62</v>
      </c>
      <c r="R571" s="2" t="n">
        <v>0.8</v>
      </c>
      <c r="S571" s="2" t="s">
        <v>3113</v>
      </c>
      <c r="T571" s="2" t="s">
        <v>1236</v>
      </c>
      <c r="U571" s="2" t="s">
        <v>3114</v>
      </c>
      <c r="V571" s="2" t="s">
        <v>745</v>
      </c>
      <c r="W571" s="2" t="s">
        <v>1768</v>
      </c>
      <c r="X571" s="2" t="s">
        <v>68</v>
      </c>
    </row>
    <row r="572" customFormat="false" ht="15" hidden="false" customHeight="false" outlineLevel="0" collapsed="false">
      <c r="A572" s="2" t="n">
        <v>534</v>
      </c>
      <c r="B572" s="2" t="s">
        <v>3003</v>
      </c>
      <c r="C572" s="2" t="s">
        <v>3118</v>
      </c>
      <c r="D572" s="2" t="s">
        <v>410</v>
      </c>
      <c r="E572" s="2" t="s">
        <v>3055</v>
      </c>
      <c r="F572" s="2"/>
      <c r="G572" s="2"/>
      <c r="H572" s="2" t="s">
        <v>587</v>
      </c>
      <c r="I572" s="2" t="s">
        <v>588</v>
      </c>
      <c r="J572" s="2" t="n">
        <v>-5.429</v>
      </c>
      <c r="K572" s="2" t="n">
        <v>105.262</v>
      </c>
      <c r="L572" s="2" t="s">
        <v>101</v>
      </c>
      <c r="M572" s="2" t="s">
        <v>60</v>
      </c>
      <c r="N572" s="2"/>
      <c r="O572" s="2" t="s">
        <v>3119</v>
      </c>
      <c r="P572" s="2"/>
      <c r="Q572" s="2" t="s">
        <v>62</v>
      </c>
      <c r="R572" s="2" t="n">
        <v>0.8</v>
      </c>
      <c r="S572" s="2" t="s">
        <v>3113</v>
      </c>
      <c r="T572" s="2" t="s">
        <v>1236</v>
      </c>
      <c r="U572" s="2" t="s">
        <v>3114</v>
      </c>
      <c r="V572" s="2" t="s">
        <v>745</v>
      </c>
      <c r="W572" s="2" t="s">
        <v>1768</v>
      </c>
      <c r="X572" s="2" t="s">
        <v>68</v>
      </c>
    </row>
    <row r="573" customFormat="false" ht="15" hidden="false" customHeight="false" outlineLevel="0" collapsed="false">
      <c r="A573" s="2" t="n">
        <v>535</v>
      </c>
      <c r="B573" s="2" t="s">
        <v>3003</v>
      </c>
      <c r="C573" s="2" t="s">
        <v>3120</v>
      </c>
      <c r="D573" s="2" t="s">
        <v>410</v>
      </c>
      <c r="E573" s="2" t="s">
        <v>3121</v>
      </c>
      <c r="F573" s="2" t="s">
        <v>3122</v>
      </c>
      <c r="G573" s="2" t="s">
        <v>3123</v>
      </c>
      <c r="H573" s="2" t="s">
        <v>3079</v>
      </c>
      <c r="I573" s="2" t="s">
        <v>588</v>
      </c>
      <c r="J573" s="2" t="n">
        <v>-5.73</v>
      </c>
      <c r="K573" s="2" t="n">
        <v>105.6</v>
      </c>
      <c r="L573" s="2" t="s">
        <v>84</v>
      </c>
      <c r="M573" s="2" t="s">
        <v>60</v>
      </c>
      <c r="N573" s="2"/>
      <c r="O573" s="2" t="s">
        <v>3124</v>
      </c>
      <c r="P573" s="2"/>
      <c r="Q573" s="2" t="s">
        <v>62</v>
      </c>
      <c r="R573" s="2" t="n">
        <v>0.85</v>
      </c>
      <c r="S573" s="2" t="s">
        <v>3125</v>
      </c>
      <c r="T573" s="2" t="s">
        <v>743</v>
      </c>
      <c r="U573" s="2" t="s">
        <v>3126</v>
      </c>
      <c r="V573" s="2" t="s">
        <v>178</v>
      </c>
      <c r="W573" s="2" t="s">
        <v>1482</v>
      </c>
      <c r="X573" s="2" t="s">
        <v>68</v>
      </c>
    </row>
    <row r="574" customFormat="false" ht="15" hidden="false" customHeight="false" outlineLevel="0" collapsed="false">
      <c r="A574" s="2" t="n">
        <v>535</v>
      </c>
      <c r="B574" s="2" t="s">
        <v>3003</v>
      </c>
      <c r="C574" s="2" t="s">
        <v>3073</v>
      </c>
      <c r="D574" s="2" t="s">
        <v>410</v>
      </c>
      <c r="E574" s="2" t="s">
        <v>3127</v>
      </c>
      <c r="F574" s="2" t="s">
        <v>3073</v>
      </c>
      <c r="G574" s="2" t="s">
        <v>3128</v>
      </c>
      <c r="H574" s="2" t="s">
        <v>1184</v>
      </c>
      <c r="I574" s="2" t="s">
        <v>588</v>
      </c>
      <c r="J574" s="2" t="n">
        <v>-5.67</v>
      </c>
      <c r="K574" s="2" t="n">
        <v>105.21</v>
      </c>
      <c r="L574" s="2" t="s">
        <v>124</v>
      </c>
      <c r="M574" s="2" t="s">
        <v>60</v>
      </c>
      <c r="N574" s="2" t="s">
        <v>3129</v>
      </c>
      <c r="O574" s="2" t="s">
        <v>3130</v>
      </c>
      <c r="P574" s="2"/>
      <c r="Q574" s="2" t="s">
        <v>62</v>
      </c>
      <c r="R574" s="2" t="n">
        <v>0.85</v>
      </c>
      <c r="S574" s="2" t="s">
        <v>3125</v>
      </c>
      <c r="T574" s="2" t="s">
        <v>743</v>
      </c>
      <c r="U574" s="2" t="s">
        <v>3126</v>
      </c>
      <c r="V574" s="2" t="s">
        <v>178</v>
      </c>
      <c r="W574" s="2" t="s">
        <v>1482</v>
      </c>
      <c r="X574" s="2" t="s">
        <v>68</v>
      </c>
    </row>
    <row r="575" customFormat="false" ht="15" hidden="false" customHeight="false" outlineLevel="0" collapsed="false">
      <c r="A575" s="2" t="n">
        <v>535</v>
      </c>
      <c r="B575" s="2" t="s">
        <v>3003</v>
      </c>
      <c r="C575" s="2" t="s">
        <v>3131</v>
      </c>
      <c r="D575" s="2" t="s">
        <v>410</v>
      </c>
      <c r="E575" s="2" t="s">
        <v>3132</v>
      </c>
      <c r="F575" s="2"/>
      <c r="G575" s="2" t="s">
        <v>3133</v>
      </c>
      <c r="H575" s="2" t="s">
        <v>3134</v>
      </c>
      <c r="I575" s="2" t="s">
        <v>588</v>
      </c>
      <c r="J575" s="2" t="n">
        <v>-4.93</v>
      </c>
      <c r="K575" s="2" t="n">
        <v>105.78</v>
      </c>
      <c r="L575" s="2" t="s">
        <v>124</v>
      </c>
      <c r="M575" s="2" t="s">
        <v>60</v>
      </c>
      <c r="N575" s="2"/>
      <c r="O575" s="2" t="s">
        <v>3135</v>
      </c>
      <c r="P575" s="2"/>
      <c r="Q575" s="2" t="s">
        <v>62</v>
      </c>
      <c r="R575" s="2" t="n">
        <v>0.85</v>
      </c>
      <c r="S575" s="2" t="s">
        <v>3125</v>
      </c>
      <c r="T575" s="2" t="s">
        <v>743</v>
      </c>
      <c r="U575" s="2" t="s">
        <v>3126</v>
      </c>
      <c r="V575" s="2" t="s">
        <v>178</v>
      </c>
      <c r="W575" s="2" t="s">
        <v>1482</v>
      </c>
      <c r="X575" s="2" t="s">
        <v>68</v>
      </c>
    </row>
    <row r="576" customFormat="false" ht="15" hidden="false" customHeight="false" outlineLevel="0" collapsed="false">
      <c r="A576" s="2" t="n">
        <v>537</v>
      </c>
      <c r="B576" s="2" t="s">
        <v>3003</v>
      </c>
      <c r="C576" s="2" t="s">
        <v>3136</v>
      </c>
      <c r="D576" s="2" t="s">
        <v>410</v>
      </c>
      <c r="E576" s="2" t="s">
        <v>588</v>
      </c>
      <c r="F576" s="2"/>
      <c r="G576" s="2" t="s">
        <v>3137</v>
      </c>
      <c r="H576" s="2" t="s">
        <v>3138</v>
      </c>
      <c r="I576" s="2" t="s">
        <v>588</v>
      </c>
      <c r="J576" s="2" t="n">
        <v>-5.4</v>
      </c>
      <c r="K576" s="2" t="n">
        <v>104.7</v>
      </c>
      <c r="L576" s="2" t="s">
        <v>101</v>
      </c>
      <c r="M576" s="2" t="s">
        <v>60</v>
      </c>
      <c r="N576" s="2"/>
      <c r="O576" s="2" t="s">
        <v>3139</v>
      </c>
      <c r="P576" s="2"/>
      <c r="Q576" s="2" t="s">
        <v>62</v>
      </c>
      <c r="R576" s="2" t="n">
        <v>0.85</v>
      </c>
      <c r="S576" s="2" t="s">
        <v>3140</v>
      </c>
      <c r="T576" s="2" t="s">
        <v>743</v>
      </c>
      <c r="U576" s="2" t="s">
        <v>3141</v>
      </c>
      <c r="V576" s="2" t="s">
        <v>3142</v>
      </c>
      <c r="W576" s="2" t="s">
        <v>2234</v>
      </c>
      <c r="X576" s="2" t="s">
        <v>1588</v>
      </c>
    </row>
    <row r="577" customFormat="false" ht="15" hidden="false" customHeight="false" outlineLevel="0" collapsed="false">
      <c r="A577" s="2" t="n">
        <v>538</v>
      </c>
      <c r="B577" s="2" t="s">
        <v>3003</v>
      </c>
      <c r="C577" s="2" t="s">
        <v>3143</v>
      </c>
      <c r="D577" s="2" t="s">
        <v>1130</v>
      </c>
      <c r="E577" s="2" t="s">
        <v>588</v>
      </c>
      <c r="F577" s="2"/>
      <c r="G577" s="2"/>
      <c r="H577" s="2"/>
      <c r="I577" s="2" t="s">
        <v>588</v>
      </c>
      <c r="J577" s="2" t="n">
        <v>-4.56</v>
      </c>
      <c r="K577" s="2" t="n">
        <v>105.4</v>
      </c>
      <c r="L577" s="2" t="s">
        <v>239</v>
      </c>
      <c r="M577" s="2" t="s">
        <v>340</v>
      </c>
      <c r="N577" s="2"/>
      <c r="O577" s="2" t="s">
        <v>3144</v>
      </c>
      <c r="P577" s="2" t="s">
        <v>3145</v>
      </c>
      <c r="Q577" s="2" t="s">
        <v>62</v>
      </c>
      <c r="R577" s="2" t="n">
        <v>0.7</v>
      </c>
      <c r="S577" s="2" t="s">
        <v>3146</v>
      </c>
      <c r="T577" s="2" t="s">
        <v>3147</v>
      </c>
      <c r="U577" s="2" t="s">
        <v>3148</v>
      </c>
      <c r="V577" s="2" t="s">
        <v>696</v>
      </c>
      <c r="W577" s="2" t="s">
        <v>1306</v>
      </c>
      <c r="X577" s="2" t="s">
        <v>1588</v>
      </c>
    </row>
    <row r="578" customFormat="false" ht="15" hidden="false" customHeight="false" outlineLevel="0" collapsed="false">
      <c r="A578" s="2" t="n">
        <v>542</v>
      </c>
      <c r="B578" s="2" t="s">
        <v>3149</v>
      </c>
      <c r="C578" s="2" t="s">
        <v>3150</v>
      </c>
      <c r="D578" s="2" t="s">
        <v>351</v>
      </c>
      <c r="E578" s="2" t="s">
        <v>3151</v>
      </c>
      <c r="F578" s="2"/>
      <c r="G578" s="2" t="s">
        <v>3152</v>
      </c>
      <c r="H578" s="2" t="s">
        <v>3151</v>
      </c>
      <c r="I578" s="2" t="s">
        <v>588</v>
      </c>
      <c r="J578" s="2" t="n">
        <v>-4.87</v>
      </c>
      <c r="K578" s="2" t="n">
        <v>105.27</v>
      </c>
      <c r="L578" s="2" t="s">
        <v>101</v>
      </c>
      <c r="M578" s="2" t="s">
        <v>60</v>
      </c>
      <c r="N578" s="2" t="s">
        <v>3153</v>
      </c>
      <c r="O578" s="2" t="s">
        <v>3154</v>
      </c>
      <c r="P578" s="2" t="s">
        <v>3155</v>
      </c>
      <c r="Q578" s="2" t="s">
        <v>110</v>
      </c>
      <c r="R578" s="2" t="n">
        <v>0.35</v>
      </c>
      <c r="S578" s="2" t="s">
        <v>3156</v>
      </c>
      <c r="T578" s="2" t="s">
        <v>743</v>
      </c>
      <c r="U578" s="2" t="s">
        <v>3157</v>
      </c>
      <c r="V578" s="2" t="s">
        <v>2070</v>
      </c>
      <c r="W578" s="2" t="s">
        <v>1306</v>
      </c>
      <c r="X578" s="2" t="s">
        <v>1588</v>
      </c>
    </row>
    <row r="579" customFormat="false" ht="15" hidden="false" customHeight="false" outlineLevel="0" collapsed="false">
      <c r="A579" s="2" t="n">
        <v>557</v>
      </c>
      <c r="B579" s="2" t="s">
        <v>3149</v>
      </c>
      <c r="C579" s="2" t="s">
        <v>3158</v>
      </c>
      <c r="D579" s="2" t="s">
        <v>351</v>
      </c>
      <c r="E579" s="2" t="s">
        <v>3159</v>
      </c>
      <c r="F579" s="2" t="s">
        <v>3160</v>
      </c>
      <c r="G579" s="2" t="s">
        <v>3161</v>
      </c>
      <c r="H579" s="2" t="s">
        <v>3162</v>
      </c>
      <c r="I579" s="2" t="s">
        <v>588</v>
      </c>
      <c r="J579" s="2" t="n">
        <v>-4.83</v>
      </c>
      <c r="K579" s="2" t="n">
        <v>104.89</v>
      </c>
      <c r="L579" s="2" t="s">
        <v>84</v>
      </c>
      <c r="M579" s="2" t="s">
        <v>60</v>
      </c>
      <c r="N579" s="2"/>
      <c r="O579" s="2" t="s">
        <v>3163</v>
      </c>
      <c r="P579" s="2" t="s">
        <v>3164</v>
      </c>
      <c r="Q579" s="2" t="s">
        <v>110</v>
      </c>
      <c r="R579" s="2" t="n">
        <v>0.3</v>
      </c>
      <c r="S579" s="2" t="s">
        <v>3165</v>
      </c>
      <c r="T579" s="2" t="s">
        <v>3166</v>
      </c>
      <c r="U579" s="2" t="s">
        <v>3167</v>
      </c>
      <c r="V579" s="2" t="s">
        <v>3168</v>
      </c>
      <c r="W579" s="2" t="s">
        <v>3169</v>
      </c>
      <c r="X579" s="2" t="s">
        <v>68</v>
      </c>
    </row>
    <row r="580" customFormat="false" ht="15" hidden="false" customHeight="false" outlineLevel="0" collapsed="false">
      <c r="A580" s="2" t="n">
        <v>559</v>
      </c>
      <c r="B580" s="2" t="s">
        <v>3149</v>
      </c>
      <c r="C580" s="2" t="s">
        <v>3170</v>
      </c>
      <c r="D580" s="2" t="s">
        <v>121</v>
      </c>
      <c r="E580" s="2" t="s">
        <v>3171</v>
      </c>
      <c r="F580" s="2"/>
      <c r="G580" s="2" t="s">
        <v>3172</v>
      </c>
      <c r="H580" s="2" t="s">
        <v>3138</v>
      </c>
      <c r="I580" s="2" t="s">
        <v>588</v>
      </c>
      <c r="J580" s="2" t="n">
        <v>-5.37</v>
      </c>
      <c r="K580" s="2" t="n">
        <v>104.79</v>
      </c>
      <c r="L580" s="2" t="s">
        <v>84</v>
      </c>
      <c r="M580" s="2" t="s">
        <v>60</v>
      </c>
      <c r="N580" s="2" t="s">
        <v>3173</v>
      </c>
      <c r="O580" s="2" t="s">
        <v>3174</v>
      </c>
      <c r="P580" s="2" t="s">
        <v>3175</v>
      </c>
      <c r="Q580" s="2" t="s">
        <v>62</v>
      </c>
      <c r="R580" s="2" t="n">
        <v>0.55</v>
      </c>
      <c r="S580" s="2" t="s">
        <v>3176</v>
      </c>
      <c r="T580" s="2" t="s">
        <v>3177</v>
      </c>
      <c r="U580" s="2" t="s">
        <v>3178</v>
      </c>
      <c r="V580" s="2" t="s">
        <v>2948</v>
      </c>
      <c r="W580" s="2" t="s">
        <v>2037</v>
      </c>
      <c r="X580" s="2" t="s">
        <v>1588</v>
      </c>
    </row>
    <row r="581" customFormat="false" ht="15" hidden="false" customHeight="false" outlineLevel="0" collapsed="false">
      <c r="A581" s="2" t="n">
        <v>560</v>
      </c>
      <c r="B581" s="2" t="s">
        <v>3149</v>
      </c>
      <c r="C581" s="2" t="s">
        <v>3179</v>
      </c>
      <c r="D581" s="2" t="s">
        <v>121</v>
      </c>
      <c r="E581" s="2" t="s">
        <v>3180</v>
      </c>
      <c r="F581" s="2"/>
      <c r="G581" s="2"/>
      <c r="H581" s="2" t="s">
        <v>587</v>
      </c>
      <c r="I581" s="2" t="s">
        <v>588</v>
      </c>
      <c r="J581" s="2" t="n">
        <v>-5.429</v>
      </c>
      <c r="K581" s="2" t="n">
        <v>105.262</v>
      </c>
      <c r="L581" s="2" t="s">
        <v>101</v>
      </c>
      <c r="M581" s="2" t="s">
        <v>1822</v>
      </c>
      <c r="N581" s="2" t="s">
        <v>3180</v>
      </c>
      <c r="O581" s="2" t="s">
        <v>3181</v>
      </c>
      <c r="P581" s="2" t="s">
        <v>3182</v>
      </c>
      <c r="Q581" s="2" t="s">
        <v>62</v>
      </c>
      <c r="R581" s="2" t="n">
        <v>0.5</v>
      </c>
      <c r="S581" s="2" t="s">
        <v>3183</v>
      </c>
      <c r="T581" s="2" t="s">
        <v>2952</v>
      </c>
      <c r="U581" s="2" t="s">
        <v>3184</v>
      </c>
      <c r="V581" s="2" t="s">
        <v>3185</v>
      </c>
      <c r="W581" s="2" t="s">
        <v>3186</v>
      </c>
      <c r="X581" s="2" t="s">
        <v>1588</v>
      </c>
    </row>
    <row r="582" customFormat="false" ht="15" hidden="false" customHeight="false" outlineLevel="0" collapsed="false">
      <c r="A582" s="2" t="n">
        <v>567</v>
      </c>
      <c r="B582" s="2" t="s">
        <v>3149</v>
      </c>
      <c r="C582" s="2" t="s">
        <v>3187</v>
      </c>
      <c r="D582" s="2" t="s">
        <v>121</v>
      </c>
      <c r="E582" s="2" t="s">
        <v>3188</v>
      </c>
      <c r="F582" s="2"/>
      <c r="G582" s="2"/>
      <c r="H582" s="2" t="s">
        <v>587</v>
      </c>
      <c r="I582" s="2" t="s">
        <v>588</v>
      </c>
      <c r="J582" s="2" t="n">
        <v>-5.429</v>
      </c>
      <c r="K582" s="2" t="n">
        <v>105.262</v>
      </c>
      <c r="L582" s="2" t="s">
        <v>101</v>
      </c>
      <c r="M582" s="2" t="s">
        <v>60</v>
      </c>
      <c r="N582" s="2" t="s">
        <v>3189</v>
      </c>
      <c r="O582" s="2" t="s">
        <v>3190</v>
      </c>
      <c r="P582" s="2" t="s">
        <v>3191</v>
      </c>
      <c r="Q582" s="2" t="s">
        <v>110</v>
      </c>
      <c r="R582" s="2" t="n">
        <v>0.85</v>
      </c>
      <c r="S582" s="2" t="s">
        <v>3192</v>
      </c>
      <c r="T582" s="2" t="s">
        <v>592</v>
      </c>
      <c r="U582" s="2" t="s">
        <v>3193</v>
      </c>
      <c r="V582" s="2" t="s">
        <v>594</v>
      </c>
      <c r="W582" s="2" t="s">
        <v>3194</v>
      </c>
      <c r="X582" s="2" t="s">
        <v>68</v>
      </c>
    </row>
    <row r="583" customFormat="false" ht="15" hidden="false" customHeight="false" outlineLevel="0" collapsed="false">
      <c r="A583" s="2" t="n">
        <v>567</v>
      </c>
      <c r="B583" s="2" t="s">
        <v>3149</v>
      </c>
      <c r="C583" s="2" t="s">
        <v>3195</v>
      </c>
      <c r="D583" s="2" t="s">
        <v>121</v>
      </c>
      <c r="E583" s="2" t="s">
        <v>3196</v>
      </c>
      <c r="F583" s="2"/>
      <c r="G583" s="2" t="s">
        <v>3172</v>
      </c>
      <c r="H583" s="2" t="s">
        <v>3138</v>
      </c>
      <c r="I583" s="2" t="s">
        <v>588</v>
      </c>
      <c r="J583" s="2" t="n">
        <v>-5.37</v>
      </c>
      <c r="K583" s="2" t="n">
        <v>104.79</v>
      </c>
      <c r="L583" s="2" t="s">
        <v>84</v>
      </c>
      <c r="M583" s="2" t="s">
        <v>60</v>
      </c>
      <c r="N583" s="2" t="s">
        <v>3173</v>
      </c>
      <c r="O583" s="2" t="s">
        <v>3197</v>
      </c>
      <c r="P583" s="2" t="s">
        <v>3175</v>
      </c>
      <c r="Q583" s="2" t="s">
        <v>62</v>
      </c>
      <c r="R583" s="2" t="n">
        <v>0.7</v>
      </c>
      <c r="S583" s="2" t="s">
        <v>3192</v>
      </c>
      <c r="T583" s="2" t="s">
        <v>592</v>
      </c>
      <c r="U583" s="2" t="s">
        <v>3193</v>
      </c>
      <c r="V583" s="2" t="s">
        <v>594</v>
      </c>
      <c r="W583" s="2" t="s">
        <v>3194</v>
      </c>
      <c r="X583" s="2" t="s">
        <v>68</v>
      </c>
    </row>
    <row r="584" customFormat="false" ht="15" hidden="false" customHeight="false" outlineLevel="0" collapsed="false">
      <c r="A584" s="2" t="n">
        <v>567</v>
      </c>
      <c r="B584" s="2" t="s">
        <v>3149</v>
      </c>
      <c r="C584" s="2" t="s">
        <v>3198</v>
      </c>
      <c r="D584" s="2" t="s">
        <v>410</v>
      </c>
      <c r="E584" s="2" t="s">
        <v>3101</v>
      </c>
      <c r="F584" s="2"/>
      <c r="G584" s="2"/>
      <c r="H584" s="2" t="s">
        <v>3079</v>
      </c>
      <c r="I584" s="2" t="s">
        <v>588</v>
      </c>
      <c r="J584" s="2" t="n">
        <v>-5.6</v>
      </c>
      <c r="K584" s="2" t="n">
        <v>105.55</v>
      </c>
      <c r="L584" s="2" t="s">
        <v>101</v>
      </c>
      <c r="M584" s="2" t="s">
        <v>60</v>
      </c>
      <c r="N584" s="2"/>
      <c r="O584" s="2" t="s">
        <v>3199</v>
      </c>
      <c r="P584" s="2" t="s">
        <v>3200</v>
      </c>
      <c r="Q584" s="2" t="s">
        <v>62</v>
      </c>
      <c r="R584" s="2" t="n">
        <v>0.55</v>
      </c>
      <c r="S584" s="2" t="s">
        <v>3192</v>
      </c>
      <c r="T584" s="2" t="s">
        <v>592</v>
      </c>
      <c r="U584" s="2" t="s">
        <v>3193</v>
      </c>
      <c r="V584" s="2" t="s">
        <v>594</v>
      </c>
      <c r="W584" s="2" t="s">
        <v>3194</v>
      </c>
      <c r="X584" s="2" t="s">
        <v>68</v>
      </c>
    </row>
    <row r="585" customFormat="false" ht="15" hidden="false" customHeight="false" outlineLevel="0" collapsed="false">
      <c r="A585" s="2" t="n">
        <v>568</v>
      </c>
      <c r="B585" s="2" t="s">
        <v>3149</v>
      </c>
      <c r="C585" s="2" t="s">
        <v>3201</v>
      </c>
      <c r="D585" s="2" t="s">
        <v>121</v>
      </c>
      <c r="E585" s="2" t="s">
        <v>588</v>
      </c>
      <c r="F585" s="2"/>
      <c r="G585" s="2"/>
      <c r="H585" s="2"/>
      <c r="I585" s="2" t="s">
        <v>588</v>
      </c>
      <c r="J585" s="2" t="n">
        <v>-4.56</v>
      </c>
      <c r="K585" s="2" t="n">
        <v>105.4</v>
      </c>
      <c r="L585" s="2" t="s">
        <v>239</v>
      </c>
      <c r="M585" s="2" t="s">
        <v>340</v>
      </c>
      <c r="N585" s="2"/>
      <c r="O585" s="2" t="s">
        <v>3202</v>
      </c>
      <c r="P585" s="2" t="s">
        <v>3203</v>
      </c>
      <c r="Q585" s="2" t="s">
        <v>110</v>
      </c>
      <c r="R585" s="2" t="n">
        <v>0.8</v>
      </c>
      <c r="S585" s="2" t="s">
        <v>3204</v>
      </c>
      <c r="T585" s="2" t="s">
        <v>592</v>
      </c>
      <c r="U585" s="2" t="s">
        <v>3205</v>
      </c>
      <c r="V585" s="2" t="s">
        <v>3168</v>
      </c>
      <c r="W585" s="2" t="s">
        <v>3206</v>
      </c>
      <c r="X585" s="2" t="s">
        <v>1588</v>
      </c>
    </row>
    <row r="586" customFormat="false" ht="15" hidden="false" customHeight="false" outlineLevel="0" collapsed="false">
      <c r="A586" s="2" t="n">
        <v>569</v>
      </c>
      <c r="B586" s="2" t="s">
        <v>3149</v>
      </c>
      <c r="C586" s="2" t="s">
        <v>3207</v>
      </c>
      <c r="D586" s="2" t="s">
        <v>121</v>
      </c>
      <c r="E586" s="2" t="s">
        <v>588</v>
      </c>
      <c r="F586" s="2"/>
      <c r="G586" s="2"/>
      <c r="H586" s="2"/>
      <c r="I586" s="2" t="s">
        <v>588</v>
      </c>
      <c r="J586" s="2" t="n">
        <v>-4.56</v>
      </c>
      <c r="K586" s="2" t="n">
        <v>105.4</v>
      </c>
      <c r="L586" s="2" t="s">
        <v>239</v>
      </c>
      <c r="M586" s="2" t="s">
        <v>340</v>
      </c>
      <c r="N586" s="2"/>
      <c r="O586" s="2" t="s">
        <v>3208</v>
      </c>
      <c r="P586" s="2" t="s">
        <v>109</v>
      </c>
      <c r="Q586" s="2" t="s">
        <v>62</v>
      </c>
      <c r="R586" s="2" t="n">
        <v>0.55</v>
      </c>
      <c r="S586" s="2" t="s">
        <v>3209</v>
      </c>
      <c r="T586" s="2" t="s">
        <v>3210</v>
      </c>
      <c r="U586" s="2" t="s">
        <v>3211</v>
      </c>
      <c r="V586" s="2" t="s">
        <v>3212</v>
      </c>
      <c r="W586" s="2" t="s">
        <v>204</v>
      </c>
      <c r="X586" s="2" t="s">
        <v>1588</v>
      </c>
    </row>
    <row r="587" customFormat="false" ht="15" hidden="false" customHeight="false" outlineLevel="0" collapsed="false">
      <c r="A587" s="2" t="n">
        <v>569</v>
      </c>
      <c r="B587" s="2" t="s">
        <v>3149</v>
      </c>
      <c r="C587" s="2" t="s">
        <v>3213</v>
      </c>
      <c r="D587" s="2" t="s">
        <v>134</v>
      </c>
      <c r="E587" s="2" t="s">
        <v>3055</v>
      </c>
      <c r="F587" s="2"/>
      <c r="G587" s="2"/>
      <c r="H587" s="2" t="s">
        <v>587</v>
      </c>
      <c r="I587" s="2" t="s">
        <v>588</v>
      </c>
      <c r="J587" s="2" t="n">
        <v>-5.429</v>
      </c>
      <c r="K587" s="2" t="n">
        <v>105.262</v>
      </c>
      <c r="L587" s="2" t="s">
        <v>101</v>
      </c>
      <c r="M587" s="2" t="s">
        <v>60</v>
      </c>
      <c r="N587" s="2"/>
      <c r="O587" s="2" t="s">
        <v>3214</v>
      </c>
      <c r="P587" s="2"/>
      <c r="Q587" s="2" t="s">
        <v>62</v>
      </c>
      <c r="R587" s="2" t="n">
        <v>0.4</v>
      </c>
      <c r="S587" s="2" t="s">
        <v>3209</v>
      </c>
      <c r="T587" s="2" t="s">
        <v>3210</v>
      </c>
      <c r="U587" s="2" t="s">
        <v>3211</v>
      </c>
      <c r="V587" s="2" t="s">
        <v>3212</v>
      </c>
      <c r="W587" s="2" t="s">
        <v>204</v>
      </c>
      <c r="X587" s="2" t="s">
        <v>1588</v>
      </c>
    </row>
    <row r="588" customFormat="false" ht="15" hidden="false" customHeight="false" outlineLevel="0" collapsed="false">
      <c r="A588" s="2" t="n">
        <v>570</v>
      </c>
      <c r="B588" s="2" t="s">
        <v>3215</v>
      </c>
      <c r="C588" s="2" t="s">
        <v>3216</v>
      </c>
      <c r="D588" s="2" t="s">
        <v>121</v>
      </c>
      <c r="E588" s="2" t="s">
        <v>3217</v>
      </c>
      <c r="F588" s="2"/>
      <c r="G588" s="2" t="s">
        <v>3218</v>
      </c>
      <c r="H588" s="2" t="s">
        <v>3134</v>
      </c>
      <c r="I588" s="2" t="s">
        <v>588</v>
      </c>
      <c r="J588" s="2" t="n">
        <v>-5.1</v>
      </c>
      <c r="K588" s="2" t="n">
        <v>105.7</v>
      </c>
      <c r="L588" s="2" t="s">
        <v>101</v>
      </c>
      <c r="M588" s="2" t="s">
        <v>60</v>
      </c>
      <c r="N588" s="2"/>
      <c r="O588" s="2" t="s">
        <v>3219</v>
      </c>
      <c r="P588" s="2" t="s">
        <v>3220</v>
      </c>
      <c r="Q588" s="2" t="s">
        <v>62</v>
      </c>
      <c r="R588" s="2" t="n">
        <v>0.6</v>
      </c>
      <c r="S588" s="2" t="s">
        <v>3221</v>
      </c>
      <c r="T588" s="2" t="s">
        <v>2212</v>
      </c>
      <c r="U588" s="2" t="s">
        <v>3222</v>
      </c>
      <c r="V588" s="2" t="s">
        <v>3223</v>
      </c>
      <c r="W588" s="2" t="s">
        <v>697</v>
      </c>
      <c r="X588" s="2" t="s">
        <v>1588</v>
      </c>
    </row>
    <row r="589" customFormat="false" ht="15" hidden="false" customHeight="false" outlineLevel="0" collapsed="false">
      <c r="A589" s="2" t="n">
        <v>571</v>
      </c>
      <c r="B589" s="2" t="s">
        <v>3215</v>
      </c>
      <c r="C589" s="2" t="s">
        <v>3224</v>
      </c>
      <c r="D589" s="2" t="s">
        <v>121</v>
      </c>
      <c r="E589" s="2" t="s">
        <v>588</v>
      </c>
      <c r="F589" s="2"/>
      <c r="G589" s="2"/>
      <c r="H589" s="2"/>
      <c r="I589" s="2" t="s">
        <v>588</v>
      </c>
      <c r="J589" s="2" t="n">
        <v>-4.56</v>
      </c>
      <c r="K589" s="2" t="n">
        <v>105.4</v>
      </c>
      <c r="L589" s="2" t="s">
        <v>239</v>
      </c>
      <c r="M589" s="2" t="s">
        <v>340</v>
      </c>
      <c r="N589" s="2"/>
      <c r="O589" s="2" t="s">
        <v>3225</v>
      </c>
      <c r="P589" s="2" t="s">
        <v>3226</v>
      </c>
      <c r="Q589" s="2" t="s">
        <v>62</v>
      </c>
      <c r="R589" s="2" t="n">
        <v>0.55</v>
      </c>
      <c r="S589" s="2" t="s">
        <v>3227</v>
      </c>
      <c r="T589" s="2" t="s">
        <v>3228</v>
      </c>
      <c r="U589" s="2" t="s">
        <v>3229</v>
      </c>
      <c r="V589" s="2" t="s">
        <v>97</v>
      </c>
      <c r="W589" s="2" t="s">
        <v>2613</v>
      </c>
      <c r="X589" s="2" t="s">
        <v>1588</v>
      </c>
    </row>
    <row r="590" customFormat="false" ht="15" hidden="false" customHeight="false" outlineLevel="0" collapsed="false">
      <c r="A590" s="2" t="n">
        <v>574</v>
      </c>
      <c r="B590" s="2" t="s">
        <v>3215</v>
      </c>
      <c r="C590" s="2" t="s">
        <v>3230</v>
      </c>
      <c r="D590" s="2" t="s">
        <v>410</v>
      </c>
      <c r="E590" s="2" t="s">
        <v>3231</v>
      </c>
      <c r="F590" s="2" t="s">
        <v>3232</v>
      </c>
      <c r="G590" s="2" t="s">
        <v>3233</v>
      </c>
      <c r="H590" s="2" t="s">
        <v>3134</v>
      </c>
      <c r="I590" s="2" t="s">
        <v>588</v>
      </c>
      <c r="J590" s="2" t="n">
        <v>-5.1</v>
      </c>
      <c r="K590" s="2" t="n">
        <v>105.7</v>
      </c>
      <c r="L590" s="2" t="s">
        <v>101</v>
      </c>
      <c r="M590" s="2" t="s">
        <v>60</v>
      </c>
      <c r="N590" s="2"/>
      <c r="O590" s="2" t="s">
        <v>3234</v>
      </c>
      <c r="P590" s="2" t="s">
        <v>3235</v>
      </c>
      <c r="Q590" s="2" t="s">
        <v>110</v>
      </c>
      <c r="R590" s="2" t="n">
        <v>0.55</v>
      </c>
      <c r="S590" s="2" t="s">
        <v>3236</v>
      </c>
      <c r="T590" s="2" t="s">
        <v>592</v>
      </c>
      <c r="U590" s="2" t="s">
        <v>3237</v>
      </c>
      <c r="V590" s="2" t="s">
        <v>3238</v>
      </c>
      <c r="W590" s="2" t="s">
        <v>3239</v>
      </c>
      <c r="X590" s="2" t="s">
        <v>1588</v>
      </c>
    </row>
    <row r="591" customFormat="false" ht="15" hidden="false" customHeight="false" outlineLevel="0" collapsed="false">
      <c r="A591" s="2" t="n">
        <v>576</v>
      </c>
      <c r="B591" s="2" t="s">
        <v>3215</v>
      </c>
      <c r="C591" s="2" t="s">
        <v>3240</v>
      </c>
      <c r="D591" s="2" t="s">
        <v>121</v>
      </c>
      <c r="E591" s="2" t="s">
        <v>830</v>
      </c>
      <c r="F591" s="2"/>
      <c r="G591" s="2"/>
      <c r="H591" s="2"/>
      <c r="I591" s="2" t="s">
        <v>74</v>
      </c>
      <c r="J591" s="2" t="n">
        <v>-6.147</v>
      </c>
      <c r="K591" s="2" t="n">
        <v>106.846</v>
      </c>
      <c r="L591" s="2" t="s">
        <v>124</v>
      </c>
      <c r="M591" s="2" t="s">
        <v>340</v>
      </c>
      <c r="N591" s="2" t="s">
        <v>3241</v>
      </c>
      <c r="O591" s="2" t="s">
        <v>3242</v>
      </c>
      <c r="P591" s="2" t="s">
        <v>298</v>
      </c>
      <c r="Q591" s="2" t="s">
        <v>62</v>
      </c>
      <c r="R591" s="2" t="n">
        <v>0.5</v>
      </c>
      <c r="S591" s="2" t="s">
        <v>3243</v>
      </c>
      <c r="T591" s="2" t="s">
        <v>64</v>
      </c>
      <c r="U591" s="2" t="s">
        <v>3244</v>
      </c>
      <c r="V591" s="2" t="s">
        <v>965</v>
      </c>
      <c r="W591" s="2" t="s">
        <v>98</v>
      </c>
      <c r="X591" s="2" t="s">
        <v>1588</v>
      </c>
    </row>
    <row r="592" customFormat="false" ht="15" hidden="false" customHeight="false" outlineLevel="0" collapsed="false">
      <c r="A592" s="2" t="n">
        <v>576</v>
      </c>
      <c r="B592" s="2" t="s">
        <v>3215</v>
      </c>
      <c r="C592" s="2" t="s">
        <v>3245</v>
      </c>
      <c r="D592" s="2" t="s">
        <v>134</v>
      </c>
      <c r="E592" s="2" t="s">
        <v>830</v>
      </c>
      <c r="F592" s="2"/>
      <c r="G592" s="2"/>
      <c r="H592" s="2"/>
      <c r="I592" s="2" t="s">
        <v>74</v>
      </c>
      <c r="J592" s="2" t="n">
        <v>-6.2</v>
      </c>
      <c r="K592" s="2" t="n">
        <v>106.817</v>
      </c>
      <c r="L592" s="2" t="s">
        <v>239</v>
      </c>
      <c r="M592" s="2" t="s">
        <v>340</v>
      </c>
      <c r="N592" s="2"/>
      <c r="O592" s="2" t="s">
        <v>3246</v>
      </c>
      <c r="P592" s="2" t="s">
        <v>3247</v>
      </c>
      <c r="Q592" s="2" t="s">
        <v>62</v>
      </c>
      <c r="R592" s="2" t="n">
        <v>0.5</v>
      </c>
      <c r="S592" s="2" t="s">
        <v>3243</v>
      </c>
      <c r="T592" s="2" t="s">
        <v>64</v>
      </c>
      <c r="U592" s="2" t="s">
        <v>3244</v>
      </c>
      <c r="V592" s="2" t="s">
        <v>965</v>
      </c>
      <c r="W592" s="2" t="s">
        <v>98</v>
      </c>
      <c r="X592" s="2" t="s">
        <v>1588</v>
      </c>
    </row>
    <row r="593" customFormat="false" ht="15" hidden="false" customHeight="false" outlineLevel="0" collapsed="false">
      <c r="A593" s="2" t="n">
        <v>576</v>
      </c>
      <c r="B593" s="2" t="s">
        <v>3215</v>
      </c>
      <c r="C593" s="2" t="s">
        <v>3248</v>
      </c>
      <c r="D593" s="2" t="s">
        <v>53</v>
      </c>
      <c r="E593" s="2" t="s">
        <v>830</v>
      </c>
      <c r="F593" s="2"/>
      <c r="G593" s="2"/>
      <c r="H593" s="2"/>
      <c r="I593" s="2" t="s">
        <v>74</v>
      </c>
      <c r="J593" s="2" t="n">
        <v>-6.2</v>
      </c>
      <c r="K593" s="2" t="n">
        <v>106.817</v>
      </c>
      <c r="L593" s="2" t="s">
        <v>239</v>
      </c>
      <c r="M593" s="2" t="s">
        <v>340</v>
      </c>
      <c r="N593" s="2"/>
      <c r="O593" s="2" t="s">
        <v>3249</v>
      </c>
      <c r="P593" s="2" t="s">
        <v>3247</v>
      </c>
      <c r="Q593" s="2" t="s">
        <v>62</v>
      </c>
      <c r="R593" s="2" t="n">
        <v>0.45</v>
      </c>
      <c r="S593" s="2" t="s">
        <v>3243</v>
      </c>
      <c r="T593" s="2" t="s">
        <v>64</v>
      </c>
      <c r="U593" s="2" t="s">
        <v>3244</v>
      </c>
      <c r="V593" s="2" t="s">
        <v>965</v>
      </c>
      <c r="W593" s="2" t="s">
        <v>98</v>
      </c>
      <c r="X593" s="2" t="s">
        <v>1588</v>
      </c>
    </row>
    <row r="594" customFormat="false" ht="15" hidden="false" customHeight="false" outlineLevel="0" collapsed="false">
      <c r="A594" s="2" t="n">
        <v>576</v>
      </c>
      <c r="B594" s="2" t="s">
        <v>3215</v>
      </c>
      <c r="C594" s="2" t="s">
        <v>3250</v>
      </c>
      <c r="D594" s="2" t="s">
        <v>53</v>
      </c>
      <c r="E594" s="2" t="s">
        <v>830</v>
      </c>
      <c r="F594" s="2"/>
      <c r="G594" s="2"/>
      <c r="H594" s="2"/>
      <c r="I594" s="2" t="s">
        <v>74</v>
      </c>
      <c r="J594" s="2" t="n">
        <v>-6.2</v>
      </c>
      <c r="K594" s="2" t="n">
        <v>106.817</v>
      </c>
      <c r="L594" s="2" t="s">
        <v>239</v>
      </c>
      <c r="M594" s="2" t="s">
        <v>340</v>
      </c>
      <c r="N594" s="2"/>
      <c r="O594" s="2" t="s">
        <v>3251</v>
      </c>
      <c r="P594" s="2" t="s">
        <v>3252</v>
      </c>
      <c r="Q594" s="2" t="s">
        <v>62</v>
      </c>
      <c r="R594" s="2" t="n">
        <v>0.45</v>
      </c>
      <c r="S594" s="2" t="s">
        <v>3243</v>
      </c>
      <c r="T594" s="2" t="s">
        <v>64</v>
      </c>
      <c r="U594" s="2" t="s">
        <v>3244</v>
      </c>
      <c r="V594" s="2" t="s">
        <v>965</v>
      </c>
      <c r="W594" s="2" t="s">
        <v>98</v>
      </c>
      <c r="X594" s="2" t="s">
        <v>1588</v>
      </c>
    </row>
    <row r="595" customFormat="false" ht="15" hidden="false" customHeight="false" outlineLevel="0" collapsed="false">
      <c r="A595" s="2" t="n">
        <v>576</v>
      </c>
      <c r="B595" s="2" t="s">
        <v>3215</v>
      </c>
      <c r="C595" s="2" t="s">
        <v>3253</v>
      </c>
      <c r="D595" s="2" t="s">
        <v>53</v>
      </c>
      <c r="E595" s="2" t="s">
        <v>830</v>
      </c>
      <c r="F595" s="2"/>
      <c r="G595" s="2"/>
      <c r="H595" s="2"/>
      <c r="I595" s="2" t="s">
        <v>74</v>
      </c>
      <c r="J595" s="2" t="n">
        <v>-6.2</v>
      </c>
      <c r="K595" s="2" t="n">
        <v>106.845</v>
      </c>
      <c r="L595" s="2" t="s">
        <v>239</v>
      </c>
      <c r="M595" s="2" t="s">
        <v>340</v>
      </c>
      <c r="N595" s="2"/>
      <c r="O595" s="2" t="s">
        <v>3254</v>
      </c>
      <c r="P595" s="2" t="s">
        <v>3247</v>
      </c>
      <c r="Q595" s="2" t="s">
        <v>62</v>
      </c>
      <c r="R595" s="2" t="n">
        <v>0.45</v>
      </c>
      <c r="S595" s="2" t="s">
        <v>3243</v>
      </c>
      <c r="T595" s="2" t="s">
        <v>64</v>
      </c>
      <c r="U595" s="2" t="s">
        <v>3244</v>
      </c>
      <c r="V595" s="2" t="s">
        <v>965</v>
      </c>
      <c r="W595" s="2" t="s">
        <v>98</v>
      </c>
      <c r="X595" s="2" t="s">
        <v>1588</v>
      </c>
    </row>
    <row r="596" customFormat="false" ht="15" hidden="false" customHeight="false" outlineLevel="0" collapsed="false">
      <c r="A596" s="2" t="n">
        <v>577</v>
      </c>
      <c r="B596" s="2" t="s">
        <v>3215</v>
      </c>
      <c r="C596" s="2" t="s">
        <v>3255</v>
      </c>
      <c r="D596" s="2" t="s">
        <v>121</v>
      </c>
      <c r="E596" s="2" t="s">
        <v>3256</v>
      </c>
      <c r="F596" s="2" t="s">
        <v>1518</v>
      </c>
      <c r="G596" s="2" t="s">
        <v>1519</v>
      </c>
      <c r="H596" s="2" t="s">
        <v>317</v>
      </c>
      <c r="I596" s="2" t="s">
        <v>74</v>
      </c>
      <c r="J596" s="2" t="n">
        <v>-6.147</v>
      </c>
      <c r="K596" s="2" t="n">
        <v>106.846</v>
      </c>
      <c r="L596" s="2" t="s">
        <v>124</v>
      </c>
      <c r="M596" s="2" t="s">
        <v>60</v>
      </c>
      <c r="N596" s="2" t="s">
        <v>3257</v>
      </c>
      <c r="O596" s="2" t="s">
        <v>3258</v>
      </c>
      <c r="P596" s="2" t="s">
        <v>3259</v>
      </c>
      <c r="Q596" s="2" t="s">
        <v>62</v>
      </c>
      <c r="R596" s="2" t="n">
        <v>0.75</v>
      </c>
      <c r="S596" s="2" t="s">
        <v>3260</v>
      </c>
      <c r="T596" s="2" t="s">
        <v>963</v>
      </c>
      <c r="U596" s="2" t="s">
        <v>3261</v>
      </c>
      <c r="V596" s="2" t="s">
        <v>3262</v>
      </c>
      <c r="W596" s="2" t="s">
        <v>67</v>
      </c>
      <c r="X596" s="2" t="s">
        <v>1588</v>
      </c>
    </row>
    <row r="597" customFormat="false" ht="15" hidden="false" customHeight="false" outlineLevel="0" collapsed="false">
      <c r="A597" s="2" t="n">
        <v>578</v>
      </c>
      <c r="B597" s="2" t="s">
        <v>3215</v>
      </c>
      <c r="C597" s="2" t="s">
        <v>3263</v>
      </c>
      <c r="D597" s="2" t="s">
        <v>410</v>
      </c>
      <c r="E597" s="2" t="s">
        <v>3264</v>
      </c>
      <c r="F597" s="2" t="s">
        <v>3263</v>
      </c>
      <c r="G597" s="2" t="s">
        <v>3265</v>
      </c>
      <c r="H597" s="2" t="s">
        <v>3266</v>
      </c>
      <c r="I597" s="2" t="s">
        <v>74</v>
      </c>
      <c r="J597" s="2" t="n">
        <v>-5.797</v>
      </c>
      <c r="K597" s="2" t="n">
        <v>106.501</v>
      </c>
      <c r="L597" s="2" t="s">
        <v>124</v>
      </c>
      <c r="M597" s="2" t="s">
        <v>60</v>
      </c>
      <c r="N597" s="2"/>
      <c r="O597" s="2" t="s">
        <v>3267</v>
      </c>
      <c r="P597" s="2" t="s">
        <v>3268</v>
      </c>
      <c r="Q597" s="2" t="s">
        <v>62</v>
      </c>
      <c r="R597" s="2" t="n">
        <v>0.7</v>
      </c>
      <c r="S597" s="2" t="s">
        <v>3269</v>
      </c>
      <c r="T597" s="2" t="s">
        <v>3270</v>
      </c>
      <c r="U597" s="2" t="s">
        <v>3271</v>
      </c>
      <c r="V597" s="2" t="s">
        <v>1378</v>
      </c>
      <c r="W597" s="2" t="s">
        <v>421</v>
      </c>
      <c r="X597" s="2" t="s">
        <v>1588</v>
      </c>
    </row>
    <row r="598" customFormat="false" ht="15" hidden="false" customHeight="false" outlineLevel="0" collapsed="false">
      <c r="A598" s="2" t="n">
        <v>579</v>
      </c>
      <c r="B598" s="2" t="s">
        <v>3215</v>
      </c>
      <c r="C598" s="2" t="s">
        <v>3255</v>
      </c>
      <c r="D598" s="2" t="s">
        <v>121</v>
      </c>
      <c r="E598" s="2" t="s">
        <v>3272</v>
      </c>
      <c r="F598" s="2" t="s">
        <v>1518</v>
      </c>
      <c r="G598" s="2" t="s">
        <v>1519</v>
      </c>
      <c r="H598" s="2" t="s">
        <v>317</v>
      </c>
      <c r="I598" s="2" t="s">
        <v>74</v>
      </c>
      <c r="J598" s="2" t="n">
        <v>-6.147</v>
      </c>
      <c r="K598" s="2" t="n">
        <v>106.846</v>
      </c>
      <c r="L598" s="2" t="s">
        <v>124</v>
      </c>
      <c r="M598" s="2" t="s">
        <v>60</v>
      </c>
      <c r="N598" s="2" t="s">
        <v>3257</v>
      </c>
      <c r="O598" s="2" t="s">
        <v>3273</v>
      </c>
      <c r="P598" s="2" t="s">
        <v>3259</v>
      </c>
      <c r="Q598" s="2" t="s">
        <v>62</v>
      </c>
      <c r="R598" s="2" t="n">
        <v>0.75</v>
      </c>
      <c r="S598" s="2" t="s">
        <v>3274</v>
      </c>
      <c r="T598" s="2" t="s">
        <v>1378</v>
      </c>
      <c r="U598" s="2" t="s">
        <v>3275</v>
      </c>
      <c r="V598" s="2" t="s">
        <v>3276</v>
      </c>
      <c r="W598" s="2" t="s">
        <v>421</v>
      </c>
      <c r="X598" s="2" t="s">
        <v>68</v>
      </c>
    </row>
    <row r="599" customFormat="false" ht="15" hidden="false" customHeight="false" outlineLevel="0" collapsed="false">
      <c r="A599" s="2" t="n">
        <v>580</v>
      </c>
      <c r="B599" s="2" t="s">
        <v>3215</v>
      </c>
      <c r="C599" s="2" t="s">
        <v>3255</v>
      </c>
      <c r="D599" s="2" t="s">
        <v>121</v>
      </c>
      <c r="E599" s="2" t="s">
        <v>830</v>
      </c>
      <c r="F599" s="2"/>
      <c r="G599" s="2"/>
      <c r="H599" s="2"/>
      <c r="I599" s="2" t="s">
        <v>74</v>
      </c>
      <c r="J599" s="2" t="n">
        <v>-6.2</v>
      </c>
      <c r="K599" s="2" t="n">
        <v>106.845</v>
      </c>
      <c r="L599" s="2" t="s">
        <v>239</v>
      </c>
      <c r="M599" s="2" t="s">
        <v>340</v>
      </c>
      <c r="N599" s="2"/>
      <c r="O599" s="2" t="s">
        <v>3277</v>
      </c>
      <c r="P599" s="2" t="s">
        <v>3259</v>
      </c>
      <c r="Q599" s="2" t="s">
        <v>62</v>
      </c>
      <c r="R599" s="2" t="n">
        <v>0.7</v>
      </c>
      <c r="S599" s="2" t="s">
        <v>3278</v>
      </c>
      <c r="T599" s="2" t="s">
        <v>3279</v>
      </c>
      <c r="U599" s="2" t="s">
        <v>3280</v>
      </c>
      <c r="V599" s="2" t="s">
        <v>2233</v>
      </c>
      <c r="W599" s="2" t="s">
        <v>1147</v>
      </c>
      <c r="X599" s="2" t="s">
        <v>1588</v>
      </c>
    </row>
    <row r="600" customFormat="false" ht="15" hidden="false" customHeight="false" outlineLevel="0" collapsed="false">
      <c r="A600" s="2" t="n">
        <v>582</v>
      </c>
      <c r="B600" s="2" t="s">
        <v>3215</v>
      </c>
      <c r="C600" s="2" t="s">
        <v>3281</v>
      </c>
      <c r="D600" s="2" t="s">
        <v>1140</v>
      </c>
      <c r="E600" s="2" t="s">
        <v>3282</v>
      </c>
      <c r="F600" s="2" t="s">
        <v>3281</v>
      </c>
      <c r="G600" s="2" t="s">
        <v>1519</v>
      </c>
      <c r="H600" s="2" t="s">
        <v>317</v>
      </c>
      <c r="I600" s="2" t="s">
        <v>74</v>
      </c>
      <c r="J600" s="2" t="n">
        <v>-6.125</v>
      </c>
      <c r="K600" s="2" t="n">
        <v>106.835</v>
      </c>
      <c r="L600" s="2" t="s">
        <v>59</v>
      </c>
      <c r="M600" s="2" t="s">
        <v>60</v>
      </c>
      <c r="N600" s="2"/>
      <c r="O600" s="2" t="s">
        <v>3283</v>
      </c>
      <c r="P600" s="2" t="s">
        <v>3284</v>
      </c>
      <c r="Q600" s="2" t="s">
        <v>62</v>
      </c>
      <c r="R600" s="2" t="n">
        <v>0.7</v>
      </c>
      <c r="S600" s="2" t="s">
        <v>3285</v>
      </c>
      <c r="T600" s="2" t="s">
        <v>601</v>
      </c>
      <c r="U600" s="2" t="s">
        <v>3286</v>
      </c>
      <c r="V600" s="2" t="s">
        <v>420</v>
      </c>
      <c r="W600" s="2" t="s">
        <v>2399</v>
      </c>
      <c r="X600" s="2" t="s">
        <v>160</v>
      </c>
    </row>
    <row r="601" customFormat="false" ht="15" hidden="false" customHeight="false" outlineLevel="0" collapsed="false">
      <c r="A601" s="2" t="n">
        <v>582</v>
      </c>
      <c r="B601" s="2" t="s">
        <v>3215</v>
      </c>
      <c r="C601" s="2" t="s">
        <v>3287</v>
      </c>
      <c r="D601" s="2" t="s">
        <v>410</v>
      </c>
      <c r="E601" s="2" t="s">
        <v>3288</v>
      </c>
      <c r="F601" s="2" t="s">
        <v>3289</v>
      </c>
      <c r="G601" s="2" t="s">
        <v>1666</v>
      </c>
      <c r="H601" s="2" t="s">
        <v>426</v>
      </c>
      <c r="I601" s="2" t="s">
        <v>74</v>
      </c>
      <c r="J601" s="2" t="n">
        <v>-6.3125</v>
      </c>
      <c r="K601" s="2" t="n">
        <v>106.82</v>
      </c>
      <c r="L601" s="2" t="s">
        <v>124</v>
      </c>
      <c r="M601" s="2" t="s">
        <v>60</v>
      </c>
      <c r="N601" s="2"/>
      <c r="O601" s="2" t="s">
        <v>3290</v>
      </c>
      <c r="P601" s="2" t="s">
        <v>3284</v>
      </c>
      <c r="Q601" s="2" t="s">
        <v>62</v>
      </c>
      <c r="R601" s="2" t="n">
        <v>0.7</v>
      </c>
      <c r="S601" s="2" t="s">
        <v>3285</v>
      </c>
      <c r="T601" s="2" t="s">
        <v>601</v>
      </c>
      <c r="U601" s="2" t="s">
        <v>3286</v>
      </c>
      <c r="V601" s="2" t="s">
        <v>420</v>
      </c>
      <c r="W601" s="2" t="s">
        <v>2399</v>
      </c>
      <c r="X601" s="2" t="s">
        <v>160</v>
      </c>
    </row>
    <row r="602" customFormat="false" ht="15" hidden="false" customHeight="false" outlineLevel="0" collapsed="false">
      <c r="A602" s="2" t="n">
        <v>582</v>
      </c>
      <c r="B602" s="2" t="s">
        <v>3215</v>
      </c>
      <c r="C602" s="2" t="s">
        <v>3291</v>
      </c>
      <c r="D602" s="2" t="s">
        <v>1130</v>
      </c>
      <c r="E602" s="2" t="s">
        <v>830</v>
      </c>
      <c r="F602" s="2" t="s">
        <v>2338</v>
      </c>
      <c r="G602" s="2" t="s">
        <v>2339</v>
      </c>
      <c r="H602" s="2" t="s">
        <v>716</v>
      </c>
      <c r="I602" s="2" t="s">
        <v>74</v>
      </c>
      <c r="J602" s="2" t="n">
        <v>-6.1352</v>
      </c>
      <c r="K602" s="2" t="n">
        <v>106.8133</v>
      </c>
      <c r="L602" s="2" t="s">
        <v>124</v>
      </c>
      <c r="M602" s="2" t="s">
        <v>1822</v>
      </c>
      <c r="N602" s="2"/>
      <c r="O602" s="2" t="s">
        <v>3292</v>
      </c>
      <c r="P602" s="2" t="s">
        <v>3284</v>
      </c>
      <c r="Q602" s="2" t="s">
        <v>62</v>
      </c>
      <c r="R602" s="2" t="n">
        <v>0.65</v>
      </c>
      <c r="S602" s="2" t="s">
        <v>3285</v>
      </c>
      <c r="T602" s="2" t="s">
        <v>601</v>
      </c>
      <c r="U602" s="2" t="s">
        <v>3286</v>
      </c>
      <c r="V602" s="2" t="s">
        <v>420</v>
      </c>
      <c r="W602" s="2" t="s">
        <v>2399</v>
      </c>
      <c r="X602" s="2" t="s">
        <v>160</v>
      </c>
    </row>
    <row r="603" customFormat="false" ht="15" hidden="false" customHeight="false" outlineLevel="0" collapsed="false">
      <c r="A603" s="2" t="n">
        <v>582</v>
      </c>
      <c r="B603" s="2" t="s">
        <v>3215</v>
      </c>
      <c r="C603" s="2" t="s">
        <v>3293</v>
      </c>
      <c r="D603" s="2" t="s">
        <v>1130</v>
      </c>
      <c r="E603" s="2" t="s">
        <v>830</v>
      </c>
      <c r="F603" s="2" t="s">
        <v>3294</v>
      </c>
      <c r="G603" s="2" t="s">
        <v>3295</v>
      </c>
      <c r="H603" s="2" t="s">
        <v>73</v>
      </c>
      <c r="I603" s="2" t="s">
        <v>74</v>
      </c>
      <c r="J603" s="2" t="n">
        <v>-6.1725</v>
      </c>
      <c r="K603" s="2" t="n">
        <v>106.8185</v>
      </c>
      <c r="L603" s="2" t="s">
        <v>124</v>
      </c>
      <c r="M603" s="2" t="s">
        <v>1822</v>
      </c>
      <c r="N603" s="2"/>
      <c r="O603" s="2" t="s">
        <v>3292</v>
      </c>
      <c r="P603" s="2" t="s">
        <v>3284</v>
      </c>
      <c r="Q603" s="2" t="s">
        <v>62</v>
      </c>
      <c r="R603" s="2" t="n">
        <v>0.65</v>
      </c>
      <c r="S603" s="2" t="s">
        <v>3285</v>
      </c>
      <c r="T603" s="2" t="s">
        <v>601</v>
      </c>
      <c r="U603" s="2" t="s">
        <v>3286</v>
      </c>
      <c r="V603" s="2" t="s">
        <v>420</v>
      </c>
      <c r="W603" s="2" t="s">
        <v>2399</v>
      </c>
      <c r="X603" s="2" t="s">
        <v>160</v>
      </c>
    </row>
    <row r="604" customFormat="false" ht="15" hidden="false" customHeight="false" outlineLevel="0" collapsed="false">
      <c r="A604" s="2" t="n">
        <v>582</v>
      </c>
      <c r="B604" s="2" t="s">
        <v>3215</v>
      </c>
      <c r="C604" s="2" t="s">
        <v>3296</v>
      </c>
      <c r="D604" s="2" t="s">
        <v>1130</v>
      </c>
      <c r="E604" s="2" t="s">
        <v>830</v>
      </c>
      <c r="F604" s="2" t="s">
        <v>2338</v>
      </c>
      <c r="G604" s="2" t="s">
        <v>2339</v>
      </c>
      <c r="H604" s="2" t="s">
        <v>716</v>
      </c>
      <c r="I604" s="2" t="s">
        <v>74</v>
      </c>
      <c r="J604" s="2" t="n">
        <v>-6.1345</v>
      </c>
      <c r="K604" s="2" t="n">
        <v>106.8145</v>
      </c>
      <c r="L604" s="2" t="s">
        <v>124</v>
      </c>
      <c r="M604" s="2" t="s">
        <v>1822</v>
      </c>
      <c r="N604" s="2"/>
      <c r="O604" s="2" t="s">
        <v>3292</v>
      </c>
      <c r="P604" s="2" t="s">
        <v>3284</v>
      </c>
      <c r="Q604" s="2" t="s">
        <v>62</v>
      </c>
      <c r="R604" s="2" t="n">
        <v>0.65</v>
      </c>
      <c r="S604" s="2" t="s">
        <v>3285</v>
      </c>
      <c r="T604" s="2" t="s">
        <v>601</v>
      </c>
      <c r="U604" s="2" t="s">
        <v>3286</v>
      </c>
      <c r="V604" s="2" t="s">
        <v>420</v>
      </c>
      <c r="W604" s="2" t="s">
        <v>2399</v>
      </c>
      <c r="X604" s="2" t="s">
        <v>160</v>
      </c>
    </row>
    <row r="605" customFormat="false" ht="15" hidden="false" customHeight="false" outlineLevel="0" collapsed="false">
      <c r="A605" s="2" t="n">
        <v>582</v>
      </c>
      <c r="B605" s="2" t="s">
        <v>3215</v>
      </c>
      <c r="C605" s="2" t="s">
        <v>3297</v>
      </c>
      <c r="D605" s="2" t="s">
        <v>1130</v>
      </c>
      <c r="E605" s="2" t="s">
        <v>3298</v>
      </c>
      <c r="F605" s="2" t="s">
        <v>3299</v>
      </c>
      <c r="G605" s="2" t="s">
        <v>3265</v>
      </c>
      <c r="H605" s="2" t="s">
        <v>3266</v>
      </c>
      <c r="I605" s="2" t="s">
        <v>74</v>
      </c>
      <c r="J605" s="2" t="n">
        <v>-6.033</v>
      </c>
      <c r="K605" s="2" t="n">
        <v>106.735</v>
      </c>
      <c r="L605" s="2" t="s">
        <v>124</v>
      </c>
      <c r="M605" s="2" t="s">
        <v>60</v>
      </c>
      <c r="N605" s="2"/>
      <c r="O605" s="2" t="s">
        <v>3292</v>
      </c>
      <c r="P605" s="2" t="s">
        <v>3284</v>
      </c>
      <c r="Q605" s="2" t="s">
        <v>62</v>
      </c>
      <c r="R605" s="2" t="n">
        <v>0.65</v>
      </c>
      <c r="S605" s="2" t="s">
        <v>3285</v>
      </c>
      <c r="T605" s="2" t="s">
        <v>601</v>
      </c>
      <c r="U605" s="2" t="s">
        <v>3286</v>
      </c>
      <c r="V605" s="2" t="s">
        <v>420</v>
      </c>
      <c r="W605" s="2" t="s">
        <v>2399</v>
      </c>
      <c r="X605" s="2" t="s">
        <v>160</v>
      </c>
    </row>
    <row r="606" customFormat="false" ht="15" hidden="false" customHeight="false" outlineLevel="0" collapsed="false">
      <c r="A606" s="2" t="n">
        <v>582</v>
      </c>
      <c r="B606" s="2" t="s">
        <v>3215</v>
      </c>
      <c r="C606" s="2" t="s">
        <v>3300</v>
      </c>
      <c r="D606" s="2" t="s">
        <v>1130</v>
      </c>
      <c r="E606" s="2" t="s">
        <v>3282</v>
      </c>
      <c r="F606" s="2" t="s">
        <v>3301</v>
      </c>
      <c r="G606" s="2" t="s">
        <v>3302</v>
      </c>
      <c r="H606" s="2" t="s">
        <v>317</v>
      </c>
      <c r="I606" s="2" t="s">
        <v>74</v>
      </c>
      <c r="J606" s="2" t="n">
        <v>-6.099</v>
      </c>
      <c r="K606" s="2" t="n">
        <v>106.958</v>
      </c>
      <c r="L606" s="2" t="s">
        <v>124</v>
      </c>
      <c r="M606" s="2" t="s">
        <v>60</v>
      </c>
      <c r="N606" s="2"/>
      <c r="O606" s="2" t="s">
        <v>3292</v>
      </c>
      <c r="P606" s="2" t="s">
        <v>3284</v>
      </c>
      <c r="Q606" s="2" t="s">
        <v>62</v>
      </c>
      <c r="R606" s="2" t="n">
        <v>0.65</v>
      </c>
      <c r="S606" s="2" t="s">
        <v>3285</v>
      </c>
      <c r="T606" s="2" t="s">
        <v>601</v>
      </c>
      <c r="U606" s="2" t="s">
        <v>3286</v>
      </c>
      <c r="V606" s="2" t="s">
        <v>420</v>
      </c>
      <c r="W606" s="2" t="s">
        <v>2399</v>
      </c>
      <c r="X606" s="2" t="s">
        <v>160</v>
      </c>
    </row>
    <row r="607" customFormat="false" ht="15" hidden="false" customHeight="false" outlineLevel="0" collapsed="false">
      <c r="A607" s="2" t="n">
        <v>582</v>
      </c>
      <c r="B607" s="2" t="s">
        <v>3215</v>
      </c>
      <c r="C607" s="2" t="s">
        <v>3303</v>
      </c>
      <c r="D607" s="2" t="s">
        <v>1140</v>
      </c>
      <c r="E607" s="2" t="s">
        <v>3304</v>
      </c>
      <c r="F607" s="2" t="s">
        <v>3305</v>
      </c>
      <c r="G607" s="2" t="s">
        <v>3306</v>
      </c>
      <c r="H607" s="2" t="s">
        <v>198</v>
      </c>
      <c r="I607" s="2" t="s">
        <v>74</v>
      </c>
      <c r="J607" s="2" t="n">
        <v>-6.3025</v>
      </c>
      <c r="K607" s="2" t="n">
        <v>106.895</v>
      </c>
      <c r="L607" s="2" t="s">
        <v>124</v>
      </c>
      <c r="M607" s="2" t="s">
        <v>60</v>
      </c>
      <c r="N607" s="2"/>
      <c r="O607" s="2" t="s">
        <v>3307</v>
      </c>
      <c r="P607" s="2" t="s">
        <v>3308</v>
      </c>
      <c r="Q607" s="2" t="s">
        <v>62</v>
      </c>
      <c r="R607" s="2" t="n">
        <v>0.7</v>
      </c>
      <c r="S607" s="2" t="s">
        <v>3285</v>
      </c>
      <c r="T607" s="2" t="s">
        <v>601</v>
      </c>
      <c r="U607" s="2" t="s">
        <v>3286</v>
      </c>
      <c r="V607" s="2" t="s">
        <v>420</v>
      </c>
      <c r="W607" s="2" t="s">
        <v>2399</v>
      </c>
      <c r="X607" s="2" t="s">
        <v>160</v>
      </c>
    </row>
    <row r="608" customFormat="false" ht="15" hidden="false" customHeight="false" outlineLevel="0" collapsed="false">
      <c r="A608" s="2" t="n">
        <v>583</v>
      </c>
      <c r="B608" s="2" t="s">
        <v>3215</v>
      </c>
      <c r="C608" s="2" t="s">
        <v>3309</v>
      </c>
      <c r="D608" s="2" t="s">
        <v>410</v>
      </c>
      <c r="E608" s="2" t="s">
        <v>3310</v>
      </c>
      <c r="F608" s="2" t="s">
        <v>2338</v>
      </c>
      <c r="G608" s="2" t="s">
        <v>2339</v>
      </c>
      <c r="H608" s="2" t="s">
        <v>716</v>
      </c>
      <c r="I608" s="2" t="s">
        <v>74</v>
      </c>
      <c r="J608" s="2" t="n">
        <v>-6.1352</v>
      </c>
      <c r="K608" s="2" t="n">
        <v>106.8133</v>
      </c>
      <c r="L608" s="2" t="s">
        <v>124</v>
      </c>
      <c r="M608" s="2" t="s">
        <v>60</v>
      </c>
      <c r="N608" s="2"/>
      <c r="O608" s="2" t="s">
        <v>3311</v>
      </c>
      <c r="P608" s="2" t="s">
        <v>298</v>
      </c>
      <c r="Q608" s="2" t="s">
        <v>62</v>
      </c>
      <c r="R608" s="2" t="n">
        <v>0.7</v>
      </c>
      <c r="S608" s="2" t="s">
        <v>3312</v>
      </c>
      <c r="T608" s="2" t="s">
        <v>3313</v>
      </c>
      <c r="U608" s="2" t="s">
        <v>3314</v>
      </c>
      <c r="V608" s="2" t="s">
        <v>3315</v>
      </c>
      <c r="W608" s="2" t="s">
        <v>2037</v>
      </c>
      <c r="X608" s="2" t="s">
        <v>1588</v>
      </c>
    </row>
    <row r="609" customFormat="false" ht="15" hidden="false" customHeight="false" outlineLevel="0" collapsed="false">
      <c r="A609" s="2" t="n">
        <v>584</v>
      </c>
      <c r="B609" s="2" t="s">
        <v>3215</v>
      </c>
      <c r="C609" s="2" t="s">
        <v>3316</v>
      </c>
      <c r="D609" s="2" t="s">
        <v>410</v>
      </c>
      <c r="E609" s="2" t="s">
        <v>1539</v>
      </c>
      <c r="F609" s="2" t="s">
        <v>3295</v>
      </c>
      <c r="G609" s="2" t="s">
        <v>3295</v>
      </c>
      <c r="H609" s="2" t="s">
        <v>73</v>
      </c>
      <c r="I609" s="2" t="s">
        <v>74</v>
      </c>
      <c r="J609" s="2" t="n">
        <v>-6.1754</v>
      </c>
      <c r="K609" s="2" t="n">
        <v>106.8272</v>
      </c>
      <c r="L609" s="2" t="s">
        <v>124</v>
      </c>
      <c r="M609" s="2" t="s">
        <v>60</v>
      </c>
      <c r="N609" s="2"/>
      <c r="O609" s="2" t="s">
        <v>3292</v>
      </c>
      <c r="P609" s="2" t="s">
        <v>3284</v>
      </c>
      <c r="Q609" s="2" t="s">
        <v>62</v>
      </c>
      <c r="R609" s="2" t="n">
        <v>0.65</v>
      </c>
      <c r="S609" s="2" t="s">
        <v>3317</v>
      </c>
      <c r="T609" s="2" t="s">
        <v>3318</v>
      </c>
      <c r="U609" s="2" t="s">
        <v>3319</v>
      </c>
      <c r="V609" s="2" t="s">
        <v>3320</v>
      </c>
      <c r="W609" s="2" t="s">
        <v>3321</v>
      </c>
      <c r="X609" s="2" t="s">
        <v>1588</v>
      </c>
    </row>
    <row r="610" customFormat="false" ht="15" hidden="false" customHeight="false" outlineLevel="0" collapsed="false">
      <c r="A610" s="2" t="n">
        <v>584</v>
      </c>
      <c r="B610" s="2" t="s">
        <v>3215</v>
      </c>
      <c r="C610" s="2" t="s">
        <v>3281</v>
      </c>
      <c r="D610" s="2" t="s">
        <v>1140</v>
      </c>
      <c r="E610" s="2" t="s">
        <v>3282</v>
      </c>
      <c r="F610" s="2" t="s">
        <v>3281</v>
      </c>
      <c r="G610" s="2" t="s">
        <v>1519</v>
      </c>
      <c r="H610" s="2" t="s">
        <v>317</v>
      </c>
      <c r="I610" s="2" t="s">
        <v>74</v>
      </c>
      <c r="J610" s="2" t="n">
        <v>-6.125</v>
      </c>
      <c r="K610" s="2" t="n">
        <v>106.835</v>
      </c>
      <c r="L610" s="2" t="s">
        <v>59</v>
      </c>
      <c r="M610" s="2" t="s">
        <v>60</v>
      </c>
      <c r="N610" s="2"/>
      <c r="O610" s="2" t="s">
        <v>3322</v>
      </c>
      <c r="P610" s="2" t="s">
        <v>3284</v>
      </c>
      <c r="Q610" s="2" t="s">
        <v>62</v>
      </c>
      <c r="R610" s="2" t="n">
        <v>0.65</v>
      </c>
      <c r="S610" s="2" t="s">
        <v>3317</v>
      </c>
      <c r="T610" s="2" t="s">
        <v>3318</v>
      </c>
      <c r="U610" s="2" t="s">
        <v>3319</v>
      </c>
      <c r="V610" s="2" t="s">
        <v>3320</v>
      </c>
      <c r="W610" s="2" t="s">
        <v>3321</v>
      </c>
      <c r="X610" s="2" t="s">
        <v>1588</v>
      </c>
    </row>
    <row r="611" customFormat="false" ht="15" hidden="false" customHeight="false" outlineLevel="0" collapsed="false">
      <c r="A611" s="2" t="n">
        <v>584</v>
      </c>
      <c r="B611" s="2" t="s">
        <v>3215</v>
      </c>
      <c r="C611" s="2" t="s">
        <v>3287</v>
      </c>
      <c r="D611" s="2" t="s">
        <v>410</v>
      </c>
      <c r="E611" s="2" t="s">
        <v>3288</v>
      </c>
      <c r="F611" s="2" t="s">
        <v>3289</v>
      </c>
      <c r="G611" s="2" t="s">
        <v>1666</v>
      </c>
      <c r="H611" s="2" t="s">
        <v>426</v>
      </c>
      <c r="I611" s="2" t="s">
        <v>74</v>
      </c>
      <c r="J611" s="2" t="n">
        <v>-6.3125</v>
      </c>
      <c r="K611" s="2" t="n">
        <v>106.82</v>
      </c>
      <c r="L611" s="2" t="s">
        <v>124</v>
      </c>
      <c r="M611" s="2" t="s">
        <v>60</v>
      </c>
      <c r="N611" s="2"/>
      <c r="O611" s="2" t="s">
        <v>3323</v>
      </c>
      <c r="P611" s="2" t="s">
        <v>3284</v>
      </c>
      <c r="Q611" s="2" t="s">
        <v>62</v>
      </c>
      <c r="R611" s="2" t="n">
        <v>0.65</v>
      </c>
      <c r="S611" s="2" t="s">
        <v>3317</v>
      </c>
      <c r="T611" s="2" t="s">
        <v>3318</v>
      </c>
      <c r="U611" s="2" t="s">
        <v>3319</v>
      </c>
      <c r="V611" s="2" t="s">
        <v>3320</v>
      </c>
      <c r="W611" s="2" t="s">
        <v>3321</v>
      </c>
      <c r="X611" s="2" t="s">
        <v>1588</v>
      </c>
    </row>
    <row r="612" customFormat="false" ht="15" hidden="false" customHeight="false" outlineLevel="0" collapsed="false">
      <c r="A612" s="2" t="n">
        <v>584</v>
      </c>
      <c r="B612" s="2" t="s">
        <v>3215</v>
      </c>
      <c r="C612" s="2" t="s">
        <v>3324</v>
      </c>
      <c r="D612" s="2" t="s">
        <v>1130</v>
      </c>
      <c r="E612" s="2" t="s">
        <v>830</v>
      </c>
      <c r="F612" s="2" t="s">
        <v>2338</v>
      </c>
      <c r="G612" s="2" t="s">
        <v>2339</v>
      </c>
      <c r="H612" s="2" t="s">
        <v>716</v>
      </c>
      <c r="I612" s="2" t="s">
        <v>74</v>
      </c>
      <c r="J612" s="2" t="n">
        <v>-6.1345</v>
      </c>
      <c r="K612" s="2" t="n">
        <v>106.8126</v>
      </c>
      <c r="L612" s="2" t="s">
        <v>124</v>
      </c>
      <c r="M612" s="2" t="s">
        <v>1822</v>
      </c>
      <c r="N612" s="2"/>
      <c r="O612" s="2" t="s">
        <v>3292</v>
      </c>
      <c r="P612" s="2" t="s">
        <v>3284</v>
      </c>
      <c r="Q612" s="2" t="s">
        <v>62</v>
      </c>
      <c r="R612" s="2" t="n">
        <v>0.6</v>
      </c>
      <c r="S612" s="2" t="s">
        <v>3317</v>
      </c>
      <c r="T612" s="2" t="s">
        <v>3318</v>
      </c>
      <c r="U612" s="2" t="s">
        <v>3319</v>
      </c>
      <c r="V612" s="2" t="s">
        <v>3320</v>
      </c>
      <c r="W612" s="2" t="s">
        <v>3321</v>
      </c>
      <c r="X612" s="2" t="s">
        <v>1588</v>
      </c>
    </row>
    <row r="613" customFormat="false" ht="15" hidden="false" customHeight="false" outlineLevel="0" collapsed="false">
      <c r="A613" s="2" t="n">
        <v>584</v>
      </c>
      <c r="B613" s="2" t="s">
        <v>3215</v>
      </c>
      <c r="C613" s="2" t="s">
        <v>3325</v>
      </c>
      <c r="D613" s="2" t="s">
        <v>1130</v>
      </c>
      <c r="E613" s="2" t="s">
        <v>830</v>
      </c>
      <c r="F613" s="2" t="s">
        <v>640</v>
      </c>
      <c r="G613" s="2" t="s">
        <v>640</v>
      </c>
      <c r="H613" s="2" t="s">
        <v>317</v>
      </c>
      <c r="I613" s="2" t="s">
        <v>74</v>
      </c>
      <c r="J613" s="2" t="n">
        <v>-6.127</v>
      </c>
      <c r="K613" s="2" t="n">
        <v>106.8085</v>
      </c>
      <c r="L613" s="2" t="s">
        <v>124</v>
      </c>
      <c r="M613" s="2" t="s">
        <v>1822</v>
      </c>
      <c r="N613" s="2"/>
      <c r="O613" s="2" t="s">
        <v>3292</v>
      </c>
      <c r="P613" s="2" t="s">
        <v>3284</v>
      </c>
      <c r="Q613" s="2" t="s">
        <v>62</v>
      </c>
      <c r="R613" s="2" t="n">
        <v>0.6</v>
      </c>
      <c r="S613" s="2" t="s">
        <v>3317</v>
      </c>
      <c r="T613" s="2" t="s">
        <v>3318</v>
      </c>
      <c r="U613" s="2" t="s">
        <v>3319</v>
      </c>
      <c r="V613" s="2" t="s">
        <v>3320</v>
      </c>
      <c r="W613" s="2" t="s">
        <v>3321</v>
      </c>
      <c r="X613" s="2" t="s">
        <v>1588</v>
      </c>
    </row>
    <row r="614" customFormat="false" ht="15" hidden="false" customHeight="false" outlineLevel="0" collapsed="false">
      <c r="A614" s="2" t="n">
        <v>585</v>
      </c>
      <c r="B614" s="2" t="s">
        <v>3215</v>
      </c>
      <c r="C614" s="2" t="s">
        <v>500</v>
      </c>
      <c r="D614" s="2" t="s">
        <v>351</v>
      </c>
      <c r="E614" s="2" t="s">
        <v>3288</v>
      </c>
      <c r="F614" s="2" t="s">
        <v>424</v>
      </c>
      <c r="G614" s="2" t="s">
        <v>425</v>
      </c>
      <c r="H614" s="2" t="s">
        <v>426</v>
      </c>
      <c r="I614" s="2" t="s">
        <v>74</v>
      </c>
      <c r="J614" s="2" t="n">
        <v>-6.244</v>
      </c>
      <c r="K614" s="2" t="n">
        <v>106.8</v>
      </c>
      <c r="L614" s="2" t="s">
        <v>124</v>
      </c>
      <c r="M614" s="2" t="s">
        <v>60</v>
      </c>
      <c r="N614" s="2"/>
      <c r="O614" s="2" t="s">
        <v>3326</v>
      </c>
      <c r="P614" s="2" t="s">
        <v>2558</v>
      </c>
      <c r="Q614" s="2" t="s">
        <v>110</v>
      </c>
      <c r="R614" s="2" t="n">
        <v>0.8</v>
      </c>
      <c r="S614" s="2" t="s">
        <v>3327</v>
      </c>
      <c r="T614" s="2" t="s">
        <v>3328</v>
      </c>
      <c r="U614" s="2" t="s">
        <v>3329</v>
      </c>
      <c r="V614" s="2" t="s">
        <v>3330</v>
      </c>
      <c r="W614" s="2" t="s">
        <v>2158</v>
      </c>
      <c r="X614" s="2" t="s">
        <v>1588</v>
      </c>
    </row>
    <row r="615" customFormat="false" ht="15" hidden="false" customHeight="false" outlineLevel="0" collapsed="false">
      <c r="A615" s="2" t="n">
        <v>585</v>
      </c>
      <c r="B615" s="2" t="s">
        <v>3215</v>
      </c>
      <c r="C615" s="2" t="s">
        <v>3331</v>
      </c>
      <c r="D615" s="2" t="s">
        <v>53</v>
      </c>
      <c r="E615" s="2" t="s">
        <v>423</v>
      </c>
      <c r="F615" s="2" t="s">
        <v>424</v>
      </c>
      <c r="G615" s="2" t="s">
        <v>425</v>
      </c>
      <c r="H615" s="2" t="s">
        <v>426</v>
      </c>
      <c r="I615" s="2" t="s">
        <v>74</v>
      </c>
      <c r="J615" s="2" t="n">
        <v>-6.244</v>
      </c>
      <c r="K615" s="2" t="n">
        <v>106.8</v>
      </c>
      <c r="L615" s="2" t="s">
        <v>59</v>
      </c>
      <c r="M615" s="2" t="s">
        <v>60</v>
      </c>
      <c r="N615" s="2"/>
      <c r="O615" s="2" t="s">
        <v>3332</v>
      </c>
      <c r="P615" s="2"/>
      <c r="Q615" s="2" t="s">
        <v>110</v>
      </c>
      <c r="R615" s="2" t="n">
        <v>0.7</v>
      </c>
      <c r="S615" s="2" t="s">
        <v>3327</v>
      </c>
      <c r="T615" s="2" t="s">
        <v>3328</v>
      </c>
      <c r="U615" s="2" t="s">
        <v>3329</v>
      </c>
      <c r="V615" s="2" t="s">
        <v>3330</v>
      </c>
      <c r="W615" s="2" t="s">
        <v>2158</v>
      </c>
      <c r="X615" s="2" t="s">
        <v>1588</v>
      </c>
    </row>
    <row r="616" customFormat="false" ht="15" hidden="false" customHeight="false" outlineLevel="0" collapsed="false">
      <c r="A616" s="2" t="n">
        <v>585</v>
      </c>
      <c r="B616" s="2" t="s">
        <v>3215</v>
      </c>
      <c r="C616" s="2" t="s">
        <v>3303</v>
      </c>
      <c r="D616" s="2" t="s">
        <v>1140</v>
      </c>
      <c r="E616" s="2" t="s">
        <v>3304</v>
      </c>
      <c r="F616" s="2" t="s">
        <v>3305</v>
      </c>
      <c r="G616" s="2" t="s">
        <v>3306</v>
      </c>
      <c r="H616" s="2" t="s">
        <v>198</v>
      </c>
      <c r="I616" s="2" t="s">
        <v>74</v>
      </c>
      <c r="J616" s="2" t="n">
        <v>-6.3025</v>
      </c>
      <c r="K616" s="2" t="n">
        <v>106.895</v>
      </c>
      <c r="L616" s="2" t="s">
        <v>124</v>
      </c>
      <c r="M616" s="2" t="s">
        <v>60</v>
      </c>
      <c r="N616" s="2"/>
      <c r="O616" s="2" t="s">
        <v>3333</v>
      </c>
      <c r="P616" s="2"/>
      <c r="Q616" s="2" t="s">
        <v>62</v>
      </c>
      <c r="R616" s="2" t="n">
        <v>0.6</v>
      </c>
      <c r="S616" s="2" t="s">
        <v>3327</v>
      </c>
      <c r="T616" s="2" t="s">
        <v>3328</v>
      </c>
      <c r="U616" s="2" t="s">
        <v>3329</v>
      </c>
      <c r="V616" s="2" t="s">
        <v>3330</v>
      </c>
      <c r="W616" s="2" t="s">
        <v>2158</v>
      </c>
      <c r="X616" s="2" t="s">
        <v>1588</v>
      </c>
    </row>
    <row r="617" customFormat="false" ht="15" hidden="false" customHeight="false" outlineLevel="0" collapsed="false">
      <c r="A617" s="2" t="n">
        <v>585</v>
      </c>
      <c r="B617" s="2" t="s">
        <v>3215</v>
      </c>
      <c r="C617" s="2" t="s">
        <v>3334</v>
      </c>
      <c r="D617" s="2" t="s">
        <v>1130</v>
      </c>
      <c r="E617" s="2" t="s">
        <v>3335</v>
      </c>
      <c r="F617" s="2" t="s">
        <v>2338</v>
      </c>
      <c r="G617" s="2" t="s">
        <v>2339</v>
      </c>
      <c r="H617" s="2" t="s">
        <v>716</v>
      </c>
      <c r="I617" s="2" t="s">
        <v>74</v>
      </c>
      <c r="J617" s="2" t="n">
        <v>-6.1352</v>
      </c>
      <c r="K617" s="2" t="n">
        <v>106.8133</v>
      </c>
      <c r="L617" s="2" t="s">
        <v>124</v>
      </c>
      <c r="M617" s="2" t="s">
        <v>60</v>
      </c>
      <c r="N617" s="2"/>
      <c r="O617" s="2" t="s">
        <v>3336</v>
      </c>
      <c r="P617" s="2"/>
      <c r="Q617" s="2" t="s">
        <v>62</v>
      </c>
      <c r="R617" s="2" t="n">
        <v>0.6</v>
      </c>
      <c r="S617" s="2" t="s">
        <v>3327</v>
      </c>
      <c r="T617" s="2" t="s">
        <v>3328</v>
      </c>
      <c r="U617" s="2" t="s">
        <v>3329</v>
      </c>
      <c r="V617" s="2" t="s">
        <v>3330</v>
      </c>
      <c r="W617" s="2" t="s">
        <v>2158</v>
      </c>
      <c r="X617" s="2" t="s">
        <v>1588</v>
      </c>
    </row>
    <row r="618" customFormat="false" ht="15" hidden="false" customHeight="false" outlineLevel="0" collapsed="false">
      <c r="A618" s="2" t="n">
        <v>586</v>
      </c>
      <c r="B618" s="2" t="s">
        <v>3215</v>
      </c>
      <c r="C618" s="2" t="s">
        <v>3337</v>
      </c>
      <c r="D618" s="2" t="s">
        <v>410</v>
      </c>
      <c r="E618" s="2" t="s">
        <v>3338</v>
      </c>
      <c r="F618" s="2" t="s">
        <v>80</v>
      </c>
      <c r="G618" s="2" t="s">
        <v>80</v>
      </c>
      <c r="H618" s="2" t="s">
        <v>73</v>
      </c>
      <c r="I618" s="2" t="s">
        <v>74</v>
      </c>
      <c r="J618" s="2" t="n">
        <v>-6.1935</v>
      </c>
      <c r="K618" s="2" t="n">
        <v>106.8235</v>
      </c>
      <c r="L618" s="2" t="s">
        <v>124</v>
      </c>
      <c r="M618" s="2" t="s">
        <v>60</v>
      </c>
      <c r="N618" s="2"/>
      <c r="O618" s="2" t="s">
        <v>3339</v>
      </c>
      <c r="P618" s="2" t="s">
        <v>1001</v>
      </c>
      <c r="Q618" s="2" t="s">
        <v>110</v>
      </c>
      <c r="R618" s="2" t="n">
        <v>0.8</v>
      </c>
      <c r="S618" s="2" t="s">
        <v>3340</v>
      </c>
      <c r="T618" s="2" t="s">
        <v>3341</v>
      </c>
      <c r="U618" s="2" t="s">
        <v>3342</v>
      </c>
      <c r="V618" s="2" t="s">
        <v>3343</v>
      </c>
      <c r="W618" s="2" t="s">
        <v>2489</v>
      </c>
      <c r="X618" s="2" t="s">
        <v>1588</v>
      </c>
    </row>
    <row r="619" customFormat="false" ht="15" hidden="false" customHeight="false" outlineLevel="0" collapsed="false">
      <c r="A619" s="2" t="n">
        <v>587</v>
      </c>
      <c r="B619" s="2" t="s">
        <v>3215</v>
      </c>
      <c r="C619" s="2" t="s">
        <v>3316</v>
      </c>
      <c r="D619" s="2" t="s">
        <v>410</v>
      </c>
      <c r="E619" s="2" t="s">
        <v>1539</v>
      </c>
      <c r="F619" s="2" t="s">
        <v>3295</v>
      </c>
      <c r="G619" s="2" t="s">
        <v>3295</v>
      </c>
      <c r="H619" s="2" t="s">
        <v>73</v>
      </c>
      <c r="I619" s="2" t="s">
        <v>74</v>
      </c>
      <c r="J619" s="2" t="n">
        <v>-6.1754</v>
      </c>
      <c r="K619" s="2" t="n">
        <v>106.8272</v>
      </c>
      <c r="L619" s="2" t="s">
        <v>124</v>
      </c>
      <c r="M619" s="2" t="s">
        <v>60</v>
      </c>
      <c r="N619" s="2"/>
      <c r="O619" s="2" t="s">
        <v>3344</v>
      </c>
      <c r="P619" s="2" t="s">
        <v>3345</v>
      </c>
      <c r="Q619" s="2" t="s">
        <v>62</v>
      </c>
      <c r="R619" s="2" t="n">
        <v>0.6</v>
      </c>
      <c r="S619" s="2" t="s">
        <v>3346</v>
      </c>
      <c r="T619" s="2" t="s">
        <v>3347</v>
      </c>
      <c r="U619" s="2" t="s">
        <v>3348</v>
      </c>
      <c r="V619" s="2" t="s">
        <v>965</v>
      </c>
      <c r="W619" s="2" t="s">
        <v>98</v>
      </c>
      <c r="X619" s="2" t="s">
        <v>1588</v>
      </c>
    </row>
    <row r="620" customFormat="false" ht="15" hidden="false" customHeight="false" outlineLevel="0" collapsed="false">
      <c r="A620" s="2" t="n">
        <v>587</v>
      </c>
      <c r="B620" s="2" t="s">
        <v>3215</v>
      </c>
      <c r="C620" s="2" t="s">
        <v>3287</v>
      </c>
      <c r="D620" s="2" t="s">
        <v>410</v>
      </c>
      <c r="E620" s="2" t="s">
        <v>3288</v>
      </c>
      <c r="F620" s="2" t="s">
        <v>3289</v>
      </c>
      <c r="G620" s="2" t="s">
        <v>1666</v>
      </c>
      <c r="H620" s="2" t="s">
        <v>426</v>
      </c>
      <c r="I620" s="2" t="s">
        <v>74</v>
      </c>
      <c r="J620" s="2" t="n">
        <v>-6.3125</v>
      </c>
      <c r="K620" s="2" t="n">
        <v>106.82</v>
      </c>
      <c r="L620" s="2" t="s">
        <v>124</v>
      </c>
      <c r="M620" s="2" t="s">
        <v>60</v>
      </c>
      <c r="N620" s="2"/>
      <c r="O620" s="2" t="s">
        <v>3349</v>
      </c>
      <c r="P620" s="2" t="s">
        <v>298</v>
      </c>
      <c r="Q620" s="2" t="s">
        <v>62</v>
      </c>
      <c r="R620" s="2" t="n">
        <v>0.65</v>
      </c>
      <c r="S620" s="2" t="s">
        <v>3346</v>
      </c>
      <c r="T620" s="2" t="s">
        <v>3347</v>
      </c>
      <c r="U620" s="2" t="s">
        <v>3348</v>
      </c>
      <c r="V620" s="2" t="s">
        <v>965</v>
      </c>
      <c r="W620" s="2" t="s">
        <v>98</v>
      </c>
      <c r="X620" s="2" t="s">
        <v>1588</v>
      </c>
    </row>
    <row r="621" customFormat="false" ht="15" hidden="false" customHeight="false" outlineLevel="0" collapsed="false">
      <c r="A621" s="2" t="n">
        <v>587</v>
      </c>
      <c r="B621" s="2" t="s">
        <v>3215</v>
      </c>
      <c r="C621" s="2" t="s">
        <v>3281</v>
      </c>
      <c r="D621" s="2" t="s">
        <v>1140</v>
      </c>
      <c r="E621" s="2" t="s">
        <v>3282</v>
      </c>
      <c r="F621" s="2" t="s">
        <v>3281</v>
      </c>
      <c r="G621" s="2" t="s">
        <v>1519</v>
      </c>
      <c r="H621" s="2" t="s">
        <v>317</v>
      </c>
      <c r="I621" s="2" t="s">
        <v>74</v>
      </c>
      <c r="J621" s="2" t="n">
        <v>-6.125</v>
      </c>
      <c r="K621" s="2" t="n">
        <v>106.835</v>
      </c>
      <c r="L621" s="2" t="s">
        <v>59</v>
      </c>
      <c r="M621" s="2" t="s">
        <v>60</v>
      </c>
      <c r="N621" s="2"/>
      <c r="O621" s="2" t="s">
        <v>3350</v>
      </c>
      <c r="P621" s="2" t="s">
        <v>298</v>
      </c>
      <c r="Q621" s="2" t="s">
        <v>62</v>
      </c>
      <c r="R621" s="2" t="n">
        <v>0.65</v>
      </c>
      <c r="S621" s="2" t="s">
        <v>3346</v>
      </c>
      <c r="T621" s="2" t="s">
        <v>3347</v>
      </c>
      <c r="U621" s="2" t="s">
        <v>3348</v>
      </c>
      <c r="V621" s="2" t="s">
        <v>965</v>
      </c>
      <c r="W621" s="2" t="s">
        <v>98</v>
      </c>
      <c r="X621" s="2" t="s">
        <v>1588</v>
      </c>
    </row>
    <row r="622" customFormat="false" ht="15" hidden="false" customHeight="false" outlineLevel="0" collapsed="false">
      <c r="A622" s="2" t="n">
        <v>588</v>
      </c>
      <c r="B622" s="2" t="s">
        <v>3215</v>
      </c>
      <c r="C622" s="2" t="s">
        <v>3255</v>
      </c>
      <c r="D622" s="2" t="s">
        <v>121</v>
      </c>
      <c r="E622" s="2" t="s">
        <v>830</v>
      </c>
      <c r="F622" s="2"/>
      <c r="G622" s="2"/>
      <c r="H622" s="2"/>
      <c r="I622" s="2" t="s">
        <v>74</v>
      </c>
      <c r="J622" s="2" t="n">
        <v>-6.2</v>
      </c>
      <c r="K622" s="2" t="n">
        <v>106.845</v>
      </c>
      <c r="L622" s="2" t="s">
        <v>239</v>
      </c>
      <c r="M622" s="2" t="s">
        <v>340</v>
      </c>
      <c r="N622" s="2"/>
      <c r="O622" s="2" t="s">
        <v>3351</v>
      </c>
      <c r="P622" s="2" t="s">
        <v>3259</v>
      </c>
      <c r="Q622" s="2" t="s">
        <v>62</v>
      </c>
      <c r="R622" s="2" t="n">
        <v>0.7</v>
      </c>
      <c r="S622" s="2" t="s">
        <v>3352</v>
      </c>
      <c r="T622" s="2" t="s">
        <v>963</v>
      </c>
      <c r="U622" s="2" t="s">
        <v>3353</v>
      </c>
      <c r="V622" s="2" t="s">
        <v>1500</v>
      </c>
      <c r="W622" s="2" t="s">
        <v>1501</v>
      </c>
      <c r="X622" s="2" t="s">
        <v>507</v>
      </c>
    </row>
    <row r="623" customFormat="false" ht="15" hidden="false" customHeight="false" outlineLevel="0" collapsed="false">
      <c r="A623" s="2" t="n">
        <v>592</v>
      </c>
      <c r="B623" s="2" t="s">
        <v>3215</v>
      </c>
      <c r="C623" s="2" t="s">
        <v>3354</v>
      </c>
      <c r="D623" s="2" t="s">
        <v>351</v>
      </c>
      <c r="E623" s="2" t="s">
        <v>3282</v>
      </c>
      <c r="F623" s="2" t="s">
        <v>3355</v>
      </c>
      <c r="G623" s="2" t="s">
        <v>3356</v>
      </c>
      <c r="H623" s="2" t="s">
        <v>317</v>
      </c>
      <c r="I623" s="2" t="s">
        <v>74</v>
      </c>
      <c r="J623" s="2" t="n">
        <v>-6.125</v>
      </c>
      <c r="K623" s="2" t="n">
        <v>106.866</v>
      </c>
      <c r="L623" s="2" t="s">
        <v>124</v>
      </c>
      <c r="M623" s="2" t="s">
        <v>60</v>
      </c>
      <c r="N623" s="2"/>
      <c r="O623" s="2" t="s">
        <v>3357</v>
      </c>
      <c r="P623" s="2"/>
      <c r="Q623" s="2" t="s">
        <v>62</v>
      </c>
      <c r="R623" s="2" t="n">
        <v>0.45</v>
      </c>
      <c r="S623" s="2" t="s">
        <v>3358</v>
      </c>
      <c r="T623" s="2" t="s">
        <v>963</v>
      </c>
      <c r="U623" s="2" t="s">
        <v>3359</v>
      </c>
      <c r="V623" s="2" t="s">
        <v>582</v>
      </c>
      <c r="W623" s="2" t="s">
        <v>487</v>
      </c>
      <c r="X623" s="2" t="s">
        <v>1588</v>
      </c>
    </row>
    <row r="624" customFormat="false" ht="15" hidden="false" customHeight="false" outlineLevel="0" collapsed="false">
      <c r="A624" s="2" t="n">
        <v>592</v>
      </c>
      <c r="B624" s="2" t="s">
        <v>3215</v>
      </c>
      <c r="C624" s="2" t="s">
        <v>3360</v>
      </c>
      <c r="D624" s="2" t="s">
        <v>1130</v>
      </c>
      <c r="E624" s="2" t="s">
        <v>3361</v>
      </c>
      <c r="F624" s="2" t="s">
        <v>3362</v>
      </c>
      <c r="G624" s="2" t="s">
        <v>80</v>
      </c>
      <c r="H624" s="2" t="s">
        <v>73</v>
      </c>
      <c r="I624" s="2" t="s">
        <v>74</v>
      </c>
      <c r="J624" s="2" t="n">
        <v>-6.1905</v>
      </c>
      <c r="K624" s="2" t="n">
        <v>106.839</v>
      </c>
      <c r="L624" s="2" t="s">
        <v>124</v>
      </c>
      <c r="M624" s="2" t="s">
        <v>60</v>
      </c>
      <c r="N624" s="2"/>
      <c r="O624" s="2" t="s">
        <v>3363</v>
      </c>
      <c r="P624" s="2"/>
      <c r="Q624" s="2" t="s">
        <v>62</v>
      </c>
      <c r="R624" s="2" t="n">
        <v>0.6</v>
      </c>
      <c r="S624" s="2" t="s">
        <v>3358</v>
      </c>
      <c r="T624" s="2" t="s">
        <v>963</v>
      </c>
      <c r="U624" s="2" t="s">
        <v>3359</v>
      </c>
      <c r="V624" s="2" t="s">
        <v>582</v>
      </c>
      <c r="W624" s="2" t="s">
        <v>487</v>
      </c>
      <c r="X624" s="2" t="s">
        <v>1588</v>
      </c>
    </row>
    <row r="625" customFormat="false" ht="15" hidden="false" customHeight="false" outlineLevel="0" collapsed="false">
      <c r="A625" s="2" t="n">
        <v>592</v>
      </c>
      <c r="B625" s="2" t="s">
        <v>3215</v>
      </c>
      <c r="C625" s="2" t="s">
        <v>3364</v>
      </c>
      <c r="D625" s="2" t="s">
        <v>410</v>
      </c>
      <c r="E625" s="2" t="s">
        <v>1539</v>
      </c>
      <c r="F625" s="2" t="s">
        <v>1886</v>
      </c>
      <c r="G625" s="2" t="s">
        <v>3365</v>
      </c>
      <c r="H625" s="2" t="s">
        <v>73</v>
      </c>
      <c r="I625" s="2" t="s">
        <v>74</v>
      </c>
      <c r="J625" s="2" t="n">
        <v>-6.1705</v>
      </c>
      <c r="K625" s="2" t="n">
        <v>106.835</v>
      </c>
      <c r="L625" s="2" t="s">
        <v>124</v>
      </c>
      <c r="M625" s="2" t="s">
        <v>60</v>
      </c>
      <c r="N625" s="2"/>
      <c r="O625" s="2" t="s">
        <v>3366</v>
      </c>
      <c r="P625" s="2"/>
      <c r="Q625" s="2" t="s">
        <v>62</v>
      </c>
      <c r="R625" s="2" t="n">
        <v>0.5</v>
      </c>
      <c r="S625" s="2" t="s">
        <v>3358</v>
      </c>
      <c r="T625" s="2" t="s">
        <v>963</v>
      </c>
      <c r="U625" s="2" t="s">
        <v>3359</v>
      </c>
      <c r="V625" s="2" t="s">
        <v>582</v>
      </c>
      <c r="W625" s="2" t="s">
        <v>487</v>
      </c>
      <c r="X625" s="2" t="s">
        <v>1588</v>
      </c>
    </row>
    <row r="626" customFormat="false" ht="15" hidden="false" customHeight="false" outlineLevel="0" collapsed="false">
      <c r="A626" s="2" t="n">
        <v>593</v>
      </c>
      <c r="B626" s="2" t="s">
        <v>3215</v>
      </c>
      <c r="C626" s="2" t="s">
        <v>3367</v>
      </c>
      <c r="D626" s="2" t="s">
        <v>1140</v>
      </c>
      <c r="E626" s="2" t="s">
        <v>3368</v>
      </c>
      <c r="F626" s="2" t="s">
        <v>3281</v>
      </c>
      <c r="G626" s="2" t="s">
        <v>1519</v>
      </c>
      <c r="H626" s="2" t="s">
        <v>317</v>
      </c>
      <c r="I626" s="2" t="s">
        <v>74</v>
      </c>
      <c r="J626" s="2" t="n">
        <v>-6.125</v>
      </c>
      <c r="K626" s="2" t="n">
        <v>106.835</v>
      </c>
      <c r="L626" s="2" t="s">
        <v>59</v>
      </c>
      <c r="M626" s="2" t="s">
        <v>60</v>
      </c>
      <c r="N626" s="2"/>
      <c r="O626" s="2" t="s">
        <v>3369</v>
      </c>
      <c r="P626" s="2"/>
      <c r="Q626" s="2" t="s">
        <v>62</v>
      </c>
      <c r="R626" s="2" t="n">
        <v>0.65</v>
      </c>
      <c r="S626" s="2" t="s">
        <v>3370</v>
      </c>
      <c r="T626" s="2" t="s">
        <v>580</v>
      </c>
      <c r="U626" s="2" t="s">
        <v>3371</v>
      </c>
      <c r="V626" s="2" t="s">
        <v>965</v>
      </c>
      <c r="W626" s="2" t="s">
        <v>918</v>
      </c>
      <c r="X626" s="2" t="s">
        <v>1588</v>
      </c>
    </row>
    <row r="627" customFormat="false" ht="15" hidden="false" customHeight="false" outlineLevel="0" collapsed="false">
      <c r="A627" s="2" t="n">
        <v>594</v>
      </c>
      <c r="B627" s="2" t="s">
        <v>3215</v>
      </c>
      <c r="C627" s="2" t="s">
        <v>3372</v>
      </c>
      <c r="D627" s="2" t="s">
        <v>351</v>
      </c>
      <c r="E627" s="2" t="s">
        <v>3373</v>
      </c>
      <c r="F627" s="2" t="s">
        <v>424</v>
      </c>
      <c r="G627" s="2" t="s">
        <v>425</v>
      </c>
      <c r="H627" s="2" t="s">
        <v>426</v>
      </c>
      <c r="I627" s="2" t="s">
        <v>74</v>
      </c>
      <c r="J627" s="2" t="n">
        <v>-6.2415</v>
      </c>
      <c r="K627" s="2" t="n">
        <v>106.7975</v>
      </c>
      <c r="L627" s="2" t="s">
        <v>124</v>
      </c>
      <c r="M627" s="2" t="s">
        <v>60</v>
      </c>
      <c r="N627" s="2"/>
      <c r="O627" s="2" t="s">
        <v>3374</v>
      </c>
      <c r="P627" s="2" t="s">
        <v>109</v>
      </c>
      <c r="Q627" s="2" t="s">
        <v>62</v>
      </c>
      <c r="R627" s="2" t="n">
        <v>0.75</v>
      </c>
      <c r="S627" s="2" t="s">
        <v>3375</v>
      </c>
      <c r="T627" s="2" t="s">
        <v>963</v>
      </c>
      <c r="U627" s="2" t="s">
        <v>3376</v>
      </c>
      <c r="V627" s="2" t="s">
        <v>582</v>
      </c>
      <c r="W627" s="2" t="s">
        <v>1261</v>
      </c>
      <c r="X627" s="2" t="s">
        <v>507</v>
      </c>
    </row>
    <row r="628" customFormat="false" ht="15" hidden="false" customHeight="false" outlineLevel="0" collapsed="false">
      <c r="A628" s="2" t="n">
        <v>594</v>
      </c>
      <c r="B628" s="2" t="s">
        <v>3215</v>
      </c>
      <c r="C628" s="2" t="s">
        <v>3377</v>
      </c>
      <c r="D628" s="2" t="s">
        <v>351</v>
      </c>
      <c r="E628" s="2" t="s">
        <v>3378</v>
      </c>
      <c r="F628" s="2" t="s">
        <v>1886</v>
      </c>
      <c r="G628" s="2" t="s">
        <v>3365</v>
      </c>
      <c r="H628" s="2" t="s">
        <v>73</v>
      </c>
      <c r="I628" s="2" t="s">
        <v>74</v>
      </c>
      <c r="J628" s="2" t="n">
        <v>-6.161</v>
      </c>
      <c r="K628" s="2" t="n">
        <v>106.8335</v>
      </c>
      <c r="L628" s="2" t="s">
        <v>124</v>
      </c>
      <c r="M628" s="2" t="s">
        <v>60</v>
      </c>
      <c r="N628" s="2"/>
      <c r="O628" s="2" t="s">
        <v>3379</v>
      </c>
      <c r="P628" s="2" t="s">
        <v>109</v>
      </c>
      <c r="Q628" s="2" t="s">
        <v>62</v>
      </c>
      <c r="R628" s="2" t="n">
        <v>0.75</v>
      </c>
      <c r="S628" s="2" t="s">
        <v>3375</v>
      </c>
      <c r="T628" s="2" t="s">
        <v>963</v>
      </c>
      <c r="U628" s="2" t="s">
        <v>3376</v>
      </c>
      <c r="V628" s="2" t="s">
        <v>582</v>
      </c>
      <c r="W628" s="2" t="s">
        <v>1261</v>
      </c>
      <c r="X628" s="2" t="s">
        <v>507</v>
      </c>
    </row>
    <row r="629" customFormat="false" ht="15" hidden="false" customHeight="false" outlineLevel="0" collapsed="false">
      <c r="A629" s="2" t="n">
        <v>594</v>
      </c>
      <c r="B629" s="2" t="s">
        <v>3215</v>
      </c>
      <c r="C629" s="2" t="s">
        <v>3360</v>
      </c>
      <c r="D629" s="2" t="s">
        <v>1130</v>
      </c>
      <c r="E629" s="2" t="s">
        <v>3380</v>
      </c>
      <c r="F629" s="2" t="s">
        <v>3362</v>
      </c>
      <c r="G629" s="2" t="s">
        <v>80</v>
      </c>
      <c r="H629" s="2" t="s">
        <v>73</v>
      </c>
      <c r="I629" s="2" t="s">
        <v>74</v>
      </c>
      <c r="J629" s="2" t="n">
        <v>-6.1905</v>
      </c>
      <c r="K629" s="2" t="n">
        <v>106.839</v>
      </c>
      <c r="L629" s="2" t="s">
        <v>124</v>
      </c>
      <c r="M629" s="2" t="s">
        <v>60</v>
      </c>
      <c r="N629" s="2"/>
      <c r="O629" s="2" t="s">
        <v>3381</v>
      </c>
      <c r="P629" s="2" t="s">
        <v>109</v>
      </c>
      <c r="Q629" s="2" t="s">
        <v>62</v>
      </c>
      <c r="R629" s="2" t="n">
        <v>0.75</v>
      </c>
      <c r="S629" s="2" t="s">
        <v>3375</v>
      </c>
      <c r="T629" s="2" t="s">
        <v>963</v>
      </c>
      <c r="U629" s="2" t="s">
        <v>3376</v>
      </c>
      <c r="V629" s="2" t="s">
        <v>582</v>
      </c>
      <c r="W629" s="2" t="s">
        <v>1261</v>
      </c>
      <c r="X629" s="2" t="s">
        <v>507</v>
      </c>
    </row>
    <row r="630" customFormat="false" ht="15" hidden="false" customHeight="false" outlineLevel="0" collapsed="false">
      <c r="A630" s="2" t="n">
        <v>595</v>
      </c>
      <c r="B630" s="2" t="s">
        <v>3215</v>
      </c>
      <c r="C630" s="2" t="s">
        <v>3382</v>
      </c>
      <c r="D630" s="2" t="s">
        <v>351</v>
      </c>
      <c r="E630" s="2" t="s">
        <v>1539</v>
      </c>
      <c r="F630" s="2" t="s">
        <v>3383</v>
      </c>
      <c r="G630" s="2" t="s">
        <v>72</v>
      </c>
      <c r="H630" s="2" t="s">
        <v>73</v>
      </c>
      <c r="I630" s="2" t="s">
        <v>74</v>
      </c>
      <c r="J630" s="2" t="n">
        <v>-6.195</v>
      </c>
      <c r="K630" s="2" t="n">
        <v>106.821</v>
      </c>
      <c r="L630" s="2" t="s">
        <v>124</v>
      </c>
      <c r="M630" s="2" t="s">
        <v>60</v>
      </c>
      <c r="N630" s="2"/>
      <c r="O630" s="2" t="s">
        <v>3384</v>
      </c>
      <c r="P630" s="2"/>
      <c r="Q630" s="2" t="s">
        <v>62</v>
      </c>
      <c r="R630" s="2" t="n">
        <v>0.4</v>
      </c>
      <c r="S630" s="2" t="s">
        <v>3385</v>
      </c>
      <c r="T630" s="2" t="s">
        <v>580</v>
      </c>
      <c r="U630" s="2" t="s">
        <v>3386</v>
      </c>
      <c r="V630" s="2" t="s">
        <v>3387</v>
      </c>
      <c r="W630" s="2" t="s">
        <v>1204</v>
      </c>
      <c r="X630" s="2" t="s">
        <v>507</v>
      </c>
    </row>
    <row r="631" customFormat="false" ht="15" hidden="false" customHeight="false" outlineLevel="0" collapsed="false">
      <c r="A631" s="2" t="n">
        <v>596</v>
      </c>
      <c r="B631" s="2" t="s">
        <v>3215</v>
      </c>
      <c r="C631" s="2" t="s">
        <v>3388</v>
      </c>
      <c r="D631" s="2" t="s">
        <v>410</v>
      </c>
      <c r="E631" s="2" t="s">
        <v>3389</v>
      </c>
      <c r="F631" s="2"/>
      <c r="G631" s="2" t="s">
        <v>1221</v>
      </c>
      <c r="H631" s="2" t="s">
        <v>296</v>
      </c>
      <c r="I631" s="2" t="s">
        <v>58</v>
      </c>
      <c r="J631" s="2" t="n">
        <v>-6.57</v>
      </c>
      <c r="K631" s="2" t="n">
        <v>106.89</v>
      </c>
      <c r="L631" s="2" t="s">
        <v>84</v>
      </c>
      <c r="M631" s="2" t="s">
        <v>60</v>
      </c>
      <c r="N631" s="2" t="s">
        <v>3390</v>
      </c>
      <c r="O631" s="2" t="s">
        <v>3391</v>
      </c>
      <c r="P631" s="2"/>
      <c r="Q631" s="2" t="s">
        <v>110</v>
      </c>
      <c r="R631" s="2" t="n">
        <v>0.85</v>
      </c>
      <c r="S631" s="2" t="s">
        <v>3392</v>
      </c>
      <c r="T631" s="2" t="s">
        <v>3393</v>
      </c>
      <c r="U631" s="2" t="s">
        <v>3394</v>
      </c>
      <c r="V631" s="2" t="s">
        <v>3343</v>
      </c>
      <c r="W631" s="2" t="s">
        <v>301</v>
      </c>
      <c r="X631" s="2" t="s">
        <v>1588</v>
      </c>
    </row>
    <row r="632" customFormat="false" ht="15" hidden="false" customHeight="false" outlineLevel="0" collapsed="false">
      <c r="A632" s="2" t="n">
        <v>597</v>
      </c>
      <c r="B632" s="2" t="s">
        <v>3215</v>
      </c>
      <c r="C632" s="2" t="s">
        <v>3281</v>
      </c>
      <c r="D632" s="2" t="s">
        <v>1140</v>
      </c>
      <c r="E632" s="2" t="s">
        <v>3282</v>
      </c>
      <c r="F632" s="2" t="s">
        <v>3281</v>
      </c>
      <c r="G632" s="2" t="s">
        <v>1519</v>
      </c>
      <c r="H632" s="2" t="s">
        <v>317</v>
      </c>
      <c r="I632" s="2" t="s">
        <v>74</v>
      </c>
      <c r="J632" s="2" t="n">
        <v>-6.125</v>
      </c>
      <c r="K632" s="2" t="n">
        <v>106.835</v>
      </c>
      <c r="L632" s="2" t="s">
        <v>59</v>
      </c>
      <c r="M632" s="2" t="s">
        <v>60</v>
      </c>
      <c r="N632" s="2"/>
      <c r="O632" s="2" t="s">
        <v>3395</v>
      </c>
      <c r="P632" s="2" t="s">
        <v>298</v>
      </c>
      <c r="Q632" s="2" t="s">
        <v>62</v>
      </c>
      <c r="R632" s="2" t="n">
        <v>0.55</v>
      </c>
      <c r="S632" s="2" t="s">
        <v>3396</v>
      </c>
      <c r="T632" s="2" t="s">
        <v>3347</v>
      </c>
      <c r="U632" s="2" t="s">
        <v>3397</v>
      </c>
      <c r="V632" s="2" t="s">
        <v>1146</v>
      </c>
      <c r="W632" s="2" t="s">
        <v>3398</v>
      </c>
      <c r="X632" s="2" t="s">
        <v>1588</v>
      </c>
    </row>
    <row r="633" customFormat="false" ht="15" hidden="false" customHeight="false" outlineLevel="0" collapsed="false">
      <c r="A633" s="2" t="n">
        <v>597</v>
      </c>
      <c r="B633" s="2" t="s">
        <v>3215</v>
      </c>
      <c r="C633" s="2" t="s">
        <v>3287</v>
      </c>
      <c r="D633" s="2" t="s">
        <v>410</v>
      </c>
      <c r="E633" s="2" t="s">
        <v>3288</v>
      </c>
      <c r="F633" s="2" t="s">
        <v>3289</v>
      </c>
      <c r="G633" s="2" t="s">
        <v>1666</v>
      </c>
      <c r="H633" s="2" t="s">
        <v>426</v>
      </c>
      <c r="I633" s="2" t="s">
        <v>74</v>
      </c>
      <c r="J633" s="2" t="n">
        <v>-6.3125</v>
      </c>
      <c r="K633" s="2" t="n">
        <v>106.82</v>
      </c>
      <c r="L633" s="2" t="s">
        <v>124</v>
      </c>
      <c r="M633" s="2" t="s">
        <v>60</v>
      </c>
      <c r="N633" s="2"/>
      <c r="O633" s="2" t="s">
        <v>3395</v>
      </c>
      <c r="P633" s="2" t="s">
        <v>298</v>
      </c>
      <c r="Q633" s="2" t="s">
        <v>62</v>
      </c>
      <c r="R633" s="2" t="n">
        <v>0.55</v>
      </c>
      <c r="S633" s="2" t="s">
        <v>3396</v>
      </c>
      <c r="T633" s="2" t="s">
        <v>3347</v>
      </c>
      <c r="U633" s="2" t="s">
        <v>3397</v>
      </c>
      <c r="V633" s="2" t="s">
        <v>1146</v>
      </c>
      <c r="W633" s="2" t="s">
        <v>3398</v>
      </c>
      <c r="X633" s="2" t="s">
        <v>1588</v>
      </c>
    </row>
    <row r="634" customFormat="false" ht="15" hidden="false" customHeight="false" outlineLevel="0" collapsed="false">
      <c r="A634" s="2" t="n">
        <v>600</v>
      </c>
      <c r="B634" s="2" t="s">
        <v>3399</v>
      </c>
      <c r="C634" s="2" t="s">
        <v>500</v>
      </c>
      <c r="D634" s="2" t="s">
        <v>351</v>
      </c>
      <c r="E634" s="2" t="s">
        <v>3288</v>
      </c>
      <c r="F634" s="2" t="s">
        <v>424</v>
      </c>
      <c r="G634" s="2" t="s">
        <v>425</v>
      </c>
      <c r="H634" s="2" t="s">
        <v>426</v>
      </c>
      <c r="I634" s="2" t="s">
        <v>74</v>
      </c>
      <c r="J634" s="2" t="n">
        <v>-6.244</v>
      </c>
      <c r="K634" s="2" t="n">
        <v>106.8</v>
      </c>
      <c r="L634" s="2" t="s">
        <v>124</v>
      </c>
      <c r="M634" s="2" t="s">
        <v>60</v>
      </c>
      <c r="N634" s="2"/>
      <c r="O634" s="2" t="s">
        <v>3400</v>
      </c>
      <c r="P634" s="2" t="s">
        <v>109</v>
      </c>
      <c r="Q634" s="2" t="s">
        <v>110</v>
      </c>
      <c r="R634" s="2" t="n">
        <v>0.7</v>
      </c>
      <c r="S634" s="2" t="s">
        <v>3401</v>
      </c>
      <c r="T634" s="2" t="s">
        <v>1135</v>
      </c>
      <c r="U634" s="2" t="s">
        <v>3402</v>
      </c>
      <c r="V634" s="2" t="s">
        <v>1500</v>
      </c>
      <c r="W634" s="2" t="s">
        <v>1793</v>
      </c>
      <c r="X634" s="2" t="s">
        <v>1588</v>
      </c>
    </row>
    <row r="635" customFormat="false" ht="15" hidden="false" customHeight="false" outlineLevel="0" collapsed="false">
      <c r="A635" s="2" t="n">
        <v>601</v>
      </c>
      <c r="B635" s="2" t="s">
        <v>3399</v>
      </c>
      <c r="C635" s="2" t="s">
        <v>3403</v>
      </c>
      <c r="D635" s="2" t="s">
        <v>351</v>
      </c>
      <c r="E635" s="2" t="s">
        <v>3288</v>
      </c>
      <c r="F635" s="2" t="s">
        <v>3404</v>
      </c>
      <c r="G635" s="2" t="s">
        <v>1644</v>
      </c>
      <c r="H635" s="2" t="s">
        <v>426</v>
      </c>
      <c r="I635" s="2" t="s">
        <v>74</v>
      </c>
      <c r="J635" s="2" t="n">
        <v>-6.224</v>
      </c>
      <c r="K635" s="2" t="n">
        <v>106.843</v>
      </c>
      <c r="L635" s="2" t="s">
        <v>124</v>
      </c>
      <c r="M635" s="2" t="s">
        <v>60</v>
      </c>
      <c r="N635" s="2"/>
      <c r="O635" s="2" t="s">
        <v>3405</v>
      </c>
      <c r="P635" s="2" t="s">
        <v>109</v>
      </c>
      <c r="Q635" s="2" t="s">
        <v>110</v>
      </c>
      <c r="R635" s="2" t="n">
        <v>0.4</v>
      </c>
      <c r="S635" s="2" t="s">
        <v>3406</v>
      </c>
      <c r="T635" s="2" t="s">
        <v>1498</v>
      </c>
      <c r="U635" s="2" t="s">
        <v>3407</v>
      </c>
      <c r="V635" s="2" t="s">
        <v>3408</v>
      </c>
      <c r="W635" s="2" t="s">
        <v>476</v>
      </c>
      <c r="X635" s="2" t="s">
        <v>507</v>
      </c>
    </row>
    <row r="636" customFormat="false" ht="15" hidden="false" customHeight="false" outlineLevel="0" collapsed="false">
      <c r="A636" s="2" t="n">
        <v>609</v>
      </c>
      <c r="B636" s="2" t="s">
        <v>3399</v>
      </c>
      <c r="C636" s="2" t="s">
        <v>3409</v>
      </c>
      <c r="D636" s="2" t="s">
        <v>410</v>
      </c>
      <c r="E636" s="2" t="s">
        <v>3410</v>
      </c>
      <c r="F636" s="2" t="s">
        <v>3411</v>
      </c>
      <c r="G636" s="2" t="s">
        <v>3412</v>
      </c>
      <c r="H636" s="2" t="s">
        <v>107</v>
      </c>
      <c r="I636" s="2" t="s">
        <v>58</v>
      </c>
      <c r="J636" s="2" t="n">
        <v>-6.88</v>
      </c>
      <c r="K636" s="2" t="n">
        <v>107.618</v>
      </c>
      <c r="L636" s="2" t="s">
        <v>59</v>
      </c>
      <c r="M636" s="2" t="s">
        <v>60</v>
      </c>
      <c r="N636" s="2"/>
      <c r="O636" s="2" t="s">
        <v>3413</v>
      </c>
      <c r="P636" s="2"/>
      <c r="Q636" s="2" t="s">
        <v>62</v>
      </c>
      <c r="R636" s="2" t="n">
        <v>0.35</v>
      </c>
      <c r="S636" s="2" t="s">
        <v>3414</v>
      </c>
      <c r="T636" s="2" t="s">
        <v>644</v>
      </c>
      <c r="U636" s="2" t="s">
        <v>3415</v>
      </c>
      <c r="V636" s="2" t="s">
        <v>3416</v>
      </c>
      <c r="W636" s="2" t="s">
        <v>1648</v>
      </c>
      <c r="X636" s="2" t="s">
        <v>507</v>
      </c>
    </row>
    <row r="637" customFormat="false" ht="15" hidden="false" customHeight="false" outlineLevel="0" collapsed="false">
      <c r="A637" s="2" t="n">
        <v>610</v>
      </c>
      <c r="B637" s="2" t="s">
        <v>3399</v>
      </c>
      <c r="C637" s="2" t="s">
        <v>3417</v>
      </c>
      <c r="D637" s="2" t="s">
        <v>121</v>
      </c>
      <c r="E637" s="2" t="s">
        <v>3418</v>
      </c>
      <c r="F637" s="2" t="s">
        <v>3419</v>
      </c>
      <c r="G637" s="2" t="s">
        <v>3420</v>
      </c>
      <c r="H637" s="2" t="s">
        <v>107</v>
      </c>
      <c r="I637" s="2" t="s">
        <v>58</v>
      </c>
      <c r="J637" s="2" t="n">
        <v>-6.9255</v>
      </c>
      <c r="K637" s="2" t="n">
        <v>107.6365</v>
      </c>
      <c r="L637" s="2" t="s">
        <v>124</v>
      </c>
      <c r="M637" s="2" t="s">
        <v>60</v>
      </c>
      <c r="N637" s="2"/>
      <c r="O637" s="2" t="s">
        <v>3421</v>
      </c>
      <c r="P637" s="2" t="s">
        <v>3422</v>
      </c>
      <c r="Q637" s="2" t="s">
        <v>110</v>
      </c>
      <c r="R637" s="2" t="n">
        <v>0.75</v>
      </c>
      <c r="S637" s="2" t="s">
        <v>3423</v>
      </c>
      <c r="T637" s="2" t="s">
        <v>1421</v>
      </c>
      <c r="U637" s="2" t="s">
        <v>3424</v>
      </c>
      <c r="V637" s="2" t="s">
        <v>3425</v>
      </c>
      <c r="W637" s="2" t="s">
        <v>1078</v>
      </c>
      <c r="X637" s="2" t="s">
        <v>507</v>
      </c>
    </row>
    <row r="638" customFormat="false" ht="15" hidden="false" customHeight="false" outlineLevel="0" collapsed="false">
      <c r="A638" s="2" t="n">
        <v>612</v>
      </c>
      <c r="B638" s="2" t="s">
        <v>3399</v>
      </c>
      <c r="C638" s="2" t="s">
        <v>3426</v>
      </c>
      <c r="D638" s="2" t="s">
        <v>53</v>
      </c>
      <c r="E638" s="2" t="s">
        <v>3427</v>
      </c>
      <c r="F638" s="2" t="s">
        <v>3428</v>
      </c>
      <c r="G638" s="2" t="s">
        <v>3429</v>
      </c>
      <c r="H638" s="2" t="s">
        <v>3430</v>
      </c>
      <c r="I638" s="2" t="s">
        <v>238</v>
      </c>
      <c r="J638" s="2" t="n">
        <v>-6.15</v>
      </c>
      <c r="K638" s="2" t="n">
        <v>105.87</v>
      </c>
      <c r="L638" s="2" t="s">
        <v>59</v>
      </c>
      <c r="M638" s="2" t="s">
        <v>60</v>
      </c>
      <c r="N638" s="2"/>
      <c r="O638" s="2" t="s">
        <v>3431</v>
      </c>
      <c r="P638" s="2"/>
      <c r="Q638" s="2" t="s">
        <v>62</v>
      </c>
      <c r="R638" s="2" t="n">
        <v>0.6</v>
      </c>
      <c r="S638" s="2" t="s">
        <v>3432</v>
      </c>
      <c r="T638" s="2" t="s">
        <v>156</v>
      </c>
      <c r="U638" s="2" t="s">
        <v>3433</v>
      </c>
      <c r="V638" s="2" t="s">
        <v>3434</v>
      </c>
      <c r="W638" s="2" t="s">
        <v>3435</v>
      </c>
      <c r="X638" s="2" t="s">
        <v>1588</v>
      </c>
    </row>
    <row r="639" customFormat="false" ht="15" hidden="false" customHeight="false" outlineLevel="0" collapsed="false">
      <c r="A639" s="2" t="n">
        <v>612</v>
      </c>
      <c r="B639" s="2" t="s">
        <v>3399</v>
      </c>
      <c r="C639" s="2" t="s">
        <v>3436</v>
      </c>
      <c r="D639" s="2" t="s">
        <v>53</v>
      </c>
      <c r="E639" s="2" t="s">
        <v>3437</v>
      </c>
      <c r="F639" s="2"/>
      <c r="G639" s="2" t="s">
        <v>3438</v>
      </c>
      <c r="H639" s="2" t="s">
        <v>3430</v>
      </c>
      <c r="I639" s="2" t="s">
        <v>238</v>
      </c>
      <c r="J639" s="2" t="n">
        <v>-6.06</v>
      </c>
      <c r="K639" s="2" t="n">
        <v>105.92</v>
      </c>
      <c r="L639" s="2" t="s">
        <v>84</v>
      </c>
      <c r="M639" s="2" t="s">
        <v>60</v>
      </c>
      <c r="N639" s="2" t="s">
        <v>3439</v>
      </c>
      <c r="O639" s="2" t="s">
        <v>3440</v>
      </c>
      <c r="P639" s="2"/>
      <c r="Q639" s="2" t="s">
        <v>62</v>
      </c>
      <c r="R639" s="2" t="n">
        <v>0.6</v>
      </c>
      <c r="S639" s="2" t="s">
        <v>3432</v>
      </c>
      <c r="T639" s="2" t="s">
        <v>156</v>
      </c>
      <c r="U639" s="2" t="s">
        <v>3433</v>
      </c>
      <c r="V639" s="2" t="s">
        <v>3434</v>
      </c>
      <c r="W639" s="2" t="s">
        <v>3435</v>
      </c>
      <c r="X639" s="2" t="s">
        <v>1588</v>
      </c>
    </row>
    <row r="640" customFormat="false" ht="15" hidden="false" customHeight="false" outlineLevel="0" collapsed="false">
      <c r="A640" s="2" t="n">
        <v>613</v>
      </c>
      <c r="B640" s="2" t="s">
        <v>3399</v>
      </c>
      <c r="C640" s="2" t="s">
        <v>3441</v>
      </c>
      <c r="D640" s="2" t="s">
        <v>53</v>
      </c>
      <c r="E640" s="2" t="s">
        <v>3442</v>
      </c>
      <c r="F640" s="2" t="s">
        <v>3443</v>
      </c>
      <c r="G640" s="2" t="s">
        <v>3444</v>
      </c>
      <c r="H640" s="2" t="s">
        <v>3445</v>
      </c>
      <c r="I640" s="2" t="s">
        <v>238</v>
      </c>
      <c r="J640" s="2" t="n">
        <v>-6.12</v>
      </c>
      <c r="K640" s="2" t="n">
        <v>106.165</v>
      </c>
      <c r="L640" s="2" t="s">
        <v>59</v>
      </c>
      <c r="M640" s="2" t="s">
        <v>60</v>
      </c>
      <c r="N640" s="2"/>
      <c r="O640" s="2" t="s">
        <v>3446</v>
      </c>
      <c r="P640" s="2" t="s">
        <v>109</v>
      </c>
      <c r="Q640" s="2" t="s">
        <v>62</v>
      </c>
      <c r="R640" s="2" t="n">
        <v>0.7</v>
      </c>
      <c r="S640" s="2" t="s">
        <v>3447</v>
      </c>
      <c r="T640" s="2" t="s">
        <v>3448</v>
      </c>
      <c r="U640" s="2" t="s">
        <v>3449</v>
      </c>
      <c r="V640" s="2" t="s">
        <v>3434</v>
      </c>
      <c r="W640" s="2" t="s">
        <v>98</v>
      </c>
      <c r="X640" s="2" t="s">
        <v>1588</v>
      </c>
    </row>
    <row r="641" customFormat="false" ht="15" hidden="false" customHeight="false" outlineLevel="0" collapsed="false">
      <c r="A641" s="2" t="n">
        <v>615</v>
      </c>
      <c r="B641" s="2" t="s">
        <v>3399</v>
      </c>
      <c r="C641" s="2" t="s">
        <v>3450</v>
      </c>
      <c r="D641" s="2" t="s">
        <v>410</v>
      </c>
      <c r="E641" s="2" t="s">
        <v>3451</v>
      </c>
      <c r="F641" s="2"/>
      <c r="G641" s="2"/>
      <c r="H641" s="2" t="s">
        <v>3079</v>
      </c>
      <c r="I641" s="2" t="s">
        <v>588</v>
      </c>
      <c r="J641" s="2" t="n">
        <v>-6.102</v>
      </c>
      <c r="K641" s="2" t="n">
        <v>105.423</v>
      </c>
      <c r="L641" s="2" t="s">
        <v>124</v>
      </c>
      <c r="M641" s="2" t="s">
        <v>60</v>
      </c>
      <c r="N641" s="2" t="s">
        <v>3452</v>
      </c>
      <c r="O641" s="2" t="s">
        <v>3453</v>
      </c>
      <c r="P641" s="2"/>
      <c r="Q641" s="2" t="s">
        <v>62</v>
      </c>
      <c r="R641" s="2" t="n">
        <v>0.3</v>
      </c>
      <c r="S641" s="2" t="s">
        <v>3454</v>
      </c>
      <c r="T641" s="2" t="s">
        <v>3448</v>
      </c>
      <c r="U641" s="2" t="s">
        <v>3455</v>
      </c>
      <c r="V641" s="2" t="s">
        <v>3456</v>
      </c>
      <c r="W641" s="2" t="s">
        <v>2303</v>
      </c>
      <c r="X641" s="2" t="s">
        <v>1588</v>
      </c>
    </row>
    <row r="642" customFormat="false" ht="15" hidden="false" customHeight="false" outlineLevel="0" collapsed="false">
      <c r="A642" s="2" t="n">
        <v>616</v>
      </c>
      <c r="B642" s="2" t="s">
        <v>3399</v>
      </c>
      <c r="C642" s="2" t="s">
        <v>3457</v>
      </c>
      <c r="D642" s="2" t="s">
        <v>410</v>
      </c>
      <c r="E642" s="2" t="s">
        <v>3458</v>
      </c>
      <c r="F642" s="2" t="s">
        <v>3459</v>
      </c>
      <c r="G642" s="2" t="s">
        <v>3460</v>
      </c>
      <c r="H642" s="2" t="s">
        <v>3461</v>
      </c>
      <c r="I642" s="2" t="s">
        <v>238</v>
      </c>
      <c r="J642" s="2" t="n">
        <v>-6.62</v>
      </c>
      <c r="K642" s="2" t="n">
        <v>106.22</v>
      </c>
      <c r="L642" s="2" t="s">
        <v>59</v>
      </c>
      <c r="M642" s="2" t="s">
        <v>60</v>
      </c>
      <c r="N642" s="2" t="s">
        <v>3462</v>
      </c>
      <c r="O642" s="2" t="s">
        <v>3463</v>
      </c>
      <c r="P642" s="2" t="s">
        <v>3464</v>
      </c>
      <c r="Q642" s="2" t="s">
        <v>62</v>
      </c>
      <c r="R642" s="2" t="n">
        <v>0.7</v>
      </c>
      <c r="S642" s="2" t="s">
        <v>3465</v>
      </c>
      <c r="T642" s="2" t="s">
        <v>3466</v>
      </c>
      <c r="U642" s="2" t="s">
        <v>3467</v>
      </c>
      <c r="V642" s="2" t="s">
        <v>3468</v>
      </c>
      <c r="W642" s="2" t="s">
        <v>3469</v>
      </c>
      <c r="X642" s="2" t="s">
        <v>1588</v>
      </c>
    </row>
    <row r="643" customFormat="false" ht="15" hidden="false" customHeight="false" outlineLevel="0" collapsed="false">
      <c r="A643" s="2" t="n">
        <v>616</v>
      </c>
      <c r="B643" s="2" t="s">
        <v>3399</v>
      </c>
      <c r="C643" s="2" t="s">
        <v>3470</v>
      </c>
      <c r="D643" s="2" t="s">
        <v>410</v>
      </c>
      <c r="E643" s="2" t="s">
        <v>3471</v>
      </c>
      <c r="F643" s="2" t="s">
        <v>3472</v>
      </c>
      <c r="G643" s="2" t="s">
        <v>3473</v>
      </c>
      <c r="H643" s="2" t="s">
        <v>3461</v>
      </c>
      <c r="I643" s="2" t="s">
        <v>238</v>
      </c>
      <c r="J643" s="2" t="n">
        <v>-6.986</v>
      </c>
      <c r="K643" s="2" t="n">
        <v>106.305</v>
      </c>
      <c r="L643" s="2" t="s">
        <v>124</v>
      </c>
      <c r="M643" s="2" t="s">
        <v>60</v>
      </c>
      <c r="N643" s="2"/>
      <c r="O643" s="2" t="s">
        <v>3474</v>
      </c>
      <c r="P643" s="2" t="s">
        <v>3464</v>
      </c>
      <c r="Q643" s="2" t="s">
        <v>62</v>
      </c>
      <c r="R643" s="2" t="n">
        <v>0.55</v>
      </c>
      <c r="S643" s="2" t="s">
        <v>3465</v>
      </c>
      <c r="T643" s="2" t="s">
        <v>3466</v>
      </c>
      <c r="U643" s="2" t="s">
        <v>3467</v>
      </c>
      <c r="V643" s="2" t="s">
        <v>3468</v>
      </c>
      <c r="W643" s="2" t="s">
        <v>3469</v>
      </c>
      <c r="X643" s="2" t="s">
        <v>1588</v>
      </c>
    </row>
    <row r="644" customFormat="false" ht="15" hidden="false" customHeight="false" outlineLevel="0" collapsed="false">
      <c r="A644" s="2" t="n">
        <v>617</v>
      </c>
      <c r="B644" s="2" t="s">
        <v>3399</v>
      </c>
      <c r="C644" s="2" t="s">
        <v>3475</v>
      </c>
      <c r="D644" s="2" t="s">
        <v>134</v>
      </c>
      <c r="E644" s="2" t="s">
        <v>3476</v>
      </c>
      <c r="F644" s="2"/>
      <c r="G644" s="2"/>
      <c r="H644" s="2" t="s">
        <v>3445</v>
      </c>
      <c r="I644" s="2" t="s">
        <v>238</v>
      </c>
      <c r="J644" s="2" t="n">
        <v>-6.12</v>
      </c>
      <c r="K644" s="2" t="n">
        <v>106.15</v>
      </c>
      <c r="L644" s="2" t="s">
        <v>101</v>
      </c>
      <c r="M644" s="2" t="s">
        <v>340</v>
      </c>
      <c r="N644" s="2"/>
      <c r="O644" s="2" t="s">
        <v>3477</v>
      </c>
      <c r="P644" s="2"/>
      <c r="Q644" s="2" t="s">
        <v>62</v>
      </c>
      <c r="R644" s="2" t="n">
        <v>0.6</v>
      </c>
      <c r="S644" s="2" t="s">
        <v>3478</v>
      </c>
      <c r="T644" s="2" t="s">
        <v>3479</v>
      </c>
      <c r="U644" s="2" t="s">
        <v>3480</v>
      </c>
      <c r="V644" s="2" t="s">
        <v>3481</v>
      </c>
      <c r="W644" s="2" t="s">
        <v>1543</v>
      </c>
      <c r="X644" s="2" t="s">
        <v>1588</v>
      </c>
    </row>
    <row r="645" customFormat="false" ht="15" hidden="false" customHeight="false" outlineLevel="0" collapsed="false">
      <c r="A645" s="2" t="n">
        <v>618</v>
      </c>
      <c r="B645" s="2" t="s">
        <v>3399</v>
      </c>
      <c r="C645" s="2" t="s">
        <v>3482</v>
      </c>
      <c r="D645" s="2" t="s">
        <v>410</v>
      </c>
      <c r="E645" s="2" t="s">
        <v>3483</v>
      </c>
      <c r="F645" s="2"/>
      <c r="G645" s="2"/>
      <c r="H645" s="2" t="s">
        <v>366</v>
      </c>
      <c r="I645" s="2" t="s">
        <v>238</v>
      </c>
      <c r="J645" s="2" t="n">
        <v>-6.178</v>
      </c>
      <c r="K645" s="2" t="n">
        <v>106.63</v>
      </c>
      <c r="L645" s="2" t="s">
        <v>101</v>
      </c>
      <c r="M645" s="2" t="s">
        <v>340</v>
      </c>
      <c r="N645" s="2"/>
      <c r="O645" s="2" t="s">
        <v>3484</v>
      </c>
      <c r="P645" s="2"/>
      <c r="Q645" s="2" t="s">
        <v>62</v>
      </c>
      <c r="R645" s="2" t="n">
        <v>0.55</v>
      </c>
      <c r="S645" s="2" t="s">
        <v>3485</v>
      </c>
      <c r="T645" s="2" t="s">
        <v>3486</v>
      </c>
      <c r="U645" s="2" t="s">
        <v>3487</v>
      </c>
      <c r="V645" s="2" t="s">
        <v>3434</v>
      </c>
      <c r="W645" s="2" t="s">
        <v>370</v>
      </c>
      <c r="X645" s="2" t="s">
        <v>507</v>
      </c>
    </row>
    <row r="646" customFormat="false" ht="15" hidden="false" customHeight="false" outlineLevel="0" collapsed="false">
      <c r="A646" s="2" t="n">
        <v>618</v>
      </c>
      <c r="B646" s="2" t="s">
        <v>3399</v>
      </c>
      <c r="C646" s="2" t="s">
        <v>3488</v>
      </c>
      <c r="D646" s="2" t="s">
        <v>410</v>
      </c>
      <c r="E646" s="2" t="s">
        <v>3489</v>
      </c>
      <c r="F646" s="2"/>
      <c r="G646" s="2" t="s">
        <v>3490</v>
      </c>
      <c r="H646" s="2" t="s">
        <v>3461</v>
      </c>
      <c r="I646" s="2" t="s">
        <v>238</v>
      </c>
      <c r="J646" s="2" t="n">
        <v>-6.83</v>
      </c>
      <c r="K646" s="2" t="n">
        <v>106.1</v>
      </c>
      <c r="L646" s="2" t="s">
        <v>84</v>
      </c>
      <c r="M646" s="2" t="s">
        <v>60</v>
      </c>
      <c r="N646" s="2"/>
      <c r="O646" s="2" t="s">
        <v>3484</v>
      </c>
      <c r="P646" s="2"/>
      <c r="Q646" s="2" t="s">
        <v>62</v>
      </c>
      <c r="R646" s="2" t="n">
        <v>0.55</v>
      </c>
      <c r="S646" s="2" t="s">
        <v>3485</v>
      </c>
      <c r="T646" s="2" t="s">
        <v>3486</v>
      </c>
      <c r="U646" s="2" t="s">
        <v>3487</v>
      </c>
      <c r="V646" s="2" t="s">
        <v>3434</v>
      </c>
      <c r="W646" s="2" t="s">
        <v>370</v>
      </c>
      <c r="X646" s="2" t="s">
        <v>507</v>
      </c>
    </row>
    <row r="647" customFormat="false" ht="15" hidden="false" customHeight="false" outlineLevel="0" collapsed="false">
      <c r="A647" s="2" t="n">
        <v>619</v>
      </c>
      <c r="B647" s="2" t="s">
        <v>3399</v>
      </c>
      <c r="C647" s="2" t="s">
        <v>3491</v>
      </c>
      <c r="D647" s="2" t="s">
        <v>121</v>
      </c>
      <c r="E647" s="2" t="s">
        <v>3492</v>
      </c>
      <c r="F647" s="2"/>
      <c r="G647" s="2" t="s">
        <v>3438</v>
      </c>
      <c r="H647" s="2" t="s">
        <v>3430</v>
      </c>
      <c r="I647" s="2" t="s">
        <v>238</v>
      </c>
      <c r="J647" s="2" t="n">
        <v>-6.06</v>
      </c>
      <c r="K647" s="2" t="n">
        <v>105.92</v>
      </c>
      <c r="L647" s="2" t="s">
        <v>84</v>
      </c>
      <c r="M647" s="2" t="s">
        <v>60</v>
      </c>
      <c r="N647" s="2" t="s">
        <v>3493</v>
      </c>
      <c r="O647" s="2" t="s">
        <v>3494</v>
      </c>
      <c r="P647" s="2" t="s">
        <v>3495</v>
      </c>
      <c r="Q647" s="2" t="s">
        <v>62</v>
      </c>
      <c r="R647" s="2" t="n">
        <v>0.7</v>
      </c>
      <c r="S647" s="2" t="s">
        <v>3496</v>
      </c>
      <c r="T647" s="2" t="s">
        <v>3448</v>
      </c>
      <c r="U647" s="2" t="s">
        <v>3497</v>
      </c>
      <c r="V647" s="2" t="s">
        <v>3498</v>
      </c>
      <c r="W647" s="2" t="s">
        <v>421</v>
      </c>
      <c r="X647" s="2" t="s">
        <v>1588</v>
      </c>
    </row>
    <row r="648" customFormat="false" ht="15" hidden="false" customHeight="false" outlineLevel="0" collapsed="false">
      <c r="A648" s="2" t="n">
        <v>621</v>
      </c>
      <c r="B648" s="2" t="s">
        <v>3399</v>
      </c>
      <c r="C648" s="2" t="s">
        <v>3499</v>
      </c>
      <c r="D648" s="2" t="s">
        <v>121</v>
      </c>
      <c r="E648" s="2" t="s">
        <v>3500</v>
      </c>
      <c r="F648" s="2"/>
      <c r="G648" s="2" t="s">
        <v>3501</v>
      </c>
      <c r="H648" s="2" t="s">
        <v>3461</v>
      </c>
      <c r="I648" s="2" t="s">
        <v>238</v>
      </c>
      <c r="J648" s="2" t="n">
        <v>-6.36</v>
      </c>
      <c r="K648" s="2" t="n">
        <v>106.25</v>
      </c>
      <c r="L648" s="2" t="s">
        <v>84</v>
      </c>
      <c r="M648" s="2" t="s">
        <v>60</v>
      </c>
      <c r="N648" s="2"/>
      <c r="O648" s="2" t="s">
        <v>3502</v>
      </c>
      <c r="P648" s="2" t="s">
        <v>3503</v>
      </c>
      <c r="Q648" s="2" t="s">
        <v>62</v>
      </c>
      <c r="R648" s="2" t="n">
        <v>0.7</v>
      </c>
      <c r="S648" s="2" t="s">
        <v>3504</v>
      </c>
      <c r="T648" s="2" t="s">
        <v>803</v>
      </c>
      <c r="U648" s="2" t="s">
        <v>3505</v>
      </c>
      <c r="V648" s="2" t="s">
        <v>97</v>
      </c>
      <c r="W648" s="2" t="s">
        <v>3506</v>
      </c>
      <c r="X648" s="2" t="s">
        <v>1588</v>
      </c>
    </row>
    <row r="649" customFormat="false" ht="15" hidden="false" customHeight="false" outlineLevel="0" collapsed="false">
      <c r="A649" s="2" t="n">
        <v>621</v>
      </c>
      <c r="B649" s="2" t="s">
        <v>3399</v>
      </c>
      <c r="C649" s="2" t="s">
        <v>3507</v>
      </c>
      <c r="D649" s="2" t="s">
        <v>1130</v>
      </c>
      <c r="E649" s="2" t="s">
        <v>3508</v>
      </c>
      <c r="F649" s="2"/>
      <c r="G649" s="2" t="s">
        <v>3501</v>
      </c>
      <c r="H649" s="2" t="s">
        <v>3461</v>
      </c>
      <c r="I649" s="2" t="s">
        <v>238</v>
      </c>
      <c r="J649" s="2" t="n">
        <v>-6.36</v>
      </c>
      <c r="K649" s="2" t="n">
        <v>106.25</v>
      </c>
      <c r="L649" s="2" t="s">
        <v>84</v>
      </c>
      <c r="M649" s="2" t="s">
        <v>60</v>
      </c>
      <c r="N649" s="2"/>
      <c r="O649" s="2" t="s">
        <v>3509</v>
      </c>
      <c r="P649" s="2" t="s">
        <v>3503</v>
      </c>
      <c r="Q649" s="2" t="s">
        <v>62</v>
      </c>
      <c r="R649" s="2" t="n">
        <v>0.6</v>
      </c>
      <c r="S649" s="2" t="s">
        <v>3504</v>
      </c>
      <c r="T649" s="2" t="s">
        <v>803</v>
      </c>
      <c r="U649" s="2" t="s">
        <v>3505</v>
      </c>
      <c r="V649" s="2" t="s">
        <v>97</v>
      </c>
      <c r="W649" s="2" t="s">
        <v>3506</v>
      </c>
      <c r="X649" s="2" t="s">
        <v>1588</v>
      </c>
    </row>
    <row r="650" customFormat="false" ht="15" hidden="false" customHeight="false" outlineLevel="0" collapsed="false">
      <c r="A650" s="2" t="n">
        <v>623</v>
      </c>
      <c r="B650" s="2" t="s">
        <v>3399</v>
      </c>
      <c r="C650" s="2" t="s">
        <v>3510</v>
      </c>
      <c r="D650" s="2" t="s">
        <v>121</v>
      </c>
      <c r="E650" s="2" t="s">
        <v>3511</v>
      </c>
      <c r="F650" s="2"/>
      <c r="G650" s="2"/>
      <c r="H650" s="2" t="s">
        <v>3445</v>
      </c>
      <c r="I650" s="2" t="s">
        <v>238</v>
      </c>
      <c r="J650" s="2" t="n">
        <v>-6.12</v>
      </c>
      <c r="K650" s="2" t="n">
        <v>106.15</v>
      </c>
      <c r="L650" s="2" t="s">
        <v>101</v>
      </c>
      <c r="M650" s="2" t="s">
        <v>60</v>
      </c>
      <c r="N650" s="2"/>
      <c r="O650" s="2" t="s">
        <v>3512</v>
      </c>
      <c r="P650" s="2" t="s">
        <v>3513</v>
      </c>
      <c r="Q650" s="2" t="s">
        <v>62</v>
      </c>
      <c r="R650" s="2" t="n">
        <v>0.75</v>
      </c>
      <c r="S650" s="2" t="s">
        <v>3514</v>
      </c>
      <c r="T650" s="2" t="s">
        <v>3515</v>
      </c>
      <c r="U650" s="2" t="s">
        <v>3516</v>
      </c>
      <c r="V650" s="2" t="s">
        <v>3517</v>
      </c>
      <c r="W650" s="2" t="s">
        <v>805</v>
      </c>
      <c r="X650" s="2" t="s">
        <v>1588</v>
      </c>
    </row>
    <row r="651" customFormat="false" ht="15" hidden="false" customHeight="false" outlineLevel="0" collapsed="false">
      <c r="A651" s="2" t="n">
        <v>624</v>
      </c>
      <c r="B651" s="2" t="s">
        <v>3399</v>
      </c>
      <c r="C651" s="2" t="s">
        <v>3518</v>
      </c>
      <c r="D651" s="2" t="s">
        <v>410</v>
      </c>
      <c r="E651" s="2" t="s">
        <v>3519</v>
      </c>
      <c r="F651" s="2" t="s">
        <v>3520</v>
      </c>
      <c r="G651" s="2" t="s">
        <v>3521</v>
      </c>
      <c r="H651" s="2" t="s">
        <v>3430</v>
      </c>
      <c r="I651" s="2" t="s">
        <v>238</v>
      </c>
      <c r="J651" s="2" t="n">
        <v>-6.21</v>
      </c>
      <c r="K651" s="2" t="n">
        <v>105.97</v>
      </c>
      <c r="L651" s="2" t="s">
        <v>84</v>
      </c>
      <c r="M651" s="2" t="s">
        <v>60</v>
      </c>
      <c r="N651" s="2"/>
      <c r="O651" s="2" t="s">
        <v>3522</v>
      </c>
      <c r="P651" s="2"/>
      <c r="Q651" s="2" t="s">
        <v>110</v>
      </c>
      <c r="R651" s="2" t="n">
        <v>0.8</v>
      </c>
      <c r="S651" s="2" t="s">
        <v>3523</v>
      </c>
      <c r="T651" s="2" t="s">
        <v>3524</v>
      </c>
      <c r="U651" s="2" t="s">
        <v>3525</v>
      </c>
      <c r="V651" s="2" t="s">
        <v>3526</v>
      </c>
      <c r="W651" s="2" t="s">
        <v>512</v>
      </c>
      <c r="X651" s="2" t="s">
        <v>1588</v>
      </c>
    </row>
    <row r="652" customFormat="false" ht="15" hidden="false" customHeight="false" outlineLevel="0" collapsed="false">
      <c r="A652" s="2" t="n">
        <v>624</v>
      </c>
      <c r="B652" s="2" t="s">
        <v>3399</v>
      </c>
      <c r="C652" s="2" t="s">
        <v>3527</v>
      </c>
      <c r="D652" s="2" t="s">
        <v>410</v>
      </c>
      <c r="E652" s="2" t="s">
        <v>3528</v>
      </c>
      <c r="F652" s="2"/>
      <c r="G652" s="2"/>
      <c r="H652" s="2" t="s">
        <v>3430</v>
      </c>
      <c r="I652" s="2" t="s">
        <v>238</v>
      </c>
      <c r="J652" s="2" t="n">
        <v>-6.139</v>
      </c>
      <c r="K652" s="2" t="n">
        <v>106.04</v>
      </c>
      <c r="L652" s="2" t="s">
        <v>101</v>
      </c>
      <c r="M652" s="2" t="s">
        <v>340</v>
      </c>
      <c r="N652" s="2"/>
      <c r="O652" s="2" t="s">
        <v>3529</v>
      </c>
      <c r="P652" s="2"/>
      <c r="Q652" s="2" t="s">
        <v>62</v>
      </c>
      <c r="R652" s="2" t="n">
        <v>0.6</v>
      </c>
      <c r="S652" s="2" t="s">
        <v>3523</v>
      </c>
      <c r="T652" s="2" t="s">
        <v>3524</v>
      </c>
      <c r="U652" s="2" t="s">
        <v>3525</v>
      </c>
      <c r="V652" s="2" t="s">
        <v>3526</v>
      </c>
      <c r="W652" s="2" t="s">
        <v>512</v>
      </c>
      <c r="X652" s="2" t="s">
        <v>1588</v>
      </c>
    </row>
    <row r="653" customFormat="false" ht="15" hidden="false" customHeight="false" outlineLevel="0" collapsed="false">
      <c r="A653" s="2" t="n">
        <v>626</v>
      </c>
      <c r="B653" s="2" t="s">
        <v>3399</v>
      </c>
      <c r="C653" s="2" t="s">
        <v>3530</v>
      </c>
      <c r="D653" s="2" t="s">
        <v>410</v>
      </c>
      <c r="E653" s="2" t="s">
        <v>3531</v>
      </c>
      <c r="F653" s="2"/>
      <c r="G653" s="2" t="s">
        <v>1221</v>
      </c>
      <c r="H653" s="2" t="s">
        <v>296</v>
      </c>
      <c r="I653" s="2" t="s">
        <v>58</v>
      </c>
      <c r="J653" s="2" t="n">
        <v>-6.57</v>
      </c>
      <c r="K653" s="2" t="n">
        <v>106.89</v>
      </c>
      <c r="L653" s="2" t="s">
        <v>84</v>
      </c>
      <c r="M653" s="2" t="s">
        <v>60</v>
      </c>
      <c r="N653" s="2"/>
      <c r="O653" s="2" t="s">
        <v>3532</v>
      </c>
      <c r="P653" s="2" t="s">
        <v>3533</v>
      </c>
      <c r="Q653" s="2" t="s">
        <v>110</v>
      </c>
      <c r="R653" s="2" t="n">
        <v>0.85</v>
      </c>
      <c r="S653" s="2" t="s">
        <v>3534</v>
      </c>
      <c r="T653" s="2" t="s">
        <v>3535</v>
      </c>
      <c r="U653" s="2" t="s">
        <v>3536</v>
      </c>
      <c r="V653" s="2" t="s">
        <v>3537</v>
      </c>
      <c r="W653" s="2" t="s">
        <v>1875</v>
      </c>
      <c r="X653" s="2" t="s">
        <v>1588</v>
      </c>
    </row>
    <row r="654" customFormat="false" ht="15" hidden="false" customHeight="false" outlineLevel="0" collapsed="false">
      <c r="A654" s="2" t="n">
        <v>636</v>
      </c>
      <c r="B654" s="2" t="s">
        <v>3538</v>
      </c>
      <c r="C654" s="2" t="s">
        <v>3539</v>
      </c>
      <c r="D654" s="2" t="s">
        <v>351</v>
      </c>
      <c r="E654" s="2" t="s">
        <v>3540</v>
      </c>
      <c r="F654" s="2" t="s">
        <v>3541</v>
      </c>
      <c r="G654" s="2" t="s">
        <v>3541</v>
      </c>
      <c r="H654" s="2" t="s">
        <v>251</v>
      </c>
      <c r="I654" s="2" t="s">
        <v>238</v>
      </c>
      <c r="J654" s="2" t="n">
        <v>-6.31</v>
      </c>
      <c r="K654" s="2" t="n">
        <v>106.745</v>
      </c>
      <c r="L654" s="2" t="s">
        <v>59</v>
      </c>
      <c r="M654" s="2" t="s">
        <v>60</v>
      </c>
      <c r="N654" s="2"/>
      <c r="O654" s="2" t="s">
        <v>3542</v>
      </c>
      <c r="P654" s="2" t="s">
        <v>109</v>
      </c>
      <c r="Q654" s="2" t="s">
        <v>110</v>
      </c>
      <c r="R654" s="2" t="n">
        <v>0.4</v>
      </c>
      <c r="S654" s="2" t="s">
        <v>3543</v>
      </c>
      <c r="T654" s="2" t="s">
        <v>3544</v>
      </c>
      <c r="U654" s="2" t="s">
        <v>3545</v>
      </c>
      <c r="V654" s="2" t="s">
        <v>3546</v>
      </c>
      <c r="W654" s="2" t="s">
        <v>1932</v>
      </c>
      <c r="X654" s="2" t="s">
        <v>1588</v>
      </c>
    </row>
    <row r="655" customFormat="false" ht="15" hidden="false" customHeight="false" outlineLevel="0" collapsed="false">
      <c r="A655" s="2" t="n">
        <v>638</v>
      </c>
      <c r="B655" s="2" t="s">
        <v>3538</v>
      </c>
      <c r="C655" s="2" t="s">
        <v>3547</v>
      </c>
      <c r="D655" s="2" t="s">
        <v>351</v>
      </c>
      <c r="E655" s="2" t="s">
        <v>3548</v>
      </c>
      <c r="F655" s="2" t="s">
        <v>3549</v>
      </c>
      <c r="G655" s="2" t="s">
        <v>3550</v>
      </c>
      <c r="H655" s="2" t="s">
        <v>1346</v>
      </c>
      <c r="I655" s="2" t="s">
        <v>238</v>
      </c>
      <c r="J655" s="2" t="n">
        <v>-6.16</v>
      </c>
      <c r="K655" s="2" t="n">
        <v>106.53</v>
      </c>
      <c r="L655" s="2" t="s">
        <v>84</v>
      </c>
      <c r="M655" s="2" t="s">
        <v>60</v>
      </c>
      <c r="N655" s="2"/>
      <c r="O655" s="2" t="s">
        <v>3551</v>
      </c>
      <c r="P655" s="2" t="s">
        <v>109</v>
      </c>
      <c r="Q655" s="2" t="s">
        <v>110</v>
      </c>
      <c r="R655" s="2" t="n">
        <v>0.3</v>
      </c>
      <c r="S655" s="2" t="s">
        <v>3552</v>
      </c>
      <c r="T655" s="2" t="s">
        <v>3553</v>
      </c>
      <c r="U655" s="2" t="s">
        <v>3554</v>
      </c>
      <c r="V655" s="2" t="s">
        <v>2979</v>
      </c>
      <c r="W655" s="2" t="s">
        <v>1078</v>
      </c>
      <c r="X655" s="2" t="s">
        <v>1588</v>
      </c>
    </row>
    <row r="656" customFormat="false" ht="15" hidden="false" customHeight="false" outlineLevel="0" collapsed="false">
      <c r="A656" s="2" t="n">
        <v>639</v>
      </c>
      <c r="B656" s="2" t="s">
        <v>3538</v>
      </c>
      <c r="C656" s="2" t="s">
        <v>3555</v>
      </c>
      <c r="D656" s="2" t="s">
        <v>121</v>
      </c>
      <c r="E656" s="2" t="s">
        <v>3556</v>
      </c>
      <c r="F656" s="2" t="s">
        <v>3557</v>
      </c>
      <c r="G656" s="2" t="s">
        <v>3558</v>
      </c>
      <c r="H656" s="2" t="s">
        <v>251</v>
      </c>
      <c r="I656" s="2" t="s">
        <v>238</v>
      </c>
      <c r="J656" s="2" t="n">
        <v>-6.285</v>
      </c>
      <c r="K656" s="2" t="n">
        <v>106.729</v>
      </c>
      <c r="L656" s="2" t="s">
        <v>124</v>
      </c>
      <c r="M656" s="2" t="s">
        <v>60</v>
      </c>
      <c r="N656" s="2"/>
      <c r="O656" s="2" t="s">
        <v>3559</v>
      </c>
      <c r="P656" s="2" t="s">
        <v>3560</v>
      </c>
      <c r="Q656" s="2" t="s">
        <v>62</v>
      </c>
      <c r="R656" s="2" t="n">
        <v>0.7</v>
      </c>
      <c r="S656" s="2" t="s">
        <v>3561</v>
      </c>
      <c r="T656" s="2" t="s">
        <v>95</v>
      </c>
      <c r="U656" s="2" t="s">
        <v>3562</v>
      </c>
      <c r="V656" s="2" t="s">
        <v>2214</v>
      </c>
      <c r="W656" s="2" t="s">
        <v>2939</v>
      </c>
      <c r="X656" s="2" t="s">
        <v>507</v>
      </c>
    </row>
    <row r="657" customFormat="false" ht="15" hidden="false" customHeight="false" outlineLevel="0" collapsed="false">
      <c r="A657" s="2" t="n">
        <v>641</v>
      </c>
      <c r="B657" s="2" t="s">
        <v>3538</v>
      </c>
      <c r="C657" s="2" t="s">
        <v>3555</v>
      </c>
      <c r="D657" s="2" t="s">
        <v>121</v>
      </c>
      <c r="E657" s="2" t="s">
        <v>3563</v>
      </c>
      <c r="F657" s="2" t="s">
        <v>3557</v>
      </c>
      <c r="G657" s="2" t="s">
        <v>3558</v>
      </c>
      <c r="H657" s="2" t="s">
        <v>251</v>
      </c>
      <c r="I657" s="2" t="s">
        <v>238</v>
      </c>
      <c r="J657" s="2" t="n">
        <v>-6.285</v>
      </c>
      <c r="K657" s="2" t="n">
        <v>106.729</v>
      </c>
      <c r="L657" s="2" t="s">
        <v>124</v>
      </c>
      <c r="M657" s="2" t="s">
        <v>60</v>
      </c>
      <c r="N657" s="2"/>
      <c r="O657" s="2" t="s">
        <v>3564</v>
      </c>
      <c r="P657" s="2" t="s">
        <v>3565</v>
      </c>
      <c r="Q657" s="2" t="s">
        <v>62</v>
      </c>
      <c r="R657" s="2" t="n">
        <v>0.7</v>
      </c>
      <c r="S657" s="2" t="s">
        <v>3566</v>
      </c>
      <c r="T657" s="2" t="s">
        <v>3448</v>
      </c>
      <c r="U657" s="2" t="s">
        <v>3567</v>
      </c>
      <c r="V657" s="2" t="s">
        <v>97</v>
      </c>
      <c r="W657" s="2" t="s">
        <v>2005</v>
      </c>
      <c r="X657" s="2" t="s">
        <v>1588</v>
      </c>
    </row>
    <row r="658" customFormat="false" ht="15" hidden="false" customHeight="false" outlineLevel="0" collapsed="false">
      <c r="A658" s="2" t="n">
        <v>643</v>
      </c>
      <c r="B658" s="2" t="s">
        <v>3538</v>
      </c>
      <c r="C658" s="2" t="s">
        <v>3568</v>
      </c>
      <c r="D658" s="2" t="s">
        <v>134</v>
      </c>
      <c r="E658" s="2" t="s">
        <v>3569</v>
      </c>
      <c r="F658" s="2"/>
      <c r="G658" s="2" t="s">
        <v>250</v>
      </c>
      <c r="H658" s="2" t="s">
        <v>251</v>
      </c>
      <c r="I658" s="2" t="s">
        <v>238</v>
      </c>
      <c r="J658" s="2" t="n">
        <v>-6.31</v>
      </c>
      <c r="K658" s="2" t="n">
        <v>106.67</v>
      </c>
      <c r="L658" s="2" t="s">
        <v>84</v>
      </c>
      <c r="M658" s="2" t="s">
        <v>60</v>
      </c>
      <c r="N658" s="2"/>
      <c r="O658" s="2" t="s">
        <v>3570</v>
      </c>
      <c r="P658" s="2" t="s">
        <v>3571</v>
      </c>
      <c r="Q658" s="2" t="s">
        <v>110</v>
      </c>
      <c r="R658" s="2" t="n">
        <v>0.85</v>
      </c>
      <c r="S658" s="2" t="s">
        <v>3572</v>
      </c>
      <c r="T658" s="2" t="s">
        <v>3573</v>
      </c>
      <c r="U658" s="2" t="s">
        <v>3574</v>
      </c>
      <c r="V658" s="2" t="s">
        <v>158</v>
      </c>
      <c r="W658" s="2" t="s">
        <v>530</v>
      </c>
      <c r="X658" s="2" t="s">
        <v>1588</v>
      </c>
    </row>
    <row r="659" customFormat="false" ht="15" hidden="false" customHeight="false" outlineLevel="0" collapsed="false">
      <c r="A659" s="2" t="n">
        <v>644</v>
      </c>
      <c r="B659" s="2" t="s">
        <v>3538</v>
      </c>
      <c r="C659" s="2" t="s">
        <v>169</v>
      </c>
      <c r="D659" s="2" t="s">
        <v>53</v>
      </c>
      <c r="E659" s="2" t="s">
        <v>3575</v>
      </c>
      <c r="F659" s="2" t="s">
        <v>3576</v>
      </c>
      <c r="G659" s="2" t="s">
        <v>3577</v>
      </c>
      <c r="H659" s="2" t="s">
        <v>171</v>
      </c>
      <c r="I659" s="2" t="s">
        <v>172</v>
      </c>
      <c r="J659" s="2" t="n">
        <v>-7.42</v>
      </c>
      <c r="K659" s="2" t="n">
        <v>109.225</v>
      </c>
      <c r="L659" s="2" t="s">
        <v>59</v>
      </c>
      <c r="M659" s="2" t="s">
        <v>60</v>
      </c>
      <c r="N659" s="2"/>
      <c r="O659" s="2" t="s">
        <v>3578</v>
      </c>
      <c r="P659" s="2"/>
      <c r="Q659" s="2" t="s">
        <v>62</v>
      </c>
      <c r="R659" s="2" t="n">
        <v>0.8</v>
      </c>
      <c r="S659" s="2" t="s">
        <v>3579</v>
      </c>
      <c r="T659" s="2" t="s">
        <v>156</v>
      </c>
      <c r="U659" s="2" t="s">
        <v>3580</v>
      </c>
      <c r="V659" s="2" t="s">
        <v>66</v>
      </c>
      <c r="W659" s="2" t="s">
        <v>3581</v>
      </c>
      <c r="X659" s="2" t="s">
        <v>68</v>
      </c>
    </row>
    <row r="660" customFormat="false" ht="15" hidden="false" customHeight="false" outlineLevel="0" collapsed="false">
      <c r="A660" s="2" t="n">
        <v>644</v>
      </c>
      <c r="B660" s="2" t="s">
        <v>3538</v>
      </c>
      <c r="C660" s="2" t="s">
        <v>3582</v>
      </c>
      <c r="D660" s="2" t="s">
        <v>53</v>
      </c>
      <c r="E660" s="2" t="s">
        <v>3583</v>
      </c>
      <c r="F660" s="2" t="s">
        <v>3584</v>
      </c>
      <c r="G660" s="2" t="s">
        <v>3585</v>
      </c>
      <c r="H660" s="2" t="s">
        <v>171</v>
      </c>
      <c r="I660" s="2" t="s">
        <v>172</v>
      </c>
      <c r="J660" s="2" t="n">
        <v>-7.38</v>
      </c>
      <c r="K660" s="2" t="n">
        <v>109.2</v>
      </c>
      <c r="L660" s="2" t="s">
        <v>84</v>
      </c>
      <c r="M660" s="2" t="s">
        <v>60</v>
      </c>
      <c r="N660" s="2"/>
      <c r="O660" s="2" t="s">
        <v>3586</v>
      </c>
      <c r="P660" s="2"/>
      <c r="Q660" s="2" t="s">
        <v>62</v>
      </c>
      <c r="R660" s="2" t="n">
        <v>0.8</v>
      </c>
      <c r="S660" s="2" t="s">
        <v>3579</v>
      </c>
      <c r="T660" s="2" t="s">
        <v>156</v>
      </c>
      <c r="U660" s="2" t="s">
        <v>3580</v>
      </c>
      <c r="V660" s="2" t="s">
        <v>66</v>
      </c>
      <c r="W660" s="2" t="s">
        <v>3581</v>
      </c>
      <c r="X660" s="2" t="s">
        <v>68</v>
      </c>
    </row>
    <row r="661" customFormat="false" ht="15" hidden="false" customHeight="false" outlineLevel="0" collapsed="false">
      <c r="A661" s="2" t="n">
        <v>644</v>
      </c>
      <c r="B661" s="2" t="s">
        <v>3538</v>
      </c>
      <c r="C661" s="2" t="s">
        <v>3587</v>
      </c>
      <c r="D661" s="2" t="s">
        <v>53</v>
      </c>
      <c r="E661" s="2" t="s">
        <v>170</v>
      </c>
      <c r="F661" s="2"/>
      <c r="G661" s="2"/>
      <c r="H661" s="2" t="s">
        <v>171</v>
      </c>
      <c r="I661" s="2" t="s">
        <v>172</v>
      </c>
      <c r="J661" s="2" t="n">
        <v>-7.424</v>
      </c>
      <c r="K661" s="2" t="n">
        <v>109.234</v>
      </c>
      <c r="L661" s="2" t="s">
        <v>101</v>
      </c>
      <c r="M661" s="2" t="s">
        <v>340</v>
      </c>
      <c r="N661" s="2" t="s">
        <v>3588</v>
      </c>
      <c r="O661" s="2" t="s">
        <v>3589</v>
      </c>
      <c r="P661" s="2"/>
      <c r="Q661" s="2" t="s">
        <v>62</v>
      </c>
      <c r="R661" s="2" t="n">
        <v>0.7</v>
      </c>
      <c r="S661" s="2" t="s">
        <v>3579</v>
      </c>
      <c r="T661" s="2" t="s">
        <v>156</v>
      </c>
      <c r="U661" s="2" t="s">
        <v>3580</v>
      </c>
      <c r="V661" s="2" t="s">
        <v>66</v>
      </c>
      <c r="W661" s="2" t="s">
        <v>3581</v>
      </c>
      <c r="X661" s="2" t="s">
        <v>68</v>
      </c>
    </row>
    <row r="662" customFormat="false" ht="15" hidden="false" customHeight="false" outlineLevel="0" collapsed="false">
      <c r="A662" s="2" t="n">
        <v>645</v>
      </c>
      <c r="B662" s="2" t="s">
        <v>3538</v>
      </c>
      <c r="C662" s="2" t="s">
        <v>3590</v>
      </c>
      <c r="D662" s="2" t="s">
        <v>53</v>
      </c>
      <c r="E662" s="2" t="s">
        <v>3591</v>
      </c>
      <c r="F662" s="2"/>
      <c r="G662" s="2" t="s">
        <v>3592</v>
      </c>
      <c r="H662" s="2" t="s">
        <v>3593</v>
      </c>
      <c r="I662" s="2" t="s">
        <v>172</v>
      </c>
      <c r="J662" s="2" t="n">
        <v>-6.975</v>
      </c>
      <c r="K662" s="2" t="n">
        <v>110.42</v>
      </c>
      <c r="L662" s="2" t="s">
        <v>84</v>
      </c>
      <c r="M662" s="2" t="s">
        <v>60</v>
      </c>
      <c r="N662" s="2"/>
      <c r="O662" s="2" t="s">
        <v>3594</v>
      </c>
      <c r="P662" s="2"/>
      <c r="Q662" s="2" t="s">
        <v>62</v>
      </c>
      <c r="R662" s="2" t="n">
        <v>0.85</v>
      </c>
      <c r="S662" s="2" t="s">
        <v>3595</v>
      </c>
      <c r="T662" s="2" t="s">
        <v>64</v>
      </c>
      <c r="U662" s="2" t="s">
        <v>3596</v>
      </c>
      <c r="V662" s="2" t="s">
        <v>245</v>
      </c>
      <c r="W662" s="2" t="s">
        <v>1332</v>
      </c>
      <c r="X662" s="2" t="s">
        <v>68</v>
      </c>
    </row>
    <row r="663" customFormat="false" ht="15" hidden="false" customHeight="false" outlineLevel="0" collapsed="false">
      <c r="A663" s="2" t="n">
        <v>645</v>
      </c>
      <c r="B663" s="2" t="s">
        <v>3538</v>
      </c>
      <c r="C663" s="2" t="s">
        <v>3597</v>
      </c>
      <c r="D663" s="2" t="s">
        <v>53</v>
      </c>
      <c r="E663" s="2" t="s">
        <v>3598</v>
      </c>
      <c r="F663" s="2"/>
      <c r="G663" s="2"/>
      <c r="H663" s="2" t="s">
        <v>3593</v>
      </c>
      <c r="I663" s="2" t="s">
        <v>172</v>
      </c>
      <c r="J663" s="2" t="n">
        <v>-6.99</v>
      </c>
      <c r="K663" s="2" t="n">
        <v>110.422</v>
      </c>
      <c r="L663" s="2" t="s">
        <v>101</v>
      </c>
      <c r="M663" s="2" t="s">
        <v>60</v>
      </c>
      <c r="N663" s="2"/>
      <c r="O663" s="2" t="s">
        <v>3599</v>
      </c>
      <c r="P663" s="2"/>
      <c r="Q663" s="2" t="s">
        <v>62</v>
      </c>
      <c r="R663" s="2" t="n">
        <v>0.8</v>
      </c>
      <c r="S663" s="2" t="s">
        <v>3595</v>
      </c>
      <c r="T663" s="2" t="s">
        <v>64</v>
      </c>
      <c r="U663" s="2" t="s">
        <v>3596</v>
      </c>
      <c r="V663" s="2" t="s">
        <v>245</v>
      </c>
      <c r="W663" s="2" t="s">
        <v>1332</v>
      </c>
      <c r="X663" s="2" t="s">
        <v>68</v>
      </c>
    </row>
    <row r="664" customFormat="false" ht="15" hidden="false" customHeight="false" outlineLevel="0" collapsed="false">
      <c r="A664" s="2" t="n">
        <v>646</v>
      </c>
      <c r="B664" s="2" t="s">
        <v>3538</v>
      </c>
      <c r="C664" s="2" t="s">
        <v>3600</v>
      </c>
      <c r="D664" s="2" t="s">
        <v>53</v>
      </c>
      <c r="E664" s="2" t="s">
        <v>3601</v>
      </c>
      <c r="F664" s="2" t="s">
        <v>3602</v>
      </c>
      <c r="G664" s="2" t="s">
        <v>3603</v>
      </c>
      <c r="H664" s="2" t="s">
        <v>3604</v>
      </c>
      <c r="I664" s="2" t="s">
        <v>172</v>
      </c>
      <c r="J664" s="2" t="n">
        <v>-7.01</v>
      </c>
      <c r="K664" s="2" t="n">
        <v>110.18</v>
      </c>
      <c r="L664" s="2" t="s">
        <v>84</v>
      </c>
      <c r="M664" s="2" t="s">
        <v>60</v>
      </c>
      <c r="N664" s="2"/>
      <c r="O664" s="2" t="s">
        <v>3605</v>
      </c>
      <c r="P664" s="2"/>
      <c r="Q664" s="2" t="s">
        <v>62</v>
      </c>
      <c r="R664" s="2" t="n">
        <v>0.85</v>
      </c>
      <c r="S664" s="2" t="s">
        <v>3606</v>
      </c>
      <c r="T664" s="2" t="s">
        <v>243</v>
      </c>
      <c r="U664" s="2" t="s">
        <v>3607</v>
      </c>
      <c r="V664" s="2" t="s">
        <v>158</v>
      </c>
      <c r="W664" s="2" t="s">
        <v>1429</v>
      </c>
      <c r="X664" s="2" t="s">
        <v>68</v>
      </c>
    </row>
    <row r="665" customFormat="false" ht="15" hidden="false" customHeight="false" outlineLevel="0" collapsed="false">
      <c r="A665" s="2" t="n">
        <v>646</v>
      </c>
      <c r="B665" s="2" t="s">
        <v>3538</v>
      </c>
      <c r="C665" s="2" t="s">
        <v>3608</v>
      </c>
      <c r="D665" s="2" t="s">
        <v>53</v>
      </c>
      <c r="E665" s="2" t="s">
        <v>3604</v>
      </c>
      <c r="F665" s="2"/>
      <c r="G665" s="2"/>
      <c r="H665" s="2" t="s">
        <v>3604</v>
      </c>
      <c r="I665" s="2" t="s">
        <v>172</v>
      </c>
      <c r="J665" s="2" t="n">
        <v>-6.92</v>
      </c>
      <c r="K665" s="2" t="n">
        <v>110.2</v>
      </c>
      <c r="L665" s="2" t="s">
        <v>101</v>
      </c>
      <c r="M665" s="2" t="s">
        <v>60</v>
      </c>
      <c r="N665" s="2"/>
      <c r="O665" s="2" t="s">
        <v>3609</v>
      </c>
      <c r="P665" s="2"/>
      <c r="Q665" s="2" t="s">
        <v>62</v>
      </c>
      <c r="R665" s="2" t="n">
        <v>0.6</v>
      </c>
      <c r="S665" s="2" t="s">
        <v>3606</v>
      </c>
      <c r="T665" s="2" t="s">
        <v>243</v>
      </c>
      <c r="U665" s="2" t="s">
        <v>3607</v>
      </c>
      <c r="V665" s="2" t="s">
        <v>158</v>
      </c>
      <c r="W665" s="2" t="s">
        <v>1429</v>
      </c>
      <c r="X665" s="2" t="s">
        <v>68</v>
      </c>
    </row>
    <row r="666" customFormat="false" ht="15" hidden="false" customHeight="false" outlineLevel="0" collapsed="false">
      <c r="A666" s="2" t="n">
        <v>647</v>
      </c>
      <c r="B666" s="2" t="s">
        <v>3538</v>
      </c>
      <c r="C666" s="2" t="s">
        <v>3610</v>
      </c>
      <c r="D666" s="2" t="s">
        <v>53</v>
      </c>
      <c r="E666" s="2" t="s">
        <v>3611</v>
      </c>
      <c r="F666" s="2" t="s">
        <v>3612</v>
      </c>
      <c r="G666" s="2" t="s">
        <v>3612</v>
      </c>
      <c r="H666" s="2" t="s">
        <v>1233</v>
      </c>
      <c r="I666" s="2" t="s">
        <v>172</v>
      </c>
      <c r="J666" s="2" t="n">
        <v>-7.581</v>
      </c>
      <c r="K666" s="2" t="n">
        <v>110.817</v>
      </c>
      <c r="L666" s="2" t="s">
        <v>59</v>
      </c>
      <c r="M666" s="2" t="s">
        <v>60</v>
      </c>
      <c r="N666" s="2"/>
      <c r="O666" s="2" t="s">
        <v>3613</v>
      </c>
      <c r="P666" s="2"/>
      <c r="Q666" s="2" t="s">
        <v>62</v>
      </c>
      <c r="R666" s="2" t="n">
        <v>0.85</v>
      </c>
      <c r="S666" s="2" t="s">
        <v>3614</v>
      </c>
      <c r="T666" s="2" t="s">
        <v>156</v>
      </c>
      <c r="U666" s="2" t="s">
        <v>3615</v>
      </c>
      <c r="V666" s="2" t="s">
        <v>178</v>
      </c>
      <c r="W666" s="2" t="s">
        <v>2399</v>
      </c>
      <c r="X666" s="2" t="s">
        <v>1588</v>
      </c>
    </row>
    <row r="667" customFormat="false" ht="15" hidden="false" customHeight="false" outlineLevel="0" collapsed="false">
      <c r="A667" s="2" t="n">
        <v>647</v>
      </c>
      <c r="B667" s="2" t="s">
        <v>3538</v>
      </c>
      <c r="C667" s="2" t="s">
        <v>3616</v>
      </c>
      <c r="D667" s="2" t="s">
        <v>53</v>
      </c>
      <c r="E667" s="2" t="s">
        <v>3617</v>
      </c>
      <c r="F667" s="2" t="s">
        <v>3618</v>
      </c>
      <c r="G667" s="2" t="s">
        <v>3619</v>
      </c>
      <c r="H667" s="2" t="s">
        <v>1233</v>
      </c>
      <c r="I667" s="2" t="s">
        <v>172</v>
      </c>
      <c r="J667" s="2" t="n">
        <v>-7.588</v>
      </c>
      <c r="K667" s="2" t="n">
        <v>110.828</v>
      </c>
      <c r="L667" s="2" t="s">
        <v>59</v>
      </c>
      <c r="M667" s="2" t="s">
        <v>60</v>
      </c>
      <c r="N667" s="2"/>
      <c r="O667" s="2" t="s">
        <v>3620</v>
      </c>
      <c r="P667" s="2"/>
      <c r="Q667" s="2" t="s">
        <v>62</v>
      </c>
      <c r="R667" s="2" t="n">
        <v>0.85</v>
      </c>
      <c r="S667" s="2" t="s">
        <v>3614</v>
      </c>
      <c r="T667" s="2" t="s">
        <v>156</v>
      </c>
      <c r="U667" s="2" t="s">
        <v>3615</v>
      </c>
      <c r="V667" s="2" t="s">
        <v>178</v>
      </c>
      <c r="W667" s="2" t="s">
        <v>2399</v>
      </c>
      <c r="X667" s="2" t="s">
        <v>1588</v>
      </c>
    </row>
    <row r="668" customFormat="false" ht="15" hidden="false" customHeight="false" outlineLevel="0" collapsed="false">
      <c r="A668" s="2" t="n">
        <v>647</v>
      </c>
      <c r="B668" s="2" t="s">
        <v>3538</v>
      </c>
      <c r="C668" s="2" t="s">
        <v>3621</v>
      </c>
      <c r="D668" s="2" t="s">
        <v>53</v>
      </c>
      <c r="E668" s="2" t="s">
        <v>3622</v>
      </c>
      <c r="F668" s="2"/>
      <c r="G668" s="2"/>
      <c r="H668" s="2" t="s">
        <v>1233</v>
      </c>
      <c r="I668" s="2" t="s">
        <v>172</v>
      </c>
      <c r="J668" s="2" t="n">
        <v>-7.566</v>
      </c>
      <c r="K668" s="2" t="n">
        <v>110.817</v>
      </c>
      <c r="L668" s="2" t="s">
        <v>101</v>
      </c>
      <c r="M668" s="2" t="s">
        <v>60</v>
      </c>
      <c r="N668" s="2"/>
      <c r="O668" s="2" t="s">
        <v>3623</v>
      </c>
      <c r="P668" s="2"/>
      <c r="Q668" s="2" t="s">
        <v>62</v>
      </c>
      <c r="R668" s="2" t="n">
        <v>0.7</v>
      </c>
      <c r="S668" s="2" t="s">
        <v>3614</v>
      </c>
      <c r="T668" s="2" t="s">
        <v>156</v>
      </c>
      <c r="U668" s="2" t="s">
        <v>3615</v>
      </c>
      <c r="V668" s="2" t="s">
        <v>178</v>
      </c>
      <c r="W668" s="2" t="s">
        <v>2399</v>
      </c>
      <c r="X668" s="2" t="s">
        <v>1588</v>
      </c>
    </row>
    <row r="669" customFormat="false" ht="15" hidden="false" customHeight="false" outlineLevel="0" collapsed="false">
      <c r="A669" s="2" t="n">
        <v>649</v>
      </c>
      <c r="B669" s="2" t="s">
        <v>3538</v>
      </c>
      <c r="C669" s="2" t="s">
        <v>3624</v>
      </c>
      <c r="D669" s="2" t="s">
        <v>53</v>
      </c>
      <c r="E669" s="2" t="s">
        <v>3625</v>
      </c>
      <c r="F669" s="2" t="s">
        <v>3626</v>
      </c>
      <c r="G669" s="2" t="s">
        <v>3627</v>
      </c>
      <c r="H669" s="2" t="s">
        <v>950</v>
      </c>
      <c r="I669" s="2" t="s">
        <v>184</v>
      </c>
      <c r="J669" s="2" t="n">
        <v>-7.27</v>
      </c>
      <c r="K669" s="2" t="n">
        <v>112.735</v>
      </c>
      <c r="L669" s="2" t="s">
        <v>59</v>
      </c>
      <c r="M669" s="2" t="s">
        <v>60</v>
      </c>
      <c r="N669" s="2"/>
      <c r="O669" s="2" t="s">
        <v>3628</v>
      </c>
      <c r="P669" s="2"/>
      <c r="Q669" s="2" t="s">
        <v>62</v>
      </c>
      <c r="R669" s="2" t="n">
        <v>0.8</v>
      </c>
      <c r="S669" s="2" t="s">
        <v>3629</v>
      </c>
      <c r="T669" s="2" t="s">
        <v>1168</v>
      </c>
      <c r="U669" s="2" t="s">
        <v>3630</v>
      </c>
      <c r="V669" s="2" t="s">
        <v>66</v>
      </c>
      <c r="W669" s="2" t="s">
        <v>1840</v>
      </c>
      <c r="X669" s="2" t="s">
        <v>68</v>
      </c>
    </row>
    <row r="670" customFormat="false" ht="15" hidden="false" customHeight="false" outlineLevel="0" collapsed="false">
      <c r="A670" s="2" t="n">
        <v>649</v>
      </c>
      <c r="B670" s="2" t="s">
        <v>3538</v>
      </c>
      <c r="C670" s="2" t="s">
        <v>3631</v>
      </c>
      <c r="D670" s="2" t="s">
        <v>53</v>
      </c>
      <c r="E670" s="2" t="s">
        <v>3632</v>
      </c>
      <c r="F670" s="2"/>
      <c r="G670" s="2"/>
      <c r="H670" s="2" t="s">
        <v>950</v>
      </c>
      <c r="I670" s="2" t="s">
        <v>184</v>
      </c>
      <c r="J670" s="2" t="n">
        <v>-7.258</v>
      </c>
      <c r="K670" s="2" t="n">
        <v>112.752</v>
      </c>
      <c r="L670" s="2" t="s">
        <v>101</v>
      </c>
      <c r="M670" s="2" t="s">
        <v>60</v>
      </c>
      <c r="N670" s="2"/>
      <c r="O670" s="2" t="s">
        <v>3633</v>
      </c>
      <c r="P670" s="2"/>
      <c r="Q670" s="2" t="s">
        <v>62</v>
      </c>
      <c r="R670" s="2" t="n">
        <v>0.7</v>
      </c>
      <c r="S670" s="2" t="s">
        <v>3629</v>
      </c>
      <c r="T670" s="2" t="s">
        <v>1168</v>
      </c>
      <c r="U670" s="2" t="s">
        <v>3630</v>
      </c>
      <c r="V670" s="2" t="s">
        <v>66</v>
      </c>
      <c r="W670" s="2" t="s">
        <v>1840</v>
      </c>
      <c r="X670" s="2" t="s">
        <v>68</v>
      </c>
    </row>
    <row r="671" customFormat="false" ht="15" hidden="false" customHeight="false" outlineLevel="0" collapsed="false">
      <c r="A671" s="2" t="n">
        <v>650</v>
      </c>
      <c r="B671" s="2" t="s">
        <v>3538</v>
      </c>
      <c r="C671" s="2" t="s">
        <v>3634</v>
      </c>
      <c r="D671" s="2" t="s">
        <v>53</v>
      </c>
      <c r="E671" s="2" t="s">
        <v>3635</v>
      </c>
      <c r="F671" s="2" t="s">
        <v>3636</v>
      </c>
      <c r="G671" s="2" t="s">
        <v>816</v>
      </c>
      <c r="H671" s="2" t="s">
        <v>426</v>
      </c>
      <c r="I671" s="2" t="s">
        <v>74</v>
      </c>
      <c r="J671" s="2" t="n">
        <v>-6.29</v>
      </c>
      <c r="K671" s="2" t="n">
        <v>106.795</v>
      </c>
      <c r="L671" s="2" t="s">
        <v>59</v>
      </c>
      <c r="M671" s="2" t="s">
        <v>60</v>
      </c>
      <c r="N671" s="2"/>
      <c r="O671" s="2" t="s">
        <v>3637</v>
      </c>
      <c r="P671" s="2"/>
      <c r="Q671" s="2" t="s">
        <v>62</v>
      </c>
      <c r="R671" s="2" t="n">
        <v>0.8</v>
      </c>
      <c r="S671" s="2" t="s">
        <v>3638</v>
      </c>
      <c r="T671" s="2" t="s">
        <v>64</v>
      </c>
      <c r="U671" s="2" t="s">
        <v>3639</v>
      </c>
      <c r="V671" s="2" t="s">
        <v>1170</v>
      </c>
      <c r="W671" s="2" t="s">
        <v>115</v>
      </c>
      <c r="X671" s="2" t="s">
        <v>68</v>
      </c>
    </row>
    <row r="672" customFormat="false" ht="15" hidden="false" customHeight="false" outlineLevel="0" collapsed="false">
      <c r="A672" s="2" t="n">
        <v>651</v>
      </c>
      <c r="B672" s="2" t="s">
        <v>3538</v>
      </c>
      <c r="C672" s="2" t="s">
        <v>3640</v>
      </c>
      <c r="D672" s="2" t="s">
        <v>53</v>
      </c>
      <c r="E672" s="2" t="s">
        <v>3641</v>
      </c>
      <c r="F672" s="2"/>
      <c r="G672" s="2" t="s">
        <v>3642</v>
      </c>
      <c r="H672" s="2" t="s">
        <v>1233</v>
      </c>
      <c r="I672" s="2" t="s">
        <v>172</v>
      </c>
      <c r="J672" s="2" t="n">
        <v>-7.555</v>
      </c>
      <c r="K672" s="2" t="n">
        <v>110.845</v>
      </c>
      <c r="L672" s="2" t="s">
        <v>84</v>
      </c>
      <c r="M672" s="2" t="s">
        <v>60</v>
      </c>
      <c r="N672" s="2"/>
      <c r="O672" s="2" t="s">
        <v>3643</v>
      </c>
      <c r="P672" s="2"/>
      <c r="Q672" s="2" t="s">
        <v>110</v>
      </c>
      <c r="R672" s="2" t="n">
        <v>0.6</v>
      </c>
      <c r="S672" s="2" t="s">
        <v>3644</v>
      </c>
      <c r="T672" s="2" t="s">
        <v>1168</v>
      </c>
      <c r="U672" s="2" t="s">
        <v>3645</v>
      </c>
      <c r="V672" s="2" t="s">
        <v>158</v>
      </c>
      <c r="W672" s="2" t="s">
        <v>3646</v>
      </c>
      <c r="X672" s="2" t="s">
        <v>1588</v>
      </c>
    </row>
    <row r="673" customFormat="false" ht="15" hidden="false" customHeight="false" outlineLevel="0" collapsed="false">
      <c r="A673" s="2" t="n">
        <v>651</v>
      </c>
      <c r="B673" s="2" t="s">
        <v>3538</v>
      </c>
      <c r="C673" s="2" t="s">
        <v>3647</v>
      </c>
      <c r="D673" s="2" t="s">
        <v>53</v>
      </c>
      <c r="E673" s="2" t="s">
        <v>3622</v>
      </c>
      <c r="F673" s="2"/>
      <c r="G673" s="2"/>
      <c r="H673" s="2" t="s">
        <v>1233</v>
      </c>
      <c r="I673" s="2" t="s">
        <v>172</v>
      </c>
      <c r="J673" s="2" t="n">
        <v>-7.566</v>
      </c>
      <c r="K673" s="2" t="n">
        <v>110.817</v>
      </c>
      <c r="L673" s="2" t="s">
        <v>101</v>
      </c>
      <c r="M673" s="2" t="s">
        <v>60</v>
      </c>
      <c r="N673" s="2"/>
      <c r="O673" s="2" t="s">
        <v>3648</v>
      </c>
      <c r="P673" s="2"/>
      <c r="Q673" s="2" t="s">
        <v>110</v>
      </c>
      <c r="R673" s="2" t="n">
        <v>0.75</v>
      </c>
      <c r="S673" s="2" t="s">
        <v>3644</v>
      </c>
      <c r="T673" s="2" t="s">
        <v>1168</v>
      </c>
      <c r="U673" s="2" t="s">
        <v>3645</v>
      </c>
      <c r="V673" s="2" t="s">
        <v>158</v>
      </c>
      <c r="W673" s="2" t="s">
        <v>3646</v>
      </c>
      <c r="X673" s="2" t="s">
        <v>1588</v>
      </c>
    </row>
    <row r="674" customFormat="false" ht="15" hidden="false" customHeight="false" outlineLevel="0" collapsed="false">
      <c r="A674" s="2" t="n">
        <v>652</v>
      </c>
      <c r="B674" s="2" t="s">
        <v>3538</v>
      </c>
      <c r="C674" s="2" t="s">
        <v>3649</v>
      </c>
      <c r="D674" s="2" t="s">
        <v>53</v>
      </c>
      <c r="E674" s="2" t="s">
        <v>3650</v>
      </c>
      <c r="F674" s="2" t="s">
        <v>3651</v>
      </c>
      <c r="G674" s="2" t="s">
        <v>3652</v>
      </c>
      <c r="H674" s="2" t="s">
        <v>3653</v>
      </c>
      <c r="I674" s="2" t="s">
        <v>172</v>
      </c>
      <c r="J674" s="2" t="n">
        <v>-7.62</v>
      </c>
      <c r="K674" s="2" t="n">
        <v>110.21</v>
      </c>
      <c r="L674" s="2" t="s">
        <v>59</v>
      </c>
      <c r="M674" s="2" t="s">
        <v>60</v>
      </c>
      <c r="N674" s="2"/>
      <c r="O674" s="2" t="s">
        <v>3654</v>
      </c>
      <c r="P674" s="2"/>
      <c r="Q674" s="2" t="s">
        <v>62</v>
      </c>
      <c r="R674" s="2" t="n">
        <v>0.8</v>
      </c>
      <c r="S674" s="2" t="s">
        <v>3655</v>
      </c>
      <c r="T674" s="2" t="s">
        <v>156</v>
      </c>
      <c r="U674" s="2" t="s">
        <v>3656</v>
      </c>
      <c r="V674" s="2" t="s">
        <v>745</v>
      </c>
      <c r="W674" s="2" t="s">
        <v>945</v>
      </c>
      <c r="X674" s="2" t="s">
        <v>1588</v>
      </c>
    </row>
    <row r="675" customFormat="false" ht="15" hidden="false" customHeight="false" outlineLevel="0" collapsed="false">
      <c r="A675" s="2" t="n">
        <v>652</v>
      </c>
      <c r="B675" s="2" t="s">
        <v>3538</v>
      </c>
      <c r="C675" s="2" t="s">
        <v>3657</v>
      </c>
      <c r="D675" s="2" t="s">
        <v>53</v>
      </c>
      <c r="E675" s="2" t="s">
        <v>3658</v>
      </c>
      <c r="F675" s="2" t="s">
        <v>3659</v>
      </c>
      <c r="G675" s="2" t="s">
        <v>3660</v>
      </c>
      <c r="H675" s="2" t="s">
        <v>3653</v>
      </c>
      <c r="I675" s="2" t="s">
        <v>172</v>
      </c>
      <c r="J675" s="2" t="n">
        <v>-7.605</v>
      </c>
      <c r="K675" s="2" t="n">
        <v>110.23</v>
      </c>
      <c r="L675" s="2" t="s">
        <v>59</v>
      </c>
      <c r="M675" s="2" t="s">
        <v>60</v>
      </c>
      <c r="N675" s="2"/>
      <c r="O675" s="2" t="s">
        <v>3661</v>
      </c>
      <c r="P675" s="2"/>
      <c r="Q675" s="2" t="s">
        <v>62</v>
      </c>
      <c r="R675" s="2" t="n">
        <v>0.8</v>
      </c>
      <c r="S675" s="2" t="s">
        <v>3655</v>
      </c>
      <c r="T675" s="2" t="s">
        <v>156</v>
      </c>
      <c r="U675" s="2" t="s">
        <v>3656</v>
      </c>
      <c r="V675" s="2" t="s">
        <v>745</v>
      </c>
      <c r="W675" s="2" t="s">
        <v>945</v>
      </c>
      <c r="X675" s="2" t="s">
        <v>1588</v>
      </c>
    </row>
    <row r="676" customFormat="false" ht="15" hidden="false" customHeight="false" outlineLevel="0" collapsed="false">
      <c r="A676" s="2" t="n">
        <v>652</v>
      </c>
      <c r="B676" s="2" t="s">
        <v>3538</v>
      </c>
      <c r="C676" s="2" t="s">
        <v>3662</v>
      </c>
      <c r="D676" s="2" t="s">
        <v>53</v>
      </c>
      <c r="E676" s="2" t="s">
        <v>3663</v>
      </c>
      <c r="F676" s="2" t="s">
        <v>3664</v>
      </c>
      <c r="G676" s="2" t="s">
        <v>3652</v>
      </c>
      <c r="H676" s="2" t="s">
        <v>3653</v>
      </c>
      <c r="I676" s="2" t="s">
        <v>172</v>
      </c>
      <c r="J676" s="2" t="n">
        <v>-7.607</v>
      </c>
      <c r="K676" s="2" t="n">
        <v>110.205</v>
      </c>
      <c r="L676" s="2" t="s">
        <v>84</v>
      </c>
      <c r="M676" s="2" t="s">
        <v>60</v>
      </c>
      <c r="N676" s="2" t="s">
        <v>3665</v>
      </c>
      <c r="O676" s="2" t="s">
        <v>3666</v>
      </c>
      <c r="P676" s="2"/>
      <c r="Q676" s="2" t="s">
        <v>62</v>
      </c>
      <c r="R676" s="2" t="n">
        <v>0.75</v>
      </c>
      <c r="S676" s="2" t="s">
        <v>3655</v>
      </c>
      <c r="T676" s="2" t="s">
        <v>156</v>
      </c>
      <c r="U676" s="2" t="s">
        <v>3656</v>
      </c>
      <c r="V676" s="2" t="s">
        <v>745</v>
      </c>
      <c r="W676" s="2" t="s">
        <v>945</v>
      </c>
      <c r="X676" s="2" t="s">
        <v>1588</v>
      </c>
    </row>
    <row r="677" customFormat="false" ht="15" hidden="false" customHeight="false" outlineLevel="0" collapsed="false">
      <c r="A677" s="2" t="n">
        <v>653</v>
      </c>
      <c r="B677" s="2" t="s">
        <v>3538</v>
      </c>
      <c r="C677" s="2" t="s">
        <v>3667</v>
      </c>
      <c r="D677" s="2" t="s">
        <v>53</v>
      </c>
      <c r="E677" s="2" t="s">
        <v>3668</v>
      </c>
      <c r="F677" s="2" t="s">
        <v>1408</v>
      </c>
      <c r="G677" s="2" t="s">
        <v>1409</v>
      </c>
      <c r="H677" s="2" t="s">
        <v>1233</v>
      </c>
      <c r="I677" s="2" t="s">
        <v>172</v>
      </c>
      <c r="J677" s="2" t="n">
        <v>-7.565</v>
      </c>
      <c r="K677" s="2" t="n">
        <v>110.822</v>
      </c>
      <c r="L677" s="2" t="s">
        <v>59</v>
      </c>
      <c r="M677" s="2" t="s">
        <v>60</v>
      </c>
      <c r="N677" s="2"/>
      <c r="O677" s="2" t="s">
        <v>3669</v>
      </c>
      <c r="P677" s="2"/>
      <c r="Q677" s="2" t="s">
        <v>62</v>
      </c>
      <c r="R677" s="2" t="n">
        <v>0.75</v>
      </c>
      <c r="S677" s="2" t="s">
        <v>3670</v>
      </c>
      <c r="T677" s="2" t="s">
        <v>743</v>
      </c>
      <c r="U677" s="2" t="s">
        <v>3671</v>
      </c>
      <c r="V677" s="2" t="s">
        <v>66</v>
      </c>
      <c r="W677" s="2" t="s">
        <v>283</v>
      </c>
      <c r="X677" s="2" t="s">
        <v>1588</v>
      </c>
    </row>
    <row r="678" customFormat="false" ht="15" hidden="false" customHeight="false" outlineLevel="0" collapsed="false">
      <c r="A678" s="2" t="n">
        <v>653</v>
      </c>
      <c r="B678" s="2" t="s">
        <v>3538</v>
      </c>
      <c r="C678" s="2" t="s">
        <v>3672</v>
      </c>
      <c r="D678" s="2" t="s">
        <v>53</v>
      </c>
      <c r="E678" s="2" t="s">
        <v>3622</v>
      </c>
      <c r="F678" s="2"/>
      <c r="G678" s="2"/>
      <c r="H678" s="2" t="s">
        <v>1233</v>
      </c>
      <c r="I678" s="2" t="s">
        <v>172</v>
      </c>
      <c r="J678" s="2" t="n">
        <v>-7.566</v>
      </c>
      <c r="K678" s="2" t="n">
        <v>110.817</v>
      </c>
      <c r="L678" s="2" t="s">
        <v>101</v>
      </c>
      <c r="M678" s="2" t="s">
        <v>60</v>
      </c>
      <c r="N678" s="2"/>
      <c r="O678" s="2" t="s">
        <v>3673</v>
      </c>
      <c r="P678" s="2"/>
      <c r="Q678" s="2" t="s">
        <v>62</v>
      </c>
      <c r="R678" s="2" t="n">
        <v>0.75</v>
      </c>
      <c r="S678" s="2" t="s">
        <v>3670</v>
      </c>
      <c r="T678" s="2" t="s">
        <v>743</v>
      </c>
      <c r="U678" s="2" t="s">
        <v>3671</v>
      </c>
      <c r="V678" s="2" t="s">
        <v>66</v>
      </c>
      <c r="W678" s="2" t="s">
        <v>283</v>
      </c>
      <c r="X678" s="2" t="s">
        <v>1588</v>
      </c>
    </row>
    <row r="679" customFormat="false" ht="15" hidden="false" customHeight="false" outlineLevel="0" collapsed="false">
      <c r="A679" s="2" t="n">
        <v>654</v>
      </c>
      <c r="B679" s="2" t="s">
        <v>3538</v>
      </c>
      <c r="C679" s="2" t="s">
        <v>3674</v>
      </c>
      <c r="D679" s="2" t="s">
        <v>53</v>
      </c>
      <c r="E679" s="2" t="s">
        <v>3675</v>
      </c>
      <c r="F679" s="2"/>
      <c r="G679" s="2"/>
      <c r="H679" s="2" t="s">
        <v>426</v>
      </c>
      <c r="I679" s="2" t="s">
        <v>74</v>
      </c>
      <c r="J679" s="2" t="n">
        <v>-6.261</v>
      </c>
      <c r="K679" s="2" t="n">
        <v>106.81</v>
      </c>
      <c r="L679" s="2" t="s">
        <v>101</v>
      </c>
      <c r="M679" s="2" t="s">
        <v>60</v>
      </c>
      <c r="N679" s="2" t="s">
        <v>3676</v>
      </c>
      <c r="O679" s="2" t="s">
        <v>3677</v>
      </c>
      <c r="P679" s="2"/>
      <c r="Q679" s="2" t="s">
        <v>62</v>
      </c>
      <c r="R679" s="2" t="n">
        <v>0.75</v>
      </c>
      <c r="S679" s="2" t="s">
        <v>3678</v>
      </c>
      <c r="T679" s="2" t="s">
        <v>64</v>
      </c>
      <c r="U679" s="2" t="s">
        <v>3679</v>
      </c>
      <c r="V679" s="2" t="s">
        <v>158</v>
      </c>
      <c r="W679" s="2" t="s">
        <v>3506</v>
      </c>
      <c r="X679" s="2" t="s">
        <v>1588</v>
      </c>
    </row>
    <row r="680" customFormat="false" ht="15" hidden="false" customHeight="false" outlineLevel="0" collapsed="false">
      <c r="A680" s="2" t="n">
        <v>654</v>
      </c>
      <c r="B680" s="2" t="s">
        <v>3538</v>
      </c>
      <c r="C680" s="2" t="s">
        <v>3680</v>
      </c>
      <c r="D680" s="2" t="s">
        <v>53</v>
      </c>
      <c r="E680" s="2" t="s">
        <v>3681</v>
      </c>
      <c r="F680" s="2" t="s">
        <v>3682</v>
      </c>
      <c r="G680" s="2" t="s">
        <v>715</v>
      </c>
      <c r="H680" s="2" t="s">
        <v>716</v>
      </c>
      <c r="I680" s="2" t="s">
        <v>74</v>
      </c>
      <c r="J680" s="2" t="n">
        <v>-6.172</v>
      </c>
      <c r="K680" s="2" t="n">
        <v>106.788</v>
      </c>
      <c r="L680" s="2" t="s">
        <v>59</v>
      </c>
      <c r="M680" s="2" t="s">
        <v>60</v>
      </c>
      <c r="N680" s="2"/>
      <c r="O680" s="2" t="s">
        <v>3683</v>
      </c>
      <c r="P680" s="2"/>
      <c r="Q680" s="2" t="s">
        <v>62</v>
      </c>
      <c r="R680" s="2" t="n">
        <v>0.7</v>
      </c>
      <c r="S680" s="2" t="s">
        <v>3678</v>
      </c>
      <c r="T680" s="2" t="s">
        <v>64</v>
      </c>
      <c r="U680" s="2" t="s">
        <v>3679</v>
      </c>
      <c r="V680" s="2" t="s">
        <v>158</v>
      </c>
      <c r="W680" s="2" t="s">
        <v>3506</v>
      </c>
      <c r="X680" s="2" t="s">
        <v>1588</v>
      </c>
    </row>
    <row r="681" customFormat="false" ht="15" hidden="false" customHeight="false" outlineLevel="0" collapsed="false">
      <c r="A681" s="2" t="n">
        <v>655</v>
      </c>
      <c r="B681" s="2" t="s">
        <v>3538</v>
      </c>
      <c r="C681" s="2" t="s">
        <v>3684</v>
      </c>
      <c r="D681" s="2" t="s">
        <v>134</v>
      </c>
      <c r="E681" s="2" t="s">
        <v>3685</v>
      </c>
      <c r="F681" s="2" t="s">
        <v>861</v>
      </c>
      <c r="G681" s="2" t="s">
        <v>3592</v>
      </c>
      <c r="H681" s="2" t="s">
        <v>3593</v>
      </c>
      <c r="I681" s="2" t="s">
        <v>172</v>
      </c>
      <c r="J681" s="2" t="n">
        <v>-6.9685</v>
      </c>
      <c r="K681" s="2" t="n">
        <v>110.4244</v>
      </c>
      <c r="L681" s="2" t="s">
        <v>124</v>
      </c>
      <c r="M681" s="2" t="s">
        <v>60</v>
      </c>
      <c r="N681" s="2"/>
      <c r="O681" s="2" t="s">
        <v>3686</v>
      </c>
      <c r="P681" s="2"/>
      <c r="Q681" s="2" t="s">
        <v>62</v>
      </c>
      <c r="R681" s="2" t="n">
        <v>0.8</v>
      </c>
      <c r="S681" s="2" t="s">
        <v>3687</v>
      </c>
      <c r="T681" s="2" t="s">
        <v>156</v>
      </c>
      <c r="U681" s="2" t="s">
        <v>3688</v>
      </c>
      <c r="V681" s="2" t="s">
        <v>66</v>
      </c>
      <c r="W681" s="2" t="s">
        <v>1768</v>
      </c>
      <c r="X681" s="2" t="s">
        <v>1588</v>
      </c>
    </row>
    <row r="682" customFormat="false" ht="15" hidden="false" customHeight="false" outlineLevel="0" collapsed="false">
      <c r="A682" s="2" t="n">
        <v>655</v>
      </c>
      <c r="B682" s="2" t="s">
        <v>3538</v>
      </c>
      <c r="C682" s="2" t="s">
        <v>3689</v>
      </c>
      <c r="D682" s="2" t="s">
        <v>53</v>
      </c>
      <c r="E682" s="2" t="s">
        <v>3690</v>
      </c>
      <c r="F682" s="2" t="s">
        <v>861</v>
      </c>
      <c r="G682" s="2" t="s">
        <v>3592</v>
      </c>
      <c r="H682" s="2" t="s">
        <v>3593</v>
      </c>
      <c r="I682" s="2" t="s">
        <v>172</v>
      </c>
      <c r="J682" s="2" t="n">
        <v>-6.9685</v>
      </c>
      <c r="K682" s="2" t="n">
        <v>110.4244</v>
      </c>
      <c r="L682" s="2" t="s">
        <v>124</v>
      </c>
      <c r="M682" s="2" t="s">
        <v>60</v>
      </c>
      <c r="N682" s="2"/>
      <c r="O682" s="2" t="s">
        <v>3691</v>
      </c>
      <c r="P682" s="2"/>
      <c r="Q682" s="2" t="s">
        <v>62</v>
      </c>
      <c r="R682" s="2" t="n">
        <v>0.75</v>
      </c>
      <c r="S682" s="2" t="s">
        <v>3687</v>
      </c>
      <c r="T682" s="2" t="s">
        <v>156</v>
      </c>
      <c r="U682" s="2" t="s">
        <v>3688</v>
      </c>
      <c r="V682" s="2" t="s">
        <v>66</v>
      </c>
      <c r="W682" s="2" t="s">
        <v>1768</v>
      </c>
      <c r="X682" s="2" t="s">
        <v>1588</v>
      </c>
    </row>
    <row r="683" customFormat="false" ht="15" hidden="false" customHeight="false" outlineLevel="0" collapsed="false">
      <c r="A683" s="2" t="n">
        <v>655</v>
      </c>
      <c r="B683" s="2" t="s">
        <v>3538</v>
      </c>
      <c r="C683" s="2" t="s">
        <v>3692</v>
      </c>
      <c r="D683" s="2" t="s">
        <v>53</v>
      </c>
      <c r="E683" s="2" t="s">
        <v>3693</v>
      </c>
      <c r="F683" s="2" t="s">
        <v>861</v>
      </c>
      <c r="G683" s="2" t="s">
        <v>3592</v>
      </c>
      <c r="H683" s="2" t="s">
        <v>3593</v>
      </c>
      <c r="I683" s="2" t="s">
        <v>172</v>
      </c>
      <c r="J683" s="2" t="n">
        <v>-6.9685</v>
      </c>
      <c r="K683" s="2" t="n">
        <v>110.4244</v>
      </c>
      <c r="L683" s="2" t="s">
        <v>124</v>
      </c>
      <c r="M683" s="2" t="s">
        <v>60</v>
      </c>
      <c r="N683" s="2"/>
      <c r="O683" s="2" t="s">
        <v>3694</v>
      </c>
      <c r="P683" s="2"/>
      <c r="Q683" s="2" t="s">
        <v>62</v>
      </c>
      <c r="R683" s="2" t="n">
        <v>0.7</v>
      </c>
      <c r="S683" s="2" t="s">
        <v>3687</v>
      </c>
      <c r="T683" s="2" t="s">
        <v>156</v>
      </c>
      <c r="U683" s="2" t="s">
        <v>3688</v>
      </c>
      <c r="V683" s="2" t="s">
        <v>66</v>
      </c>
      <c r="W683" s="2" t="s">
        <v>1768</v>
      </c>
      <c r="X683" s="2" t="s">
        <v>1588</v>
      </c>
    </row>
    <row r="684" customFormat="false" ht="15" hidden="false" customHeight="false" outlineLevel="0" collapsed="false">
      <c r="A684" s="2" t="n">
        <v>656</v>
      </c>
      <c r="B684" s="2" t="s">
        <v>3538</v>
      </c>
      <c r="C684" s="2" t="s">
        <v>3695</v>
      </c>
      <c r="D684" s="2" t="s">
        <v>53</v>
      </c>
      <c r="E684" s="2" t="s">
        <v>3540</v>
      </c>
      <c r="F684" s="2" t="s">
        <v>3541</v>
      </c>
      <c r="G684" s="2" t="s">
        <v>3541</v>
      </c>
      <c r="H684" s="2" t="s">
        <v>251</v>
      </c>
      <c r="I684" s="2" t="s">
        <v>238</v>
      </c>
      <c r="J684" s="2" t="n">
        <v>-6.31</v>
      </c>
      <c r="K684" s="2" t="n">
        <v>106.745</v>
      </c>
      <c r="L684" s="2" t="s">
        <v>84</v>
      </c>
      <c r="M684" s="2" t="s">
        <v>60</v>
      </c>
      <c r="N684" s="2"/>
      <c r="O684" s="2" t="s">
        <v>3696</v>
      </c>
      <c r="P684" s="2"/>
      <c r="Q684" s="2" t="s">
        <v>62</v>
      </c>
      <c r="R684" s="2" t="n">
        <v>0.8</v>
      </c>
      <c r="S684" s="2" t="s">
        <v>3697</v>
      </c>
      <c r="T684" s="2" t="s">
        <v>64</v>
      </c>
      <c r="U684" s="2" t="s">
        <v>3698</v>
      </c>
      <c r="V684" s="2" t="s">
        <v>158</v>
      </c>
      <c r="W684" s="2" t="s">
        <v>1700</v>
      </c>
      <c r="X684" s="2" t="s">
        <v>1588</v>
      </c>
    </row>
    <row r="685" customFormat="false" ht="15" hidden="false" customHeight="false" outlineLevel="0" collapsed="false">
      <c r="A685" s="2" t="n">
        <v>656</v>
      </c>
      <c r="B685" s="2" t="s">
        <v>3538</v>
      </c>
      <c r="C685" s="2" t="s">
        <v>3699</v>
      </c>
      <c r="D685" s="2" t="s">
        <v>53</v>
      </c>
      <c r="E685" s="2" t="s">
        <v>3700</v>
      </c>
      <c r="F685" s="2"/>
      <c r="G685" s="2"/>
      <c r="H685" s="2"/>
      <c r="I685" s="2" t="s">
        <v>238</v>
      </c>
      <c r="J685" s="2" t="n">
        <v>-6.406</v>
      </c>
      <c r="K685" s="2" t="n">
        <v>106.064</v>
      </c>
      <c r="L685" s="2" t="s">
        <v>239</v>
      </c>
      <c r="M685" s="2" t="s">
        <v>60</v>
      </c>
      <c r="N685" s="2" t="s">
        <v>3701</v>
      </c>
      <c r="O685" s="2" t="s">
        <v>3702</v>
      </c>
      <c r="P685" s="2"/>
      <c r="Q685" s="2" t="s">
        <v>110</v>
      </c>
      <c r="R685" s="2" t="n">
        <v>0.85</v>
      </c>
      <c r="S685" s="2" t="s">
        <v>3697</v>
      </c>
      <c r="T685" s="2" t="s">
        <v>64</v>
      </c>
      <c r="U685" s="2" t="s">
        <v>3698</v>
      </c>
      <c r="V685" s="2" t="s">
        <v>158</v>
      </c>
      <c r="W685" s="2" t="s">
        <v>1700</v>
      </c>
      <c r="X685" s="2" t="s">
        <v>1588</v>
      </c>
    </row>
    <row r="686" customFormat="false" ht="15" hidden="false" customHeight="false" outlineLevel="0" collapsed="false">
      <c r="A686" s="2" t="n">
        <v>657</v>
      </c>
      <c r="B686" s="2" t="s">
        <v>3538</v>
      </c>
      <c r="C686" s="2" t="s">
        <v>3703</v>
      </c>
      <c r="D686" s="2" t="s">
        <v>134</v>
      </c>
      <c r="E686" s="2" t="s">
        <v>3704</v>
      </c>
      <c r="F686" s="2" t="s">
        <v>3705</v>
      </c>
      <c r="G686" s="2" t="s">
        <v>3652</v>
      </c>
      <c r="H686" s="2" t="s">
        <v>3653</v>
      </c>
      <c r="I686" s="2" t="s">
        <v>172</v>
      </c>
      <c r="J686" s="2" t="n">
        <v>-7.605</v>
      </c>
      <c r="K686" s="2" t="n">
        <v>110.215</v>
      </c>
      <c r="L686" s="2" t="s">
        <v>59</v>
      </c>
      <c r="M686" s="2" t="s">
        <v>60</v>
      </c>
      <c r="N686" s="2"/>
      <c r="O686" s="2" t="s">
        <v>3706</v>
      </c>
      <c r="P686" s="2"/>
      <c r="Q686" s="2" t="s">
        <v>62</v>
      </c>
      <c r="R686" s="2" t="n">
        <v>0.8</v>
      </c>
      <c r="S686" s="2" t="s">
        <v>3707</v>
      </c>
      <c r="T686" s="2" t="s">
        <v>156</v>
      </c>
      <c r="U686" s="2" t="s">
        <v>3708</v>
      </c>
      <c r="V686" s="2" t="s">
        <v>745</v>
      </c>
      <c r="W686" s="2" t="s">
        <v>2431</v>
      </c>
      <c r="X686" s="2" t="s">
        <v>1588</v>
      </c>
    </row>
    <row r="687" customFormat="false" ht="15" hidden="false" customHeight="false" outlineLevel="0" collapsed="false">
      <c r="A687" s="2" t="n">
        <v>657</v>
      </c>
      <c r="B687" s="2" t="s">
        <v>3538</v>
      </c>
      <c r="C687" s="2" t="s">
        <v>3662</v>
      </c>
      <c r="D687" s="2" t="s">
        <v>134</v>
      </c>
      <c r="E687" s="2" t="s">
        <v>3709</v>
      </c>
      <c r="F687" s="2" t="s">
        <v>3664</v>
      </c>
      <c r="G687" s="2" t="s">
        <v>3652</v>
      </c>
      <c r="H687" s="2" t="s">
        <v>3653</v>
      </c>
      <c r="I687" s="2" t="s">
        <v>172</v>
      </c>
      <c r="J687" s="2" t="n">
        <v>-7.607</v>
      </c>
      <c r="K687" s="2" t="n">
        <v>110.205</v>
      </c>
      <c r="L687" s="2" t="s">
        <v>84</v>
      </c>
      <c r="M687" s="2" t="s">
        <v>60</v>
      </c>
      <c r="N687" s="2" t="s">
        <v>3665</v>
      </c>
      <c r="O687" s="2" t="s">
        <v>3710</v>
      </c>
      <c r="P687" s="2"/>
      <c r="Q687" s="2" t="s">
        <v>62</v>
      </c>
      <c r="R687" s="2" t="n">
        <v>0.75</v>
      </c>
      <c r="S687" s="2" t="s">
        <v>3707</v>
      </c>
      <c r="T687" s="2" t="s">
        <v>156</v>
      </c>
      <c r="U687" s="2" t="s">
        <v>3708</v>
      </c>
      <c r="V687" s="2" t="s">
        <v>745</v>
      </c>
      <c r="W687" s="2" t="s">
        <v>2431</v>
      </c>
      <c r="X687" s="2" t="s">
        <v>1588</v>
      </c>
    </row>
    <row r="688" customFormat="false" ht="15" hidden="false" customHeight="false" outlineLevel="0" collapsed="false">
      <c r="A688" s="2" t="n">
        <v>657</v>
      </c>
      <c r="B688" s="2" t="s">
        <v>3538</v>
      </c>
      <c r="C688" s="2" t="s">
        <v>3711</v>
      </c>
      <c r="D688" s="2" t="s">
        <v>134</v>
      </c>
      <c r="E688" s="2" t="s">
        <v>3712</v>
      </c>
      <c r="F688" s="2"/>
      <c r="G688" s="2"/>
      <c r="H688" s="2"/>
      <c r="I688" s="2" t="s">
        <v>172</v>
      </c>
      <c r="J688" s="2" t="n">
        <v>-7.15</v>
      </c>
      <c r="K688" s="2" t="n">
        <v>110.14</v>
      </c>
      <c r="L688" s="2" t="s">
        <v>239</v>
      </c>
      <c r="M688" s="2" t="s">
        <v>60</v>
      </c>
      <c r="N688" s="2" t="s">
        <v>3713</v>
      </c>
      <c r="O688" s="2" t="s">
        <v>3714</v>
      </c>
      <c r="P688" s="2"/>
      <c r="Q688" s="2" t="s">
        <v>62</v>
      </c>
      <c r="R688" s="2" t="n">
        <v>0.65</v>
      </c>
      <c r="S688" s="2" t="s">
        <v>3707</v>
      </c>
      <c r="T688" s="2" t="s">
        <v>156</v>
      </c>
      <c r="U688" s="2" t="s">
        <v>3708</v>
      </c>
      <c r="V688" s="2" t="s">
        <v>745</v>
      </c>
      <c r="W688" s="2" t="s">
        <v>2431</v>
      </c>
      <c r="X688" s="2" t="s">
        <v>1588</v>
      </c>
    </row>
    <row r="689" customFormat="false" ht="15" hidden="false" customHeight="false" outlineLevel="0" collapsed="false">
      <c r="A689" s="2" t="n">
        <v>659</v>
      </c>
      <c r="B689" s="2" t="s">
        <v>3538</v>
      </c>
      <c r="C689" s="2" t="s">
        <v>3715</v>
      </c>
      <c r="D689" s="2" t="s">
        <v>53</v>
      </c>
      <c r="E689" s="2" t="s">
        <v>3716</v>
      </c>
      <c r="F689" s="2"/>
      <c r="G689" s="2"/>
      <c r="H689" s="2" t="s">
        <v>3717</v>
      </c>
      <c r="I689" s="2" t="s">
        <v>172</v>
      </c>
      <c r="J689" s="2" t="n">
        <v>-7.682</v>
      </c>
      <c r="K689" s="2" t="n">
        <v>110.842</v>
      </c>
      <c r="L689" s="2" t="s">
        <v>101</v>
      </c>
      <c r="M689" s="2" t="s">
        <v>60</v>
      </c>
      <c r="N689" s="2"/>
      <c r="O689" s="2" t="s">
        <v>3718</v>
      </c>
      <c r="P689" s="2" t="s">
        <v>3719</v>
      </c>
      <c r="Q689" s="2" t="s">
        <v>110</v>
      </c>
      <c r="R689" s="2" t="n">
        <v>0.8</v>
      </c>
      <c r="S689" s="2" t="s">
        <v>3720</v>
      </c>
      <c r="T689" s="2" t="s">
        <v>743</v>
      </c>
      <c r="U689" s="2" t="s">
        <v>3721</v>
      </c>
      <c r="V689" s="2" t="s">
        <v>965</v>
      </c>
      <c r="W689" s="2" t="s">
        <v>1138</v>
      </c>
      <c r="X689" s="2" t="s">
        <v>160</v>
      </c>
    </row>
    <row r="690" customFormat="false" ht="15" hidden="false" customHeight="false" outlineLevel="0" collapsed="false">
      <c r="A690" s="2" t="n">
        <v>660</v>
      </c>
      <c r="B690" s="2" t="s">
        <v>3722</v>
      </c>
      <c r="C690" s="2" t="s">
        <v>3723</v>
      </c>
      <c r="D690" s="2" t="s">
        <v>410</v>
      </c>
      <c r="E690" s="2" t="s">
        <v>3724</v>
      </c>
      <c r="F690" s="2" t="s">
        <v>3725</v>
      </c>
      <c r="G690" s="2" t="s">
        <v>3726</v>
      </c>
      <c r="H690" s="2" t="s">
        <v>3727</v>
      </c>
      <c r="I690" s="2" t="s">
        <v>172</v>
      </c>
      <c r="J690" s="2" t="n">
        <v>-7.302</v>
      </c>
      <c r="K690" s="2" t="n">
        <v>110.042</v>
      </c>
      <c r="L690" s="2" t="s">
        <v>84</v>
      </c>
      <c r="M690" s="2" t="s">
        <v>60</v>
      </c>
      <c r="N690" s="2"/>
      <c r="O690" s="2" t="s">
        <v>3728</v>
      </c>
      <c r="P690" s="2"/>
      <c r="Q690" s="2" t="s">
        <v>62</v>
      </c>
      <c r="R690" s="2" t="n">
        <v>0.8</v>
      </c>
      <c r="S690" s="2" t="s">
        <v>3729</v>
      </c>
      <c r="T690" s="2" t="s">
        <v>963</v>
      </c>
      <c r="U690" s="2" t="s">
        <v>3730</v>
      </c>
      <c r="V690" s="2" t="s">
        <v>3731</v>
      </c>
      <c r="W690" s="2" t="s">
        <v>1923</v>
      </c>
      <c r="X690" s="2" t="s">
        <v>1588</v>
      </c>
    </row>
    <row r="691" customFormat="false" ht="15" hidden="false" customHeight="false" outlineLevel="0" collapsed="false">
      <c r="A691" s="2" t="n">
        <v>660</v>
      </c>
      <c r="B691" s="2" t="s">
        <v>3722</v>
      </c>
      <c r="C691" s="2" t="s">
        <v>3732</v>
      </c>
      <c r="D691" s="2" t="s">
        <v>410</v>
      </c>
      <c r="E691" s="2" t="s">
        <v>3733</v>
      </c>
      <c r="F691" s="2" t="s">
        <v>3734</v>
      </c>
      <c r="G691" s="2" t="s">
        <v>3735</v>
      </c>
      <c r="H691" s="2" t="s">
        <v>171</v>
      </c>
      <c r="I691" s="2" t="s">
        <v>172</v>
      </c>
      <c r="J691" s="2" t="n">
        <v>-7.32</v>
      </c>
      <c r="K691" s="2" t="n">
        <v>109.23</v>
      </c>
      <c r="L691" s="2" t="s">
        <v>84</v>
      </c>
      <c r="M691" s="2" t="s">
        <v>60</v>
      </c>
      <c r="N691" s="2"/>
      <c r="O691" s="2" t="s">
        <v>3736</v>
      </c>
      <c r="P691" s="2"/>
      <c r="Q691" s="2" t="s">
        <v>62</v>
      </c>
      <c r="R691" s="2" t="n">
        <v>0.8</v>
      </c>
      <c r="S691" s="2" t="s">
        <v>3729</v>
      </c>
      <c r="T691" s="2" t="s">
        <v>963</v>
      </c>
      <c r="U691" s="2" t="s">
        <v>3730</v>
      </c>
      <c r="V691" s="2" t="s">
        <v>3731</v>
      </c>
      <c r="W691" s="2" t="s">
        <v>1923</v>
      </c>
      <c r="X691" s="2" t="s">
        <v>1588</v>
      </c>
    </row>
    <row r="692" customFormat="false" ht="15" hidden="false" customHeight="false" outlineLevel="0" collapsed="false">
      <c r="A692" s="2" t="n">
        <v>661</v>
      </c>
      <c r="B692" s="2" t="s">
        <v>3722</v>
      </c>
      <c r="C692" s="2" t="s">
        <v>3737</v>
      </c>
      <c r="D692" s="2" t="s">
        <v>410</v>
      </c>
      <c r="E692" s="2" t="s">
        <v>3738</v>
      </c>
      <c r="F692" s="2" t="s">
        <v>3739</v>
      </c>
      <c r="G692" s="2" t="s">
        <v>3740</v>
      </c>
      <c r="H692" s="2" t="s">
        <v>356</v>
      </c>
      <c r="I692" s="2" t="s">
        <v>172</v>
      </c>
      <c r="J692" s="2" t="n">
        <v>-7.72</v>
      </c>
      <c r="K692" s="2" t="n">
        <v>109.4</v>
      </c>
      <c r="L692" s="2" t="s">
        <v>84</v>
      </c>
      <c r="M692" s="2" t="s">
        <v>60</v>
      </c>
      <c r="N692" s="2"/>
      <c r="O692" s="2" t="s">
        <v>3741</v>
      </c>
      <c r="P692" s="2" t="s">
        <v>109</v>
      </c>
      <c r="Q692" s="2" t="s">
        <v>110</v>
      </c>
      <c r="R692" s="2" t="n">
        <v>0.9</v>
      </c>
      <c r="S692" s="2" t="s">
        <v>3742</v>
      </c>
      <c r="T692" s="2" t="s">
        <v>1563</v>
      </c>
      <c r="U692" s="2" t="s">
        <v>3743</v>
      </c>
      <c r="V692" s="2" t="s">
        <v>178</v>
      </c>
      <c r="W692" s="2" t="s">
        <v>3744</v>
      </c>
      <c r="X692" s="2" t="s">
        <v>507</v>
      </c>
    </row>
    <row r="693" customFormat="false" ht="15" hidden="false" customHeight="false" outlineLevel="0" collapsed="false">
      <c r="A693" s="2" t="n">
        <v>662</v>
      </c>
      <c r="B693" s="2" t="s">
        <v>3722</v>
      </c>
      <c r="C693" s="2" t="s">
        <v>3745</v>
      </c>
      <c r="D693" s="2" t="s">
        <v>410</v>
      </c>
      <c r="E693" s="2" t="s">
        <v>3746</v>
      </c>
      <c r="F693" s="2"/>
      <c r="G693" s="2"/>
      <c r="H693" s="2" t="s">
        <v>3653</v>
      </c>
      <c r="I693" s="2" t="s">
        <v>172</v>
      </c>
      <c r="J693" s="2" t="n">
        <v>-7.5</v>
      </c>
      <c r="K693" s="2" t="n">
        <v>110.25</v>
      </c>
      <c r="L693" s="2" t="s">
        <v>101</v>
      </c>
      <c r="M693" s="2" t="s">
        <v>60</v>
      </c>
      <c r="N693" s="2"/>
      <c r="O693" s="2" t="s">
        <v>3747</v>
      </c>
      <c r="P693" s="2" t="s">
        <v>1001</v>
      </c>
      <c r="Q693" s="2" t="s">
        <v>110</v>
      </c>
      <c r="R693" s="2" t="n">
        <v>0.9</v>
      </c>
      <c r="S693" s="2" t="s">
        <v>3748</v>
      </c>
      <c r="T693" s="2" t="s">
        <v>176</v>
      </c>
      <c r="U693" s="2" t="s">
        <v>3749</v>
      </c>
      <c r="V693" s="2" t="s">
        <v>1170</v>
      </c>
      <c r="W693" s="2" t="s">
        <v>2241</v>
      </c>
      <c r="X693" s="2" t="s">
        <v>1588</v>
      </c>
    </row>
    <row r="694" customFormat="false" ht="15" hidden="false" customHeight="false" outlineLevel="0" collapsed="false">
      <c r="A694" s="2" t="n">
        <v>663</v>
      </c>
      <c r="B694" s="2" t="s">
        <v>3722</v>
      </c>
      <c r="C694" s="2" t="s">
        <v>3750</v>
      </c>
      <c r="D694" s="2" t="s">
        <v>1140</v>
      </c>
      <c r="E694" s="2" t="s">
        <v>1233</v>
      </c>
      <c r="F694" s="2" t="s">
        <v>3642</v>
      </c>
      <c r="G694" s="2" t="s">
        <v>3642</v>
      </c>
      <c r="H694" s="2" t="s">
        <v>1233</v>
      </c>
      <c r="I694" s="2" t="s">
        <v>172</v>
      </c>
      <c r="J694" s="2" t="n">
        <v>-7.565</v>
      </c>
      <c r="K694" s="2" t="n">
        <v>110.858</v>
      </c>
      <c r="L694" s="2" t="s">
        <v>124</v>
      </c>
      <c r="M694" s="2" t="s">
        <v>60</v>
      </c>
      <c r="N694" s="2" t="s">
        <v>3751</v>
      </c>
      <c r="O694" s="2" t="s">
        <v>3752</v>
      </c>
      <c r="P694" s="2" t="s">
        <v>773</v>
      </c>
      <c r="Q694" s="2" t="s">
        <v>110</v>
      </c>
      <c r="R694" s="2" t="n">
        <v>0.85</v>
      </c>
      <c r="S694" s="2" t="s">
        <v>3753</v>
      </c>
      <c r="T694" s="2" t="s">
        <v>1168</v>
      </c>
      <c r="U694" s="2" t="s">
        <v>3754</v>
      </c>
      <c r="V694" s="2" t="s">
        <v>2214</v>
      </c>
      <c r="W694" s="2" t="s">
        <v>2506</v>
      </c>
      <c r="X694" s="2" t="s">
        <v>1588</v>
      </c>
    </row>
    <row r="695" customFormat="false" ht="15" hidden="false" customHeight="false" outlineLevel="0" collapsed="false">
      <c r="A695" s="2" t="n">
        <v>664</v>
      </c>
      <c r="B695" s="2" t="s">
        <v>3722</v>
      </c>
      <c r="C695" s="2" t="s">
        <v>3755</v>
      </c>
      <c r="D695" s="2" t="s">
        <v>410</v>
      </c>
      <c r="E695" s="2" t="s">
        <v>3756</v>
      </c>
      <c r="F695" s="2"/>
      <c r="G695" s="2" t="s">
        <v>3757</v>
      </c>
      <c r="H695" s="2" t="s">
        <v>3758</v>
      </c>
      <c r="I695" s="2" t="s">
        <v>172</v>
      </c>
      <c r="J695" s="2" t="n">
        <v>-7.5</v>
      </c>
      <c r="K695" s="2" t="n">
        <v>110.45</v>
      </c>
      <c r="L695" s="2" t="s">
        <v>84</v>
      </c>
      <c r="M695" s="2" t="s">
        <v>60</v>
      </c>
      <c r="N695" s="2"/>
      <c r="O695" s="2" t="s">
        <v>3759</v>
      </c>
      <c r="P695" s="2" t="s">
        <v>3760</v>
      </c>
      <c r="Q695" s="2" t="s">
        <v>110</v>
      </c>
      <c r="R695" s="2" t="n">
        <v>0.7</v>
      </c>
      <c r="S695" s="2" t="s">
        <v>3761</v>
      </c>
      <c r="T695" s="2" t="s">
        <v>3762</v>
      </c>
      <c r="U695" s="2" t="s">
        <v>3763</v>
      </c>
      <c r="V695" s="2" t="s">
        <v>3764</v>
      </c>
      <c r="W695" s="2" t="s">
        <v>3765</v>
      </c>
      <c r="X695" s="2" t="s">
        <v>1588</v>
      </c>
    </row>
    <row r="696" customFormat="false" ht="15" hidden="false" customHeight="false" outlineLevel="0" collapsed="false">
      <c r="A696" s="2" t="n">
        <v>665</v>
      </c>
      <c r="B696" s="2" t="s">
        <v>3722</v>
      </c>
      <c r="C696" s="2" t="s">
        <v>3766</v>
      </c>
      <c r="D696" s="2" t="s">
        <v>410</v>
      </c>
      <c r="E696" s="2" t="s">
        <v>3767</v>
      </c>
      <c r="F696" s="2" t="s">
        <v>3768</v>
      </c>
      <c r="G696" s="2" t="s">
        <v>3769</v>
      </c>
      <c r="H696" s="2" t="s">
        <v>171</v>
      </c>
      <c r="I696" s="2" t="s">
        <v>172</v>
      </c>
      <c r="J696" s="2" t="n">
        <v>-7.475</v>
      </c>
      <c r="K696" s="2" t="n">
        <v>109.3</v>
      </c>
      <c r="L696" s="2" t="s">
        <v>84</v>
      </c>
      <c r="M696" s="2" t="s">
        <v>60</v>
      </c>
      <c r="N696" s="2"/>
      <c r="O696" s="2" t="s">
        <v>3770</v>
      </c>
      <c r="P696" s="2" t="s">
        <v>3771</v>
      </c>
      <c r="Q696" s="2" t="s">
        <v>110</v>
      </c>
      <c r="R696" s="2" t="n">
        <v>0.85</v>
      </c>
      <c r="S696" s="2" t="s">
        <v>3772</v>
      </c>
      <c r="T696" s="2" t="s">
        <v>3773</v>
      </c>
      <c r="U696" s="2" t="s">
        <v>3774</v>
      </c>
      <c r="V696" s="2" t="s">
        <v>1931</v>
      </c>
      <c r="W696" s="2" t="s">
        <v>2489</v>
      </c>
      <c r="X696" s="2" t="s">
        <v>1588</v>
      </c>
    </row>
    <row r="697" customFormat="false" ht="15" hidden="false" customHeight="false" outlineLevel="0" collapsed="false">
      <c r="A697" s="2" t="n">
        <v>666</v>
      </c>
      <c r="B697" s="2" t="s">
        <v>3722</v>
      </c>
      <c r="C697" s="2" t="s">
        <v>3775</v>
      </c>
      <c r="D697" s="2" t="s">
        <v>1140</v>
      </c>
      <c r="E697" s="2" t="s">
        <v>3776</v>
      </c>
      <c r="F697" s="2"/>
      <c r="G697" s="2"/>
      <c r="H697" s="2" t="s">
        <v>3777</v>
      </c>
      <c r="I697" s="2" t="s">
        <v>172</v>
      </c>
      <c r="J697" s="2" t="n">
        <v>-7.706</v>
      </c>
      <c r="K697" s="2" t="n">
        <v>110.606</v>
      </c>
      <c r="L697" s="2" t="s">
        <v>101</v>
      </c>
      <c r="M697" s="2" t="s">
        <v>340</v>
      </c>
      <c r="N697" s="2"/>
      <c r="O697" s="2" t="s">
        <v>3778</v>
      </c>
      <c r="P697" s="2" t="s">
        <v>3779</v>
      </c>
      <c r="Q697" s="2" t="s">
        <v>110</v>
      </c>
      <c r="R697" s="2" t="n">
        <v>0.85</v>
      </c>
      <c r="S697" s="2" t="s">
        <v>3780</v>
      </c>
      <c r="T697" s="2" t="s">
        <v>1168</v>
      </c>
      <c r="U697" s="2" t="s">
        <v>3781</v>
      </c>
      <c r="V697" s="2" t="s">
        <v>745</v>
      </c>
      <c r="W697" s="2" t="s">
        <v>246</v>
      </c>
      <c r="X697" s="2" t="s">
        <v>507</v>
      </c>
    </row>
    <row r="698" customFormat="false" ht="15" hidden="false" customHeight="false" outlineLevel="0" collapsed="false">
      <c r="A698" s="2" t="n">
        <v>667</v>
      </c>
      <c r="B698" s="2" t="s">
        <v>3722</v>
      </c>
      <c r="C698" s="2" t="s">
        <v>3782</v>
      </c>
      <c r="D698" s="2" t="s">
        <v>410</v>
      </c>
      <c r="E698" s="2" t="s">
        <v>3783</v>
      </c>
      <c r="F698" s="2" t="s">
        <v>3768</v>
      </c>
      <c r="G698" s="2" t="s">
        <v>3769</v>
      </c>
      <c r="H698" s="2" t="s">
        <v>171</v>
      </c>
      <c r="I698" s="2" t="s">
        <v>172</v>
      </c>
      <c r="J698" s="2" t="n">
        <v>-7.475</v>
      </c>
      <c r="K698" s="2" t="n">
        <v>109.3</v>
      </c>
      <c r="L698" s="2" t="s">
        <v>84</v>
      </c>
      <c r="M698" s="2" t="s">
        <v>60</v>
      </c>
      <c r="N698" s="2"/>
      <c r="O698" s="2" t="s">
        <v>3784</v>
      </c>
      <c r="P698" s="2" t="s">
        <v>1685</v>
      </c>
      <c r="Q698" s="2" t="s">
        <v>110</v>
      </c>
      <c r="R698" s="2" t="n">
        <v>0.9</v>
      </c>
      <c r="S698" s="2" t="s">
        <v>3785</v>
      </c>
      <c r="T698" s="2" t="s">
        <v>743</v>
      </c>
      <c r="U698" s="2" t="s">
        <v>3786</v>
      </c>
      <c r="V698" s="2" t="s">
        <v>745</v>
      </c>
      <c r="W698" s="2" t="s">
        <v>3787</v>
      </c>
      <c r="X698" s="2" t="s">
        <v>1588</v>
      </c>
    </row>
    <row r="699" customFormat="false" ht="15" hidden="false" customHeight="false" outlineLevel="0" collapsed="false">
      <c r="A699" s="2" t="n">
        <v>668</v>
      </c>
      <c r="B699" s="2" t="s">
        <v>3722</v>
      </c>
      <c r="C699" s="2" t="s">
        <v>3788</v>
      </c>
      <c r="D699" s="2" t="s">
        <v>1130</v>
      </c>
      <c r="E699" s="2" t="s">
        <v>1431</v>
      </c>
      <c r="F699" s="2"/>
      <c r="G699" s="2"/>
      <c r="H699" s="2" t="s">
        <v>1233</v>
      </c>
      <c r="I699" s="2" t="s">
        <v>172</v>
      </c>
      <c r="J699" s="2" t="n">
        <v>-7.566</v>
      </c>
      <c r="K699" s="2" t="n">
        <v>110.817</v>
      </c>
      <c r="L699" s="2" t="s">
        <v>101</v>
      </c>
      <c r="M699" s="2" t="s">
        <v>60</v>
      </c>
      <c r="N699" s="2"/>
      <c r="O699" s="2" t="s">
        <v>3789</v>
      </c>
      <c r="P699" s="2" t="s">
        <v>3790</v>
      </c>
      <c r="Q699" s="2" t="s">
        <v>110</v>
      </c>
      <c r="R699" s="2" t="n">
        <v>0.75</v>
      </c>
      <c r="S699" s="2" t="s">
        <v>3791</v>
      </c>
      <c r="T699" s="2" t="s">
        <v>743</v>
      </c>
      <c r="U699" s="2" t="s">
        <v>3792</v>
      </c>
      <c r="V699" s="2" t="s">
        <v>3793</v>
      </c>
      <c r="W699" s="2" t="s">
        <v>776</v>
      </c>
      <c r="X699" s="2" t="s">
        <v>1588</v>
      </c>
    </row>
    <row r="700" customFormat="false" ht="15" hidden="false" customHeight="false" outlineLevel="0" collapsed="false">
      <c r="A700" s="2" t="n">
        <v>669</v>
      </c>
      <c r="B700" s="2" t="s">
        <v>3722</v>
      </c>
      <c r="C700" s="2" t="s">
        <v>3794</v>
      </c>
      <c r="D700" s="2" t="s">
        <v>1130</v>
      </c>
      <c r="E700" s="2" t="s">
        <v>3622</v>
      </c>
      <c r="F700" s="2" t="s">
        <v>3795</v>
      </c>
      <c r="G700" s="2" t="s">
        <v>3796</v>
      </c>
      <c r="H700" s="2" t="s">
        <v>1233</v>
      </c>
      <c r="I700" s="2" t="s">
        <v>172</v>
      </c>
      <c r="J700" s="2" t="n">
        <v>-7.568</v>
      </c>
      <c r="K700" s="2" t="n">
        <v>110.813</v>
      </c>
      <c r="L700" s="2" t="s">
        <v>124</v>
      </c>
      <c r="M700" s="2" t="s">
        <v>60</v>
      </c>
      <c r="N700" s="2"/>
      <c r="O700" s="2" t="s">
        <v>3797</v>
      </c>
      <c r="P700" s="2"/>
      <c r="Q700" s="2" t="s">
        <v>62</v>
      </c>
      <c r="R700" s="2" t="n">
        <v>0.8</v>
      </c>
      <c r="S700" s="2" t="s">
        <v>3798</v>
      </c>
      <c r="T700" s="2" t="s">
        <v>3799</v>
      </c>
      <c r="U700" s="2" t="s">
        <v>3800</v>
      </c>
      <c r="V700" s="2" t="s">
        <v>1170</v>
      </c>
      <c r="W700" s="2" t="s">
        <v>2168</v>
      </c>
      <c r="X700" s="2" t="s">
        <v>1588</v>
      </c>
    </row>
    <row r="701" customFormat="false" ht="15" hidden="false" customHeight="false" outlineLevel="0" collapsed="false">
      <c r="A701" s="2" t="n">
        <v>669</v>
      </c>
      <c r="B701" s="2" t="s">
        <v>3722</v>
      </c>
      <c r="C701" s="2" t="s">
        <v>3801</v>
      </c>
      <c r="D701" s="2" t="s">
        <v>1130</v>
      </c>
      <c r="E701" s="2" t="s">
        <v>3622</v>
      </c>
      <c r="F701" s="2" t="s">
        <v>3802</v>
      </c>
      <c r="G701" s="2" t="s">
        <v>3619</v>
      </c>
      <c r="H701" s="2" t="s">
        <v>1233</v>
      </c>
      <c r="I701" s="2" t="s">
        <v>172</v>
      </c>
      <c r="J701" s="2" t="n">
        <v>-7.5777</v>
      </c>
      <c r="K701" s="2" t="n">
        <v>110.8277</v>
      </c>
      <c r="L701" s="2" t="s">
        <v>124</v>
      </c>
      <c r="M701" s="2" t="s">
        <v>60</v>
      </c>
      <c r="N701" s="2"/>
      <c r="O701" s="2" t="s">
        <v>3803</v>
      </c>
      <c r="P701" s="2"/>
      <c r="Q701" s="2" t="s">
        <v>62</v>
      </c>
      <c r="R701" s="2" t="n">
        <v>0.75</v>
      </c>
      <c r="S701" s="2" t="s">
        <v>3798</v>
      </c>
      <c r="T701" s="2" t="s">
        <v>3799</v>
      </c>
      <c r="U701" s="2" t="s">
        <v>3800</v>
      </c>
      <c r="V701" s="2" t="s">
        <v>1170</v>
      </c>
      <c r="W701" s="2" t="s">
        <v>2168</v>
      </c>
      <c r="X701" s="2" t="s">
        <v>1588</v>
      </c>
    </row>
    <row r="702" customFormat="false" ht="15" hidden="false" customHeight="false" outlineLevel="0" collapsed="false">
      <c r="A702" s="2" t="n">
        <v>670</v>
      </c>
      <c r="B702" s="2" t="s">
        <v>3722</v>
      </c>
      <c r="C702" s="2" t="s">
        <v>3804</v>
      </c>
      <c r="D702" s="2" t="s">
        <v>351</v>
      </c>
      <c r="E702" s="2" t="s">
        <v>3598</v>
      </c>
      <c r="F702" s="2"/>
      <c r="G702" s="2"/>
      <c r="H702" s="2" t="s">
        <v>3593</v>
      </c>
      <c r="I702" s="2" t="s">
        <v>172</v>
      </c>
      <c r="J702" s="2" t="n">
        <v>-6.99</v>
      </c>
      <c r="K702" s="2" t="n">
        <v>110.422</v>
      </c>
      <c r="L702" s="2" t="s">
        <v>101</v>
      </c>
      <c r="M702" s="2" t="s">
        <v>60</v>
      </c>
      <c r="N702" s="2"/>
      <c r="O702" s="2" t="s">
        <v>3805</v>
      </c>
      <c r="P702" s="2"/>
      <c r="Q702" s="2" t="s">
        <v>62</v>
      </c>
      <c r="R702" s="2" t="n">
        <v>0.6</v>
      </c>
      <c r="S702" s="2" t="s">
        <v>3806</v>
      </c>
      <c r="T702" s="2" t="s">
        <v>1168</v>
      </c>
      <c r="U702" s="2" t="s">
        <v>3807</v>
      </c>
      <c r="V702" s="2" t="s">
        <v>1170</v>
      </c>
      <c r="W702" s="2" t="s">
        <v>2168</v>
      </c>
      <c r="X702" s="2" t="s">
        <v>1588</v>
      </c>
    </row>
    <row r="703" customFormat="false" ht="15" hidden="false" customHeight="false" outlineLevel="0" collapsed="false">
      <c r="A703" s="2" t="n">
        <v>671</v>
      </c>
      <c r="B703" s="2" t="s">
        <v>3722</v>
      </c>
      <c r="C703" s="2" t="s">
        <v>3808</v>
      </c>
      <c r="D703" s="2" t="s">
        <v>134</v>
      </c>
      <c r="E703" s="2" t="s">
        <v>3809</v>
      </c>
      <c r="F703" s="2" t="s">
        <v>3810</v>
      </c>
      <c r="G703" s="2" t="s">
        <v>3642</v>
      </c>
      <c r="H703" s="2" t="s">
        <v>1233</v>
      </c>
      <c r="I703" s="2" t="s">
        <v>172</v>
      </c>
      <c r="J703" s="2" t="n">
        <v>-7.57</v>
      </c>
      <c r="K703" s="2" t="n">
        <v>110.832</v>
      </c>
      <c r="L703" s="2" t="s">
        <v>59</v>
      </c>
      <c r="M703" s="2" t="s">
        <v>60</v>
      </c>
      <c r="N703" s="2"/>
      <c r="O703" s="2" t="s">
        <v>3811</v>
      </c>
      <c r="P703" s="2"/>
      <c r="Q703" s="2" t="s">
        <v>62</v>
      </c>
      <c r="R703" s="2" t="n">
        <v>0.8</v>
      </c>
      <c r="S703" s="2" t="s">
        <v>3812</v>
      </c>
      <c r="T703" s="2" t="s">
        <v>1168</v>
      </c>
      <c r="U703" s="2" t="s">
        <v>3813</v>
      </c>
      <c r="V703" s="2" t="s">
        <v>745</v>
      </c>
      <c r="W703" s="2" t="s">
        <v>647</v>
      </c>
      <c r="X703" s="2" t="s">
        <v>1588</v>
      </c>
    </row>
    <row r="704" customFormat="false" ht="15" hidden="false" customHeight="false" outlineLevel="0" collapsed="false">
      <c r="A704" s="2" t="n">
        <v>671</v>
      </c>
      <c r="B704" s="2" t="s">
        <v>3722</v>
      </c>
      <c r="C704" s="2" t="s">
        <v>3814</v>
      </c>
      <c r="D704" s="2" t="s">
        <v>134</v>
      </c>
      <c r="E704" s="2" t="s">
        <v>3815</v>
      </c>
      <c r="F704" s="2" t="s">
        <v>3816</v>
      </c>
      <c r="G704" s="2" t="s">
        <v>3642</v>
      </c>
      <c r="H704" s="2" t="s">
        <v>1233</v>
      </c>
      <c r="I704" s="2" t="s">
        <v>172</v>
      </c>
      <c r="J704" s="2" t="n">
        <v>-7.545</v>
      </c>
      <c r="K704" s="2" t="n">
        <v>110.838</v>
      </c>
      <c r="L704" s="2" t="s">
        <v>59</v>
      </c>
      <c r="M704" s="2" t="s">
        <v>60</v>
      </c>
      <c r="N704" s="2"/>
      <c r="O704" s="2" t="s">
        <v>3817</v>
      </c>
      <c r="P704" s="2"/>
      <c r="Q704" s="2" t="s">
        <v>62</v>
      </c>
      <c r="R704" s="2" t="n">
        <v>0.7</v>
      </c>
      <c r="S704" s="2" t="s">
        <v>3812</v>
      </c>
      <c r="T704" s="2" t="s">
        <v>1168</v>
      </c>
      <c r="U704" s="2" t="s">
        <v>3813</v>
      </c>
      <c r="V704" s="2" t="s">
        <v>745</v>
      </c>
      <c r="W704" s="2" t="s">
        <v>647</v>
      </c>
      <c r="X704" s="2" t="s">
        <v>1588</v>
      </c>
    </row>
    <row r="705" customFormat="false" ht="15" hidden="false" customHeight="false" outlineLevel="0" collapsed="false">
      <c r="A705" s="2" t="n">
        <v>672</v>
      </c>
      <c r="B705" s="2" t="s">
        <v>3722</v>
      </c>
      <c r="C705" s="2" t="s">
        <v>3818</v>
      </c>
      <c r="D705" s="2" t="s">
        <v>351</v>
      </c>
      <c r="E705" s="2" t="s">
        <v>3593</v>
      </c>
      <c r="F705" s="2" t="s">
        <v>861</v>
      </c>
      <c r="G705" s="2" t="s">
        <v>3592</v>
      </c>
      <c r="H705" s="2" t="s">
        <v>3593</v>
      </c>
      <c r="I705" s="2" t="s">
        <v>172</v>
      </c>
      <c r="J705" s="2" t="n">
        <v>-6.9685</v>
      </c>
      <c r="K705" s="2" t="n">
        <v>110.4244</v>
      </c>
      <c r="L705" s="2" t="s">
        <v>124</v>
      </c>
      <c r="M705" s="2" t="s">
        <v>60</v>
      </c>
      <c r="N705" s="2"/>
      <c r="O705" s="2" t="s">
        <v>3819</v>
      </c>
      <c r="P705" s="2" t="s">
        <v>3820</v>
      </c>
      <c r="Q705" s="2" t="s">
        <v>110</v>
      </c>
      <c r="R705" s="2" t="n">
        <v>0.55</v>
      </c>
      <c r="S705" s="2" t="s">
        <v>3821</v>
      </c>
      <c r="T705" s="2" t="s">
        <v>743</v>
      </c>
      <c r="U705" s="2" t="s">
        <v>3822</v>
      </c>
      <c r="V705" s="2" t="s">
        <v>745</v>
      </c>
      <c r="W705" s="2" t="s">
        <v>3823</v>
      </c>
      <c r="X705" s="2" t="s">
        <v>1588</v>
      </c>
    </row>
    <row r="706" customFormat="false" ht="15" hidden="false" customHeight="false" outlineLevel="0" collapsed="false">
      <c r="A706" s="2" t="n">
        <v>673</v>
      </c>
      <c r="B706" s="2" t="s">
        <v>3722</v>
      </c>
      <c r="C706" s="2" t="s">
        <v>3824</v>
      </c>
      <c r="D706" s="2" t="s">
        <v>53</v>
      </c>
      <c r="E706" s="2" t="s">
        <v>3825</v>
      </c>
      <c r="F706" s="2" t="s">
        <v>3810</v>
      </c>
      <c r="G706" s="2" t="s">
        <v>3642</v>
      </c>
      <c r="H706" s="2" t="s">
        <v>1233</v>
      </c>
      <c r="I706" s="2" t="s">
        <v>172</v>
      </c>
      <c r="J706" s="2" t="n">
        <v>-7.569</v>
      </c>
      <c r="K706" s="2" t="n">
        <v>110.8317</v>
      </c>
      <c r="L706" s="2" t="s">
        <v>124</v>
      </c>
      <c r="M706" s="2" t="s">
        <v>60</v>
      </c>
      <c r="N706" s="2"/>
      <c r="O706" s="2" t="s">
        <v>3826</v>
      </c>
      <c r="P706" s="2"/>
      <c r="Q706" s="2" t="s">
        <v>110</v>
      </c>
      <c r="R706" s="2" t="n">
        <v>0.75</v>
      </c>
      <c r="S706" s="2" t="s">
        <v>3827</v>
      </c>
      <c r="T706" s="2" t="s">
        <v>743</v>
      </c>
      <c r="U706" s="2" t="s">
        <v>3828</v>
      </c>
      <c r="V706" s="2" t="s">
        <v>3517</v>
      </c>
      <c r="W706" s="2" t="s">
        <v>1092</v>
      </c>
      <c r="X706" s="2" t="s">
        <v>1588</v>
      </c>
    </row>
    <row r="707" customFormat="false" ht="15" hidden="false" customHeight="false" outlineLevel="0" collapsed="false">
      <c r="A707" s="2" t="n">
        <v>673</v>
      </c>
      <c r="B707" s="2" t="s">
        <v>3722</v>
      </c>
      <c r="C707" s="2" t="s">
        <v>3829</v>
      </c>
      <c r="D707" s="2" t="s">
        <v>351</v>
      </c>
      <c r="E707" s="2" t="s">
        <v>3622</v>
      </c>
      <c r="F707" s="2" t="s">
        <v>3810</v>
      </c>
      <c r="G707" s="2" t="s">
        <v>3642</v>
      </c>
      <c r="H707" s="2" t="s">
        <v>1233</v>
      </c>
      <c r="I707" s="2" t="s">
        <v>172</v>
      </c>
      <c r="J707" s="2" t="n">
        <v>-7.569</v>
      </c>
      <c r="K707" s="2" t="n">
        <v>110.8317</v>
      </c>
      <c r="L707" s="2" t="s">
        <v>124</v>
      </c>
      <c r="M707" s="2" t="s">
        <v>60</v>
      </c>
      <c r="N707" s="2"/>
      <c r="O707" s="2" t="s">
        <v>3830</v>
      </c>
      <c r="P707" s="2"/>
      <c r="Q707" s="2" t="s">
        <v>62</v>
      </c>
      <c r="R707" s="2" t="n">
        <v>0.6</v>
      </c>
      <c r="S707" s="2" t="s">
        <v>3827</v>
      </c>
      <c r="T707" s="2" t="s">
        <v>743</v>
      </c>
      <c r="U707" s="2" t="s">
        <v>3828</v>
      </c>
      <c r="V707" s="2" t="s">
        <v>3517</v>
      </c>
      <c r="W707" s="2" t="s">
        <v>1092</v>
      </c>
      <c r="X707" s="2" t="s">
        <v>1588</v>
      </c>
    </row>
    <row r="708" customFormat="false" ht="15" hidden="false" customHeight="false" outlineLevel="0" collapsed="false">
      <c r="A708" s="2" t="n">
        <v>674</v>
      </c>
      <c r="B708" s="2" t="s">
        <v>3722</v>
      </c>
      <c r="C708" s="2" t="s">
        <v>3831</v>
      </c>
      <c r="D708" s="2" t="s">
        <v>121</v>
      </c>
      <c r="E708" s="2" t="s">
        <v>3832</v>
      </c>
      <c r="F708" s="2" t="s">
        <v>3833</v>
      </c>
      <c r="G708" s="2" t="s">
        <v>3834</v>
      </c>
      <c r="H708" s="2" t="s">
        <v>3593</v>
      </c>
      <c r="I708" s="2" t="s">
        <v>172</v>
      </c>
      <c r="J708" s="2" t="n">
        <v>-6.9585</v>
      </c>
      <c r="K708" s="2" t="n">
        <v>110.389</v>
      </c>
      <c r="L708" s="2" t="s">
        <v>124</v>
      </c>
      <c r="M708" s="2" t="s">
        <v>60</v>
      </c>
      <c r="N708" s="2"/>
      <c r="O708" s="2" t="s">
        <v>3835</v>
      </c>
      <c r="P708" s="2" t="s">
        <v>3836</v>
      </c>
      <c r="Q708" s="2" t="s">
        <v>62</v>
      </c>
      <c r="R708" s="2" t="n">
        <v>0.5</v>
      </c>
      <c r="S708" s="2" t="s">
        <v>3837</v>
      </c>
      <c r="T708" s="2" t="s">
        <v>3524</v>
      </c>
      <c r="U708" s="2" t="s">
        <v>3838</v>
      </c>
      <c r="V708" s="2" t="s">
        <v>3839</v>
      </c>
      <c r="W708" s="2" t="s">
        <v>1365</v>
      </c>
      <c r="X708" s="2" t="s">
        <v>1588</v>
      </c>
    </row>
    <row r="709" customFormat="false" ht="15" hidden="false" customHeight="false" outlineLevel="0" collapsed="false">
      <c r="A709" s="2" t="n">
        <v>674</v>
      </c>
      <c r="B709" s="2" t="s">
        <v>3722</v>
      </c>
      <c r="C709" s="2" t="s">
        <v>3840</v>
      </c>
      <c r="D709" s="2" t="s">
        <v>121</v>
      </c>
      <c r="E709" s="2" t="s">
        <v>3841</v>
      </c>
      <c r="F709" s="2" t="s">
        <v>3842</v>
      </c>
      <c r="G709" s="2" t="s">
        <v>3843</v>
      </c>
      <c r="H709" s="2" t="s">
        <v>3593</v>
      </c>
      <c r="I709" s="2" t="s">
        <v>172</v>
      </c>
      <c r="J709" s="2" t="n">
        <v>-6.968</v>
      </c>
      <c r="K709" s="2" t="n">
        <v>110.4278</v>
      </c>
      <c r="L709" s="2" t="s">
        <v>124</v>
      </c>
      <c r="M709" s="2" t="s">
        <v>60</v>
      </c>
      <c r="N709" s="2"/>
      <c r="O709" s="2" t="s">
        <v>3844</v>
      </c>
      <c r="P709" s="2" t="s">
        <v>3845</v>
      </c>
      <c r="Q709" s="2" t="s">
        <v>62</v>
      </c>
      <c r="R709" s="2" t="n">
        <v>0.75</v>
      </c>
      <c r="S709" s="2" t="s">
        <v>3837</v>
      </c>
      <c r="T709" s="2" t="s">
        <v>3524</v>
      </c>
      <c r="U709" s="2" t="s">
        <v>3838</v>
      </c>
      <c r="V709" s="2" t="s">
        <v>3839</v>
      </c>
      <c r="W709" s="2" t="s">
        <v>1365</v>
      </c>
      <c r="X709" s="2" t="s">
        <v>1588</v>
      </c>
    </row>
    <row r="710" customFormat="false" ht="15" hidden="false" customHeight="false" outlineLevel="0" collapsed="false">
      <c r="A710" s="2" t="n">
        <v>674</v>
      </c>
      <c r="B710" s="2" t="s">
        <v>3722</v>
      </c>
      <c r="C710" s="2" t="s">
        <v>3846</v>
      </c>
      <c r="D710" s="2" t="s">
        <v>121</v>
      </c>
      <c r="E710" s="2" t="s">
        <v>3847</v>
      </c>
      <c r="F710" s="2" t="s">
        <v>3848</v>
      </c>
      <c r="G710" s="2" t="s">
        <v>3849</v>
      </c>
      <c r="H710" s="2" t="s">
        <v>3850</v>
      </c>
      <c r="I710" s="2" t="s">
        <v>172</v>
      </c>
      <c r="J710" s="2" t="n">
        <v>-7.477</v>
      </c>
      <c r="K710" s="2" t="n">
        <v>110.2178</v>
      </c>
      <c r="L710" s="2" t="s">
        <v>124</v>
      </c>
      <c r="M710" s="2" t="s">
        <v>60</v>
      </c>
      <c r="N710" s="2"/>
      <c r="O710" s="2" t="s">
        <v>3851</v>
      </c>
      <c r="P710" s="2" t="s">
        <v>3852</v>
      </c>
      <c r="Q710" s="2" t="s">
        <v>62</v>
      </c>
      <c r="R710" s="2" t="n">
        <v>0.7</v>
      </c>
      <c r="S710" s="2" t="s">
        <v>3837</v>
      </c>
      <c r="T710" s="2" t="s">
        <v>3524</v>
      </c>
      <c r="U710" s="2" t="s">
        <v>3838</v>
      </c>
      <c r="V710" s="2" t="s">
        <v>3839</v>
      </c>
      <c r="W710" s="2" t="s">
        <v>1365</v>
      </c>
      <c r="X710" s="2" t="s">
        <v>1588</v>
      </c>
    </row>
    <row r="711" customFormat="false" ht="15" hidden="false" customHeight="false" outlineLevel="0" collapsed="false">
      <c r="A711" s="2" t="n">
        <v>675</v>
      </c>
      <c r="B711" s="2" t="s">
        <v>3722</v>
      </c>
      <c r="C711" s="2" t="s">
        <v>3853</v>
      </c>
      <c r="D711" s="2" t="s">
        <v>121</v>
      </c>
      <c r="E711" s="2" t="s">
        <v>3854</v>
      </c>
      <c r="F711" s="2" t="s">
        <v>3833</v>
      </c>
      <c r="G711" s="2" t="s">
        <v>3834</v>
      </c>
      <c r="H711" s="2" t="s">
        <v>3593</v>
      </c>
      <c r="I711" s="2" t="s">
        <v>172</v>
      </c>
      <c r="J711" s="2" t="n">
        <v>-6.9585</v>
      </c>
      <c r="K711" s="2" t="n">
        <v>110.389</v>
      </c>
      <c r="L711" s="2" t="s">
        <v>124</v>
      </c>
      <c r="M711" s="2" t="s">
        <v>60</v>
      </c>
      <c r="N711" s="2"/>
      <c r="O711" s="2" t="s">
        <v>3855</v>
      </c>
      <c r="P711" s="2" t="s">
        <v>3856</v>
      </c>
      <c r="Q711" s="2" t="s">
        <v>62</v>
      </c>
      <c r="R711" s="2" t="n">
        <v>0.75</v>
      </c>
      <c r="S711" s="2" t="s">
        <v>3857</v>
      </c>
      <c r="T711" s="2" t="s">
        <v>3858</v>
      </c>
      <c r="U711" s="2" t="s">
        <v>3859</v>
      </c>
      <c r="V711" s="2" t="s">
        <v>3517</v>
      </c>
      <c r="W711" s="2" t="s">
        <v>1424</v>
      </c>
      <c r="X711" s="2" t="s">
        <v>1588</v>
      </c>
    </row>
    <row r="712" customFormat="false" ht="15" hidden="false" customHeight="false" outlineLevel="0" collapsed="false">
      <c r="A712" s="2" t="n">
        <v>675</v>
      </c>
      <c r="B712" s="2" t="s">
        <v>3722</v>
      </c>
      <c r="C712" s="2" t="s">
        <v>3860</v>
      </c>
      <c r="D712" s="2" t="s">
        <v>121</v>
      </c>
      <c r="E712" s="2" t="s">
        <v>3861</v>
      </c>
      <c r="F712" s="2"/>
      <c r="G712" s="2"/>
      <c r="H712" s="2" t="s">
        <v>3593</v>
      </c>
      <c r="I712" s="2" t="s">
        <v>172</v>
      </c>
      <c r="J712" s="2" t="n">
        <v>-6.99</v>
      </c>
      <c r="K712" s="2" t="n">
        <v>110.422</v>
      </c>
      <c r="L712" s="2" t="s">
        <v>101</v>
      </c>
      <c r="M712" s="2" t="s">
        <v>60</v>
      </c>
      <c r="N712" s="2"/>
      <c r="O712" s="2" t="s">
        <v>3862</v>
      </c>
      <c r="P712" s="2" t="s">
        <v>3863</v>
      </c>
      <c r="Q712" s="2" t="s">
        <v>62</v>
      </c>
      <c r="R712" s="2" t="n">
        <v>0.75</v>
      </c>
      <c r="S712" s="2" t="s">
        <v>3857</v>
      </c>
      <c r="T712" s="2" t="s">
        <v>3858</v>
      </c>
      <c r="U712" s="2" t="s">
        <v>3859</v>
      </c>
      <c r="V712" s="2" t="s">
        <v>3517</v>
      </c>
      <c r="W712" s="2" t="s">
        <v>1424</v>
      </c>
      <c r="X712" s="2" t="s">
        <v>1588</v>
      </c>
    </row>
    <row r="713" customFormat="false" ht="15" hidden="false" customHeight="false" outlineLevel="0" collapsed="false">
      <c r="A713" s="2" t="n">
        <v>675</v>
      </c>
      <c r="B713" s="2" t="s">
        <v>3722</v>
      </c>
      <c r="C713" s="2" t="s">
        <v>3864</v>
      </c>
      <c r="D713" s="2" t="s">
        <v>1140</v>
      </c>
      <c r="E713" s="2" t="s">
        <v>3865</v>
      </c>
      <c r="F713" s="2" t="s">
        <v>3866</v>
      </c>
      <c r="G713" s="2" t="s">
        <v>3592</v>
      </c>
      <c r="H713" s="2" t="s">
        <v>3593</v>
      </c>
      <c r="I713" s="2" t="s">
        <v>172</v>
      </c>
      <c r="J713" s="2" t="n">
        <v>-6.9808</v>
      </c>
      <c r="K713" s="2" t="n">
        <v>110.4144</v>
      </c>
      <c r="L713" s="2" t="s">
        <v>124</v>
      </c>
      <c r="M713" s="2" t="s">
        <v>60</v>
      </c>
      <c r="N713" s="2"/>
      <c r="O713" s="2" t="s">
        <v>3867</v>
      </c>
      <c r="P713" s="2" t="s">
        <v>3868</v>
      </c>
      <c r="Q713" s="2" t="s">
        <v>62</v>
      </c>
      <c r="R713" s="2" t="n">
        <v>0.7</v>
      </c>
      <c r="S713" s="2" t="s">
        <v>3857</v>
      </c>
      <c r="T713" s="2" t="s">
        <v>3858</v>
      </c>
      <c r="U713" s="2" t="s">
        <v>3859</v>
      </c>
      <c r="V713" s="2" t="s">
        <v>3517</v>
      </c>
      <c r="W713" s="2" t="s">
        <v>1424</v>
      </c>
      <c r="X713" s="2" t="s">
        <v>1588</v>
      </c>
    </row>
    <row r="714" customFormat="false" ht="15" hidden="false" customHeight="false" outlineLevel="0" collapsed="false">
      <c r="A714" s="2" t="n">
        <v>676</v>
      </c>
      <c r="B714" s="2" t="s">
        <v>3722</v>
      </c>
      <c r="C714" s="2" t="s">
        <v>3869</v>
      </c>
      <c r="D714" s="2" t="s">
        <v>121</v>
      </c>
      <c r="E714" s="2" t="s">
        <v>3870</v>
      </c>
      <c r="F714" s="2" t="s">
        <v>3842</v>
      </c>
      <c r="G714" s="2" t="s">
        <v>3843</v>
      </c>
      <c r="H714" s="2" t="s">
        <v>3593</v>
      </c>
      <c r="I714" s="2" t="s">
        <v>172</v>
      </c>
      <c r="J714" s="2" t="n">
        <v>-6.968</v>
      </c>
      <c r="K714" s="2" t="n">
        <v>110.4278</v>
      </c>
      <c r="L714" s="2" t="s">
        <v>124</v>
      </c>
      <c r="M714" s="2" t="s">
        <v>60</v>
      </c>
      <c r="N714" s="2"/>
      <c r="O714" s="2" t="s">
        <v>3871</v>
      </c>
      <c r="P714" s="2" t="s">
        <v>3845</v>
      </c>
      <c r="Q714" s="2" t="s">
        <v>62</v>
      </c>
      <c r="R714" s="2" t="n">
        <v>0.75</v>
      </c>
      <c r="S714" s="2" t="s">
        <v>3872</v>
      </c>
      <c r="T714" s="2" t="s">
        <v>3524</v>
      </c>
      <c r="U714" s="2" t="s">
        <v>3873</v>
      </c>
      <c r="V714" s="2" t="s">
        <v>178</v>
      </c>
      <c r="W714" s="2" t="s">
        <v>530</v>
      </c>
      <c r="X714" s="2" t="s">
        <v>1588</v>
      </c>
    </row>
    <row r="715" customFormat="false" ht="15" hidden="false" customHeight="false" outlineLevel="0" collapsed="false">
      <c r="A715" s="2" t="n">
        <v>676</v>
      </c>
      <c r="B715" s="2" t="s">
        <v>3722</v>
      </c>
      <c r="C715" s="2" t="s">
        <v>3874</v>
      </c>
      <c r="D715" s="2" t="s">
        <v>121</v>
      </c>
      <c r="E715" s="2" t="s">
        <v>3875</v>
      </c>
      <c r="F715" s="2" t="s">
        <v>3842</v>
      </c>
      <c r="G715" s="2" t="s">
        <v>3843</v>
      </c>
      <c r="H715" s="2" t="s">
        <v>3593</v>
      </c>
      <c r="I715" s="2" t="s">
        <v>172</v>
      </c>
      <c r="J715" s="2" t="n">
        <v>-6.968</v>
      </c>
      <c r="K715" s="2" t="n">
        <v>110.428</v>
      </c>
      <c r="L715" s="2" t="s">
        <v>59</v>
      </c>
      <c r="M715" s="2" t="s">
        <v>60</v>
      </c>
      <c r="N715" s="2"/>
      <c r="O715" s="2" t="s">
        <v>3876</v>
      </c>
      <c r="P715" s="2" t="s">
        <v>3877</v>
      </c>
      <c r="Q715" s="2" t="s">
        <v>62</v>
      </c>
      <c r="R715" s="2" t="n">
        <v>0.7</v>
      </c>
      <c r="S715" s="2" t="s">
        <v>3872</v>
      </c>
      <c r="T715" s="2" t="s">
        <v>3524</v>
      </c>
      <c r="U715" s="2" t="s">
        <v>3873</v>
      </c>
      <c r="V715" s="2" t="s">
        <v>178</v>
      </c>
      <c r="W715" s="2" t="s">
        <v>530</v>
      </c>
      <c r="X715" s="2" t="s">
        <v>1588</v>
      </c>
    </row>
    <row r="716" customFormat="false" ht="15" hidden="false" customHeight="false" outlineLevel="0" collapsed="false">
      <c r="A716" s="2" t="n">
        <v>676</v>
      </c>
      <c r="B716" s="2" t="s">
        <v>3722</v>
      </c>
      <c r="C716" s="2" t="s">
        <v>3878</v>
      </c>
      <c r="D716" s="2" t="s">
        <v>121</v>
      </c>
      <c r="E716" s="2" t="s">
        <v>3879</v>
      </c>
      <c r="F716" s="2"/>
      <c r="G716" s="2"/>
      <c r="H716" s="2" t="s">
        <v>3593</v>
      </c>
      <c r="I716" s="2" t="s">
        <v>172</v>
      </c>
      <c r="J716" s="2" t="n">
        <v>-6.99</v>
      </c>
      <c r="K716" s="2" t="n">
        <v>110.422</v>
      </c>
      <c r="L716" s="2" t="s">
        <v>101</v>
      </c>
      <c r="M716" s="2" t="s">
        <v>60</v>
      </c>
      <c r="N716" s="2"/>
      <c r="O716" s="2" t="s">
        <v>121</v>
      </c>
      <c r="P716" s="2" t="s">
        <v>3880</v>
      </c>
      <c r="Q716" s="2" t="s">
        <v>62</v>
      </c>
      <c r="R716" s="2" t="n">
        <v>0.6</v>
      </c>
      <c r="S716" s="2" t="s">
        <v>3872</v>
      </c>
      <c r="T716" s="2" t="s">
        <v>3524</v>
      </c>
      <c r="U716" s="2" t="s">
        <v>3873</v>
      </c>
      <c r="V716" s="2" t="s">
        <v>178</v>
      </c>
      <c r="W716" s="2" t="s">
        <v>530</v>
      </c>
      <c r="X716" s="2" t="s">
        <v>1588</v>
      </c>
    </row>
    <row r="717" customFormat="false" ht="15" hidden="false" customHeight="false" outlineLevel="0" collapsed="false">
      <c r="A717" s="2" t="n">
        <v>677</v>
      </c>
      <c r="B717" s="2" t="s">
        <v>3722</v>
      </c>
      <c r="C717" s="2" t="s">
        <v>3881</v>
      </c>
      <c r="D717" s="2" t="s">
        <v>53</v>
      </c>
      <c r="E717" s="2" t="s">
        <v>3882</v>
      </c>
      <c r="F717" s="2" t="s">
        <v>3883</v>
      </c>
      <c r="G717" s="2" t="s">
        <v>3884</v>
      </c>
      <c r="H717" s="2" t="s">
        <v>91</v>
      </c>
      <c r="I717" s="2" t="s">
        <v>92</v>
      </c>
      <c r="J717" s="2" t="n">
        <v>-7.805</v>
      </c>
      <c r="K717" s="2" t="n">
        <v>110.397</v>
      </c>
      <c r="L717" s="2" t="s">
        <v>59</v>
      </c>
      <c r="M717" s="2" t="s">
        <v>60</v>
      </c>
      <c r="N717" s="2"/>
      <c r="O717" s="2" t="s">
        <v>3885</v>
      </c>
      <c r="P717" s="2"/>
      <c r="Q717" s="2" t="s">
        <v>62</v>
      </c>
      <c r="R717" s="2" t="n">
        <v>0.5</v>
      </c>
      <c r="S717" s="2" t="s">
        <v>3886</v>
      </c>
      <c r="T717" s="2" t="s">
        <v>176</v>
      </c>
      <c r="U717" s="2" t="s">
        <v>3887</v>
      </c>
      <c r="V717" s="2" t="s">
        <v>158</v>
      </c>
      <c r="W717" s="2" t="s">
        <v>3888</v>
      </c>
      <c r="X717" s="2" t="s">
        <v>68</v>
      </c>
    </row>
    <row r="718" customFormat="false" ht="15" hidden="false" customHeight="false" outlineLevel="0" collapsed="false">
      <c r="A718" s="2" t="n">
        <v>677</v>
      </c>
      <c r="B718" s="2" t="s">
        <v>3722</v>
      </c>
      <c r="C718" s="2" t="s">
        <v>3889</v>
      </c>
      <c r="D718" s="2" t="s">
        <v>1140</v>
      </c>
      <c r="E718" s="2" t="s">
        <v>100</v>
      </c>
      <c r="F718" s="2" t="s">
        <v>3883</v>
      </c>
      <c r="G718" s="2" t="s">
        <v>3884</v>
      </c>
      <c r="H718" s="2" t="s">
        <v>91</v>
      </c>
      <c r="I718" s="2" t="s">
        <v>92</v>
      </c>
      <c r="J718" s="2" t="n">
        <v>-7.8055</v>
      </c>
      <c r="K718" s="2" t="n">
        <v>110.397</v>
      </c>
      <c r="L718" s="2" t="s">
        <v>124</v>
      </c>
      <c r="M718" s="2" t="s">
        <v>60</v>
      </c>
      <c r="N718" s="2"/>
      <c r="O718" s="2" t="s">
        <v>3890</v>
      </c>
      <c r="P718" s="2"/>
      <c r="Q718" s="2" t="s">
        <v>62</v>
      </c>
      <c r="R718" s="2" t="n">
        <v>0.7</v>
      </c>
      <c r="S718" s="2" t="s">
        <v>3886</v>
      </c>
      <c r="T718" s="2" t="s">
        <v>176</v>
      </c>
      <c r="U718" s="2" t="s">
        <v>3887</v>
      </c>
      <c r="V718" s="2" t="s">
        <v>158</v>
      </c>
      <c r="W718" s="2" t="s">
        <v>3888</v>
      </c>
      <c r="X718" s="2" t="s">
        <v>68</v>
      </c>
    </row>
    <row r="719" customFormat="false" ht="15" hidden="false" customHeight="false" outlineLevel="0" collapsed="false">
      <c r="A719" s="2" t="n">
        <v>678</v>
      </c>
      <c r="B719" s="2" t="s">
        <v>3722</v>
      </c>
      <c r="C719" s="2" t="s">
        <v>3891</v>
      </c>
      <c r="D719" s="2" t="s">
        <v>351</v>
      </c>
      <c r="E719" s="2" t="s">
        <v>3892</v>
      </c>
      <c r="F719" s="2" t="s">
        <v>730</v>
      </c>
      <c r="G719" s="2" t="s">
        <v>90</v>
      </c>
      <c r="H719" s="2" t="s">
        <v>91</v>
      </c>
      <c r="I719" s="2" t="s">
        <v>92</v>
      </c>
      <c r="J719" s="2" t="n">
        <v>-7.8095</v>
      </c>
      <c r="K719" s="2" t="n">
        <v>110.3605</v>
      </c>
      <c r="L719" s="2" t="s">
        <v>124</v>
      </c>
      <c r="M719" s="2" t="s">
        <v>60</v>
      </c>
      <c r="N719" s="2"/>
      <c r="O719" s="2" t="s">
        <v>3893</v>
      </c>
      <c r="P719" s="2"/>
      <c r="Q719" s="2" t="s">
        <v>62</v>
      </c>
      <c r="R719" s="2" t="n">
        <v>0.8</v>
      </c>
      <c r="S719" s="2" t="s">
        <v>3894</v>
      </c>
      <c r="T719" s="2" t="s">
        <v>156</v>
      </c>
      <c r="U719" s="2" t="s">
        <v>3895</v>
      </c>
      <c r="V719" s="2" t="s">
        <v>114</v>
      </c>
      <c r="W719" s="2" t="s">
        <v>1078</v>
      </c>
      <c r="X719" s="2" t="s">
        <v>1588</v>
      </c>
    </row>
    <row r="720" customFormat="false" ht="15" hidden="false" customHeight="false" outlineLevel="0" collapsed="false">
      <c r="A720" s="2" t="n">
        <v>678</v>
      </c>
      <c r="B720" s="2" t="s">
        <v>3722</v>
      </c>
      <c r="C720" s="2" t="s">
        <v>3896</v>
      </c>
      <c r="D720" s="2" t="s">
        <v>351</v>
      </c>
      <c r="E720" s="2" t="s">
        <v>3897</v>
      </c>
      <c r="F720" s="2" t="s">
        <v>3898</v>
      </c>
      <c r="G720" s="2" t="s">
        <v>3899</v>
      </c>
      <c r="H720" s="2" t="s">
        <v>91</v>
      </c>
      <c r="I720" s="2" t="s">
        <v>92</v>
      </c>
      <c r="J720" s="2" t="n">
        <v>-7.78</v>
      </c>
      <c r="K720" s="2" t="n">
        <v>110.365</v>
      </c>
      <c r="L720" s="2" t="s">
        <v>59</v>
      </c>
      <c r="M720" s="2" t="s">
        <v>60</v>
      </c>
      <c r="N720" s="2"/>
      <c r="O720" s="2" t="s">
        <v>3900</v>
      </c>
      <c r="P720" s="2"/>
      <c r="Q720" s="2" t="s">
        <v>62</v>
      </c>
      <c r="R720" s="2" t="n">
        <v>0.75</v>
      </c>
      <c r="S720" s="2" t="s">
        <v>3894</v>
      </c>
      <c r="T720" s="2" t="s">
        <v>156</v>
      </c>
      <c r="U720" s="2" t="s">
        <v>3895</v>
      </c>
      <c r="V720" s="2" t="s">
        <v>114</v>
      </c>
      <c r="W720" s="2" t="s">
        <v>1078</v>
      </c>
      <c r="X720" s="2" t="s">
        <v>1588</v>
      </c>
    </row>
    <row r="721" customFormat="false" ht="15" hidden="false" customHeight="false" outlineLevel="0" collapsed="false">
      <c r="A721" s="2" t="n">
        <v>679</v>
      </c>
      <c r="B721" s="2" t="s">
        <v>3722</v>
      </c>
      <c r="C721" s="2" t="s">
        <v>3901</v>
      </c>
      <c r="D721" s="2" t="s">
        <v>53</v>
      </c>
      <c r="E721" s="2" t="s">
        <v>3902</v>
      </c>
      <c r="F721" s="2" t="s">
        <v>3903</v>
      </c>
      <c r="G721" s="2" t="s">
        <v>3904</v>
      </c>
      <c r="H721" s="2" t="s">
        <v>3905</v>
      </c>
      <c r="I721" s="2" t="s">
        <v>92</v>
      </c>
      <c r="J721" s="2" t="n">
        <v>-7.735</v>
      </c>
      <c r="K721" s="2" t="n">
        <v>110.385</v>
      </c>
      <c r="L721" s="2" t="s">
        <v>59</v>
      </c>
      <c r="M721" s="2" t="s">
        <v>60</v>
      </c>
      <c r="N721" s="2"/>
      <c r="O721" s="2" t="s">
        <v>3906</v>
      </c>
      <c r="P721" s="2" t="s">
        <v>3907</v>
      </c>
      <c r="Q721" s="2" t="s">
        <v>62</v>
      </c>
      <c r="R721" s="2" t="n">
        <v>0.8</v>
      </c>
      <c r="S721" s="2" t="s">
        <v>3908</v>
      </c>
      <c r="T721" s="2" t="s">
        <v>112</v>
      </c>
      <c r="U721" s="2" t="s">
        <v>3909</v>
      </c>
      <c r="V721" s="2" t="s">
        <v>3910</v>
      </c>
      <c r="W721" s="2" t="s">
        <v>2489</v>
      </c>
      <c r="X721" s="2" t="s">
        <v>160</v>
      </c>
    </row>
    <row r="722" customFormat="false" ht="15" hidden="false" customHeight="false" outlineLevel="0" collapsed="false">
      <c r="A722" s="2" t="n">
        <v>679</v>
      </c>
      <c r="B722" s="2" t="s">
        <v>3722</v>
      </c>
      <c r="C722" s="2" t="s">
        <v>3911</v>
      </c>
      <c r="D722" s="2" t="s">
        <v>53</v>
      </c>
      <c r="E722" s="2" t="s">
        <v>3912</v>
      </c>
      <c r="F722" s="2"/>
      <c r="G722" s="2" t="s">
        <v>3904</v>
      </c>
      <c r="H722" s="2" t="s">
        <v>3905</v>
      </c>
      <c r="I722" s="2" t="s">
        <v>92</v>
      </c>
      <c r="J722" s="2" t="n">
        <v>-7.72</v>
      </c>
      <c r="K722" s="2" t="n">
        <v>110.4</v>
      </c>
      <c r="L722" s="2" t="s">
        <v>84</v>
      </c>
      <c r="M722" s="2" t="s">
        <v>60</v>
      </c>
      <c r="N722" s="2"/>
      <c r="O722" s="2" t="s">
        <v>3913</v>
      </c>
      <c r="P722" s="2"/>
      <c r="Q722" s="2" t="s">
        <v>62</v>
      </c>
      <c r="R722" s="2" t="n">
        <v>0.75</v>
      </c>
      <c r="S722" s="2" t="s">
        <v>3908</v>
      </c>
      <c r="T722" s="2" t="s">
        <v>112</v>
      </c>
      <c r="U722" s="2" t="s">
        <v>3909</v>
      </c>
      <c r="V722" s="2" t="s">
        <v>3910</v>
      </c>
      <c r="W722" s="2" t="s">
        <v>2489</v>
      </c>
      <c r="X722" s="2" t="s">
        <v>160</v>
      </c>
    </row>
    <row r="723" customFormat="false" ht="15" hidden="false" customHeight="false" outlineLevel="0" collapsed="false">
      <c r="A723" s="2" t="n">
        <v>680</v>
      </c>
      <c r="B723" s="2" t="s">
        <v>3722</v>
      </c>
      <c r="C723" s="2" t="s">
        <v>3914</v>
      </c>
      <c r="D723" s="2" t="s">
        <v>53</v>
      </c>
      <c r="E723" s="2" t="s">
        <v>100</v>
      </c>
      <c r="F723" s="2"/>
      <c r="G723" s="2"/>
      <c r="H723" s="2"/>
      <c r="I723" s="2" t="s">
        <v>92</v>
      </c>
      <c r="J723" s="2" t="n">
        <v>-7.875</v>
      </c>
      <c r="K723" s="2" t="n">
        <v>110.426</v>
      </c>
      <c r="L723" s="2" t="s">
        <v>239</v>
      </c>
      <c r="M723" s="2" t="s">
        <v>340</v>
      </c>
      <c r="N723" s="2"/>
      <c r="O723" s="2" t="s">
        <v>3915</v>
      </c>
      <c r="P723" s="2"/>
      <c r="Q723" s="2" t="s">
        <v>110</v>
      </c>
      <c r="R723" s="2" t="n">
        <v>0.8</v>
      </c>
      <c r="S723" s="2" t="s">
        <v>3916</v>
      </c>
      <c r="T723" s="2" t="s">
        <v>3917</v>
      </c>
      <c r="U723" s="2" t="s">
        <v>3918</v>
      </c>
      <c r="V723" s="2" t="s">
        <v>3212</v>
      </c>
      <c r="W723" s="2" t="s">
        <v>3919</v>
      </c>
      <c r="X723" s="2" t="s">
        <v>1588</v>
      </c>
    </row>
    <row r="724" customFormat="false" ht="15" hidden="false" customHeight="false" outlineLevel="0" collapsed="false">
      <c r="A724" s="2" t="n">
        <v>680</v>
      </c>
      <c r="B724" s="2" t="s">
        <v>3722</v>
      </c>
      <c r="C724" s="2" t="s">
        <v>3920</v>
      </c>
      <c r="D724" s="2" t="s">
        <v>53</v>
      </c>
      <c r="E724" s="2" t="s">
        <v>3921</v>
      </c>
      <c r="F724" s="2"/>
      <c r="G724" s="2" t="s">
        <v>90</v>
      </c>
      <c r="H724" s="2" t="s">
        <v>91</v>
      </c>
      <c r="I724" s="2" t="s">
        <v>92</v>
      </c>
      <c r="J724" s="2" t="n">
        <v>-7.81</v>
      </c>
      <c r="K724" s="2" t="n">
        <v>110.363</v>
      </c>
      <c r="L724" s="2" t="s">
        <v>84</v>
      </c>
      <c r="M724" s="2" t="s">
        <v>60</v>
      </c>
      <c r="N724" s="2"/>
      <c r="O724" s="2" t="s">
        <v>3922</v>
      </c>
      <c r="P724" s="2"/>
      <c r="Q724" s="2" t="s">
        <v>110</v>
      </c>
      <c r="R724" s="2" t="n">
        <v>0.85</v>
      </c>
      <c r="S724" s="2" t="s">
        <v>3916</v>
      </c>
      <c r="T724" s="2" t="s">
        <v>3917</v>
      </c>
      <c r="U724" s="2" t="s">
        <v>3918</v>
      </c>
      <c r="V724" s="2" t="s">
        <v>3212</v>
      </c>
      <c r="W724" s="2" t="s">
        <v>3919</v>
      </c>
      <c r="X724" s="2" t="s">
        <v>1588</v>
      </c>
    </row>
    <row r="725" customFormat="false" ht="15" hidden="false" customHeight="false" outlineLevel="0" collapsed="false">
      <c r="A725" s="2" t="n">
        <v>681</v>
      </c>
      <c r="B725" s="2" t="s">
        <v>3722</v>
      </c>
      <c r="C725" s="2" t="s">
        <v>3923</v>
      </c>
      <c r="D725" s="2" t="s">
        <v>53</v>
      </c>
      <c r="E725" s="2" t="s">
        <v>100</v>
      </c>
      <c r="F725" s="2" t="s">
        <v>3924</v>
      </c>
      <c r="G725" s="2" t="s">
        <v>3925</v>
      </c>
      <c r="H725" s="2" t="s">
        <v>91</v>
      </c>
      <c r="I725" s="2" t="s">
        <v>92</v>
      </c>
      <c r="J725" s="2" t="n">
        <v>-7.793</v>
      </c>
      <c r="K725" s="2" t="n">
        <v>110.363</v>
      </c>
      <c r="L725" s="2" t="s">
        <v>59</v>
      </c>
      <c r="M725" s="2" t="s">
        <v>60</v>
      </c>
      <c r="N725" s="2" t="s">
        <v>3926</v>
      </c>
      <c r="O725" s="2" t="s">
        <v>3927</v>
      </c>
      <c r="P725" s="2"/>
      <c r="Q725" s="2" t="s">
        <v>62</v>
      </c>
      <c r="R725" s="2" t="n">
        <v>0.7</v>
      </c>
      <c r="S725" s="2" t="s">
        <v>3928</v>
      </c>
      <c r="T725" s="2" t="s">
        <v>2212</v>
      </c>
      <c r="U725" s="2" t="s">
        <v>3929</v>
      </c>
      <c r="V725" s="2" t="s">
        <v>178</v>
      </c>
      <c r="W725" s="2" t="s">
        <v>476</v>
      </c>
      <c r="X725" s="2" t="s">
        <v>68</v>
      </c>
    </row>
    <row r="726" customFormat="false" ht="15" hidden="false" customHeight="false" outlineLevel="0" collapsed="false">
      <c r="A726" s="2" t="n">
        <v>681</v>
      </c>
      <c r="B726" s="2" t="s">
        <v>3722</v>
      </c>
      <c r="C726" s="2" t="s">
        <v>3930</v>
      </c>
      <c r="D726" s="2" t="s">
        <v>53</v>
      </c>
      <c r="E726" s="2" t="s">
        <v>100</v>
      </c>
      <c r="F726" s="2"/>
      <c r="G726" s="2" t="s">
        <v>3931</v>
      </c>
      <c r="H726" s="2" t="s">
        <v>3905</v>
      </c>
      <c r="I726" s="2" t="s">
        <v>92</v>
      </c>
      <c r="J726" s="2" t="n">
        <v>-7.64</v>
      </c>
      <c r="K726" s="2" t="n">
        <v>110.42</v>
      </c>
      <c r="L726" s="2" t="s">
        <v>84</v>
      </c>
      <c r="M726" s="2" t="s">
        <v>60</v>
      </c>
      <c r="N726" s="2" t="s">
        <v>3932</v>
      </c>
      <c r="O726" s="2" t="s">
        <v>3933</v>
      </c>
      <c r="P726" s="2"/>
      <c r="Q726" s="2" t="s">
        <v>62</v>
      </c>
      <c r="R726" s="2" t="n">
        <v>0.75</v>
      </c>
      <c r="S726" s="2" t="s">
        <v>3928</v>
      </c>
      <c r="T726" s="2" t="s">
        <v>2212</v>
      </c>
      <c r="U726" s="2" t="s">
        <v>3929</v>
      </c>
      <c r="V726" s="2" t="s">
        <v>178</v>
      </c>
      <c r="W726" s="2" t="s">
        <v>476</v>
      </c>
      <c r="X726" s="2" t="s">
        <v>68</v>
      </c>
    </row>
    <row r="727" customFormat="false" ht="15" hidden="false" customHeight="false" outlineLevel="0" collapsed="false">
      <c r="A727" s="2" t="n">
        <v>681</v>
      </c>
      <c r="B727" s="2" t="s">
        <v>3722</v>
      </c>
      <c r="C727" s="2" t="s">
        <v>3934</v>
      </c>
      <c r="D727" s="2" t="s">
        <v>53</v>
      </c>
      <c r="E727" s="2" t="s">
        <v>100</v>
      </c>
      <c r="F727" s="2" t="s">
        <v>3883</v>
      </c>
      <c r="G727" s="2" t="s">
        <v>3884</v>
      </c>
      <c r="H727" s="2" t="s">
        <v>91</v>
      </c>
      <c r="I727" s="2" t="s">
        <v>92</v>
      </c>
      <c r="J727" s="2" t="n">
        <v>-7.815</v>
      </c>
      <c r="K727" s="2" t="n">
        <v>110.395</v>
      </c>
      <c r="L727" s="2" t="s">
        <v>59</v>
      </c>
      <c r="M727" s="2" t="s">
        <v>60</v>
      </c>
      <c r="N727" s="2"/>
      <c r="O727" s="2" t="s">
        <v>3935</v>
      </c>
      <c r="P727" s="2"/>
      <c r="Q727" s="2" t="s">
        <v>62</v>
      </c>
      <c r="R727" s="2" t="n">
        <v>0.75</v>
      </c>
      <c r="S727" s="2" t="s">
        <v>3928</v>
      </c>
      <c r="T727" s="2" t="s">
        <v>2212</v>
      </c>
      <c r="U727" s="2" t="s">
        <v>3929</v>
      </c>
      <c r="V727" s="2" t="s">
        <v>178</v>
      </c>
      <c r="W727" s="2" t="s">
        <v>476</v>
      </c>
      <c r="X727" s="2" t="s">
        <v>68</v>
      </c>
    </row>
    <row r="728" customFormat="false" ht="15" hidden="false" customHeight="false" outlineLevel="0" collapsed="false">
      <c r="A728" s="2" t="n">
        <v>681</v>
      </c>
      <c r="B728" s="2" t="s">
        <v>3722</v>
      </c>
      <c r="C728" s="2" t="s">
        <v>3936</v>
      </c>
      <c r="D728" s="2" t="s">
        <v>53</v>
      </c>
      <c r="E728" s="2" t="s">
        <v>100</v>
      </c>
      <c r="F728" s="2" t="s">
        <v>89</v>
      </c>
      <c r="G728" s="2" t="s">
        <v>90</v>
      </c>
      <c r="H728" s="2" t="s">
        <v>91</v>
      </c>
      <c r="I728" s="2" t="s">
        <v>92</v>
      </c>
      <c r="J728" s="2" t="n">
        <v>-7.807</v>
      </c>
      <c r="K728" s="2" t="n">
        <v>110.365</v>
      </c>
      <c r="L728" s="2" t="s">
        <v>59</v>
      </c>
      <c r="M728" s="2" t="s">
        <v>60</v>
      </c>
      <c r="N728" s="2" t="s">
        <v>3937</v>
      </c>
      <c r="O728" s="2" t="s">
        <v>3938</v>
      </c>
      <c r="P728" s="2"/>
      <c r="Q728" s="2" t="s">
        <v>62</v>
      </c>
      <c r="R728" s="2" t="n">
        <v>0.7</v>
      </c>
      <c r="S728" s="2" t="s">
        <v>3928</v>
      </c>
      <c r="T728" s="2" t="s">
        <v>2212</v>
      </c>
      <c r="U728" s="2" t="s">
        <v>3929</v>
      </c>
      <c r="V728" s="2" t="s">
        <v>178</v>
      </c>
      <c r="W728" s="2" t="s">
        <v>476</v>
      </c>
      <c r="X728" s="2" t="s">
        <v>68</v>
      </c>
    </row>
    <row r="729" customFormat="false" ht="15" hidden="false" customHeight="false" outlineLevel="0" collapsed="false">
      <c r="A729" s="2" t="n">
        <v>681</v>
      </c>
      <c r="B729" s="2" t="s">
        <v>3722</v>
      </c>
      <c r="C729" s="2" t="s">
        <v>3939</v>
      </c>
      <c r="D729" s="2" t="s">
        <v>53</v>
      </c>
      <c r="E729" s="2" t="s">
        <v>100</v>
      </c>
      <c r="F729" s="2" t="s">
        <v>3940</v>
      </c>
      <c r="G729" s="2" t="s">
        <v>1318</v>
      </c>
      <c r="H729" s="2" t="s">
        <v>91</v>
      </c>
      <c r="I729" s="2" t="s">
        <v>92</v>
      </c>
      <c r="J729" s="2" t="n">
        <v>-7.786</v>
      </c>
      <c r="K729" s="2" t="n">
        <v>110.373</v>
      </c>
      <c r="L729" s="2" t="s">
        <v>59</v>
      </c>
      <c r="M729" s="2" t="s">
        <v>60</v>
      </c>
      <c r="N729" s="2"/>
      <c r="O729" s="2" t="s">
        <v>3941</v>
      </c>
      <c r="P729" s="2"/>
      <c r="Q729" s="2" t="s">
        <v>62</v>
      </c>
      <c r="R729" s="2" t="n">
        <v>0.7</v>
      </c>
      <c r="S729" s="2" t="s">
        <v>3928</v>
      </c>
      <c r="T729" s="2" t="s">
        <v>2212</v>
      </c>
      <c r="U729" s="2" t="s">
        <v>3929</v>
      </c>
      <c r="V729" s="2" t="s">
        <v>178</v>
      </c>
      <c r="W729" s="2" t="s">
        <v>476</v>
      </c>
      <c r="X729" s="2" t="s">
        <v>68</v>
      </c>
    </row>
    <row r="730" customFormat="false" ht="15" hidden="false" customHeight="false" outlineLevel="0" collapsed="false">
      <c r="A730" s="2" t="n">
        <v>682</v>
      </c>
      <c r="B730" s="2" t="s">
        <v>3722</v>
      </c>
      <c r="C730" s="2" t="s">
        <v>1246</v>
      </c>
      <c r="D730" s="2" t="s">
        <v>1140</v>
      </c>
      <c r="E730" s="2" t="s">
        <v>3942</v>
      </c>
      <c r="F730" s="2"/>
      <c r="G730" s="2"/>
      <c r="H730" s="2" t="s">
        <v>3905</v>
      </c>
      <c r="I730" s="2" t="s">
        <v>92</v>
      </c>
      <c r="J730" s="2" t="n">
        <v>-7.716</v>
      </c>
      <c r="K730" s="2" t="n">
        <v>110.356</v>
      </c>
      <c r="L730" s="2" t="s">
        <v>101</v>
      </c>
      <c r="M730" s="2" t="s">
        <v>60</v>
      </c>
      <c r="N730" s="2"/>
      <c r="O730" s="2" t="s">
        <v>3943</v>
      </c>
      <c r="P730" s="2"/>
      <c r="Q730" s="2" t="s">
        <v>62</v>
      </c>
      <c r="R730" s="2" t="n">
        <v>0.6</v>
      </c>
      <c r="S730" s="2" t="s">
        <v>3944</v>
      </c>
      <c r="T730" s="2" t="s">
        <v>176</v>
      </c>
      <c r="U730" s="2" t="s">
        <v>3945</v>
      </c>
      <c r="V730" s="2" t="s">
        <v>97</v>
      </c>
      <c r="W730" s="2" t="s">
        <v>430</v>
      </c>
      <c r="X730" s="2" t="s">
        <v>1588</v>
      </c>
    </row>
    <row r="731" customFormat="false" ht="15" hidden="false" customHeight="false" outlineLevel="0" collapsed="false">
      <c r="A731" s="2" t="n">
        <v>683</v>
      </c>
      <c r="B731" s="2" t="s">
        <v>3722</v>
      </c>
      <c r="C731" s="2" t="s">
        <v>3946</v>
      </c>
      <c r="D731" s="2" t="s">
        <v>53</v>
      </c>
      <c r="E731" s="2" t="s">
        <v>3947</v>
      </c>
      <c r="F731" s="2"/>
      <c r="G731" s="2"/>
      <c r="H731" s="2"/>
      <c r="I731" s="2" t="s">
        <v>92</v>
      </c>
      <c r="J731" s="2" t="n">
        <v>-7.875</v>
      </c>
      <c r="K731" s="2" t="n">
        <v>110.426</v>
      </c>
      <c r="L731" s="2" t="s">
        <v>239</v>
      </c>
      <c r="M731" s="2" t="s">
        <v>60</v>
      </c>
      <c r="N731" s="2" t="s">
        <v>3948</v>
      </c>
      <c r="O731" s="2" t="s">
        <v>3949</v>
      </c>
      <c r="P731" s="2" t="s">
        <v>109</v>
      </c>
      <c r="Q731" s="2" t="s">
        <v>62</v>
      </c>
      <c r="R731" s="2" t="n">
        <v>0.85</v>
      </c>
      <c r="S731" s="2" t="s">
        <v>3950</v>
      </c>
      <c r="T731" s="2" t="s">
        <v>95</v>
      </c>
      <c r="U731" s="2" t="s">
        <v>3951</v>
      </c>
      <c r="V731" s="2" t="s">
        <v>114</v>
      </c>
      <c r="W731" s="2" t="s">
        <v>3765</v>
      </c>
      <c r="X731" s="2" t="s">
        <v>1588</v>
      </c>
    </row>
    <row r="732" customFormat="false" ht="15" hidden="false" customHeight="false" outlineLevel="0" collapsed="false">
      <c r="A732" s="2" t="n">
        <v>684</v>
      </c>
      <c r="B732" s="2" t="s">
        <v>3722</v>
      </c>
      <c r="C732" s="2" t="s">
        <v>3952</v>
      </c>
      <c r="D732" s="2" t="s">
        <v>53</v>
      </c>
      <c r="E732" s="2" t="s">
        <v>3953</v>
      </c>
      <c r="F732" s="2" t="s">
        <v>3954</v>
      </c>
      <c r="G732" s="2" t="s">
        <v>1550</v>
      </c>
      <c r="H732" s="2" t="s">
        <v>91</v>
      </c>
      <c r="I732" s="2" t="s">
        <v>92</v>
      </c>
      <c r="J732" s="2" t="n">
        <v>-7.803</v>
      </c>
      <c r="K732" s="2" t="n">
        <v>110.37</v>
      </c>
      <c r="L732" s="2" t="s">
        <v>59</v>
      </c>
      <c r="M732" s="2" t="s">
        <v>60</v>
      </c>
      <c r="N732" s="2"/>
      <c r="O732" s="2" t="s">
        <v>3955</v>
      </c>
      <c r="P732" s="2"/>
      <c r="Q732" s="2" t="s">
        <v>62</v>
      </c>
      <c r="R732" s="2" t="n">
        <v>0.8</v>
      </c>
      <c r="S732" s="2" t="s">
        <v>3956</v>
      </c>
      <c r="T732" s="2" t="s">
        <v>112</v>
      </c>
      <c r="U732" s="2" t="s">
        <v>3957</v>
      </c>
      <c r="V732" s="2" t="s">
        <v>158</v>
      </c>
      <c r="W732" s="2" t="s">
        <v>3194</v>
      </c>
      <c r="X732" s="2" t="s">
        <v>68</v>
      </c>
    </row>
    <row r="733" customFormat="false" ht="15" hidden="false" customHeight="false" outlineLevel="0" collapsed="false">
      <c r="A733" s="2" t="n">
        <v>684</v>
      </c>
      <c r="B733" s="2" t="s">
        <v>3722</v>
      </c>
      <c r="C733" s="2" t="s">
        <v>3958</v>
      </c>
      <c r="D733" s="2" t="s">
        <v>53</v>
      </c>
      <c r="E733" s="2" t="s">
        <v>3959</v>
      </c>
      <c r="F733" s="2"/>
      <c r="G733" s="2"/>
      <c r="H733" s="2" t="s">
        <v>91</v>
      </c>
      <c r="I733" s="2" t="s">
        <v>92</v>
      </c>
      <c r="J733" s="2" t="n">
        <v>-7.801</v>
      </c>
      <c r="K733" s="2" t="n">
        <v>110.373</v>
      </c>
      <c r="L733" s="2" t="s">
        <v>101</v>
      </c>
      <c r="M733" s="2" t="s">
        <v>60</v>
      </c>
      <c r="N733" s="2"/>
      <c r="O733" s="2" t="s">
        <v>3960</v>
      </c>
      <c r="P733" s="2"/>
      <c r="Q733" s="2" t="s">
        <v>62</v>
      </c>
      <c r="R733" s="2" t="n">
        <v>0.8</v>
      </c>
      <c r="S733" s="2" t="s">
        <v>3956</v>
      </c>
      <c r="T733" s="2" t="s">
        <v>112</v>
      </c>
      <c r="U733" s="2" t="s">
        <v>3957</v>
      </c>
      <c r="V733" s="2" t="s">
        <v>158</v>
      </c>
      <c r="W733" s="2" t="s">
        <v>3194</v>
      </c>
      <c r="X733" s="2" t="s">
        <v>68</v>
      </c>
    </row>
    <row r="734" customFormat="false" ht="15" hidden="false" customHeight="false" outlineLevel="0" collapsed="false">
      <c r="A734" s="2" t="n">
        <v>685</v>
      </c>
      <c r="B734" s="2" t="s">
        <v>3722</v>
      </c>
      <c r="C734" s="2" t="s">
        <v>3961</v>
      </c>
      <c r="D734" s="2" t="s">
        <v>53</v>
      </c>
      <c r="E734" s="2" t="s">
        <v>3962</v>
      </c>
      <c r="F734" s="2"/>
      <c r="G734" s="2"/>
      <c r="H734" s="2"/>
      <c r="I734" s="2" t="s">
        <v>92</v>
      </c>
      <c r="J734" s="2" t="n">
        <v>-7.875</v>
      </c>
      <c r="K734" s="2" t="n">
        <v>110.426</v>
      </c>
      <c r="L734" s="2" t="s">
        <v>239</v>
      </c>
      <c r="M734" s="2" t="s">
        <v>340</v>
      </c>
      <c r="N734" s="2" t="s">
        <v>3963</v>
      </c>
      <c r="O734" s="2" t="s">
        <v>3964</v>
      </c>
      <c r="P734" s="2"/>
      <c r="Q734" s="2" t="s">
        <v>62</v>
      </c>
      <c r="R734" s="2" t="n">
        <v>0.7</v>
      </c>
      <c r="S734" s="2" t="s">
        <v>3965</v>
      </c>
      <c r="T734" s="2" t="s">
        <v>156</v>
      </c>
      <c r="U734" s="2" t="s">
        <v>3966</v>
      </c>
      <c r="V734" s="2" t="s">
        <v>3910</v>
      </c>
      <c r="W734" s="2" t="s">
        <v>3646</v>
      </c>
      <c r="X734" s="2" t="s">
        <v>68</v>
      </c>
    </row>
    <row r="735" customFormat="false" ht="15" hidden="false" customHeight="false" outlineLevel="0" collapsed="false">
      <c r="A735" s="2" t="n">
        <v>685</v>
      </c>
      <c r="B735" s="2" t="s">
        <v>3722</v>
      </c>
      <c r="C735" s="2" t="s">
        <v>3967</v>
      </c>
      <c r="D735" s="2" t="s">
        <v>53</v>
      </c>
      <c r="E735" s="2" t="s">
        <v>3968</v>
      </c>
      <c r="F735" s="2" t="s">
        <v>3969</v>
      </c>
      <c r="G735" s="2" t="s">
        <v>290</v>
      </c>
      <c r="H735" s="2" t="s">
        <v>3905</v>
      </c>
      <c r="I735" s="2" t="s">
        <v>92</v>
      </c>
      <c r="J735" s="2" t="n">
        <v>-7.783</v>
      </c>
      <c r="K735" s="2" t="n">
        <v>110.41</v>
      </c>
      <c r="L735" s="2" t="s">
        <v>59</v>
      </c>
      <c r="M735" s="2" t="s">
        <v>60</v>
      </c>
      <c r="N735" s="2"/>
      <c r="O735" s="2" t="s">
        <v>3970</v>
      </c>
      <c r="P735" s="2"/>
      <c r="Q735" s="2" t="s">
        <v>62</v>
      </c>
      <c r="R735" s="2" t="n">
        <v>0.8</v>
      </c>
      <c r="S735" s="2" t="s">
        <v>3965</v>
      </c>
      <c r="T735" s="2" t="s">
        <v>156</v>
      </c>
      <c r="U735" s="2" t="s">
        <v>3966</v>
      </c>
      <c r="V735" s="2" t="s">
        <v>3910</v>
      </c>
      <c r="W735" s="2" t="s">
        <v>3646</v>
      </c>
      <c r="X735" s="2" t="s">
        <v>68</v>
      </c>
    </row>
    <row r="736" customFormat="false" ht="15" hidden="false" customHeight="false" outlineLevel="0" collapsed="false">
      <c r="A736" s="2" t="n">
        <v>686</v>
      </c>
      <c r="B736" s="2" t="s">
        <v>3722</v>
      </c>
      <c r="C736" s="2" t="s">
        <v>3971</v>
      </c>
      <c r="D736" s="2" t="s">
        <v>53</v>
      </c>
      <c r="E736" s="2" t="s">
        <v>100</v>
      </c>
      <c r="F736" s="2"/>
      <c r="G736" s="2" t="s">
        <v>3931</v>
      </c>
      <c r="H736" s="2" t="s">
        <v>3905</v>
      </c>
      <c r="I736" s="2" t="s">
        <v>92</v>
      </c>
      <c r="J736" s="2" t="n">
        <v>-7.64</v>
      </c>
      <c r="K736" s="2" t="n">
        <v>110.42</v>
      </c>
      <c r="L736" s="2" t="s">
        <v>84</v>
      </c>
      <c r="M736" s="2" t="s">
        <v>60</v>
      </c>
      <c r="N736" s="2" t="s">
        <v>3932</v>
      </c>
      <c r="O736" s="2" t="s">
        <v>3972</v>
      </c>
      <c r="P736" s="2"/>
      <c r="Q736" s="2" t="s">
        <v>110</v>
      </c>
      <c r="R736" s="2" t="n">
        <v>0.8</v>
      </c>
      <c r="S736" s="2" t="s">
        <v>3973</v>
      </c>
      <c r="T736" s="2" t="s">
        <v>3917</v>
      </c>
      <c r="U736" s="2" t="s">
        <v>3974</v>
      </c>
      <c r="V736" s="2" t="s">
        <v>178</v>
      </c>
      <c r="W736" s="2" t="s">
        <v>190</v>
      </c>
      <c r="X736" s="2" t="s">
        <v>1588</v>
      </c>
    </row>
    <row r="737" customFormat="false" ht="15" hidden="false" customHeight="false" outlineLevel="0" collapsed="false">
      <c r="A737" s="2" t="n">
        <v>687</v>
      </c>
      <c r="B737" s="2" t="s">
        <v>3722</v>
      </c>
      <c r="C737" s="2" t="s">
        <v>3975</v>
      </c>
      <c r="D737" s="2" t="s">
        <v>134</v>
      </c>
      <c r="E737" s="2" t="s">
        <v>3976</v>
      </c>
      <c r="F737" s="2" t="s">
        <v>3969</v>
      </c>
      <c r="G737" s="2" t="s">
        <v>290</v>
      </c>
      <c r="H737" s="2" t="s">
        <v>3905</v>
      </c>
      <c r="I737" s="2" t="s">
        <v>92</v>
      </c>
      <c r="J737" s="2" t="n">
        <v>-7.77</v>
      </c>
      <c r="K737" s="2" t="n">
        <v>110.395</v>
      </c>
      <c r="L737" s="2" t="s">
        <v>59</v>
      </c>
      <c r="M737" s="2" t="s">
        <v>60</v>
      </c>
      <c r="N737" s="2"/>
      <c r="O737" s="2" t="s">
        <v>3977</v>
      </c>
      <c r="P737" s="2" t="s">
        <v>109</v>
      </c>
      <c r="Q737" s="2" t="s">
        <v>62</v>
      </c>
      <c r="R737" s="2" t="n">
        <v>0.8</v>
      </c>
      <c r="S737" s="2" t="s">
        <v>3978</v>
      </c>
      <c r="T737" s="2" t="s">
        <v>176</v>
      </c>
      <c r="U737" s="2" t="s">
        <v>3979</v>
      </c>
      <c r="V737" s="2" t="s">
        <v>158</v>
      </c>
      <c r="W737" s="2" t="s">
        <v>2037</v>
      </c>
      <c r="X737" s="2" t="s">
        <v>507</v>
      </c>
    </row>
    <row r="738" customFormat="false" ht="15" hidden="false" customHeight="false" outlineLevel="0" collapsed="false">
      <c r="A738" s="2" t="n">
        <v>687</v>
      </c>
      <c r="B738" s="2" t="s">
        <v>3722</v>
      </c>
      <c r="C738" s="2" t="s">
        <v>3980</v>
      </c>
      <c r="D738" s="2" t="s">
        <v>134</v>
      </c>
      <c r="E738" s="2" t="s">
        <v>3981</v>
      </c>
      <c r="F738" s="2" t="s">
        <v>3982</v>
      </c>
      <c r="G738" s="2" t="s">
        <v>3983</v>
      </c>
      <c r="H738" s="2" t="s">
        <v>3905</v>
      </c>
      <c r="I738" s="2" t="s">
        <v>92</v>
      </c>
      <c r="J738" s="2" t="n">
        <v>-7.795</v>
      </c>
      <c r="K738" s="2" t="n">
        <v>110.44</v>
      </c>
      <c r="L738" s="2" t="s">
        <v>59</v>
      </c>
      <c r="M738" s="2" t="s">
        <v>60</v>
      </c>
      <c r="N738" s="2"/>
      <c r="O738" s="2" t="s">
        <v>3984</v>
      </c>
      <c r="P738" s="2" t="s">
        <v>109</v>
      </c>
      <c r="Q738" s="2" t="s">
        <v>62</v>
      </c>
      <c r="R738" s="2" t="n">
        <v>0.8</v>
      </c>
      <c r="S738" s="2" t="s">
        <v>3978</v>
      </c>
      <c r="T738" s="2" t="s">
        <v>176</v>
      </c>
      <c r="U738" s="2" t="s">
        <v>3979</v>
      </c>
      <c r="V738" s="2" t="s">
        <v>158</v>
      </c>
      <c r="W738" s="2" t="s">
        <v>2037</v>
      </c>
      <c r="X738" s="2" t="s">
        <v>507</v>
      </c>
    </row>
    <row r="739" customFormat="false" ht="15" hidden="false" customHeight="false" outlineLevel="0" collapsed="false">
      <c r="A739" s="2" t="n">
        <v>688</v>
      </c>
      <c r="B739" s="2" t="s">
        <v>3722</v>
      </c>
      <c r="C739" s="2" t="s">
        <v>3985</v>
      </c>
      <c r="D739" s="2" t="s">
        <v>53</v>
      </c>
      <c r="E739" s="2" t="s">
        <v>100</v>
      </c>
      <c r="F739" s="2"/>
      <c r="G739" s="2"/>
      <c r="H739" s="2"/>
      <c r="I739" s="2" t="s">
        <v>92</v>
      </c>
      <c r="J739" s="2" t="n">
        <v>-7.875</v>
      </c>
      <c r="K739" s="2" t="n">
        <v>110.426</v>
      </c>
      <c r="L739" s="2" t="s">
        <v>239</v>
      </c>
      <c r="M739" s="2" t="s">
        <v>340</v>
      </c>
      <c r="N739" s="2"/>
      <c r="O739" s="2" t="s">
        <v>3986</v>
      </c>
      <c r="P739" s="2"/>
      <c r="Q739" s="2" t="s">
        <v>62</v>
      </c>
      <c r="R739" s="2" t="n">
        <v>0.75</v>
      </c>
      <c r="S739" s="2" t="s">
        <v>3987</v>
      </c>
      <c r="T739" s="2" t="s">
        <v>156</v>
      </c>
      <c r="U739" s="2" t="s">
        <v>3988</v>
      </c>
      <c r="V739" s="2" t="s">
        <v>178</v>
      </c>
      <c r="W739" s="2" t="s">
        <v>512</v>
      </c>
      <c r="X739" s="2" t="s">
        <v>68</v>
      </c>
    </row>
    <row r="740" customFormat="false" ht="15" hidden="false" customHeight="false" outlineLevel="0" collapsed="false">
      <c r="A740" s="2" t="n">
        <v>688</v>
      </c>
      <c r="B740" s="2" t="s">
        <v>3722</v>
      </c>
      <c r="C740" s="2" t="s">
        <v>3989</v>
      </c>
      <c r="D740" s="2" t="s">
        <v>53</v>
      </c>
      <c r="E740" s="2" t="s">
        <v>3990</v>
      </c>
      <c r="F740" s="2"/>
      <c r="G740" s="2"/>
      <c r="H740" s="2"/>
      <c r="I740" s="2" t="s">
        <v>92</v>
      </c>
      <c r="J740" s="2" t="n">
        <v>-7.875</v>
      </c>
      <c r="K740" s="2" t="n">
        <v>110.426</v>
      </c>
      <c r="L740" s="2" t="s">
        <v>239</v>
      </c>
      <c r="M740" s="2" t="s">
        <v>340</v>
      </c>
      <c r="N740" s="2"/>
      <c r="O740" s="2" t="s">
        <v>3991</v>
      </c>
      <c r="P740" s="2"/>
      <c r="Q740" s="2" t="s">
        <v>62</v>
      </c>
      <c r="R740" s="2" t="n">
        <v>0.75</v>
      </c>
      <c r="S740" s="2" t="s">
        <v>3987</v>
      </c>
      <c r="T740" s="2" t="s">
        <v>156</v>
      </c>
      <c r="U740" s="2" t="s">
        <v>3988</v>
      </c>
      <c r="V740" s="2" t="s">
        <v>178</v>
      </c>
      <c r="W740" s="2" t="s">
        <v>512</v>
      </c>
      <c r="X740" s="2" t="s">
        <v>68</v>
      </c>
    </row>
    <row r="741" customFormat="false" ht="15" hidden="false" customHeight="false" outlineLevel="0" collapsed="false">
      <c r="A741" s="2" t="n">
        <v>689</v>
      </c>
      <c r="B741" s="2" t="s">
        <v>3722</v>
      </c>
      <c r="C741" s="2" t="s">
        <v>3992</v>
      </c>
      <c r="D741" s="2" t="s">
        <v>53</v>
      </c>
      <c r="E741" s="2" t="s">
        <v>3993</v>
      </c>
      <c r="F741" s="2"/>
      <c r="G741" s="2" t="s">
        <v>3994</v>
      </c>
      <c r="H741" s="2" t="s">
        <v>91</v>
      </c>
      <c r="I741" s="2" t="s">
        <v>92</v>
      </c>
      <c r="J741" s="2" t="n">
        <v>-7.8</v>
      </c>
      <c r="K741" s="2" t="n">
        <v>110.357</v>
      </c>
      <c r="L741" s="2" t="s">
        <v>84</v>
      </c>
      <c r="M741" s="2" t="s">
        <v>60</v>
      </c>
      <c r="N741" s="2"/>
      <c r="O741" s="2" t="s">
        <v>3995</v>
      </c>
      <c r="P741" s="2"/>
      <c r="Q741" s="2" t="s">
        <v>62</v>
      </c>
      <c r="R741" s="2" t="n">
        <v>0.75</v>
      </c>
      <c r="S741" s="2" t="s">
        <v>3996</v>
      </c>
      <c r="T741" s="2" t="s">
        <v>176</v>
      </c>
      <c r="U741" s="2" t="s">
        <v>3997</v>
      </c>
      <c r="V741" s="2" t="s">
        <v>1137</v>
      </c>
      <c r="W741" s="2" t="s">
        <v>3469</v>
      </c>
      <c r="X741" s="2" t="s">
        <v>1588</v>
      </c>
    </row>
    <row r="742" customFormat="false" ht="15" hidden="false" customHeight="false" outlineLevel="0" collapsed="false">
      <c r="A742" s="2" t="n">
        <v>689</v>
      </c>
      <c r="B742" s="2" t="s">
        <v>3722</v>
      </c>
      <c r="C742" s="2" t="s">
        <v>3998</v>
      </c>
      <c r="D742" s="2" t="s">
        <v>53</v>
      </c>
      <c r="E742" s="2" t="s">
        <v>3999</v>
      </c>
      <c r="F742" s="2" t="s">
        <v>4000</v>
      </c>
      <c r="G742" s="2" t="s">
        <v>4001</v>
      </c>
      <c r="H742" s="2" t="s">
        <v>4002</v>
      </c>
      <c r="I742" s="2" t="s">
        <v>92</v>
      </c>
      <c r="J742" s="2" t="n">
        <v>-7.84</v>
      </c>
      <c r="K742" s="2" t="n">
        <v>110.36</v>
      </c>
      <c r="L742" s="2" t="s">
        <v>84</v>
      </c>
      <c r="M742" s="2" t="s">
        <v>60</v>
      </c>
      <c r="N742" s="2"/>
      <c r="O742" s="2" t="s">
        <v>4003</v>
      </c>
      <c r="P742" s="2"/>
      <c r="Q742" s="2" t="s">
        <v>62</v>
      </c>
      <c r="R742" s="2" t="n">
        <v>0.8</v>
      </c>
      <c r="S742" s="2" t="s">
        <v>3996</v>
      </c>
      <c r="T742" s="2" t="s">
        <v>176</v>
      </c>
      <c r="U742" s="2" t="s">
        <v>3997</v>
      </c>
      <c r="V742" s="2" t="s">
        <v>1137</v>
      </c>
      <c r="W742" s="2" t="s">
        <v>3469</v>
      </c>
      <c r="X742" s="2" t="s">
        <v>1588</v>
      </c>
    </row>
    <row r="743" customFormat="false" ht="15" hidden="false" customHeight="false" outlineLevel="0" collapsed="false">
      <c r="A743" s="2" t="n">
        <v>689</v>
      </c>
      <c r="B743" s="2" t="s">
        <v>3722</v>
      </c>
      <c r="C743" s="2" t="s">
        <v>3934</v>
      </c>
      <c r="D743" s="2" t="s">
        <v>53</v>
      </c>
      <c r="E743" s="2" t="s">
        <v>100</v>
      </c>
      <c r="F743" s="2" t="s">
        <v>3883</v>
      </c>
      <c r="G743" s="2" t="s">
        <v>3884</v>
      </c>
      <c r="H743" s="2" t="s">
        <v>91</v>
      </c>
      <c r="I743" s="2" t="s">
        <v>92</v>
      </c>
      <c r="J743" s="2" t="n">
        <v>-7.815</v>
      </c>
      <c r="K743" s="2" t="n">
        <v>110.395</v>
      </c>
      <c r="L743" s="2" t="s">
        <v>59</v>
      </c>
      <c r="M743" s="2" t="s">
        <v>60</v>
      </c>
      <c r="N743" s="2"/>
      <c r="O743" s="2" t="s">
        <v>4004</v>
      </c>
      <c r="P743" s="2"/>
      <c r="Q743" s="2" t="s">
        <v>62</v>
      </c>
      <c r="R743" s="2" t="n">
        <v>0.75</v>
      </c>
      <c r="S743" s="2" t="s">
        <v>3996</v>
      </c>
      <c r="T743" s="2" t="s">
        <v>176</v>
      </c>
      <c r="U743" s="2" t="s">
        <v>3997</v>
      </c>
      <c r="V743" s="2" t="s">
        <v>1137</v>
      </c>
      <c r="W743" s="2" t="s">
        <v>3469</v>
      </c>
      <c r="X743" s="2" t="s">
        <v>1588</v>
      </c>
    </row>
    <row r="744" customFormat="false" ht="15" hidden="false" customHeight="false" outlineLevel="0" collapsed="false">
      <c r="A744" s="2" t="n">
        <v>690</v>
      </c>
      <c r="B744" s="2" t="s">
        <v>4005</v>
      </c>
      <c r="C744" s="2" t="s">
        <v>4006</v>
      </c>
      <c r="D744" s="2" t="s">
        <v>351</v>
      </c>
      <c r="E744" s="2" t="s">
        <v>91</v>
      </c>
      <c r="F744" s="2" t="s">
        <v>3924</v>
      </c>
      <c r="G744" s="2" t="s">
        <v>3925</v>
      </c>
      <c r="H744" s="2" t="s">
        <v>91</v>
      </c>
      <c r="I744" s="2" t="s">
        <v>92</v>
      </c>
      <c r="J744" s="2" t="n">
        <v>-7.7926</v>
      </c>
      <c r="K744" s="2" t="n">
        <v>110.3658</v>
      </c>
      <c r="L744" s="2" t="s">
        <v>124</v>
      </c>
      <c r="M744" s="2" t="s">
        <v>60</v>
      </c>
      <c r="N744" s="2"/>
      <c r="O744" s="2" t="s">
        <v>4007</v>
      </c>
      <c r="P744" s="2"/>
      <c r="Q744" s="2" t="s">
        <v>62</v>
      </c>
      <c r="R744" s="2" t="n">
        <v>0.75</v>
      </c>
      <c r="S744" s="2" t="s">
        <v>4008</v>
      </c>
      <c r="T744" s="2" t="s">
        <v>1135</v>
      </c>
      <c r="U744" s="2" t="s">
        <v>4009</v>
      </c>
      <c r="V744" s="2" t="s">
        <v>812</v>
      </c>
      <c r="W744" s="2" t="s">
        <v>1324</v>
      </c>
      <c r="X744" s="2" t="s">
        <v>1588</v>
      </c>
    </row>
    <row r="745" customFormat="false" ht="15" hidden="false" customHeight="false" outlineLevel="0" collapsed="false">
      <c r="A745" s="2" t="n">
        <v>691</v>
      </c>
      <c r="B745" s="2" t="s">
        <v>4005</v>
      </c>
      <c r="C745" s="2" t="s">
        <v>1315</v>
      </c>
      <c r="D745" s="2" t="s">
        <v>1130</v>
      </c>
      <c r="E745" s="2" t="s">
        <v>4010</v>
      </c>
      <c r="F745" s="2" t="s">
        <v>1317</v>
      </c>
      <c r="G745" s="2" t="s">
        <v>1318</v>
      </c>
      <c r="H745" s="2" t="s">
        <v>91</v>
      </c>
      <c r="I745" s="2" t="s">
        <v>92</v>
      </c>
      <c r="J745" s="2" t="n">
        <v>-7.78</v>
      </c>
      <c r="K745" s="2" t="n">
        <v>110.385</v>
      </c>
      <c r="L745" s="2" t="s">
        <v>59</v>
      </c>
      <c r="M745" s="2" t="s">
        <v>60</v>
      </c>
      <c r="N745" s="2"/>
      <c r="O745" s="2" t="s">
        <v>4011</v>
      </c>
      <c r="P745" s="2"/>
      <c r="Q745" s="2" t="s">
        <v>110</v>
      </c>
      <c r="R745" s="2" t="n">
        <v>0.8</v>
      </c>
      <c r="S745" s="2" t="s">
        <v>4012</v>
      </c>
      <c r="T745" s="2" t="s">
        <v>810</v>
      </c>
      <c r="U745" s="2" t="s">
        <v>4013</v>
      </c>
      <c r="V745" s="2" t="s">
        <v>4014</v>
      </c>
      <c r="W745" s="2" t="s">
        <v>331</v>
      </c>
      <c r="X745" s="2" t="s">
        <v>1588</v>
      </c>
    </row>
    <row r="746" customFormat="false" ht="15" hidden="false" customHeight="false" outlineLevel="0" collapsed="false">
      <c r="A746" s="2" t="n">
        <v>692</v>
      </c>
      <c r="B746" s="2" t="s">
        <v>4005</v>
      </c>
      <c r="C746" s="2" t="s">
        <v>4015</v>
      </c>
      <c r="D746" s="2" t="s">
        <v>410</v>
      </c>
      <c r="E746" s="2" t="s">
        <v>1981</v>
      </c>
      <c r="F746" s="2" t="s">
        <v>4016</v>
      </c>
      <c r="G746" s="2" t="s">
        <v>4017</v>
      </c>
      <c r="H746" s="2" t="s">
        <v>1013</v>
      </c>
      <c r="I746" s="2" t="s">
        <v>92</v>
      </c>
      <c r="J746" s="2" t="n">
        <v>-8.1355</v>
      </c>
      <c r="K746" s="2" t="n">
        <v>110.568</v>
      </c>
      <c r="L746" s="2" t="s">
        <v>124</v>
      </c>
      <c r="M746" s="2" t="s">
        <v>60</v>
      </c>
      <c r="N746" s="2"/>
      <c r="O746" s="2" t="s">
        <v>4018</v>
      </c>
      <c r="P746" s="2" t="s">
        <v>109</v>
      </c>
      <c r="Q746" s="2" t="s">
        <v>62</v>
      </c>
      <c r="R746" s="2" t="n">
        <v>0.75</v>
      </c>
      <c r="S746" s="2" t="s">
        <v>4019</v>
      </c>
      <c r="T746" s="2" t="s">
        <v>4020</v>
      </c>
      <c r="U746" s="2" t="s">
        <v>4021</v>
      </c>
      <c r="V746" s="2" t="s">
        <v>4022</v>
      </c>
      <c r="W746" s="2" t="s">
        <v>2939</v>
      </c>
      <c r="X746" s="2" t="s">
        <v>68</v>
      </c>
    </row>
    <row r="747" customFormat="false" ht="15" hidden="false" customHeight="false" outlineLevel="0" collapsed="false">
      <c r="A747" s="2" t="n">
        <v>692</v>
      </c>
      <c r="B747" s="2" t="s">
        <v>4005</v>
      </c>
      <c r="C747" s="2" t="s">
        <v>4023</v>
      </c>
      <c r="D747" s="2" t="s">
        <v>1140</v>
      </c>
      <c r="E747" s="2" t="s">
        <v>1981</v>
      </c>
      <c r="F747" s="2" t="s">
        <v>4024</v>
      </c>
      <c r="G747" s="2" t="s">
        <v>4017</v>
      </c>
      <c r="H747" s="2" t="s">
        <v>1013</v>
      </c>
      <c r="I747" s="2" t="s">
        <v>92</v>
      </c>
      <c r="J747" s="2" t="n">
        <v>-8.1372</v>
      </c>
      <c r="K747" s="2" t="n">
        <v>110.5785</v>
      </c>
      <c r="L747" s="2" t="s">
        <v>124</v>
      </c>
      <c r="M747" s="2" t="s">
        <v>60</v>
      </c>
      <c r="N747" s="2"/>
      <c r="O747" s="2" t="s">
        <v>4025</v>
      </c>
      <c r="P747" s="2" t="s">
        <v>109</v>
      </c>
      <c r="Q747" s="2" t="s">
        <v>110</v>
      </c>
      <c r="R747" s="2" t="n">
        <v>0.6</v>
      </c>
      <c r="S747" s="2" t="s">
        <v>4019</v>
      </c>
      <c r="T747" s="2" t="s">
        <v>4020</v>
      </c>
      <c r="U747" s="2" t="s">
        <v>4021</v>
      </c>
      <c r="V747" s="2" t="s">
        <v>4022</v>
      </c>
      <c r="W747" s="2" t="s">
        <v>2939</v>
      </c>
      <c r="X747" s="2" t="s">
        <v>68</v>
      </c>
    </row>
    <row r="748" customFormat="false" ht="15" hidden="false" customHeight="false" outlineLevel="0" collapsed="false">
      <c r="A748" s="2" t="n">
        <v>692</v>
      </c>
      <c r="B748" s="2" t="s">
        <v>4005</v>
      </c>
      <c r="C748" s="2" t="s">
        <v>4026</v>
      </c>
      <c r="D748" s="2" t="s">
        <v>410</v>
      </c>
      <c r="E748" s="2" t="s">
        <v>1981</v>
      </c>
      <c r="F748" s="2" t="s">
        <v>4027</v>
      </c>
      <c r="G748" s="2" t="s">
        <v>4028</v>
      </c>
      <c r="H748" s="2" t="s">
        <v>1013</v>
      </c>
      <c r="I748" s="2" t="s">
        <v>92</v>
      </c>
      <c r="J748" s="2" t="n">
        <v>-8.18</v>
      </c>
      <c r="K748" s="2" t="n">
        <v>110.69</v>
      </c>
      <c r="L748" s="2" t="s">
        <v>59</v>
      </c>
      <c r="M748" s="2" t="s">
        <v>60</v>
      </c>
      <c r="N748" s="2"/>
      <c r="O748" s="2" t="s">
        <v>4029</v>
      </c>
      <c r="P748" s="2" t="s">
        <v>109</v>
      </c>
      <c r="Q748" s="2" t="s">
        <v>110</v>
      </c>
      <c r="R748" s="2" t="n">
        <v>0.55</v>
      </c>
      <c r="S748" s="2" t="s">
        <v>4019</v>
      </c>
      <c r="T748" s="2" t="s">
        <v>4020</v>
      </c>
      <c r="U748" s="2" t="s">
        <v>4021</v>
      </c>
      <c r="V748" s="2" t="s">
        <v>4022</v>
      </c>
      <c r="W748" s="2" t="s">
        <v>2939</v>
      </c>
      <c r="X748" s="2" t="s">
        <v>68</v>
      </c>
    </row>
    <row r="749" customFormat="false" ht="15" hidden="false" customHeight="false" outlineLevel="0" collapsed="false">
      <c r="A749" s="2" t="n">
        <v>692</v>
      </c>
      <c r="B749" s="2" t="s">
        <v>4005</v>
      </c>
      <c r="C749" s="2" t="s">
        <v>4030</v>
      </c>
      <c r="D749" s="2" t="s">
        <v>410</v>
      </c>
      <c r="E749" s="2" t="s">
        <v>1981</v>
      </c>
      <c r="F749" s="2"/>
      <c r="G749" s="2"/>
      <c r="H749" s="2" t="s">
        <v>1013</v>
      </c>
      <c r="I749" s="2" t="s">
        <v>92</v>
      </c>
      <c r="J749" s="2" t="n">
        <v>-7.99</v>
      </c>
      <c r="K749" s="2" t="n">
        <v>110.6</v>
      </c>
      <c r="L749" s="2" t="s">
        <v>101</v>
      </c>
      <c r="M749" s="2" t="s">
        <v>340</v>
      </c>
      <c r="N749" s="2"/>
      <c r="O749" s="2" t="s">
        <v>4029</v>
      </c>
      <c r="P749" s="2" t="s">
        <v>109</v>
      </c>
      <c r="Q749" s="2" t="s">
        <v>110</v>
      </c>
      <c r="R749" s="2" t="n">
        <v>0.55</v>
      </c>
      <c r="S749" s="2" t="s">
        <v>4019</v>
      </c>
      <c r="T749" s="2" t="s">
        <v>4020</v>
      </c>
      <c r="U749" s="2" t="s">
        <v>4021</v>
      </c>
      <c r="V749" s="2" t="s">
        <v>4022</v>
      </c>
      <c r="W749" s="2" t="s">
        <v>2939</v>
      </c>
      <c r="X749" s="2" t="s">
        <v>68</v>
      </c>
    </row>
    <row r="750" customFormat="false" ht="15" hidden="false" customHeight="false" outlineLevel="0" collapsed="false">
      <c r="A750" s="2" t="n">
        <v>693</v>
      </c>
      <c r="B750" s="2" t="s">
        <v>4005</v>
      </c>
      <c r="C750" s="2" t="s">
        <v>4031</v>
      </c>
      <c r="D750" s="2" t="s">
        <v>410</v>
      </c>
      <c r="E750" s="2" t="s">
        <v>1981</v>
      </c>
      <c r="F750" s="2" t="s">
        <v>4032</v>
      </c>
      <c r="G750" s="2" t="s">
        <v>4033</v>
      </c>
      <c r="H750" s="2" t="s">
        <v>1013</v>
      </c>
      <c r="I750" s="2" t="s">
        <v>92</v>
      </c>
      <c r="J750" s="2" t="n">
        <v>-8.1</v>
      </c>
      <c r="K750" s="2" t="n">
        <v>110.47</v>
      </c>
      <c r="L750" s="2" t="s">
        <v>59</v>
      </c>
      <c r="M750" s="2" t="s">
        <v>60</v>
      </c>
      <c r="N750" s="2"/>
      <c r="O750" s="2" t="s">
        <v>4034</v>
      </c>
      <c r="P750" s="2" t="s">
        <v>109</v>
      </c>
      <c r="Q750" s="2" t="s">
        <v>62</v>
      </c>
      <c r="R750" s="2" t="n">
        <v>0.8</v>
      </c>
      <c r="S750" s="2" t="s">
        <v>4035</v>
      </c>
      <c r="T750" s="2" t="s">
        <v>4036</v>
      </c>
      <c r="U750" s="2" t="s">
        <v>4037</v>
      </c>
      <c r="V750" s="2" t="s">
        <v>178</v>
      </c>
      <c r="W750" s="2" t="s">
        <v>1774</v>
      </c>
      <c r="X750" s="2" t="s">
        <v>1588</v>
      </c>
    </row>
    <row r="751" customFormat="false" ht="15" hidden="false" customHeight="false" outlineLevel="0" collapsed="false">
      <c r="A751" s="2" t="n">
        <v>693</v>
      </c>
      <c r="B751" s="2" t="s">
        <v>4005</v>
      </c>
      <c r="C751" s="2" t="s">
        <v>4038</v>
      </c>
      <c r="D751" s="2" t="s">
        <v>410</v>
      </c>
      <c r="E751" s="2" t="s">
        <v>1981</v>
      </c>
      <c r="F751" s="2"/>
      <c r="G751" s="2"/>
      <c r="H751" s="2" t="s">
        <v>1013</v>
      </c>
      <c r="I751" s="2" t="s">
        <v>92</v>
      </c>
      <c r="J751" s="2" t="n">
        <v>-7.99</v>
      </c>
      <c r="K751" s="2" t="n">
        <v>110.6</v>
      </c>
      <c r="L751" s="2" t="s">
        <v>101</v>
      </c>
      <c r="M751" s="2" t="s">
        <v>340</v>
      </c>
      <c r="N751" s="2"/>
      <c r="O751" s="2" t="s">
        <v>4039</v>
      </c>
      <c r="P751" s="2"/>
      <c r="Q751" s="2" t="s">
        <v>62</v>
      </c>
      <c r="R751" s="2" t="n">
        <v>0.8</v>
      </c>
      <c r="S751" s="2" t="s">
        <v>4035</v>
      </c>
      <c r="T751" s="2" t="s">
        <v>4036</v>
      </c>
      <c r="U751" s="2" t="s">
        <v>4037</v>
      </c>
      <c r="V751" s="2" t="s">
        <v>178</v>
      </c>
      <c r="W751" s="2" t="s">
        <v>1774</v>
      </c>
      <c r="X751" s="2" t="s">
        <v>1588</v>
      </c>
    </row>
    <row r="752" customFormat="false" ht="15" hidden="false" customHeight="false" outlineLevel="0" collapsed="false">
      <c r="A752" s="2" t="n">
        <v>693</v>
      </c>
      <c r="B752" s="2" t="s">
        <v>4005</v>
      </c>
      <c r="C752" s="2" t="s">
        <v>4040</v>
      </c>
      <c r="D752" s="2" t="s">
        <v>410</v>
      </c>
      <c r="E752" s="2" t="s">
        <v>1981</v>
      </c>
      <c r="F752" s="2" t="s">
        <v>4027</v>
      </c>
      <c r="G752" s="2" t="s">
        <v>4028</v>
      </c>
      <c r="H752" s="2" t="s">
        <v>1013</v>
      </c>
      <c r="I752" s="2" t="s">
        <v>92</v>
      </c>
      <c r="J752" s="2" t="n">
        <v>-8.1895</v>
      </c>
      <c r="K752" s="2" t="n">
        <v>110.706</v>
      </c>
      <c r="L752" s="2" t="s">
        <v>124</v>
      </c>
      <c r="M752" s="2" t="s">
        <v>60</v>
      </c>
      <c r="N752" s="2"/>
      <c r="O752" s="2" t="s">
        <v>4041</v>
      </c>
      <c r="P752" s="2"/>
      <c r="Q752" s="2" t="s">
        <v>62</v>
      </c>
      <c r="R752" s="2" t="n">
        <v>0.75</v>
      </c>
      <c r="S752" s="2" t="s">
        <v>4035</v>
      </c>
      <c r="T752" s="2" t="s">
        <v>4036</v>
      </c>
      <c r="U752" s="2" t="s">
        <v>4037</v>
      </c>
      <c r="V752" s="2" t="s">
        <v>178</v>
      </c>
      <c r="W752" s="2" t="s">
        <v>1774</v>
      </c>
      <c r="X752" s="2" t="s">
        <v>1588</v>
      </c>
    </row>
    <row r="753" customFormat="false" ht="15" hidden="false" customHeight="false" outlineLevel="0" collapsed="false">
      <c r="A753" s="2" t="n">
        <v>694</v>
      </c>
      <c r="B753" s="2" t="s">
        <v>4005</v>
      </c>
      <c r="C753" s="2" t="s">
        <v>4042</v>
      </c>
      <c r="D753" s="2" t="s">
        <v>410</v>
      </c>
      <c r="E753" s="2" t="s">
        <v>4043</v>
      </c>
      <c r="F753" s="2" t="s">
        <v>4044</v>
      </c>
      <c r="G753" s="2" t="s">
        <v>3931</v>
      </c>
      <c r="H753" s="2" t="s">
        <v>3905</v>
      </c>
      <c r="I753" s="2" t="s">
        <v>92</v>
      </c>
      <c r="J753" s="2" t="n">
        <v>-7.598</v>
      </c>
      <c r="K753" s="2" t="n">
        <v>110.428</v>
      </c>
      <c r="L753" s="2" t="s">
        <v>59</v>
      </c>
      <c r="M753" s="2" t="s">
        <v>60</v>
      </c>
      <c r="N753" s="2"/>
      <c r="O753" s="2" t="s">
        <v>4045</v>
      </c>
      <c r="P753" s="2" t="s">
        <v>109</v>
      </c>
      <c r="Q753" s="2" t="s">
        <v>110</v>
      </c>
      <c r="R753" s="2" t="n">
        <v>0.9</v>
      </c>
      <c r="S753" s="2" t="s">
        <v>4046</v>
      </c>
      <c r="T753" s="2" t="s">
        <v>176</v>
      </c>
      <c r="U753" s="2" t="s">
        <v>4047</v>
      </c>
      <c r="V753" s="2" t="s">
        <v>4048</v>
      </c>
      <c r="W753" s="2" t="s">
        <v>604</v>
      </c>
      <c r="X753" s="2" t="s">
        <v>1588</v>
      </c>
    </row>
    <row r="754" customFormat="false" ht="15" hidden="false" customHeight="false" outlineLevel="0" collapsed="false">
      <c r="A754" s="2" t="n">
        <v>695</v>
      </c>
      <c r="B754" s="2" t="s">
        <v>4005</v>
      </c>
      <c r="C754" s="2" t="s">
        <v>4006</v>
      </c>
      <c r="D754" s="2" t="s">
        <v>351</v>
      </c>
      <c r="E754" s="2" t="s">
        <v>91</v>
      </c>
      <c r="F754" s="2" t="s">
        <v>3924</v>
      </c>
      <c r="G754" s="2" t="s">
        <v>3925</v>
      </c>
      <c r="H754" s="2" t="s">
        <v>91</v>
      </c>
      <c r="I754" s="2" t="s">
        <v>92</v>
      </c>
      <c r="J754" s="2" t="n">
        <v>-7.7926</v>
      </c>
      <c r="K754" s="2" t="n">
        <v>110.3658</v>
      </c>
      <c r="L754" s="2" t="s">
        <v>124</v>
      </c>
      <c r="M754" s="2" t="s">
        <v>60</v>
      </c>
      <c r="N754" s="2"/>
      <c r="O754" s="2" t="s">
        <v>4049</v>
      </c>
      <c r="P754" s="2" t="s">
        <v>1001</v>
      </c>
      <c r="Q754" s="2" t="s">
        <v>62</v>
      </c>
      <c r="R754" s="2" t="n">
        <v>0.6</v>
      </c>
      <c r="S754" s="2" t="s">
        <v>4050</v>
      </c>
      <c r="T754" s="2" t="s">
        <v>4051</v>
      </c>
      <c r="U754" s="2" t="s">
        <v>4052</v>
      </c>
      <c r="V754" s="2" t="s">
        <v>582</v>
      </c>
      <c r="W754" s="2" t="s">
        <v>2158</v>
      </c>
      <c r="X754" s="2" t="s">
        <v>1588</v>
      </c>
    </row>
    <row r="755" customFormat="false" ht="15" hidden="false" customHeight="false" outlineLevel="0" collapsed="false">
      <c r="A755" s="2" t="n">
        <v>697</v>
      </c>
      <c r="B755" s="2" t="s">
        <v>4005</v>
      </c>
      <c r="C755" s="2" t="s">
        <v>4053</v>
      </c>
      <c r="D755" s="2" t="s">
        <v>410</v>
      </c>
      <c r="E755" s="2" t="s">
        <v>4054</v>
      </c>
      <c r="F755" s="2" t="s">
        <v>4055</v>
      </c>
      <c r="G755" s="2" t="s">
        <v>4056</v>
      </c>
      <c r="H755" s="2" t="s">
        <v>3905</v>
      </c>
      <c r="I755" s="2" t="s">
        <v>92</v>
      </c>
      <c r="J755" s="2" t="n">
        <v>-7.6</v>
      </c>
      <c r="K755" s="2" t="n">
        <v>110.46</v>
      </c>
      <c r="L755" s="2" t="s">
        <v>59</v>
      </c>
      <c r="M755" s="2" t="s">
        <v>60</v>
      </c>
      <c r="N755" s="2"/>
      <c r="O755" s="2" t="s">
        <v>4057</v>
      </c>
      <c r="P755" s="2"/>
      <c r="Q755" s="2" t="s">
        <v>110</v>
      </c>
      <c r="R755" s="2" t="n">
        <v>0.85</v>
      </c>
      <c r="S755" s="2" t="s">
        <v>4058</v>
      </c>
      <c r="T755" s="2" t="s">
        <v>810</v>
      </c>
      <c r="U755" s="2" t="s">
        <v>4059</v>
      </c>
      <c r="V755" s="2" t="s">
        <v>965</v>
      </c>
      <c r="W755" s="2" t="s">
        <v>2013</v>
      </c>
      <c r="X755" s="2" t="s">
        <v>1588</v>
      </c>
    </row>
    <row r="756" customFormat="false" ht="15" hidden="false" customHeight="false" outlineLevel="0" collapsed="false">
      <c r="A756" s="2" t="n">
        <v>699</v>
      </c>
      <c r="B756" s="2" t="s">
        <v>4005</v>
      </c>
      <c r="C756" s="2" t="s">
        <v>4060</v>
      </c>
      <c r="D756" s="2" t="s">
        <v>121</v>
      </c>
      <c r="E756" s="2" t="s">
        <v>100</v>
      </c>
      <c r="F756" s="2"/>
      <c r="G756" s="2"/>
      <c r="H756" s="2"/>
      <c r="I756" s="2" t="s">
        <v>92</v>
      </c>
      <c r="J756" s="2" t="n">
        <v>-7.875</v>
      </c>
      <c r="K756" s="2" t="n">
        <v>110.426</v>
      </c>
      <c r="L756" s="2" t="s">
        <v>239</v>
      </c>
      <c r="M756" s="2" t="s">
        <v>340</v>
      </c>
      <c r="N756" s="2" t="s">
        <v>4061</v>
      </c>
      <c r="O756" s="2" t="s">
        <v>4062</v>
      </c>
      <c r="P756" s="2"/>
      <c r="Q756" s="2" t="s">
        <v>62</v>
      </c>
      <c r="R756" s="2" t="n">
        <v>0.6</v>
      </c>
      <c r="S756" s="2" t="s">
        <v>4063</v>
      </c>
      <c r="T756" s="2" t="s">
        <v>4064</v>
      </c>
      <c r="U756" s="2" t="s">
        <v>4065</v>
      </c>
      <c r="V756" s="2" t="s">
        <v>4066</v>
      </c>
      <c r="W756" s="2" t="s">
        <v>1365</v>
      </c>
      <c r="X756" s="2" t="s">
        <v>507</v>
      </c>
    </row>
    <row r="757" customFormat="false" ht="15" hidden="false" customHeight="false" outlineLevel="0" collapsed="false">
      <c r="A757" s="2" t="n">
        <v>701</v>
      </c>
      <c r="B757" s="2" t="s">
        <v>4005</v>
      </c>
      <c r="C757" s="2" t="s">
        <v>3891</v>
      </c>
      <c r="D757" s="2" t="s">
        <v>351</v>
      </c>
      <c r="E757" s="2" t="s">
        <v>4067</v>
      </c>
      <c r="F757" s="2" t="s">
        <v>730</v>
      </c>
      <c r="G757" s="2" t="s">
        <v>90</v>
      </c>
      <c r="H757" s="2" t="s">
        <v>91</v>
      </c>
      <c r="I757" s="2" t="s">
        <v>92</v>
      </c>
      <c r="J757" s="2" t="n">
        <v>-7.8095</v>
      </c>
      <c r="K757" s="2" t="n">
        <v>110.3605</v>
      </c>
      <c r="L757" s="2" t="s">
        <v>124</v>
      </c>
      <c r="M757" s="2" t="s">
        <v>60</v>
      </c>
      <c r="N757" s="2" t="s">
        <v>4068</v>
      </c>
      <c r="O757" s="2" t="s">
        <v>4069</v>
      </c>
      <c r="P757" s="2" t="s">
        <v>2558</v>
      </c>
      <c r="Q757" s="2" t="s">
        <v>62</v>
      </c>
      <c r="R757" s="2" t="n">
        <v>0.7</v>
      </c>
      <c r="S757" s="2" t="s">
        <v>4070</v>
      </c>
      <c r="T757" s="2" t="s">
        <v>1321</v>
      </c>
      <c r="U757" s="2" t="s">
        <v>4071</v>
      </c>
      <c r="V757" s="2" t="s">
        <v>4072</v>
      </c>
      <c r="W757" s="2" t="s">
        <v>966</v>
      </c>
      <c r="X757" s="2" t="s">
        <v>1588</v>
      </c>
    </row>
    <row r="758" customFormat="false" ht="15" hidden="false" customHeight="false" outlineLevel="0" collapsed="false">
      <c r="A758" s="2" t="n">
        <v>702</v>
      </c>
      <c r="B758" s="2" t="s">
        <v>4005</v>
      </c>
      <c r="C758" s="2" t="s">
        <v>4073</v>
      </c>
      <c r="D758" s="2" t="s">
        <v>351</v>
      </c>
      <c r="E758" s="2" t="s">
        <v>4074</v>
      </c>
      <c r="F758" s="2" t="s">
        <v>1549</v>
      </c>
      <c r="G758" s="2" t="s">
        <v>1550</v>
      </c>
      <c r="H758" s="2" t="s">
        <v>91</v>
      </c>
      <c r="I758" s="2" t="s">
        <v>92</v>
      </c>
      <c r="J758" s="2" t="n">
        <v>-7.7985</v>
      </c>
      <c r="K758" s="2" t="n">
        <v>110.3655</v>
      </c>
      <c r="L758" s="2" t="s">
        <v>124</v>
      </c>
      <c r="M758" s="2" t="s">
        <v>60</v>
      </c>
      <c r="N758" s="2"/>
      <c r="O758" s="2" t="s">
        <v>4075</v>
      </c>
      <c r="P758" s="2" t="s">
        <v>4076</v>
      </c>
      <c r="Q758" s="2" t="s">
        <v>110</v>
      </c>
      <c r="R758" s="2" t="n">
        <v>0.6</v>
      </c>
      <c r="S758" s="2" t="s">
        <v>4077</v>
      </c>
      <c r="T758" s="2" t="s">
        <v>4078</v>
      </c>
      <c r="U758" s="2" t="s">
        <v>4079</v>
      </c>
      <c r="V758" s="2" t="s">
        <v>178</v>
      </c>
      <c r="W758" s="2" t="s">
        <v>2379</v>
      </c>
      <c r="X758" s="2" t="s">
        <v>1588</v>
      </c>
    </row>
    <row r="759" customFormat="false" ht="15" hidden="false" customHeight="false" outlineLevel="0" collapsed="false">
      <c r="A759" s="2" t="n">
        <v>704</v>
      </c>
      <c r="B759" s="2" t="s">
        <v>4005</v>
      </c>
      <c r="C759" s="2" t="s">
        <v>4080</v>
      </c>
      <c r="D759" s="2" t="s">
        <v>134</v>
      </c>
      <c r="E759" s="2" t="s">
        <v>4081</v>
      </c>
      <c r="F759" s="2" t="s">
        <v>4082</v>
      </c>
      <c r="G759" s="2" t="s">
        <v>4083</v>
      </c>
      <c r="H759" s="2" t="s">
        <v>91</v>
      </c>
      <c r="I759" s="2" t="s">
        <v>92</v>
      </c>
      <c r="J759" s="2" t="n">
        <v>-7.81</v>
      </c>
      <c r="K759" s="2" t="n">
        <v>110.375</v>
      </c>
      <c r="L759" s="2" t="s">
        <v>59</v>
      </c>
      <c r="M759" s="2" t="s">
        <v>60</v>
      </c>
      <c r="N759" s="2"/>
      <c r="O759" s="2" t="s">
        <v>4084</v>
      </c>
      <c r="P759" s="2" t="s">
        <v>4085</v>
      </c>
      <c r="Q759" s="2" t="s">
        <v>110</v>
      </c>
      <c r="R759" s="2" t="n">
        <v>0.85</v>
      </c>
      <c r="S759" s="2" t="s">
        <v>4086</v>
      </c>
      <c r="T759" s="2" t="s">
        <v>112</v>
      </c>
      <c r="U759" s="2" t="s">
        <v>4087</v>
      </c>
      <c r="V759" s="2" t="s">
        <v>745</v>
      </c>
      <c r="W759" s="2" t="s">
        <v>3435</v>
      </c>
      <c r="X759" s="2" t="s">
        <v>1588</v>
      </c>
    </row>
    <row r="760" customFormat="false" ht="15" hidden="false" customHeight="false" outlineLevel="0" collapsed="false">
      <c r="A760" s="2" t="n">
        <v>704</v>
      </c>
      <c r="B760" s="2" t="s">
        <v>4005</v>
      </c>
      <c r="C760" s="2" t="s">
        <v>4088</v>
      </c>
      <c r="D760" s="2" t="s">
        <v>134</v>
      </c>
      <c r="E760" s="2" t="s">
        <v>4089</v>
      </c>
      <c r="F760" s="2" t="s">
        <v>3903</v>
      </c>
      <c r="G760" s="2" t="s">
        <v>3904</v>
      </c>
      <c r="H760" s="2" t="s">
        <v>3905</v>
      </c>
      <c r="I760" s="2" t="s">
        <v>92</v>
      </c>
      <c r="J760" s="2" t="n">
        <v>-7.735</v>
      </c>
      <c r="K760" s="2" t="n">
        <v>110.385</v>
      </c>
      <c r="L760" s="2" t="s">
        <v>59</v>
      </c>
      <c r="M760" s="2" t="s">
        <v>60</v>
      </c>
      <c r="N760" s="2"/>
      <c r="O760" s="2" t="s">
        <v>4090</v>
      </c>
      <c r="P760" s="2"/>
      <c r="Q760" s="2" t="s">
        <v>62</v>
      </c>
      <c r="R760" s="2" t="n">
        <v>0.75</v>
      </c>
      <c r="S760" s="2" t="s">
        <v>4086</v>
      </c>
      <c r="T760" s="2" t="s">
        <v>112</v>
      </c>
      <c r="U760" s="2" t="s">
        <v>4087</v>
      </c>
      <c r="V760" s="2" t="s">
        <v>745</v>
      </c>
      <c r="W760" s="2" t="s">
        <v>3435</v>
      </c>
      <c r="X760" s="2" t="s">
        <v>1588</v>
      </c>
    </row>
    <row r="761" customFormat="false" ht="15" hidden="false" customHeight="false" outlineLevel="0" collapsed="false">
      <c r="A761" s="2" t="n">
        <v>704</v>
      </c>
      <c r="B761" s="2" t="s">
        <v>4005</v>
      </c>
      <c r="C761" s="2" t="s">
        <v>4091</v>
      </c>
      <c r="D761" s="2" t="s">
        <v>134</v>
      </c>
      <c r="E761" s="2" t="s">
        <v>100</v>
      </c>
      <c r="F761" s="2"/>
      <c r="G761" s="2"/>
      <c r="H761" s="2"/>
      <c r="I761" s="2" t="s">
        <v>92</v>
      </c>
      <c r="J761" s="2" t="n">
        <v>-7.875</v>
      </c>
      <c r="K761" s="2" t="n">
        <v>110.426</v>
      </c>
      <c r="L761" s="2" t="s">
        <v>239</v>
      </c>
      <c r="M761" s="2" t="s">
        <v>340</v>
      </c>
      <c r="N761" s="2"/>
      <c r="O761" s="2" t="s">
        <v>4092</v>
      </c>
      <c r="P761" s="2"/>
      <c r="Q761" s="2" t="s">
        <v>62</v>
      </c>
      <c r="R761" s="2" t="n">
        <v>0.7</v>
      </c>
      <c r="S761" s="2" t="s">
        <v>4086</v>
      </c>
      <c r="T761" s="2" t="s">
        <v>112</v>
      </c>
      <c r="U761" s="2" t="s">
        <v>4087</v>
      </c>
      <c r="V761" s="2" t="s">
        <v>745</v>
      </c>
      <c r="W761" s="2" t="s">
        <v>3435</v>
      </c>
      <c r="X761" s="2" t="s">
        <v>1588</v>
      </c>
    </row>
    <row r="762" customFormat="false" ht="15" hidden="false" customHeight="false" outlineLevel="0" collapsed="false">
      <c r="A762" s="2" t="n">
        <v>705</v>
      </c>
      <c r="B762" s="2" t="s">
        <v>4005</v>
      </c>
      <c r="C762" s="2" t="s">
        <v>1548</v>
      </c>
      <c r="D762" s="2" t="s">
        <v>351</v>
      </c>
      <c r="E762" s="2" t="s">
        <v>100</v>
      </c>
      <c r="F762" s="2" t="s">
        <v>1549</v>
      </c>
      <c r="G762" s="2" t="s">
        <v>1550</v>
      </c>
      <c r="H762" s="2" t="s">
        <v>91</v>
      </c>
      <c r="I762" s="2" t="s">
        <v>92</v>
      </c>
      <c r="J762" s="2" t="n">
        <v>-7.7986</v>
      </c>
      <c r="K762" s="2" t="n">
        <v>110.3654</v>
      </c>
      <c r="L762" s="2" t="s">
        <v>124</v>
      </c>
      <c r="M762" s="2" t="s">
        <v>60</v>
      </c>
      <c r="N762" s="2"/>
      <c r="O762" s="2" t="s">
        <v>4093</v>
      </c>
      <c r="P762" s="2"/>
      <c r="Q762" s="2" t="s">
        <v>62</v>
      </c>
      <c r="R762" s="2" t="n">
        <v>0.5</v>
      </c>
      <c r="S762" s="2" t="s">
        <v>4094</v>
      </c>
      <c r="T762" s="2" t="s">
        <v>743</v>
      </c>
      <c r="U762" s="2" t="s">
        <v>4095</v>
      </c>
      <c r="V762" s="2" t="s">
        <v>158</v>
      </c>
      <c r="W762" s="2" t="s">
        <v>4096</v>
      </c>
      <c r="X762" s="2" t="s">
        <v>1588</v>
      </c>
    </row>
    <row r="763" customFormat="false" ht="15" hidden="false" customHeight="false" outlineLevel="0" collapsed="false">
      <c r="A763" s="2" t="n">
        <v>706</v>
      </c>
      <c r="B763" s="2" t="s">
        <v>4005</v>
      </c>
      <c r="C763" s="2" t="s">
        <v>4097</v>
      </c>
      <c r="D763" s="2" t="s">
        <v>134</v>
      </c>
      <c r="E763" s="2" t="s">
        <v>4098</v>
      </c>
      <c r="F763" s="2" t="s">
        <v>4099</v>
      </c>
      <c r="G763" s="2" t="s">
        <v>4083</v>
      </c>
      <c r="H763" s="2" t="s">
        <v>91</v>
      </c>
      <c r="I763" s="2" t="s">
        <v>92</v>
      </c>
      <c r="J763" s="2" t="n">
        <v>-7.818</v>
      </c>
      <c r="K763" s="2" t="n">
        <v>110.37</v>
      </c>
      <c r="L763" s="2" t="s">
        <v>59</v>
      </c>
      <c r="M763" s="2" t="s">
        <v>60</v>
      </c>
      <c r="N763" s="2"/>
      <c r="O763" s="2" t="s">
        <v>4100</v>
      </c>
      <c r="P763" s="2"/>
      <c r="Q763" s="2" t="s">
        <v>110</v>
      </c>
      <c r="R763" s="2" t="n">
        <v>0.85</v>
      </c>
      <c r="S763" s="2" t="s">
        <v>4101</v>
      </c>
      <c r="T763" s="2" t="s">
        <v>156</v>
      </c>
      <c r="U763" s="2" t="s">
        <v>4102</v>
      </c>
      <c r="V763" s="2" t="s">
        <v>917</v>
      </c>
      <c r="W763" s="2" t="s">
        <v>2005</v>
      </c>
      <c r="X763" s="2" t="s">
        <v>1588</v>
      </c>
    </row>
    <row r="764" customFormat="false" ht="15" hidden="false" customHeight="false" outlineLevel="0" collapsed="false">
      <c r="A764" s="2" t="n">
        <v>706</v>
      </c>
      <c r="B764" s="2" t="s">
        <v>4005</v>
      </c>
      <c r="C764" s="2" t="s">
        <v>4103</v>
      </c>
      <c r="D764" s="2" t="s">
        <v>53</v>
      </c>
      <c r="E764" s="2" t="s">
        <v>4104</v>
      </c>
      <c r="F764" s="2" t="s">
        <v>4105</v>
      </c>
      <c r="G764" s="2" t="s">
        <v>3899</v>
      </c>
      <c r="H764" s="2" t="s">
        <v>91</v>
      </c>
      <c r="I764" s="2" t="s">
        <v>92</v>
      </c>
      <c r="J764" s="2" t="n">
        <v>-7.785</v>
      </c>
      <c r="K764" s="2" t="n">
        <v>110.366</v>
      </c>
      <c r="L764" s="2" t="s">
        <v>59</v>
      </c>
      <c r="M764" s="2" t="s">
        <v>60</v>
      </c>
      <c r="N764" s="2"/>
      <c r="O764" s="2" t="s">
        <v>4106</v>
      </c>
      <c r="P764" s="2"/>
      <c r="Q764" s="2" t="s">
        <v>110</v>
      </c>
      <c r="R764" s="2" t="n">
        <v>0.85</v>
      </c>
      <c r="S764" s="2" t="s">
        <v>4101</v>
      </c>
      <c r="T764" s="2" t="s">
        <v>156</v>
      </c>
      <c r="U764" s="2" t="s">
        <v>4102</v>
      </c>
      <c r="V764" s="2" t="s">
        <v>917</v>
      </c>
      <c r="W764" s="2" t="s">
        <v>2005</v>
      </c>
      <c r="X764" s="2" t="s">
        <v>1588</v>
      </c>
    </row>
    <row r="765" customFormat="false" ht="15" hidden="false" customHeight="false" outlineLevel="0" collapsed="false">
      <c r="A765" s="2" t="n">
        <v>706</v>
      </c>
      <c r="B765" s="2" t="s">
        <v>4005</v>
      </c>
      <c r="C765" s="2" t="s">
        <v>4107</v>
      </c>
      <c r="D765" s="2" t="s">
        <v>410</v>
      </c>
      <c r="E765" s="2" t="s">
        <v>4108</v>
      </c>
      <c r="F765" s="2" t="s">
        <v>4109</v>
      </c>
      <c r="G765" s="2" t="s">
        <v>4110</v>
      </c>
      <c r="H765" s="2" t="s">
        <v>4002</v>
      </c>
      <c r="I765" s="2" t="s">
        <v>92</v>
      </c>
      <c r="J765" s="2" t="n">
        <v>-7.99</v>
      </c>
      <c r="K765" s="2" t="n">
        <v>110.29</v>
      </c>
      <c r="L765" s="2" t="s">
        <v>59</v>
      </c>
      <c r="M765" s="2" t="s">
        <v>60</v>
      </c>
      <c r="N765" s="2"/>
      <c r="O765" s="2" t="s">
        <v>4111</v>
      </c>
      <c r="P765" s="2"/>
      <c r="Q765" s="2" t="s">
        <v>62</v>
      </c>
      <c r="R765" s="2" t="n">
        <v>0.65</v>
      </c>
      <c r="S765" s="2" t="s">
        <v>4101</v>
      </c>
      <c r="T765" s="2" t="s">
        <v>156</v>
      </c>
      <c r="U765" s="2" t="s">
        <v>4102</v>
      </c>
      <c r="V765" s="2" t="s">
        <v>917</v>
      </c>
      <c r="W765" s="2" t="s">
        <v>2005</v>
      </c>
      <c r="X765" s="2" t="s">
        <v>1588</v>
      </c>
    </row>
    <row r="766" customFormat="false" ht="15" hidden="false" customHeight="false" outlineLevel="0" collapsed="false">
      <c r="A766" s="2" t="n">
        <v>707</v>
      </c>
      <c r="B766" s="2" t="s">
        <v>4005</v>
      </c>
      <c r="C766" s="2" t="s">
        <v>3884</v>
      </c>
      <c r="D766" s="2" t="s">
        <v>351</v>
      </c>
      <c r="E766" s="2" t="s">
        <v>100</v>
      </c>
      <c r="F766" s="2"/>
      <c r="G766" s="2" t="s">
        <v>3884</v>
      </c>
      <c r="H766" s="2" t="s">
        <v>91</v>
      </c>
      <c r="I766" s="2" t="s">
        <v>92</v>
      </c>
      <c r="J766" s="2" t="n">
        <v>-7.82</v>
      </c>
      <c r="K766" s="2" t="n">
        <v>110.395</v>
      </c>
      <c r="L766" s="2" t="s">
        <v>84</v>
      </c>
      <c r="M766" s="2" t="s">
        <v>60</v>
      </c>
      <c r="N766" s="2" t="s">
        <v>4112</v>
      </c>
      <c r="O766" s="2" t="s">
        <v>4113</v>
      </c>
      <c r="P766" s="2"/>
      <c r="Q766" s="2" t="s">
        <v>62</v>
      </c>
      <c r="R766" s="2" t="n">
        <v>0.6</v>
      </c>
      <c r="S766" s="2" t="s">
        <v>4114</v>
      </c>
      <c r="T766" s="2" t="s">
        <v>915</v>
      </c>
      <c r="U766" s="2" t="s">
        <v>4115</v>
      </c>
      <c r="V766" s="2" t="s">
        <v>97</v>
      </c>
      <c r="W766" s="2" t="s">
        <v>2489</v>
      </c>
      <c r="X766" s="2" t="s">
        <v>68</v>
      </c>
    </row>
    <row r="767" customFormat="false" ht="15" hidden="false" customHeight="false" outlineLevel="0" collapsed="false">
      <c r="A767" s="2" t="n">
        <v>707</v>
      </c>
      <c r="B767" s="2" t="s">
        <v>4005</v>
      </c>
      <c r="C767" s="2" t="s">
        <v>4116</v>
      </c>
      <c r="D767" s="2" t="s">
        <v>351</v>
      </c>
      <c r="E767" s="2" t="s">
        <v>4117</v>
      </c>
      <c r="F767" s="2" t="s">
        <v>1549</v>
      </c>
      <c r="G767" s="2" t="s">
        <v>1550</v>
      </c>
      <c r="H767" s="2" t="s">
        <v>91</v>
      </c>
      <c r="I767" s="2" t="s">
        <v>92</v>
      </c>
      <c r="J767" s="2" t="n">
        <v>-7.7985</v>
      </c>
      <c r="K767" s="2" t="n">
        <v>110.3655</v>
      </c>
      <c r="L767" s="2" t="s">
        <v>124</v>
      </c>
      <c r="M767" s="2" t="s">
        <v>60</v>
      </c>
      <c r="N767" s="2"/>
      <c r="O767" s="2" t="s">
        <v>4118</v>
      </c>
      <c r="P767" s="2"/>
      <c r="Q767" s="2" t="s">
        <v>62</v>
      </c>
      <c r="R767" s="2" t="n">
        <v>0.6</v>
      </c>
      <c r="S767" s="2" t="s">
        <v>4114</v>
      </c>
      <c r="T767" s="2" t="s">
        <v>915</v>
      </c>
      <c r="U767" s="2" t="s">
        <v>4115</v>
      </c>
      <c r="V767" s="2" t="s">
        <v>97</v>
      </c>
      <c r="W767" s="2" t="s">
        <v>2489</v>
      </c>
      <c r="X767" s="2" t="s">
        <v>68</v>
      </c>
    </row>
    <row r="768" customFormat="false" ht="15" hidden="false" customHeight="false" outlineLevel="0" collapsed="false">
      <c r="A768" s="2" t="n">
        <v>707</v>
      </c>
      <c r="B768" s="2" t="s">
        <v>4005</v>
      </c>
      <c r="C768" s="2" t="s">
        <v>4119</v>
      </c>
      <c r="D768" s="2" t="s">
        <v>410</v>
      </c>
      <c r="E768" s="2" t="s">
        <v>4120</v>
      </c>
      <c r="F768" s="2" t="s">
        <v>4121</v>
      </c>
      <c r="G768" s="2" t="s">
        <v>4122</v>
      </c>
      <c r="H768" s="2" t="s">
        <v>4002</v>
      </c>
      <c r="I768" s="2" t="s">
        <v>92</v>
      </c>
      <c r="J768" s="2" t="n">
        <v>-7.845</v>
      </c>
      <c r="K768" s="2" t="n">
        <v>110.34</v>
      </c>
      <c r="L768" s="2" t="s">
        <v>59</v>
      </c>
      <c r="M768" s="2" t="s">
        <v>60</v>
      </c>
      <c r="N768" s="2"/>
      <c r="O768" s="2" t="s">
        <v>4123</v>
      </c>
      <c r="P768" s="2"/>
      <c r="Q768" s="2" t="s">
        <v>62</v>
      </c>
      <c r="R768" s="2" t="n">
        <v>0.6</v>
      </c>
      <c r="S768" s="2" t="s">
        <v>4114</v>
      </c>
      <c r="T768" s="2" t="s">
        <v>915</v>
      </c>
      <c r="U768" s="2" t="s">
        <v>4115</v>
      </c>
      <c r="V768" s="2" t="s">
        <v>97</v>
      </c>
      <c r="W768" s="2" t="s">
        <v>2489</v>
      </c>
      <c r="X768" s="2" t="s">
        <v>68</v>
      </c>
    </row>
    <row r="769" customFormat="false" ht="15" hidden="false" customHeight="false" outlineLevel="0" collapsed="false">
      <c r="A769" s="2" t="n">
        <v>708</v>
      </c>
      <c r="B769" s="2" t="s">
        <v>4005</v>
      </c>
      <c r="C769" s="2" t="s">
        <v>4124</v>
      </c>
      <c r="D769" s="2" t="s">
        <v>53</v>
      </c>
      <c r="E769" s="2" t="s">
        <v>4125</v>
      </c>
      <c r="F769" s="2" t="s">
        <v>730</v>
      </c>
      <c r="G769" s="2" t="s">
        <v>90</v>
      </c>
      <c r="H769" s="2" t="s">
        <v>91</v>
      </c>
      <c r="I769" s="2" t="s">
        <v>92</v>
      </c>
      <c r="J769" s="2" t="n">
        <v>-7.8095</v>
      </c>
      <c r="K769" s="2" t="n">
        <v>110.3605</v>
      </c>
      <c r="L769" s="2" t="s">
        <v>124</v>
      </c>
      <c r="M769" s="2" t="s">
        <v>60</v>
      </c>
      <c r="N769" s="2"/>
      <c r="O769" s="2" t="s">
        <v>4126</v>
      </c>
      <c r="P769" s="2" t="s">
        <v>692</v>
      </c>
      <c r="Q769" s="2" t="s">
        <v>110</v>
      </c>
      <c r="R769" s="2" t="n">
        <v>0.9</v>
      </c>
      <c r="S769" s="2" t="s">
        <v>4127</v>
      </c>
      <c r="T769" s="2" t="s">
        <v>95</v>
      </c>
      <c r="U769" s="2" t="s">
        <v>4128</v>
      </c>
      <c r="V769" s="2" t="s">
        <v>4066</v>
      </c>
      <c r="W769" s="2" t="s">
        <v>495</v>
      </c>
      <c r="X769" s="2" t="s">
        <v>1588</v>
      </c>
    </row>
    <row r="770" customFormat="false" ht="15" hidden="false" customHeight="false" outlineLevel="0" collapsed="false">
      <c r="A770" s="2" t="n">
        <v>709</v>
      </c>
      <c r="B770" s="2" t="s">
        <v>4005</v>
      </c>
      <c r="C770" s="2" t="s">
        <v>4129</v>
      </c>
      <c r="D770" s="2" t="s">
        <v>53</v>
      </c>
      <c r="E770" s="2" t="s">
        <v>4130</v>
      </c>
      <c r="F770" s="2" t="s">
        <v>1549</v>
      </c>
      <c r="G770" s="2" t="s">
        <v>1550</v>
      </c>
      <c r="H770" s="2" t="s">
        <v>91</v>
      </c>
      <c r="I770" s="2" t="s">
        <v>92</v>
      </c>
      <c r="J770" s="2" t="n">
        <v>-7.798</v>
      </c>
      <c r="K770" s="2" t="n">
        <v>110.363</v>
      </c>
      <c r="L770" s="2" t="s">
        <v>59</v>
      </c>
      <c r="M770" s="2" t="s">
        <v>60</v>
      </c>
      <c r="N770" s="2"/>
      <c r="O770" s="2" t="s">
        <v>4131</v>
      </c>
      <c r="P770" s="2"/>
      <c r="Q770" s="2" t="s">
        <v>110</v>
      </c>
      <c r="R770" s="2" t="n">
        <v>0.85</v>
      </c>
      <c r="S770" s="2" t="s">
        <v>4132</v>
      </c>
      <c r="T770" s="2" t="s">
        <v>4133</v>
      </c>
      <c r="U770" s="2" t="s">
        <v>4134</v>
      </c>
      <c r="V770" s="2" t="s">
        <v>745</v>
      </c>
      <c r="W770" s="2" t="s">
        <v>1875</v>
      </c>
      <c r="X770" s="2" t="s">
        <v>1588</v>
      </c>
    </row>
    <row r="771" customFormat="false" ht="15" hidden="false" customHeight="false" outlineLevel="0" collapsed="false">
      <c r="A771" s="2" t="n">
        <v>710</v>
      </c>
      <c r="B771" s="2" t="s">
        <v>4005</v>
      </c>
      <c r="C771" s="2" t="s">
        <v>3891</v>
      </c>
      <c r="D771" s="2" t="s">
        <v>351</v>
      </c>
      <c r="E771" s="2" t="s">
        <v>4135</v>
      </c>
      <c r="F771" s="2" t="s">
        <v>730</v>
      </c>
      <c r="G771" s="2" t="s">
        <v>90</v>
      </c>
      <c r="H771" s="2" t="s">
        <v>91</v>
      </c>
      <c r="I771" s="2" t="s">
        <v>92</v>
      </c>
      <c r="J771" s="2" t="n">
        <v>-7.8095</v>
      </c>
      <c r="K771" s="2" t="n">
        <v>110.3605</v>
      </c>
      <c r="L771" s="2" t="s">
        <v>124</v>
      </c>
      <c r="M771" s="2" t="s">
        <v>60</v>
      </c>
      <c r="N771" s="2"/>
      <c r="O771" s="2" t="s">
        <v>4136</v>
      </c>
      <c r="P771" s="2"/>
      <c r="Q771" s="2" t="s">
        <v>110</v>
      </c>
      <c r="R771" s="2" t="n">
        <v>0.8</v>
      </c>
      <c r="S771" s="2" t="s">
        <v>4137</v>
      </c>
      <c r="T771" s="2" t="s">
        <v>743</v>
      </c>
      <c r="U771" s="2" t="s">
        <v>4138</v>
      </c>
      <c r="V771" s="2" t="s">
        <v>4139</v>
      </c>
      <c r="W771" s="2" t="s">
        <v>1365</v>
      </c>
      <c r="X771" s="2" t="s">
        <v>1588</v>
      </c>
    </row>
    <row r="772" customFormat="false" ht="15" hidden="false" customHeight="false" outlineLevel="0" collapsed="false">
      <c r="A772" s="2" t="n">
        <v>712</v>
      </c>
      <c r="B772" s="2" t="s">
        <v>4005</v>
      </c>
      <c r="C772" s="2" t="s">
        <v>3891</v>
      </c>
      <c r="D772" s="2" t="s">
        <v>351</v>
      </c>
      <c r="E772" s="2" t="s">
        <v>100</v>
      </c>
      <c r="F772" s="2" t="s">
        <v>730</v>
      </c>
      <c r="G772" s="2" t="s">
        <v>90</v>
      </c>
      <c r="H772" s="2" t="s">
        <v>91</v>
      </c>
      <c r="I772" s="2" t="s">
        <v>92</v>
      </c>
      <c r="J772" s="2" t="n">
        <v>-7.8095</v>
      </c>
      <c r="K772" s="2" t="n">
        <v>110.3605</v>
      </c>
      <c r="L772" s="2" t="s">
        <v>124</v>
      </c>
      <c r="M772" s="2" t="s">
        <v>60</v>
      </c>
      <c r="N772" s="2"/>
      <c r="O772" s="2" t="s">
        <v>4140</v>
      </c>
      <c r="P772" s="2"/>
      <c r="Q772" s="2" t="s">
        <v>110</v>
      </c>
      <c r="R772" s="2" t="n">
        <v>0.8</v>
      </c>
      <c r="S772" s="2" t="s">
        <v>4141</v>
      </c>
      <c r="T772" s="2" t="s">
        <v>156</v>
      </c>
      <c r="U772" s="2" t="s">
        <v>4142</v>
      </c>
      <c r="V772" s="2" t="s">
        <v>745</v>
      </c>
      <c r="W772" s="2" t="s">
        <v>2013</v>
      </c>
      <c r="X772" s="2" t="s">
        <v>1588</v>
      </c>
    </row>
    <row r="773" customFormat="false" ht="15" hidden="false" customHeight="false" outlineLevel="0" collapsed="false">
      <c r="A773" s="2" t="n">
        <v>712</v>
      </c>
      <c r="B773" s="2" t="s">
        <v>4005</v>
      </c>
      <c r="C773" s="2" t="s">
        <v>4124</v>
      </c>
      <c r="D773" s="2" t="s">
        <v>53</v>
      </c>
      <c r="E773" s="2" t="s">
        <v>4125</v>
      </c>
      <c r="F773" s="2" t="s">
        <v>730</v>
      </c>
      <c r="G773" s="2" t="s">
        <v>90</v>
      </c>
      <c r="H773" s="2" t="s">
        <v>91</v>
      </c>
      <c r="I773" s="2" t="s">
        <v>92</v>
      </c>
      <c r="J773" s="2" t="n">
        <v>-7.8095</v>
      </c>
      <c r="K773" s="2" t="n">
        <v>110.3605</v>
      </c>
      <c r="L773" s="2" t="s">
        <v>124</v>
      </c>
      <c r="M773" s="2" t="s">
        <v>60</v>
      </c>
      <c r="N773" s="2"/>
      <c r="O773" s="2" t="s">
        <v>4143</v>
      </c>
      <c r="P773" s="2"/>
      <c r="Q773" s="2" t="s">
        <v>62</v>
      </c>
      <c r="R773" s="2" t="n">
        <v>0.75</v>
      </c>
      <c r="S773" s="2" t="s">
        <v>4141</v>
      </c>
      <c r="T773" s="2" t="s">
        <v>156</v>
      </c>
      <c r="U773" s="2" t="s">
        <v>4142</v>
      </c>
      <c r="V773" s="2" t="s">
        <v>745</v>
      </c>
      <c r="W773" s="2" t="s">
        <v>2013</v>
      </c>
      <c r="X773" s="2" t="s">
        <v>1588</v>
      </c>
    </row>
    <row r="774" customFormat="false" ht="15" hidden="false" customHeight="false" outlineLevel="0" collapsed="false">
      <c r="A774" s="2" t="n">
        <v>712</v>
      </c>
      <c r="B774" s="2" t="s">
        <v>4005</v>
      </c>
      <c r="C774" s="2" t="s">
        <v>4144</v>
      </c>
      <c r="D774" s="2" t="s">
        <v>53</v>
      </c>
      <c r="E774" s="2" t="s">
        <v>4125</v>
      </c>
      <c r="F774" s="2" t="s">
        <v>730</v>
      </c>
      <c r="G774" s="2" t="s">
        <v>90</v>
      </c>
      <c r="H774" s="2" t="s">
        <v>91</v>
      </c>
      <c r="I774" s="2" t="s">
        <v>92</v>
      </c>
      <c r="J774" s="2" t="n">
        <v>-7.8095</v>
      </c>
      <c r="K774" s="2" t="n">
        <v>110.3605</v>
      </c>
      <c r="L774" s="2" t="s">
        <v>124</v>
      </c>
      <c r="M774" s="2" t="s">
        <v>60</v>
      </c>
      <c r="N774" s="2"/>
      <c r="O774" s="2" t="s">
        <v>4145</v>
      </c>
      <c r="P774" s="2"/>
      <c r="Q774" s="2" t="s">
        <v>62</v>
      </c>
      <c r="R774" s="2" t="n">
        <v>0.75</v>
      </c>
      <c r="S774" s="2" t="s">
        <v>4141</v>
      </c>
      <c r="T774" s="2" t="s">
        <v>156</v>
      </c>
      <c r="U774" s="2" t="s">
        <v>4142</v>
      </c>
      <c r="V774" s="2" t="s">
        <v>745</v>
      </c>
      <c r="W774" s="2" t="s">
        <v>2013</v>
      </c>
      <c r="X774" s="2" t="s">
        <v>1588</v>
      </c>
    </row>
    <row r="775" customFormat="false" ht="15" hidden="false" customHeight="false" outlineLevel="0" collapsed="false">
      <c r="A775" s="2" t="n">
        <v>712</v>
      </c>
      <c r="B775" s="2" t="s">
        <v>4005</v>
      </c>
      <c r="C775" s="2" t="s">
        <v>4146</v>
      </c>
      <c r="D775" s="2" t="s">
        <v>53</v>
      </c>
      <c r="E775" s="2" t="s">
        <v>4125</v>
      </c>
      <c r="F775" s="2" t="s">
        <v>730</v>
      </c>
      <c r="G775" s="2" t="s">
        <v>90</v>
      </c>
      <c r="H775" s="2" t="s">
        <v>91</v>
      </c>
      <c r="I775" s="2" t="s">
        <v>92</v>
      </c>
      <c r="J775" s="2" t="n">
        <v>-7.8095</v>
      </c>
      <c r="K775" s="2" t="n">
        <v>110.3605</v>
      </c>
      <c r="L775" s="2" t="s">
        <v>124</v>
      </c>
      <c r="M775" s="2" t="s">
        <v>60</v>
      </c>
      <c r="N775" s="2"/>
      <c r="O775" s="2" t="s">
        <v>4147</v>
      </c>
      <c r="P775" s="2"/>
      <c r="Q775" s="2" t="s">
        <v>62</v>
      </c>
      <c r="R775" s="2" t="n">
        <v>0.7</v>
      </c>
      <c r="S775" s="2" t="s">
        <v>4141</v>
      </c>
      <c r="T775" s="2" t="s">
        <v>156</v>
      </c>
      <c r="U775" s="2" t="s">
        <v>4142</v>
      </c>
      <c r="V775" s="2" t="s">
        <v>745</v>
      </c>
      <c r="W775" s="2" t="s">
        <v>2013</v>
      </c>
      <c r="X775" s="2" t="s">
        <v>1588</v>
      </c>
    </row>
    <row r="776" customFormat="false" ht="15" hidden="false" customHeight="false" outlineLevel="0" collapsed="false">
      <c r="A776" s="2" t="n">
        <v>717</v>
      </c>
      <c r="B776" s="2" t="s">
        <v>4005</v>
      </c>
      <c r="C776" s="2" t="s">
        <v>4148</v>
      </c>
      <c r="D776" s="2" t="s">
        <v>1130</v>
      </c>
      <c r="E776" s="2" t="s">
        <v>100</v>
      </c>
      <c r="F776" s="2" t="s">
        <v>1549</v>
      </c>
      <c r="G776" s="2" t="s">
        <v>1550</v>
      </c>
      <c r="H776" s="2" t="s">
        <v>91</v>
      </c>
      <c r="I776" s="2" t="s">
        <v>92</v>
      </c>
      <c r="J776" s="2" t="n">
        <v>-7.7995</v>
      </c>
      <c r="K776" s="2" t="n">
        <v>110.368</v>
      </c>
      <c r="L776" s="2" t="s">
        <v>124</v>
      </c>
      <c r="M776" s="2" t="s">
        <v>60</v>
      </c>
      <c r="N776" s="2"/>
      <c r="O776" s="2" t="s">
        <v>4149</v>
      </c>
      <c r="P776" s="2" t="s">
        <v>4150</v>
      </c>
      <c r="Q776" s="2" t="s">
        <v>62</v>
      </c>
      <c r="R776" s="2" t="n">
        <v>0.4</v>
      </c>
      <c r="S776" s="2" t="s">
        <v>4151</v>
      </c>
      <c r="T776" s="2" t="s">
        <v>4152</v>
      </c>
      <c r="U776" s="2" t="s">
        <v>4153</v>
      </c>
      <c r="V776" s="2" t="s">
        <v>1500</v>
      </c>
      <c r="W776" s="2" t="s">
        <v>2013</v>
      </c>
      <c r="X776" s="2" t="s">
        <v>1588</v>
      </c>
    </row>
    <row r="777" customFormat="false" ht="15" hidden="false" customHeight="false" outlineLevel="0" collapsed="false">
      <c r="A777" s="2" t="n">
        <v>723</v>
      </c>
      <c r="B777" s="2" t="s">
        <v>4154</v>
      </c>
      <c r="C777" s="2" t="s">
        <v>4060</v>
      </c>
      <c r="D777" s="2" t="s">
        <v>121</v>
      </c>
      <c r="E777" s="2" t="s">
        <v>100</v>
      </c>
      <c r="F777" s="2"/>
      <c r="G777" s="2"/>
      <c r="H777" s="2"/>
      <c r="I777" s="2" t="s">
        <v>92</v>
      </c>
      <c r="J777" s="2" t="n">
        <v>-7.875</v>
      </c>
      <c r="K777" s="2" t="n">
        <v>110.426</v>
      </c>
      <c r="L777" s="2" t="s">
        <v>239</v>
      </c>
      <c r="M777" s="2" t="s">
        <v>340</v>
      </c>
      <c r="N777" s="2" t="s">
        <v>4061</v>
      </c>
      <c r="O777" s="2" t="s">
        <v>4155</v>
      </c>
      <c r="P777" s="2" t="s">
        <v>109</v>
      </c>
      <c r="Q777" s="2" t="s">
        <v>62</v>
      </c>
      <c r="R777" s="2" t="n">
        <v>0.5</v>
      </c>
      <c r="S777" s="2" t="s">
        <v>4156</v>
      </c>
      <c r="T777" s="2" t="s">
        <v>176</v>
      </c>
      <c r="U777" s="2" t="s">
        <v>4157</v>
      </c>
      <c r="V777" s="2" t="s">
        <v>420</v>
      </c>
      <c r="W777" s="2" t="s">
        <v>604</v>
      </c>
      <c r="X777" s="2" t="s">
        <v>1588</v>
      </c>
    </row>
    <row r="778" customFormat="false" ht="15" hidden="false" customHeight="false" outlineLevel="0" collapsed="false">
      <c r="A778" s="2" t="n">
        <v>723</v>
      </c>
      <c r="B778" s="2" t="s">
        <v>4154</v>
      </c>
      <c r="C778" s="2" t="s">
        <v>4158</v>
      </c>
      <c r="D778" s="2" t="s">
        <v>121</v>
      </c>
      <c r="E778" s="2" t="s">
        <v>91</v>
      </c>
      <c r="F778" s="2"/>
      <c r="G778" s="2"/>
      <c r="H778" s="2" t="s">
        <v>91</v>
      </c>
      <c r="I778" s="2" t="s">
        <v>92</v>
      </c>
      <c r="J778" s="2" t="n">
        <v>-7.801</v>
      </c>
      <c r="K778" s="2" t="n">
        <v>110.373</v>
      </c>
      <c r="L778" s="2" t="s">
        <v>101</v>
      </c>
      <c r="M778" s="2" t="s">
        <v>60</v>
      </c>
      <c r="N778" s="2"/>
      <c r="O778" s="2" t="s">
        <v>4159</v>
      </c>
      <c r="P778" s="2" t="s">
        <v>4160</v>
      </c>
      <c r="Q778" s="2" t="s">
        <v>62</v>
      </c>
      <c r="R778" s="2" t="n">
        <v>0.5</v>
      </c>
      <c r="S778" s="2" t="s">
        <v>4156</v>
      </c>
      <c r="T778" s="2" t="s">
        <v>176</v>
      </c>
      <c r="U778" s="2" t="s">
        <v>4157</v>
      </c>
      <c r="V778" s="2" t="s">
        <v>420</v>
      </c>
      <c r="W778" s="2" t="s">
        <v>604</v>
      </c>
      <c r="X778" s="2" t="s">
        <v>1588</v>
      </c>
    </row>
    <row r="779" customFormat="false" ht="15" hidden="false" customHeight="false" outlineLevel="0" collapsed="false">
      <c r="A779" s="2" t="n">
        <v>725</v>
      </c>
      <c r="B779" s="2" t="s">
        <v>4154</v>
      </c>
      <c r="C779" s="2" t="s">
        <v>4161</v>
      </c>
      <c r="D779" s="2" t="s">
        <v>121</v>
      </c>
      <c r="E779" s="2" t="s">
        <v>4162</v>
      </c>
      <c r="F779" s="2" t="s">
        <v>4163</v>
      </c>
      <c r="G779" s="2" t="s">
        <v>4110</v>
      </c>
      <c r="H779" s="2" t="s">
        <v>4002</v>
      </c>
      <c r="I779" s="2" t="s">
        <v>92</v>
      </c>
      <c r="J779" s="2" t="n">
        <v>-8.019</v>
      </c>
      <c r="K779" s="2" t="n">
        <v>110.317</v>
      </c>
      <c r="L779" s="2" t="s">
        <v>124</v>
      </c>
      <c r="M779" s="2" t="s">
        <v>60</v>
      </c>
      <c r="N779" s="2"/>
      <c r="O779" s="2" t="s">
        <v>4164</v>
      </c>
      <c r="P779" s="2" t="s">
        <v>1457</v>
      </c>
      <c r="Q779" s="2" t="s">
        <v>62</v>
      </c>
      <c r="R779" s="2" t="n">
        <v>0.8</v>
      </c>
      <c r="S779" s="2" t="s">
        <v>4165</v>
      </c>
      <c r="T779" s="2" t="s">
        <v>4166</v>
      </c>
      <c r="U779" s="2" t="s">
        <v>4167</v>
      </c>
      <c r="V779" s="2" t="s">
        <v>2214</v>
      </c>
      <c r="W779" s="2" t="s">
        <v>2013</v>
      </c>
      <c r="X779" s="2" t="s">
        <v>1588</v>
      </c>
    </row>
    <row r="780" customFormat="false" ht="15" hidden="false" customHeight="false" outlineLevel="0" collapsed="false">
      <c r="A780" s="2" t="n">
        <v>728</v>
      </c>
      <c r="B780" s="2" t="s">
        <v>4154</v>
      </c>
      <c r="C780" s="2" t="s">
        <v>4168</v>
      </c>
      <c r="D780" s="2" t="s">
        <v>53</v>
      </c>
      <c r="E780" s="2" t="s">
        <v>4169</v>
      </c>
      <c r="F780" s="2"/>
      <c r="G780" s="2" t="s">
        <v>715</v>
      </c>
      <c r="H780" s="2" t="s">
        <v>716</v>
      </c>
      <c r="I780" s="2" t="s">
        <v>74</v>
      </c>
      <c r="J780" s="2" t="n">
        <v>-6.175</v>
      </c>
      <c r="K780" s="2" t="n">
        <v>106.79</v>
      </c>
      <c r="L780" s="2" t="s">
        <v>84</v>
      </c>
      <c r="M780" s="2" t="s">
        <v>60</v>
      </c>
      <c r="N780" s="2"/>
      <c r="O780" s="2" t="s">
        <v>4170</v>
      </c>
      <c r="P780" s="2"/>
      <c r="Q780" s="2" t="s">
        <v>62</v>
      </c>
      <c r="R780" s="2" t="n">
        <v>0.75</v>
      </c>
      <c r="S780" s="2" t="s">
        <v>4171</v>
      </c>
      <c r="T780" s="2" t="s">
        <v>64</v>
      </c>
      <c r="U780" s="2" t="s">
        <v>4172</v>
      </c>
      <c r="V780" s="2" t="s">
        <v>1170</v>
      </c>
      <c r="W780" s="2" t="s">
        <v>430</v>
      </c>
      <c r="X780" s="2" t="s">
        <v>1588</v>
      </c>
    </row>
    <row r="781" customFormat="false" ht="15" hidden="false" customHeight="false" outlineLevel="0" collapsed="false">
      <c r="A781" s="2" t="n">
        <v>728</v>
      </c>
      <c r="B781" s="2" t="s">
        <v>4154</v>
      </c>
      <c r="C781" s="2" t="s">
        <v>4173</v>
      </c>
      <c r="D781" s="2" t="s">
        <v>53</v>
      </c>
      <c r="E781" s="2" t="s">
        <v>4174</v>
      </c>
      <c r="F781" s="2"/>
      <c r="G781" s="2" t="s">
        <v>4175</v>
      </c>
      <c r="H781" s="2" t="s">
        <v>426</v>
      </c>
      <c r="I781" s="2" t="s">
        <v>74</v>
      </c>
      <c r="J781" s="2" t="n">
        <v>-6.245</v>
      </c>
      <c r="K781" s="2" t="n">
        <v>106.775</v>
      </c>
      <c r="L781" s="2" t="s">
        <v>84</v>
      </c>
      <c r="M781" s="2" t="s">
        <v>60</v>
      </c>
      <c r="N781" s="2"/>
      <c r="O781" s="2" t="s">
        <v>4176</v>
      </c>
      <c r="P781" s="2"/>
      <c r="Q781" s="2" t="s">
        <v>62</v>
      </c>
      <c r="R781" s="2" t="n">
        <v>0.8</v>
      </c>
      <c r="S781" s="2" t="s">
        <v>4171</v>
      </c>
      <c r="T781" s="2" t="s">
        <v>64</v>
      </c>
      <c r="U781" s="2" t="s">
        <v>4172</v>
      </c>
      <c r="V781" s="2" t="s">
        <v>1170</v>
      </c>
      <c r="W781" s="2" t="s">
        <v>430</v>
      </c>
      <c r="X781" s="2" t="s">
        <v>1588</v>
      </c>
    </row>
    <row r="782" customFormat="false" ht="15" hidden="false" customHeight="false" outlineLevel="0" collapsed="false">
      <c r="A782" s="2" t="n">
        <v>728</v>
      </c>
      <c r="B782" s="2" t="s">
        <v>4154</v>
      </c>
      <c r="C782" s="2" t="s">
        <v>4177</v>
      </c>
      <c r="D782" s="2" t="s">
        <v>53</v>
      </c>
      <c r="E782" s="2" t="s">
        <v>4178</v>
      </c>
      <c r="F782" s="2"/>
      <c r="G782" s="2" t="s">
        <v>208</v>
      </c>
      <c r="H782" s="2" t="s">
        <v>198</v>
      </c>
      <c r="I782" s="2" t="s">
        <v>74</v>
      </c>
      <c r="J782" s="2" t="n">
        <v>-6.225</v>
      </c>
      <c r="K782" s="2" t="n">
        <v>106.875</v>
      </c>
      <c r="L782" s="2" t="s">
        <v>84</v>
      </c>
      <c r="M782" s="2" t="s">
        <v>60</v>
      </c>
      <c r="N782" s="2"/>
      <c r="O782" s="2" t="s">
        <v>4179</v>
      </c>
      <c r="P782" s="2"/>
      <c r="Q782" s="2" t="s">
        <v>62</v>
      </c>
      <c r="R782" s="2" t="n">
        <v>0.65</v>
      </c>
      <c r="S782" s="2" t="s">
        <v>4171</v>
      </c>
      <c r="T782" s="2" t="s">
        <v>64</v>
      </c>
      <c r="U782" s="2" t="s">
        <v>4172</v>
      </c>
      <c r="V782" s="2" t="s">
        <v>1170</v>
      </c>
      <c r="W782" s="2" t="s">
        <v>430</v>
      </c>
      <c r="X782" s="2" t="s">
        <v>1588</v>
      </c>
    </row>
    <row r="783" customFormat="false" ht="15" hidden="false" customHeight="false" outlineLevel="0" collapsed="false">
      <c r="A783" s="2" t="n">
        <v>729</v>
      </c>
      <c r="B783" s="2" t="s">
        <v>4154</v>
      </c>
      <c r="C783" s="2" t="s">
        <v>4180</v>
      </c>
      <c r="D783" s="2" t="s">
        <v>53</v>
      </c>
      <c r="E783" s="2" t="s">
        <v>4181</v>
      </c>
      <c r="F783" s="2"/>
      <c r="G783" s="2"/>
      <c r="H783" s="2" t="s">
        <v>4181</v>
      </c>
      <c r="I783" s="2" t="s">
        <v>184</v>
      </c>
      <c r="J783" s="2" t="n">
        <v>-7.63</v>
      </c>
      <c r="K783" s="2" t="n">
        <v>111.523</v>
      </c>
      <c r="L783" s="2" t="s">
        <v>101</v>
      </c>
      <c r="M783" s="2" t="s">
        <v>60</v>
      </c>
      <c r="N783" s="2"/>
      <c r="O783" s="2" t="s">
        <v>4182</v>
      </c>
      <c r="P783" s="2"/>
      <c r="Q783" s="2" t="s">
        <v>62</v>
      </c>
      <c r="R783" s="2" t="n">
        <v>0.75</v>
      </c>
      <c r="S783" s="2" t="s">
        <v>4183</v>
      </c>
      <c r="T783" s="2" t="s">
        <v>1168</v>
      </c>
      <c r="U783" s="2" t="s">
        <v>4184</v>
      </c>
      <c r="V783" s="2" t="s">
        <v>66</v>
      </c>
      <c r="W783" s="2" t="s">
        <v>2927</v>
      </c>
      <c r="X783" s="2" t="s">
        <v>1588</v>
      </c>
    </row>
    <row r="784" customFormat="false" ht="15" hidden="false" customHeight="false" outlineLevel="0" collapsed="false">
      <c r="A784" s="2" t="n">
        <v>729</v>
      </c>
      <c r="B784" s="2" t="s">
        <v>4154</v>
      </c>
      <c r="C784" s="2" t="s">
        <v>4185</v>
      </c>
      <c r="D784" s="2" t="s">
        <v>53</v>
      </c>
      <c r="E784" s="2" t="s">
        <v>4186</v>
      </c>
      <c r="F784" s="2"/>
      <c r="G784" s="2"/>
      <c r="H784" s="2"/>
      <c r="I784" s="2" t="s">
        <v>184</v>
      </c>
      <c r="J784" s="2" t="n">
        <v>-7.536</v>
      </c>
      <c r="K784" s="2" t="n">
        <v>112.238</v>
      </c>
      <c r="L784" s="2" t="s">
        <v>239</v>
      </c>
      <c r="M784" s="2" t="s">
        <v>60</v>
      </c>
      <c r="N784" s="2" t="s">
        <v>4187</v>
      </c>
      <c r="O784" s="2" t="s">
        <v>4182</v>
      </c>
      <c r="P784" s="2"/>
      <c r="Q784" s="2" t="s">
        <v>62</v>
      </c>
      <c r="R784" s="2" t="n">
        <v>0.7</v>
      </c>
      <c r="S784" s="2" t="s">
        <v>4183</v>
      </c>
      <c r="T784" s="2" t="s">
        <v>1168</v>
      </c>
      <c r="U784" s="2" t="s">
        <v>4184</v>
      </c>
      <c r="V784" s="2" t="s">
        <v>66</v>
      </c>
      <c r="W784" s="2" t="s">
        <v>2927</v>
      </c>
      <c r="X784" s="2" t="s">
        <v>1588</v>
      </c>
    </row>
    <row r="785" customFormat="false" ht="15" hidden="false" customHeight="false" outlineLevel="0" collapsed="false">
      <c r="A785" s="2" t="n">
        <v>729</v>
      </c>
      <c r="B785" s="2" t="s">
        <v>4154</v>
      </c>
      <c r="C785" s="2" t="s">
        <v>4188</v>
      </c>
      <c r="D785" s="2" t="s">
        <v>53</v>
      </c>
      <c r="E785" s="2" t="s">
        <v>4186</v>
      </c>
      <c r="F785" s="2"/>
      <c r="G785" s="2"/>
      <c r="H785" s="2"/>
      <c r="I785" s="2" t="s">
        <v>184</v>
      </c>
      <c r="J785" s="2" t="n">
        <v>-7.536</v>
      </c>
      <c r="K785" s="2" t="n">
        <v>112.238</v>
      </c>
      <c r="L785" s="2" t="s">
        <v>239</v>
      </c>
      <c r="M785" s="2" t="s">
        <v>60</v>
      </c>
      <c r="N785" s="2" t="s">
        <v>4187</v>
      </c>
      <c r="O785" s="2" t="s">
        <v>4182</v>
      </c>
      <c r="P785" s="2"/>
      <c r="Q785" s="2" t="s">
        <v>62</v>
      </c>
      <c r="R785" s="2" t="n">
        <v>0.7</v>
      </c>
      <c r="S785" s="2" t="s">
        <v>4183</v>
      </c>
      <c r="T785" s="2" t="s">
        <v>1168</v>
      </c>
      <c r="U785" s="2" t="s">
        <v>4184</v>
      </c>
      <c r="V785" s="2" t="s">
        <v>66</v>
      </c>
      <c r="W785" s="2" t="s">
        <v>2927</v>
      </c>
      <c r="X785" s="2" t="s">
        <v>1588</v>
      </c>
    </row>
    <row r="786" customFormat="false" ht="15" hidden="false" customHeight="false" outlineLevel="0" collapsed="false">
      <c r="A786" s="2" t="n">
        <v>730</v>
      </c>
      <c r="B786" s="2" t="s">
        <v>4154</v>
      </c>
      <c r="C786" s="2" t="s">
        <v>4189</v>
      </c>
      <c r="D786" s="2" t="s">
        <v>53</v>
      </c>
      <c r="E786" s="2" t="s">
        <v>2051</v>
      </c>
      <c r="F786" s="2"/>
      <c r="G786" s="2" t="s">
        <v>1644</v>
      </c>
      <c r="H786" s="2" t="s">
        <v>426</v>
      </c>
      <c r="I786" s="2" t="s">
        <v>74</v>
      </c>
      <c r="J786" s="2" t="n">
        <v>-6.23</v>
      </c>
      <c r="K786" s="2" t="n">
        <v>106.85</v>
      </c>
      <c r="L786" s="2" t="s">
        <v>84</v>
      </c>
      <c r="M786" s="2" t="s">
        <v>60</v>
      </c>
      <c r="N786" s="2"/>
      <c r="O786" s="2" t="s">
        <v>4190</v>
      </c>
      <c r="P786" s="2"/>
      <c r="Q786" s="2" t="s">
        <v>62</v>
      </c>
      <c r="R786" s="2" t="n">
        <v>0.75</v>
      </c>
      <c r="S786" s="2" t="s">
        <v>4191</v>
      </c>
      <c r="T786" s="2" t="s">
        <v>64</v>
      </c>
      <c r="U786" s="2" t="s">
        <v>4192</v>
      </c>
      <c r="V786" s="2" t="s">
        <v>841</v>
      </c>
      <c r="W786" s="2" t="s">
        <v>344</v>
      </c>
      <c r="X786" s="2" t="s">
        <v>1588</v>
      </c>
    </row>
    <row r="787" customFormat="false" ht="15" hidden="false" customHeight="false" outlineLevel="0" collapsed="false">
      <c r="A787" s="2" t="n">
        <v>730</v>
      </c>
      <c r="B787" s="2" t="s">
        <v>4154</v>
      </c>
      <c r="C787" s="2" t="s">
        <v>4193</v>
      </c>
      <c r="D787" s="2" t="s">
        <v>53</v>
      </c>
      <c r="E787" s="2" t="s">
        <v>830</v>
      </c>
      <c r="F787" s="2"/>
      <c r="G787" s="2"/>
      <c r="H787" s="2"/>
      <c r="I787" s="2" t="s">
        <v>74</v>
      </c>
      <c r="J787" s="2" t="n">
        <v>-6.2</v>
      </c>
      <c r="K787" s="2" t="n">
        <v>106.845</v>
      </c>
      <c r="L787" s="2" t="s">
        <v>239</v>
      </c>
      <c r="M787" s="2" t="s">
        <v>340</v>
      </c>
      <c r="N787" s="2"/>
      <c r="O787" s="2" t="s">
        <v>4194</v>
      </c>
      <c r="P787" s="2"/>
      <c r="Q787" s="2" t="s">
        <v>62</v>
      </c>
      <c r="R787" s="2" t="n">
        <v>0.7</v>
      </c>
      <c r="S787" s="2" t="s">
        <v>4191</v>
      </c>
      <c r="T787" s="2" t="s">
        <v>64</v>
      </c>
      <c r="U787" s="2" t="s">
        <v>4192</v>
      </c>
      <c r="V787" s="2" t="s">
        <v>841</v>
      </c>
      <c r="W787" s="2" t="s">
        <v>344</v>
      </c>
      <c r="X787" s="2" t="s">
        <v>1588</v>
      </c>
    </row>
    <row r="788" customFormat="false" ht="15" hidden="false" customHeight="false" outlineLevel="0" collapsed="false">
      <c r="A788" s="2" t="n">
        <v>731</v>
      </c>
      <c r="B788" s="2" t="s">
        <v>4154</v>
      </c>
      <c r="C788" s="2" t="s">
        <v>4195</v>
      </c>
      <c r="D788" s="2" t="s">
        <v>53</v>
      </c>
      <c r="E788" s="2" t="s">
        <v>830</v>
      </c>
      <c r="F788" s="2"/>
      <c r="G788" s="2"/>
      <c r="H788" s="2"/>
      <c r="I788" s="2" t="s">
        <v>74</v>
      </c>
      <c r="J788" s="2" t="n">
        <v>-6.2</v>
      </c>
      <c r="K788" s="2" t="n">
        <v>106.845</v>
      </c>
      <c r="L788" s="2" t="s">
        <v>239</v>
      </c>
      <c r="M788" s="2" t="s">
        <v>340</v>
      </c>
      <c r="N788" s="2"/>
      <c r="O788" s="2" t="s">
        <v>4196</v>
      </c>
      <c r="P788" s="2" t="s">
        <v>692</v>
      </c>
      <c r="Q788" s="2" t="s">
        <v>110</v>
      </c>
      <c r="R788" s="2" t="n">
        <v>0.7</v>
      </c>
      <c r="S788" s="2" t="s">
        <v>4197</v>
      </c>
      <c r="T788" s="2" t="s">
        <v>4198</v>
      </c>
      <c r="U788" s="2" t="s">
        <v>4199</v>
      </c>
      <c r="V788" s="2" t="s">
        <v>158</v>
      </c>
      <c r="W788" s="2" t="s">
        <v>1768</v>
      </c>
      <c r="X788" s="2" t="s">
        <v>507</v>
      </c>
    </row>
    <row r="789" customFormat="false" ht="15" hidden="false" customHeight="false" outlineLevel="0" collapsed="false">
      <c r="A789" s="2" t="n">
        <v>732</v>
      </c>
      <c r="B789" s="2" t="s">
        <v>4154</v>
      </c>
      <c r="C789" s="2" t="s">
        <v>4200</v>
      </c>
      <c r="D789" s="2" t="s">
        <v>53</v>
      </c>
      <c r="E789" s="2" t="s">
        <v>4201</v>
      </c>
      <c r="F789" s="2" t="s">
        <v>4202</v>
      </c>
      <c r="G789" s="2" t="s">
        <v>316</v>
      </c>
      <c r="H789" s="2" t="s">
        <v>317</v>
      </c>
      <c r="I789" s="2" t="s">
        <v>74</v>
      </c>
      <c r="J789" s="2" t="n">
        <v>-6.16</v>
      </c>
      <c r="K789" s="2" t="n">
        <v>106.915</v>
      </c>
      <c r="L789" s="2" t="s">
        <v>59</v>
      </c>
      <c r="M789" s="2" t="s">
        <v>60</v>
      </c>
      <c r="N789" s="2"/>
      <c r="O789" s="2" t="s">
        <v>4203</v>
      </c>
      <c r="P789" s="2"/>
      <c r="Q789" s="2" t="s">
        <v>62</v>
      </c>
      <c r="R789" s="2" t="n">
        <v>0.75</v>
      </c>
      <c r="S789" s="2" t="s">
        <v>4204</v>
      </c>
      <c r="T789" s="2" t="s">
        <v>156</v>
      </c>
      <c r="U789" s="2" t="s">
        <v>4205</v>
      </c>
      <c r="V789" s="2" t="s">
        <v>245</v>
      </c>
      <c r="W789" s="2" t="s">
        <v>4206</v>
      </c>
      <c r="X789" s="2" t="s">
        <v>68</v>
      </c>
    </row>
    <row r="790" customFormat="false" ht="15" hidden="false" customHeight="false" outlineLevel="0" collapsed="false">
      <c r="A790" s="2" t="n">
        <v>733</v>
      </c>
      <c r="B790" s="2" t="s">
        <v>4154</v>
      </c>
      <c r="C790" s="2" t="s">
        <v>4207</v>
      </c>
      <c r="D790" s="2" t="s">
        <v>53</v>
      </c>
      <c r="E790" s="2" t="s">
        <v>223</v>
      </c>
      <c r="F790" s="2"/>
      <c r="G790" s="2"/>
      <c r="H790" s="2"/>
      <c r="I790" s="2" t="s">
        <v>184</v>
      </c>
      <c r="J790" s="2" t="n">
        <v>-7.536</v>
      </c>
      <c r="K790" s="2" t="n">
        <v>112.238</v>
      </c>
      <c r="L790" s="2" t="s">
        <v>239</v>
      </c>
      <c r="M790" s="2" t="s">
        <v>60</v>
      </c>
      <c r="N790" s="2" t="s">
        <v>4208</v>
      </c>
      <c r="O790" s="2" t="s">
        <v>4209</v>
      </c>
      <c r="P790" s="2"/>
      <c r="Q790" s="2" t="s">
        <v>62</v>
      </c>
      <c r="R790" s="2" t="n">
        <v>0.7</v>
      </c>
      <c r="S790" s="2" t="s">
        <v>4210</v>
      </c>
      <c r="T790" s="2" t="s">
        <v>243</v>
      </c>
      <c r="U790" s="2" t="s">
        <v>4211</v>
      </c>
      <c r="V790" s="2" t="s">
        <v>189</v>
      </c>
      <c r="W790" s="2" t="s">
        <v>1634</v>
      </c>
      <c r="X790" s="2" t="s">
        <v>1588</v>
      </c>
    </row>
    <row r="791" customFormat="false" ht="15" hidden="false" customHeight="false" outlineLevel="0" collapsed="false">
      <c r="A791" s="2" t="n">
        <v>733</v>
      </c>
      <c r="B791" s="2" t="s">
        <v>4154</v>
      </c>
      <c r="C791" s="2" t="s">
        <v>4212</v>
      </c>
      <c r="D791" s="2" t="s">
        <v>53</v>
      </c>
      <c r="E791" s="2" t="s">
        <v>223</v>
      </c>
      <c r="F791" s="2"/>
      <c r="G791" s="2"/>
      <c r="H791" s="2"/>
      <c r="I791" s="2" t="s">
        <v>184</v>
      </c>
      <c r="J791" s="2" t="n">
        <v>-7.536</v>
      </c>
      <c r="K791" s="2" t="n">
        <v>112.238</v>
      </c>
      <c r="L791" s="2" t="s">
        <v>239</v>
      </c>
      <c r="M791" s="2" t="s">
        <v>60</v>
      </c>
      <c r="N791" s="2" t="s">
        <v>4208</v>
      </c>
      <c r="O791" s="2" t="s">
        <v>4213</v>
      </c>
      <c r="P791" s="2"/>
      <c r="Q791" s="2" t="s">
        <v>62</v>
      </c>
      <c r="R791" s="2" t="n">
        <v>0.65</v>
      </c>
      <c r="S791" s="2" t="s">
        <v>4210</v>
      </c>
      <c r="T791" s="2" t="s">
        <v>243</v>
      </c>
      <c r="U791" s="2" t="s">
        <v>4211</v>
      </c>
      <c r="V791" s="2" t="s">
        <v>189</v>
      </c>
      <c r="W791" s="2" t="s">
        <v>1634</v>
      </c>
      <c r="X791" s="2" t="s">
        <v>1588</v>
      </c>
    </row>
    <row r="792" customFormat="false" ht="15" hidden="false" customHeight="false" outlineLevel="0" collapsed="false">
      <c r="A792" s="2" t="n">
        <v>734</v>
      </c>
      <c r="B792" s="2" t="s">
        <v>4154</v>
      </c>
      <c r="C792" s="2" t="s">
        <v>4214</v>
      </c>
      <c r="D792" s="2" t="s">
        <v>53</v>
      </c>
      <c r="E792" s="2" t="s">
        <v>4215</v>
      </c>
      <c r="F792" s="2" t="s">
        <v>4216</v>
      </c>
      <c r="G792" s="2" t="s">
        <v>4217</v>
      </c>
      <c r="H792" s="2" t="s">
        <v>4218</v>
      </c>
      <c r="I792" s="2" t="s">
        <v>184</v>
      </c>
      <c r="J792" s="2" t="n">
        <v>-7.05</v>
      </c>
      <c r="K792" s="2" t="n">
        <v>112.79</v>
      </c>
      <c r="L792" s="2" t="s">
        <v>84</v>
      </c>
      <c r="M792" s="2" t="s">
        <v>60</v>
      </c>
      <c r="N792" s="2"/>
      <c r="O792" s="2" t="s">
        <v>4219</v>
      </c>
      <c r="P792" s="2"/>
      <c r="Q792" s="2" t="s">
        <v>62</v>
      </c>
      <c r="R792" s="2" t="n">
        <v>0.85</v>
      </c>
      <c r="S792" s="2" t="s">
        <v>4220</v>
      </c>
      <c r="T792" s="2" t="s">
        <v>187</v>
      </c>
      <c r="U792" s="2" t="s">
        <v>4221</v>
      </c>
      <c r="V792" s="2" t="s">
        <v>4222</v>
      </c>
      <c r="W792" s="2" t="s">
        <v>3169</v>
      </c>
      <c r="X792" s="2" t="s">
        <v>1588</v>
      </c>
    </row>
    <row r="793" customFormat="false" ht="15" hidden="false" customHeight="false" outlineLevel="0" collapsed="false">
      <c r="A793" s="2" t="n">
        <v>734</v>
      </c>
      <c r="B793" s="2" t="s">
        <v>4154</v>
      </c>
      <c r="C793" s="2" t="s">
        <v>4223</v>
      </c>
      <c r="D793" s="2" t="s">
        <v>53</v>
      </c>
      <c r="E793" s="2" t="s">
        <v>4224</v>
      </c>
      <c r="F793" s="2"/>
      <c r="G793" s="2" t="s">
        <v>4217</v>
      </c>
      <c r="H793" s="2" t="s">
        <v>4218</v>
      </c>
      <c r="I793" s="2" t="s">
        <v>184</v>
      </c>
      <c r="J793" s="2" t="n">
        <v>-7.05</v>
      </c>
      <c r="K793" s="2" t="n">
        <v>112.79</v>
      </c>
      <c r="L793" s="2" t="s">
        <v>84</v>
      </c>
      <c r="M793" s="2" t="s">
        <v>60</v>
      </c>
      <c r="N793" s="2" t="s">
        <v>4225</v>
      </c>
      <c r="O793" s="2" t="s">
        <v>4226</v>
      </c>
      <c r="P793" s="2"/>
      <c r="Q793" s="2" t="s">
        <v>62</v>
      </c>
      <c r="R793" s="2" t="n">
        <v>0.75</v>
      </c>
      <c r="S793" s="2" t="s">
        <v>4220</v>
      </c>
      <c r="T793" s="2" t="s">
        <v>187</v>
      </c>
      <c r="U793" s="2" t="s">
        <v>4221</v>
      </c>
      <c r="V793" s="2" t="s">
        <v>4222</v>
      </c>
      <c r="W793" s="2" t="s">
        <v>3169</v>
      </c>
      <c r="X793" s="2" t="s">
        <v>1588</v>
      </c>
    </row>
    <row r="794" customFormat="false" ht="15" hidden="false" customHeight="false" outlineLevel="0" collapsed="false">
      <c r="A794" s="2" t="n">
        <v>734</v>
      </c>
      <c r="B794" s="2" t="s">
        <v>4154</v>
      </c>
      <c r="C794" s="2" t="s">
        <v>4227</v>
      </c>
      <c r="D794" s="2" t="s">
        <v>53</v>
      </c>
      <c r="E794" s="2" t="s">
        <v>4228</v>
      </c>
      <c r="F794" s="2"/>
      <c r="G794" s="2" t="s">
        <v>4217</v>
      </c>
      <c r="H794" s="2" t="s">
        <v>4218</v>
      </c>
      <c r="I794" s="2" t="s">
        <v>184</v>
      </c>
      <c r="J794" s="2" t="n">
        <v>-7.05</v>
      </c>
      <c r="K794" s="2" t="n">
        <v>112.79</v>
      </c>
      <c r="L794" s="2" t="s">
        <v>84</v>
      </c>
      <c r="M794" s="2" t="s">
        <v>60</v>
      </c>
      <c r="N794" s="2"/>
      <c r="O794" s="2" t="s">
        <v>4229</v>
      </c>
      <c r="P794" s="2"/>
      <c r="Q794" s="2" t="s">
        <v>62</v>
      </c>
      <c r="R794" s="2" t="n">
        <v>0.75</v>
      </c>
      <c r="S794" s="2" t="s">
        <v>4220</v>
      </c>
      <c r="T794" s="2" t="s">
        <v>187</v>
      </c>
      <c r="U794" s="2" t="s">
        <v>4221</v>
      </c>
      <c r="V794" s="2" t="s">
        <v>4222</v>
      </c>
      <c r="W794" s="2" t="s">
        <v>3169</v>
      </c>
      <c r="X794" s="2" t="s">
        <v>1588</v>
      </c>
    </row>
    <row r="795" customFormat="false" ht="15" hidden="false" customHeight="false" outlineLevel="0" collapsed="false">
      <c r="A795" s="2" t="n">
        <v>734</v>
      </c>
      <c r="B795" s="2" t="s">
        <v>4154</v>
      </c>
      <c r="C795" s="2" t="s">
        <v>4230</v>
      </c>
      <c r="D795" s="2" t="s">
        <v>53</v>
      </c>
      <c r="E795" s="2" t="s">
        <v>4231</v>
      </c>
      <c r="F795" s="2"/>
      <c r="G795" s="2" t="s">
        <v>4232</v>
      </c>
      <c r="H795" s="2" t="s">
        <v>4218</v>
      </c>
      <c r="I795" s="2" t="s">
        <v>184</v>
      </c>
      <c r="J795" s="2" t="n">
        <v>-7.035</v>
      </c>
      <c r="K795" s="2" t="n">
        <v>112.745</v>
      </c>
      <c r="L795" s="2" t="s">
        <v>84</v>
      </c>
      <c r="M795" s="2" t="s">
        <v>60</v>
      </c>
      <c r="N795" s="2"/>
      <c r="O795" s="2" t="s">
        <v>4233</v>
      </c>
      <c r="P795" s="2"/>
      <c r="Q795" s="2" t="s">
        <v>62</v>
      </c>
      <c r="R795" s="2" t="n">
        <v>0.7</v>
      </c>
      <c r="S795" s="2" t="s">
        <v>4220</v>
      </c>
      <c r="T795" s="2" t="s">
        <v>187</v>
      </c>
      <c r="U795" s="2" t="s">
        <v>4221</v>
      </c>
      <c r="V795" s="2" t="s">
        <v>4222</v>
      </c>
      <c r="W795" s="2" t="s">
        <v>3169</v>
      </c>
      <c r="X795" s="2" t="s">
        <v>1588</v>
      </c>
    </row>
    <row r="796" customFormat="false" ht="15" hidden="false" customHeight="false" outlineLevel="0" collapsed="false">
      <c r="A796" s="2" t="n">
        <v>735</v>
      </c>
      <c r="B796" s="2" t="s">
        <v>4154</v>
      </c>
      <c r="C796" s="2" t="s">
        <v>4234</v>
      </c>
      <c r="D796" s="2" t="s">
        <v>53</v>
      </c>
      <c r="E796" s="2" t="s">
        <v>4235</v>
      </c>
      <c r="F796" s="2"/>
      <c r="G796" s="2"/>
      <c r="H796" s="2"/>
      <c r="I796" s="2" t="s">
        <v>184</v>
      </c>
      <c r="J796" s="2" t="n">
        <v>-7.536</v>
      </c>
      <c r="K796" s="2" t="n">
        <v>112.238</v>
      </c>
      <c r="L796" s="2" t="s">
        <v>239</v>
      </c>
      <c r="M796" s="2" t="s">
        <v>60</v>
      </c>
      <c r="N796" s="2" t="s">
        <v>4236</v>
      </c>
      <c r="O796" s="2" t="s">
        <v>4237</v>
      </c>
      <c r="P796" s="2"/>
      <c r="Q796" s="2" t="s">
        <v>62</v>
      </c>
      <c r="R796" s="2" t="n">
        <v>0.75</v>
      </c>
      <c r="S796" s="2" t="s">
        <v>4238</v>
      </c>
      <c r="T796" s="2" t="s">
        <v>243</v>
      </c>
      <c r="U796" s="2" t="s">
        <v>4239</v>
      </c>
      <c r="V796" s="2" t="s">
        <v>1170</v>
      </c>
      <c r="W796" s="2" t="s">
        <v>246</v>
      </c>
      <c r="X796" s="2" t="s">
        <v>507</v>
      </c>
    </row>
    <row r="797" customFormat="false" ht="15" hidden="false" customHeight="false" outlineLevel="0" collapsed="false">
      <c r="A797" s="2" t="n">
        <v>735</v>
      </c>
      <c r="B797" s="2" t="s">
        <v>4154</v>
      </c>
      <c r="C797" s="2" t="s">
        <v>4240</v>
      </c>
      <c r="D797" s="2" t="s">
        <v>53</v>
      </c>
      <c r="E797" s="2" t="s">
        <v>4235</v>
      </c>
      <c r="F797" s="2"/>
      <c r="G797" s="2"/>
      <c r="H797" s="2"/>
      <c r="I797" s="2" t="s">
        <v>184</v>
      </c>
      <c r="J797" s="2" t="n">
        <v>-7.536</v>
      </c>
      <c r="K797" s="2" t="n">
        <v>112.238</v>
      </c>
      <c r="L797" s="2" t="s">
        <v>239</v>
      </c>
      <c r="M797" s="2" t="s">
        <v>60</v>
      </c>
      <c r="N797" s="2" t="s">
        <v>4236</v>
      </c>
      <c r="O797" s="2" t="s">
        <v>4241</v>
      </c>
      <c r="P797" s="2"/>
      <c r="Q797" s="2" t="s">
        <v>62</v>
      </c>
      <c r="R797" s="2" t="n">
        <v>0.7</v>
      </c>
      <c r="S797" s="2" t="s">
        <v>4238</v>
      </c>
      <c r="T797" s="2" t="s">
        <v>243</v>
      </c>
      <c r="U797" s="2" t="s">
        <v>4239</v>
      </c>
      <c r="V797" s="2" t="s">
        <v>1170</v>
      </c>
      <c r="W797" s="2" t="s">
        <v>246</v>
      </c>
      <c r="X797" s="2" t="s">
        <v>507</v>
      </c>
    </row>
    <row r="798" customFormat="false" ht="15" hidden="false" customHeight="false" outlineLevel="0" collapsed="false">
      <c r="A798" s="2" t="n">
        <v>736</v>
      </c>
      <c r="B798" s="2" t="s">
        <v>4154</v>
      </c>
      <c r="C798" s="2" t="s">
        <v>1300</v>
      </c>
      <c r="D798" s="2" t="s">
        <v>1140</v>
      </c>
      <c r="E798" s="2" t="s">
        <v>223</v>
      </c>
      <c r="F798" s="2"/>
      <c r="G798" s="2"/>
      <c r="H798" s="2"/>
      <c r="I798" s="2" t="s">
        <v>184</v>
      </c>
      <c r="J798" s="2" t="n">
        <v>-7.536</v>
      </c>
      <c r="K798" s="2" t="n">
        <v>112.238</v>
      </c>
      <c r="L798" s="2" t="s">
        <v>239</v>
      </c>
      <c r="M798" s="2" t="s">
        <v>60</v>
      </c>
      <c r="N798" s="2" t="s">
        <v>4208</v>
      </c>
      <c r="O798" s="2" t="s">
        <v>4242</v>
      </c>
      <c r="P798" s="2"/>
      <c r="Q798" s="2" t="s">
        <v>62</v>
      </c>
      <c r="R798" s="2" t="n">
        <v>0.6</v>
      </c>
      <c r="S798" s="2" t="s">
        <v>4243</v>
      </c>
      <c r="T798" s="2" t="s">
        <v>1168</v>
      </c>
      <c r="U798" s="2" t="s">
        <v>4244</v>
      </c>
      <c r="V798" s="2" t="s">
        <v>189</v>
      </c>
      <c r="W798" s="2" t="s">
        <v>1810</v>
      </c>
      <c r="X798" s="2" t="s">
        <v>1588</v>
      </c>
    </row>
    <row r="799" customFormat="false" ht="15" hidden="false" customHeight="false" outlineLevel="0" collapsed="false">
      <c r="A799" s="2" t="n">
        <v>736</v>
      </c>
      <c r="B799" s="2" t="s">
        <v>4154</v>
      </c>
      <c r="C799" s="2" t="s">
        <v>232</v>
      </c>
      <c r="D799" s="2" t="s">
        <v>53</v>
      </c>
      <c r="E799" s="2" t="s">
        <v>4245</v>
      </c>
      <c r="F799" s="2"/>
      <c r="G799" s="2" t="s">
        <v>862</v>
      </c>
      <c r="H799" s="2" t="s">
        <v>224</v>
      </c>
      <c r="I799" s="2" t="s">
        <v>184</v>
      </c>
      <c r="J799" s="2" t="n">
        <v>-7.98</v>
      </c>
      <c r="K799" s="2" t="n">
        <v>112.63</v>
      </c>
      <c r="L799" s="2" t="s">
        <v>84</v>
      </c>
      <c r="M799" s="2" t="s">
        <v>60</v>
      </c>
      <c r="N799" s="2"/>
      <c r="O799" s="2" t="s">
        <v>4246</v>
      </c>
      <c r="P799" s="2"/>
      <c r="Q799" s="2" t="s">
        <v>62</v>
      </c>
      <c r="R799" s="2" t="n">
        <v>0.8</v>
      </c>
      <c r="S799" s="2" t="s">
        <v>4243</v>
      </c>
      <c r="T799" s="2" t="s">
        <v>1168</v>
      </c>
      <c r="U799" s="2" t="s">
        <v>4244</v>
      </c>
      <c r="V799" s="2" t="s">
        <v>189</v>
      </c>
      <c r="W799" s="2" t="s">
        <v>1810</v>
      </c>
      <c r="X799" s="2" t="s">
        <v>1588</v>
      </c>
    </row>
    <row r="800" customFormat="false" ht="15" hidden="false" customHeight="false" outlineLevel="0" collapsed="false">
      <c r="A800" s="2" t="n">
        <v>736</v>
      </c>
      <c r="B800" s="2" t="s">
        <v>4154</v>
      </c>
      <c r="C800" s="2" t="s">
        <v>234</v>
      </c>
      <c r="D800" s="2" t="s">
        <v>53</v>
      </c>
      <c r="E800" s="2" t="s">
        <v>223</v>
      </c>
      <c r="F800" s="2"/>
      <c r="G800" s="2"/>
      <c r="H800" s="2" t="s">
        <v>224</v>
      </c>
      <c r="I800" s="2" t="s">
        <v>184</v>
      </c>
      <c r="J800" s="2" t="n">
        <v>-7.98</v>
      </c>
      <c r="K800" s="2" t="n">
        <v>112.63</v>
      </c>
      <c r="L800" s="2" t="s">
        <v>101</v>
      </c>
      <c r="M800" s="2" t="s">
        <v>60</v>
      </c>
      <c r="N800" s="2" t="s">
        <v>225</v>
      </c>
      <c r="O800" s="2" t="s">
        <v>4247</v>
      </c>
      <c r="P800" s="2"/>
      <c r="Q800" s="2" t="s">
        <v>62</v>
      </c>
      <c r="R800" s="2" t="n">
        <v>0.8</v>
      </c>
      <c r="S800" s="2" t="s">
        <v>4243</v>
      </c>
      <c r="T800" s="2" t="s">
        <v>1168</v>
      </c>
      <c r="U800" s="2" t="s">
        <v>4244</v>
      </c>
      <c r="V800" s="2" t="s">
        <v>189</v>
      </c>
      <c r="W800" s="2" t="s">
        <v>1810</v>
      </c>
      <c r="X800" s="2" t="s">
        <v>1588</v>
      </c>
    </row>
    <row r="801" customFormat="false" ht="15" hidden="false" customHeight="false" outlineLevel="0" collapsed="false">
      <c r="A801" s="2" t="n">
        <v>737</v>
      </c>
      <c r="B801" s="2" t="s">
        <v>4154</v>
      </c>
      <c r="C801" s="2" t="s">
        <v>4248</v>
      </c>
      <c r="D801" s="2" t="s">
        <v>53</v>
      </c>
      <c r="E801" s="2" t="s">
        <v>182</v>
      </c>
      <c r="F801" s="2"/>
      <c r="G801" s="2"/>
      <c r="H801" s="2" t="s">
        <v>183</v>
      </c>
      <c r="I801" s="2" t="s">
        <v>184</v>
      </c>
      <c r="J801" s="2" t="n">
        <v>-7.447</v>
      </c>
      <c r="K801" s="2" t="n">
        <v>112.718</v>
      </c>
      <c r="L801" s="2" t="s">
        <v>101</v>
      </c>
      <c r="M801" s="2" t="s">
        <v>60</v>
      </c>
      <c r="N801" s="2"/>
      <c r="O801" s="2" t="s">
        <v>4249</v>
      </c>
      <c r="P801" s="2"/>
      <c r="Q801" s="2" t="s">
        <v>62</v>
      </c>
      <c r="R801" s="2" t="n">
        <v>0.65</v>
      </c>
      <c r="S801" s="2" t="s">
        <v>4250</v>
      </c>
      <c r="T801" s="2" t="s">
        <v>187</v>
      </c>
      <c r="U801" s="2" t="s">
        <v>4251</v>
      </c>
      <c r="V801" s="2" t="s">
        <v>1170</v>
      </c>
      <c r="W801" s="2" t="s">
        <v>4096</v>
      </c>
      <c r="X801" s="2" t="s">
        <v>1588</v>
      </c>
    </row>
    <row r="802" customFormat="false" ht="15" hidden="false" customHeight="false" outlineLevel="0" collapsed="false">
      <c r="A802" s="2" t="n">
        <v>738</v>
      </c>
      <c r="B802" s="2" t="s">
        <v>4154</v>
      </c>
      <c r="C802" s="2" t="s">
        <v>4252</v>
      </c>
      <c r="D802" s="2" t="s">
        <v>53</v>
      </c>
      <c r="E802" s="2" t="s">
        <v>4253</v>
      </c>
      <c r="F802" s="2" t="s">
        <v>948</v>
      </c>
      <c r="G802" s="2" t="s">
        <v>949</v>
      </c>
      <c r="H802" s="2" t="s">
        <v>950</v>
      </c>
      <c r="I802" s="2" t="s">
        <v>184</v>
      </c>
      <c r="J802" s="2" t="n">
        <v>-7.23</v>
      </c>
      <c r="K802" s="2" t="n">
        <v>112.743</v>
      </c>
      <c r="L802" s="2" t="s">
        <v>59</v>
      </c>
      <c r="M802" s="2" t="s">
        <v>60</v>
      </c>
      <c r="N802" s="2"/>
      <c r="O802" s="2" t="s">
        <v>4254</v>
      </c>
      <c r="P802" s="2"/>
      <c r="Q802" s="2" t="s">
        <v>62</v>
      </c>
      <c r="R802" s="2" t="n">
        <v>0.7</v>
      </c>
      <c r="S802" s="2" t="s">
        <v>4255</v>
      </c>
      <c r="T802" s="2" t="s">
        <v>1168</v>
      </c>
      <c r="U802" s="2" t="s">
        <v>4256</v>
      </c>
      <c r="V802" s="2" t="s">
        <v>1500</v>
      </c>
      <c r="W802" s="2" t="s">
        <v>3469</v>
      </c>
      <c r="X802" s="2" t="s">
        <v>1588</v>
      </c>
    </row>
    <row r="803" customFormat="false" ht="15" hidden="false" customHeight="false" outlineLevel="0" collapsed="false">
      <c r="A803" s="2" t="n">
        <v>738</v>
      </c>
      <c r="B803" s="2" t="s">
        <v>4154</v>
      </c>
      <c r="C803" s="2" t="s">
        <v>4257</v>
      </c>
      <c r="D803" s="2" t="s">
        <v>53</v>
      </c>
      <c r="E803" s="2" t="s">
        <v>1598</v>
      </c>
      <c r="F803" s="2"/>
      <c r="G803" s="2"/>
      <c r="H803" s="2" t="s">
        <v>950</v>
      </c>
      <c r="I803" s="2" t="s">
        <v>184</v>
      </c>
      <c r="J803" s="2" t="n">
        <v>-7.258</v>
      </c>
      <c r="K803" s="2" t="n">
        <v>112.752</v>
      </c>
      <c r="L803" s="2" t="s">
        <v>101</v>
      </c>
      <c r="M803" s="2" t="s">
        <v>60</v>
      </c>
      <c r="N803" s="2" t="s">
        <v>4258</v>
      </c>
      <c r="O803" s="2" t="s">
        <v>4259</v>
      </c>
      <c r="P803" s="2"/>
      <c r="Q803" s="2" t="s">
        <v>62</v>
      </c>
      <c r="R803" s="2" t="n">
        <v>0.65</v>
      </c>
      <c r="S803" s="2" t="s">
        <v>4255</v>
      </c>
      <c r="T803" s="2" t="s">
        <v>1168</v>
      </c>
      <c r="U803" s="2" t="s">
        <v>4256</v>
      </c>
      <c r="V803" s="2" t="s">
        <v>1500</v>
      </c>
      <c r="W803" s="2" t="s">
        <v>3469</v>
      </c>
      <c r="X803" s="2" t="s">
        <v>1588</v>
      </c>
    </row>
    <row r="804" customFormat="false" ht="15" hidden="false" customHeight="false" outlineLevel="0" collapsed="false">
      <c r="A804" s="2" t="n">
        <v>740</v>
      </c>
      <c r="B804" s="2" t="s">
        <v>4154</v>
      </c>
      <c r="C804" s="2" t="s">
        <v>4260</v>
      </c>
      <c r="D804" s="2" t="s">
        <v>1140</v>
      </c>
      <c r="E804" s="2" t="s">
        <v>807</v>
      </c>
      <c r="F804" s="2" t="s">
        <v>4261</v>
      </c>
      <c r="G804" s="2" t="s">
        <v>4262</v>
      </c>
      <c r="H804" s="2" t="s">
        <v>807</v>
      </c>
      <c r="I804" s="2" t="s">
        <v>184</v>
      </c>
      <c r="J804" s="2" t="n">
        <v>-7.889</v>
      </c>
      <c r="K804" s="2" t="n">
        <v>112.529</v>
      </c>
      <c r="L804" s="2" t="s">
        <v>124</v>
      </c>
      <c r="M804" s="2" t="s">
        <v>60</v>
      </c>
      <c r="N804" s="2"/>
      <c r="O804" s="2" t="s">
        <v>4263</v>
      </c>
      <c r="P804" s="2" t="s">
        <v>109</v>
      </c>
      <c r="Q804" s="2" t="s">
        <v>110</v>
      </c>
      <c r="R804" s="2" t="n">
        <v>0.8</v>
      </c>
      <c r="S804" s="2" t="s">
        <v>4264</v>
      </c>
      <c r="T804" s="2" t="s">
        <v>743</v>
      </c>
      <c r="U804" s="2" t="s">
        <v>4265</v>
      </c>
      <c r="V804" s="2" t="s">
        <v>97</v>
      </c>
      <c r="W804" s="2" t="s">
        <v>1266</v>
      </c>
      <c r="X804" s="2" t="s">
        <v>1588</v>
      </c>
    </row>
    <row r="805" customFormat="false" ht="15" hidden="false" customHeight="false" outlineLevel="0" collapsed="false">
      <c r="A805" s="2" t="n">
        <v>742</v>
      </c>
      <c r="B805" s="2" t="s">
        <v>4154</v>
      </c>
      <c r="C805" s="2" t="s">
        <v>4266</v>
      </c>
      <c r="D805" s="2" t="s">
        <v>410</v>
      </c>
      <c r="E805" s="2" t="s">
        <v>4267</v>
      </c>
      <c r="F805" s="2" t="s">
        <v>4268</v>
      </c>
      <c r="G805" s="2" t="s">
        <v>4269</v>
      </c>
      <c r="H805" s="2" t="s">
        <v>4270</v>
      </c>
      <c r="I805" s="2" t="s">
        <v>184</v>
      </c>
      <c r="J805" s="2" t="n">
        <v>-7.89</v>
      </c>
      <c r="K805" s="2" t="n">
        <v>112.9</v>
      </c>
      <c r="L805" s="2" t="s">
        <v>84</v>
      </c>
      <c r="M805" s="2" t="s">
        <v>60</v>
      </c>
      <c r="N805" s="2"/>
      <c r="O805" s="2" t="s">
        <v>4271</v>
      </c>
      <c r="P805" s="2" t="s">
        <v>4272</v>
      </c>
      <c r="Q805" s="2" t="s">
        <v>110</v>
      </c>
      <c r="R805" s="2" t="n">
        <v>0.9</v>
      </c>
      <c r="S805" s="2" t="s">
        <v>4273</v>
      </c>
      <c r="T805" s="2" t="s">
        <v>492</v>
      </c>
      <c r="U805" s="2" t="s">
        <v>4274</v>
      </c>
      <c r="V805" s="2" t="s">
        <v>4275</v>
      </c>
      <c r="W805" s="2" t="s">
        <v>4276</v>
      </c>
      <c r="X805" s="2" t="s">
        <v>1588</v>
      </c>
    </row>
    <row r="806" customFormat="false" ht="15" hidden="false" customHeight="false" outlineLevel="0" collapsed="false">
      <c r="A806" s="2" t="n">
        <v>743</v>
      </c>
      <c r="B806" s="2" t="s">
        <v>4154</v>
      </c>
      <c r="C806" s="2" t="s">
        <v>4277</v>
      </c>
      <c r="D806" s="2" t="s">
        <v>410</v>
      </c>
      <c r="E806" s="2" t="s">
        <v>4278</v>
      </c>
      <c r="F806" s="2" t="s">
        <v>1039</v>
      </c>
      <c r="G806" s="2" t="s">
        <v>1040</v>
      </c>
      <c r="H806" s="2" t="s">
        <v>258</v>
      </c>
      <c r="I806" s="2" t="s">
        <v>184</v>
      </c>
      <c r="J806" s="2" t="n">
        <v>-7.676</v>
      </c>
      <c r="K806" s="2" t="n">
        <v>111.217</v>
      </c>
      <c r="L806" s="2" t="s">
        <v>124</v>
      </c>
      <c r="M806" s="2" t="s">
        <v>60</v>
      </c>
      <c r="N806" s="2"/>
      <c r="O806" s="2" t="s">
        <v>4279</v>
      </c>
      <c r="P806" s="2" t="s">
        <v>702</v>
      </c>
      <c r="Q806" s="2" t="s">
        <v>110</v>
      </c>
      <c r="R806" s="2" t="n">
        <v>0.95</v>
      </c>
      <c r="S806" s="2" t="s">
        <v>4280</v>
      </c>
      <c r="T806" s="2" t="s">
        <v>4275</v>
      </c>
      <c r="U806" s="2" t="s">
        <v>4281</v>
      </c>
      <c r="V806" s="2" t="s">
        <v>158</v>
      </c>
      <c r="W806" s="2" t="s">
        <v>1700</v>
      </c>
      <c r="X806" s="2" t="s">
        <v>1588</v>
      </c>
    </row>
    <row r="807" customFormat="false" ht="15" hidden="false" customHeight="false" outlineLevel="0" collapsed="false">
      <c r="A807" s="2" t="n">
        <v>744</v>
      </c>
      <c r="B807" s="2" t="s">
        <v>4154</v>
      </c>
      <c r="C807" s="2" t="s">
        <v>4282</v>
      </c>
      <c r="D807" s="2" t="s">
        <v>410</v>
      </c>
      <c r="E807" s="2" t="s">
        <v>4283</v>
      </c>
      <c r="F807" s="2"/>
      <c r="G807" s="2" t="s">
        <v>4284</v>
      </c>
      <c r="H807" s="2" t="s">
        <v>4285</v>
      </c>
      <c r="I807" s="2" t="s">
        <v>184</v>
      </c>
      <c r="J807" s="2" t="n">
        <v>-7.66</v>
      </c>
      <c r="K807" s="2" t="n">
        <v>112.54</v>
      </c>
      <c r="L807" s="2" t="s">
        <v>84</v>
      </c>
      <c r="M807" s="2" t="s">
        <v>60</v>
      </c>
      <c r="N807" s="2"/>
      <c r="O807" s="2" t="s">
        <v>4286</v>
      </c>
      <c r="P807" s="2" t="s">
        <v>109</v>
      </c>
      <c r="Q807" s="2" t="s">
        <v>62</v>
      </c>
      <c r="R807" s="2" t="n">
        <v>0.6</v>
      </c>
      <c r="S807" s="2" t="s">
        <v>4287</v>
      </c>
      <c r="T807" s="2" t="s">
        <v>156</v>
      </c>
      <c r="U807" s="2" t="s">
        <v>4288</v>
      </c>
      <c r="V807" s="2" t="s">
        <v>4289</v>
      </c>
      <c r="W807" s="2" t="s">
        <v>4290</v>
      </c>
      <c r="X807" s="2" t="s">
        <v>507</v>
      </c>
    </row>
    <row r="808" customFormat="false" ht="15" hidden="false" customHeight="false" outlineLevel="0" collapsed="false">
      <c r="A808" s="2" t="n">
        <v>745</v>
      </c>
      <c r="B808" s="2" t="s">
        <v>4154</v>
      </c>
      <c r="C808" s="2" t="s">
        <v>4291</v>
      </c>
      <c r="D808" s="2" t="s">
        <v>410</v>
      </c>
      <c r="E808" s="2" t="s">
        <v>4292</v>
      </c>
      <c r="F808" s="2" t="s">
        <v>4293</v>
      </c>
      <c r="G808" s="2" t="s">
        <v>4293</v>
      </c>
      <c r="H808" s="2" t="s">
        <v>4294</v>
      </c>
      <c r="I808" s="2" t="s">
        <v>184</v>
      </c>
      <c r="J808" s="2" t="n">
        <v>-8.02</v>
      </c>
      <c r="K808" s="2" t="n">
        <v>112.48</v>
      </c>
      <c r="L808" s="2" t="s">
        <v>84</v>
      </c>
      <c r="M808" s="2" t="s">
        <v>60</v>
      </c>
      <c r="N808" s="2"/>
      <c r="O808" s="2" t="s">
        <v>4295</v>
      </c>
      <c r="P808" s="2" t="s">
        <v>109</v>
      </c>
      <c r="Q808" s="2" t="s">
        <v>110</v>
      </c>
      <c r="R808" s="2" t="n">
        <v>0.8</v>
      </c>
      <c r="S808" s="2" t="s">
        <v>4296</v>
      </c>
      <c r="T808" s="2" t="s">
        <v>4297</v>
      </c>
      <c r="U808" s="2" t="s">
        <v>4298</v>
      </c>
      <c r="V808" s="2" t="s">
        <v>4299</v>
      </c>
      <c r="W808" s="2" t="s">
        <v>604</v>
      </c>
      <c r="X808" s="2" t="s">
        <v>1588</v>
      </c>
    </row>
    <row r="809" customFormat="false" ht="15" hidden="false" customHeight="false" outlineLevel="0" collapsed="false">
      <c r="A809" s="2" t="n">
        <v>746</v>
      </c>
      <c r="B809" s="2" t="s">
        <v>4154</v>
      </c>
      <c r="C809" s="2" t="s">
        <v>4300</v>
      </c>
      <c r="D809" s="2" t="s">
        <v>351</v>
      </c>
      <c r="E809" s="2" t="s">
        <v>4301</v>
      </c>
      <c r="F809" s="2"/>
      <c r="G809" s="2"/>
      <c r="H809" s="2"/>
      <c r="I809" s="2" t="s">
        <v>184</v>
      </c>
      <c r="J809" s="2" t="n">
        <v>-7.536</v>
      </c>
      <c r="K809" s="2" t="n">
        <v>112.238</v>
      </c>
      <c r="L809" s="2" t="s">
        <v>239</v>
      </c>
      <c r="M809" s="2" t="s">
        <v>60</v>
      </c>
      <c r="N809" s="2" t="s">
        <v>4302</v>
      </c>
      <c r="O809" s="2" t="s">
        <v>4303</v>
      </c>
      <c r="P809" s="2" t="s">
        <v>1001</v>
      </c>
      <c r="Q809" s="2" t="s">
        <v>110</v>
      </c>
      <c r="R809" s="2" t="n">
        <v>0.6</v>
      </c>
      <c r="S809" s="2" t="s">
        <v>4304</v>
      </c>
      <c r="T809" s="2" t="s">
        <v>4299</v>
      </c>
      <c r="U809" s="2" t="s">
        <v>4305</v>
      </c>
      <c r="V809" s="2" t="s">
        <v>1500</v>
      </c>
      <c r="W809" s="2" t="s">
        <v>1055</v>
      </c>
      <c r="X809" s="2" t="s">
        <v>1588</v>
      </c>
    </row>
    <row r="810" customFormat="false" ht="15" hidden="false" customHeight="false" outlineLevel="0" collapsed="false">
      <c r="A810" s="2" t="n">
        <v>753</v>
      </c>
      <c r="B810" s="2" t="s">
        <v>4306</v>
      </c>
      <c r="C810" s="2" t="s">
        <v>4307</v>
      </c>
      <c r="D810" s="2" t="s">
        <v>1130</v>
      </c>
      <c r="E810" s="2" t="s">
        <v>4308</v>
      </c>
      <c r="F810" s="2" t="s">
        <v>4309</v>
      </c>
      <c r="G810" s="2" t="s">
        <v>4262</v>
      </c>
      <c r="H810" s="2" t="s">
        <v>807</v>
      </c>
      <c r="I810" s="2" t="s">
        <v>184</v>
      </c>
      <c r="J810" s="2" t="n">
        <v>-7.8845</v>
      </c>
      <c r="K810" s="2" t="n">
        <v>112.5235</v>
      </c>
      <c r="L810" s="2" t="s">
        <v>124</v>
      </c>
      <c r="M810" s="2" t="s">
        <v>60</v>
      </c>
      <c r="N810" s="2"/>
      <c r="O810" s="2" t="s">
        <v>4310</v>
      </c>
      <c r="P810" s="2" t="s">
        <v>723</v>
      </c>
      <c r="Q810" s="2" t="s">
        <v>62</v>
      </c>
      <c r="R810" s="2" t="n">
        <v>0.85</v>
      </c>
      <c r="S810" s="2" t="s">
        <v>4311</v>
      </c>
      <c r="T810" s="2" t="s">
        <v>810</v>
      </c>
      <c r="U810" s="2" t="s">
        <v>4312</v>
      </c>
      <c r="V810" s="2" t="s">
        <v>4313</v>
      </c>
      <c r="W810" s="2" t="s">
        <v>4314</v>
      </c>
      <c r="X810" s="2" t="s">
        <v>507</v>
      </c>
    </row>
    <row r="811" customFormat="false" ht="15" hidden="false" customHeight="false" outlineLevel="0" collapsed="false">
      <c r="A811" s="2" t="n">
        <v>754</v>
      </c>
      <c r="B811" s="2" t="s">
        <v>4306</v>
      </c>
      <c r="C811" s="2" t="s">
        <v>4315</v>
      </c>
      <c r="D811" s="2" t="s">
        <v>1130</v>
      </c>
      <c r="E811" s="2" t="s">
        <v>4316</v>
      </c>
      <c r="F811" s="2" t="s">
        <v>4317</v>
      </c>
      <c r="G811" s="2" t="s">
        <v>4318</v>
      </c>
      <c r="H811" s="2" t="s">
        <v>4319</v>
      </c>
      <c r="I811" s="2" t="s">
        <v>184</v>
      </c>
      <c r="J811" s="2" t="n">
        <v>-7.61</v>
      </c>
      <c r="K811" s="2" t="n">
        <v>111.92</v>
      </c>
      <c r="L811" s="2" t="s">
        <v>84</v>
      </c>
      <c r="M811" s="2" t="s">
        <v>60</v>
      </c>
      <c r="N811" s="2"/>
      <c r="O811" s="2" t="s">
        <v>4320</v>
      </c>
      <c r="P811" s="2" t="s">
        <v>1001</v>
      </c>
      <c r="Q811" s="2" t="s">
        <v>62</v>
      </c>
      <c r="R811" s="2" t="n">
        <v>0.65</v>
      </c>
      <c r="S811" s="2" t="s">
        <v>4321</v>
      </c>
      <c r="T811" s="2" t="s">
        <v>4322</v>
      </c>
      <c r="U811" s="2" t="s">
        <v>4323</v>
      </c>
      <c r="V811" s="2" t="s">
        <v>841</v>
      </c>
      <c r="W811" s="2" t="s">
        <v>190</v>
      </c>
      <c r="X811" s="2" t="s">
        <v>1588</v>
      </c>
    </row>
    <row r="812" customFormat="false" ht="15" hidden="false" customHeight="false" outlineLevel="0" collapsed="false">
      <c r="A812" s="2" t="n">
        <v>755</v>
      </c>
      <c r="B812" s="2" t="s">
        <v>4306</v>
      </c>
      <c r="C812" s="2" t="s">
        <v>4324</v>
      </c>
      <c r="D812" s="2" t="s">
        <v>1130</v>
      </c>
      <c r="E812" s="2" t="s">
        <v>4308</v>
      </c>
      <c r="F812" s="2" t="s">
        <v>4309</v>
      </c>
      <c r="G812" s="2" t="s">
        <v>4262</v>
      </c>
      <c r="H812" s="2" t="s">
        <v>807</v>
      </c>
      <c r="I812" s="2" t="s">
        <v>184</v>
      </c>
      <c r="J812" s="2" t="n">
        <v>-7.8845</v>
      </c>
      <c r="K812" s="2" t="n">
        <v>112.5235</v>
      </c>
      <c r="L812" s="2" t="s">
        <v>124</v>
      </c>
      <c r="M812" s="2" t="s">
        <v>60</v>
      </c>
      <c r="N812" s="2"/>
      <c r="O812" s="2" t="s">
        <v>4325</v>
      </c>
      <c r="P812" s="2" t="s">
        <v>723</v>
      </c>
      <c r="Q812" s="2" t="s">
        <v>62</v>
      </c>
      <c r="R812" s="2" t="n">
        <v>0.8</v>
      </c>
      <c r="S812" s="2" t="s">
        <v>4326</v>
      </c>
      <c r="T812" s="2" t="s">
        <v>841</v>
      </c>
      <c r="U812" s="2" t="s">
        <v>4327</v>
      </c>
      <c r="V812" s="2" t="s">
        <v>4313</v>
      </c>
      <c r="W812" s="2" t="s">
        <v>3506</v>
      </c>
      <c r="X812" s="2" t="s">
        <v>1588</v>
      </c>
    </row>
    <row r="813" customFormat="false" ht="15" hidden="false" customHeight="false" outlineLevel="0" collapsed="false">
      <c r="A813" s="2" t="n">
        <v>756</v>
      </c>
      <c r="B813" s="2" t="s">
        <v>4306</v>
      </c>
      <c r="C813" s="2" t="s">
        <v>4315</v>
      </c>
      <c r="D813" s="2" t="s">
        <v>1130</v>
      </c>
      <c r="E813" s="2" t="s">
        <v>4328</v>
      </c>
      <c r="F813" s="2"/>
      <c r="G813" s="2"/>
      <c r="H813" s="2" t="s">
        <v>4319</v>
      </c>
      <c r="I813" s="2" t="s">
        <v>184</v>
      </c>
      <c r="J813" s="2" t="n">
        <v>-7.6</v>
      </c>
      <c r="K813" s="2" t="n">
        <v>111.9</v>
      </c>
      <c r="L813" s="2" t="s">
        <v>101</v>
      </c>
      <c r="M813" s="2" t="s">
        <v>60</v>
      </c>
      <c r="N813" s="2"/>
      <c r="O813" s="2" t="s">
        <v>4329</v>
      </c>
      <c r="P813" s="2" t="s">
        <v>1001</v>
      </c>
      <c r="Q813" s="2" t="s">
        <v>62</v>
      </c>
      <c r="R813" s="2" t="n">
        <v>0.5</v>
      </c>
      <c r="S813" s="2" t="s">
        <v>4330</v>
      </c>
      <c r="T813" s="2" t="s">
        <v>4322</v>
      </c>
      <c r="U813" s="2" t="s">
        <v>4331</v>
      </c>
      <c r="V813" s="2" t="s">
        <v>841</v>
      </c>
      <c r="W813" s="2" t="s">
        <v>1648</v>
      </c>
      <c r="X813" s="2" t="s">
        <v>1588</v>
      </c>
    </row>
    <row r="814" customFormat="false" ht="15" hidden="false" customHeight="false" outlineLevel="0" collapsed="false">
      <c r="A814" s="2" t="n">
        <v>757</v>
      </c>
      <c r="B814" s="2" t="s">
        <v>4306</v>
      </c>
      <c r="C814" s="2" t="s">
        <v>4332</v>
      </c>
      <c r="D814" s="2" t="s">
        <v>351</v>
      </c>
      <c r="E814" s="2" t="s">
        <v>4333</v>
      </c>
      <c r="F814" s="2" t="s">
        <v>4334</v>
      </c>
      <c r="G814" s="2" t="s">
        <v>4335</v>
      </c>
      <c r="H814" s="2" t="s">
        <v>950</v>
      </c>
      <c r="I814" s="2" t="s">
        <v>184</v>
      </c>
      <c r="J814" s="2" t="n">
        <v>-7.2405</v>
      </c>
      <c r="K814" s="2" t="n">
        <v>112.742</v>
      </c>
      <c r="L814" s="2" t="s">
        <v>124</v>
      </c>
      <c r="M814" s="2" t="s">
        <v>60</v>
      </c>
      <c r="N814" s="2"/>
      <c r="O814" s="2" t="s">
        <v>4336</v>
      </c>
      <c r="P814" s="2" t="s">
        <v>4337</v>
      </c>
      <c r="Q814" s="2" t="s">
        <v>62</v>
      </c>
      <c r="R814" s="2" t="n">
        <v>0.3</v>
      </c>
      <c r="S814" s="2" t="s">
        <v>4338</v>
      </c>
      <c r="T814" s="2" t="s">
        <v>4339</v>
      </c>
      <c r="U814" s="2" t="s">
        <v>4340</v>
      </c>
      <c r="V814" s="2" t="s">
        <v>4341</v>
      </c>
      <c r="W814" s="2" t="s">
        <v>1932</v>
      </c>
      <c r="X814" s="2" t="s">
        <v>160</v>
      </c>
    </row>
    <row r="815" customFormat="false" ht="15" hidden="false" customHeight="false" outlineLevel="0" collapsed="false">
      <c r="A815" s="2" t="n">
        <v>759</v>
      </c>
      <c r="B815" s="2" t="s">
        <v>4306</v>
      </c>
      <c r="C815" s="2" t="s">
        <v>4342</v>
      </c>
      <c r="D815" s="2" t="s">
        <v>351</v>
      </c>
      <c r="E815" s="2" t="s">
        <v>4343</v>
      </c>
      <c r="F815" s="2"/>
      <c r="G815" s="2"/>
      <c r="H815" s="2" t="s">
        <v>224</v>
      </c>
      <c r="I815" s="2" t="s">
        <v>184</v>
      </c>
      <c r="J815" s="2" t="n">
        <v>-7.97</v>
      </c>
      <c r="K815" s="2" t="n">
        <v>112.63</v>
      </c>
      <c r="L815" s="2" t="s">
        <v>101</v>
      </c>
      <c r="M815" s="2" t="s">
        <v>60</v>
      </c>
      <c r="N815" s="2" t="s">
        <v>4344</v>
      </c>
      <c r="O815" s="2" t="s">
        <v>4345</v>
      </c>
      <c r="P815" s="2"/>
      <c r="Q815" s="2" t="s">
        <v>62</v>
      </c>
      <c r="R815" s="2" t="n">
        <v>0.4</v>
      </c>
      <c r="S815" s="2" t="s">
        <v>4346</v>
      </c>
      <c r="T815" s="2" t="s">
        <v>4347</v>
      </c>
      <c r="U815" s="2" t="s">
        <v>4348</v>
      </c>
      <c r="V815" s="2" t="s">
        <v>745</v>
      </c>
      <c r="W815" s="2" t="s">
        <v>1188</v>
      </c>
      <c r="X815" s="2" t="s">
        <v>1588</v>
      </c>
    </row>
    <row r="816" customFormat="false" ht="15" hidden="false" customHeight="false" outlineLevel="0" collapsed="false">
      <c r="A816" s="2" t="n">
        <v>759</v>
      </c>
      <c r="B816" s="2" t="s">
        <v>4306</v>
      </c>
      <c r="C816" s="2" t="s">
        <v>4349</v>
      </c>
      <c r="D816" s="2" t="s">
        <v>351</v>
      </c>
      <c r="E816" s="2" t="s">
        <v>223</v>
      </c>
      <c r="F816" s="2"/>
      <c r="G816" s="2"/>
      <c r="H816" s="2"/>
      <c r="I816" s="2" t="s">
        <v>184</v>
      </c>
      <c r="J816" s="2" t="n">
        <v>-7.536</v>
      </c>
      <c r="K816" s="2" t="n">
        <v>112.238</v>
      </c>
      <c r="L816" s="2" t="s">
        <v>239</v>
      </c>
      <c r="M816" s="2" t="s">
        <v>60</v>
      </c>
      <c r="N816" s="2" t="s">
        <v>4208</v>
      </c>
      <c r="O816" s="2" t="s">
        <v>4350</v>
      </c>
      <c r="P816" s="2"/>
      <c r="Q816" s="2" t="s">
        <v>62</v>
      </c>
      <c r="R816" s="2" t="n">
        <v>0.35</v>
      </c>
      <c r="S816" s="2" t="s">
        <v>4346</v>
      </c>
      <c r="T816" s="2" t="s">
        <v>4347</v>
      </c>
      <c r="U816" s="2" t="s">
        <v>4348</v>
      </c>
      <c r="V816" s="2" t="s">
        <v>745</v>
      </c>
      <c r="W816" s="2" t="s">
        <v>1188</v>
      </c>
      <c r="X816" s="2" t="s">
        <v>1588</v>
      </c>
    </row>
    <row r="817" customFormat="false" ht="15" hidden="false" customHeight="false" outlineLevel="0" collapsed="false">
      <c r="A817" s="2" t="n">
        <v>760</v>
      </c>
      <c r="B817" s="2" t="s">
        <v>4306</v>
      </c>
      <c r="C817" s="2" t="s">
        <v>4351</v>
      </c>
      <c r="D817" s="2" t="s">
        <v>410</v>
      </c>
      <c r="E817" s="2" t="s">
        <v>4352</v>
      </c>
      <c r="F817" s="2" t="s">
        <v>4353</v>
      </c>
      <c r="G817" s="2" t="s">
        <v>4354</v>
      </c>
      <c r="H817" s="2" t="s">
        <v>4355</v>
      </c>
      <c r="I817" s="2" t="s">
        <v>184</v>
      </c>
      <c r="J817" s="2" t="n">
        <v>-7.44</v>
      </c>
      <c r="K817" s="2" t="n">
        <v>111.44</v>
      </c>
      <c r="L817" s="2" t="s">
        <v>84</v>
      </c>
      <c r="M817" s="2" t="s">
        <v>60</v>
      </c>
      <c r="N817" s="2"/>
      <c r="O817" s="2" t="s">
        <v>4356</v>
      </c>
      <c r="P817" s="2"/>
      <c r="Q817" s="2" t="s">
        <v>110</v>
      </c>
      <c r="R817" s="2" t="n">
        <v>0.85</v>
      </c>
      <c r="S817" s="2" t="s">
        <v>4357</v>
      </c>
      <c r="T817" s="2" t="s">
        <v>743</v>
      </c>
      <c r="U817" s="2" t="s">
        <v>4358</v>
      </c>
      <c r="V817" s="2" t="s">
        <v>4359</v>
      </c>
      <c r="W817" s="2" t="s">
        <v>3398</v>
      </c>
      <c r="X817" s="2" t="s">
        <v>507</v>
      </c>
    </row>
    <row r="818" customFormat="false" ht="15" hidden="false" customHeight="false" outlineLevel="0" collapsed="false">
      <c r="A818" s="2" t="n">
        <v>760</v>
      </c>
      <c r="B818" s="2" t="s">
        <v>4306</v>
      </c>
      <c r="C818" s="2" t="s">
        <v>4360</v>
      </c>
      <c r="D818" s="2" t="s">
        <v>121</v>
      </c>
      <c r="E818" s="2" t="s">
        <v>4361</v>
      </c>
      <c r="F818" s="2"/>
      <c r="G818" s="2"/>
      <c r="H818" s="2" t="s">
        <v>937</v>
      </c>
      <c r="I818" s="2" t="s">
        <v>184</v>
      </c>
      <c r="J818" s="2" t="n">
        <v>-7.156</v>
      </c>
      <c r="K818" s="2" t="n">
        <v>112.656</v>
      </c>
      <c r="L818" s="2" t="s">
        <v>101</v>
      </c>
      <c r="M818" s="2" t="s">
        <v>60</v>
      </c>
      <c r="N818" s="2"/>
      <c r="O818" s="2" t="s">
        <v>4362</v>
      </c>
      <c r="P818" s="2" t="s">
        <v>4363</v>
      </c>
      <c r="Q818" s="2" t="s">
        <v>62</v>
      </c>
      <c r="R818" s="2" t="n">
        <v>0.6</v>
      </c>
      <c r="S818" s="2" t="s">
        <v>4357</v>
      </c>
      <c r="T818" s="2" t="s">
        <v>743</v>
      </c>
      <c r="U818" s="2" t="s">
        <v>4358</v>
      </c>
      <c r="V818" s="2" t="s">
        <v>4359</v>
      </c>
      <c r="W818" s="2" t="s">
        <v>3398</v>
      </c>
      <c r="X818" s="2" t="s">
        <v>507</v>
      </c>
    </row>
    <row r="819" customFormat="false" ht="15" hidden="false" customHeight="false" outlineLevel="0" collapsed="false">
      <c r="A819" s="2" t="n">
        <v>761</v>
      </c>
      <c r="B819" s="2" t="s">
        <v>4306</v>
      </c>
      <c r="C819" s="2" t="s">
        <v>4364</v>
      </c>
      <c r="D819" s="2" t="s">
        <v>351</v>
      </c>
      <c r="E819" s="2" t="s">
        <v>4365</v>
      </c>
      <c r="F819" s="2"/>
      <c r="G819" s="2" t="s">
        <v>4366</v>
      </c>
      <c r="H819" s="2" t="s">
        <v>4367</v>
      </c>
      <c r="I819" s="2" t="s">
        <v>184</v>
      </c>
      <c r="J819" s="2" t="n">
        <v>-7.01</v>
      </c>
      <c r="K819" s="2" t="n">
        <v>111.9</v>
      </c>
      <c r="L819" s="2" t="s">
        <v>84</v>
      </c>
      <c r="M819" s="2" t="s">
        <v>60</v>
      </c>
      <c r="N819" s="2"/>
      <c r="O819" s="2" t="s">
        <v>4368</v>
      </c>
      <c r="P819" s="2" t="s">
        <v>4369</v>
      </c>
      <c r="Q819" s="2" t="s">
        <v>110</v>
      </c>
      <c r="R819" s="2" t="n">
        <v>0.4</v>
      </c>
      <c r="S819" s="2" t="s">
        <v>4370</v>
      </c>
      <c r="T819" s="2" t="s">
        <v>4371</v>
      </c>
      <c r="U819" s="2" t="s">
        <v>4372</v>
      </c>
      <c r="V819" s="2" t="s">
        <v>2214</v>
      </c>
      <c r="W819" s="2" t="s">
        <v>1138</v>
      </c>
      <c r="X819" s="2" t="s">
        <v>1588</v>
      </c>
    </row>
    <row r="820" customFormat="false" ht="15" hidden="false" customHeight="false" outlineLevel="0" collapsed="false">
      <c r="A820" s="2" t="n">
        <v>764</v>
      </c>
      <c r="B820" s="2" t="s">
        <v>4306</v>
      </c>
      <c r="C820" s="2" t="s">
        <v>4373</v>
      </c>
      <c r="D820" s="2" t="s">
        <v>351</v>
      </c>
      <c r="E820" s="2" t="s">
        <v>4294</v>
      </c>
      <c r="F820" s="2"/>
      <c r="G820" s="2" t="s">
        <v>4374</v>
      </c>
      <c r="H820" s="2" t="s">
        <v>4294</v>
      </c>
      <c r="I820" s="2" t="s">
        <v>184</v>
      </c>
      <c r="J820" s="2" t="n">
        <v>-8.17</v>
      </c>
      <c r="K820" s="2" t="n">
        <v>112.69</v>
      </c>
      <c r="L820" s="2" t="s">
        <v>84</v>
      </c>
      <c r="M820" s="2" t="s">
        <v>60</v>
      </c>
      <c r="N820" s="2"/>
      <c r="O820" s="2" t="s">
        <v>4375</v>
      </c>
      <c r="P820" s="2" t="s">
        <v>4376</v>
      </c>
      <c r="Q820" s="2" t="s">
        <v>110</v>
      </c>
      <c r="R820" s="2" t="n">
        <v>0.5</v>
      </c>
      <c r="S820" s="2" t="s">
        <v>4377</v>
      </c>
      <c r="T820" s="2" t="s">
        <v>4378</v>
      </c>
      <c r="U820" s="2" t="s">
        <v>4379</v>
      </c>
      <c r="V820" s="2" t="s">
        <v>4380</v>
      </c>
      <c r="W820" s="2" t="s">
        <v>2196</v>
      </c>
      <c r="X820" s="2" t="s">
        <v>1588</v>
      </c>
    </row>
    <row r="821" customFormat="false" ht="15" hidden="false" customHeight="false" outlineLevel="0" collapsed="false">
      <c r="A821" s="2" t="n">
        <v>766</v>
      </c>
      <c r="B821" s="2" t="s">
        <v>4306</v>
      </c>
      <c r="C821" s="2" t="s">
        <v>4381</v>
      </c>
      <c r="D821" s="2" t="s">
        <v>121</v>
      </c>
      <c r="E821" s="2" t="s">
        <v>4382</v>
      </c>
      <c r="F821" s="2"/>
      <c r="G821" s="2"/>
      <c r="H821" s="2" t="s">
        <v>950</v>
      </c>
      <c r="I821" s="2" t="s">
        <v>184</v>
      </c>
      <c r="J821" s="2" t="n">
        <v>-7.258</v>
      </c>
      <c r="K821" s="2" t="n">
        <v>112.752</v>
      </c>
      <c r="L821" s="2" t="s">
        <v>101</v>
      </c>
      <c r="M821" s="2" t="s">
        <v>60</v>
      </c>
      <c r="N821" s="2"/>
      <c r="O821" s="2" t="s">
        <v>4383</v>
      </c>
      <c r="P821" s="2" t="s">
        <v>109</v>
      </c>
      <c r="Q821" s="2" t="s">
        <v>62</v>
      </c>
      <c r="R821" s="2" t="n">
        <v>0.7</v>
      </c>
      <c r="S821" s="2" t="s">
        <v>4384</v>
      </c>
      <c r="T821" s="2" t="s">
        <v>1043</v>
      </c>
      <c r="U821" s="2" t="s">
        <v>4385</v>
      </c>
      <c r="V821" s="2" t="s">
        <v>4386</v>
      </c>
      <c r="W821" s="2" t="s">
        <v>828</v>
      </c>
      <c r="X821" s="2" t="s">
        <v>68</v>
      </c>
    </row>
    <row r="822" customFormat="false" ht="15" hidden="false" customHeight="false" outlineLevel="0" collapsed="false">
      <c r="A822" s="2" t="n">
        <v>767</v>
      </c>
      <c r="B822" s="2" t="s">
        <v>4306</v>
      </c>
      <c r="C822" s="2" t="s">
        <v>4387</v>
      </c>
      <c r="D822" s="2" t="s">
        <v>121</v>
      </c>
      <c r="E822" s="2" t="s">
        <v>4388</v>
      </c>
      <c r="F822" s="2" t="s">
        <v>4389</v>
      </c>
      <c r="G822" s="2" t="s">
        <v>4390</v>
      </c>
      <c r="H822" s="2" t="s">
        <v>950</v>
      </c>
      <c r="I822" s="2" t="s">
        <v>184</v>
      </c>
      <c r="J822" s="2" t="n">
        <v>-7.232</v>
      </c>
      <c r="K822" s="2" t="n">
        <v>112.7355</v>
      </c>
      <c r="L822" s="2" t="s">
        <v>124</v>
      </c>
      <c r="M822" s="2" t="s">
        <v>60</v>
      </c>
      <c r="N822" s="2"/>
      <c r="O822" s="2" t="s">
        <v>4391</v>
      </c>
      <c r="P822" s="2" t="s">
        <v>4392</v>
      </c>
      <c r="Q822" s="2" t="s">
        <v>62</v>
      </c>
      <c r="R822" s="2" t="n">
        <v>0.75</v>
      </c>
      <c r="S822" s="2" t="s">
        <v>4393</v>
      </c>
      <c r="T822" s="2" t="s">
        <v>4394</v>
      </c>
      <c r="U822" s="2" t="s">
        <v>4395</v>
      </c>
      <c r="V822" s="2" t="s">
        <v>4396</v>
      </c>
      <c r="W822" s="2" t="s">
        <v>828</v>
      </c>
      <c r="X822" s="2" t="s">
        <v>1588</v>
      </c>
    </row>
    <row r="823" customFormat="false" ht="15" hidden="false" customHeight="false" outlineLevel="0" collapsed="false">
      <c r="A823" s="2" t="n">
        <v>768</v>
      </c>
      <c r="B823" s="2" t="s">
        <v>4306</v>
      </c>
      <c r="C823" s="2" t="s">
        <v>4397</v>
      </c>
      <c r="D823" s="2" t="s">
        <v>121</v>
      </c>
      <c r="E823" s="2" t="s">
        <v>938</v>
      </c>
      <c r="F823" s="2"/>
      <c r="G823" s="2" t="s">
        <v>936</v>
      </c>
      <c r="H823" s="2" t="s">
        <v>937</v>
      </c>
      <c r="I823" s="2" t="s">
        <v>184</v>
      </c>
      <c r="J823" s="2" t="n">
        <v>-7.17</v>
      </c>
      <c r="K823" s="2" t="n">
        <v>112.63</v>
      </c>
      <c r="L823" s="2" t="s">
        <v>84</v>
      </c>
      <c r="M823" s="2" t="s">
        <v>60</v>
      </c>
      <c r="N823" s="2"/>
      <c r="O823" s="2" t="s">
        <v>4398</v>
      </c>
      <c r="P823" s="2" t="s">
        <v>109</v>
      </c>
      <c r="Q823" s="2" t="s">
        <v>62</v>
      </c>
      <c r="R823" s="2" t="n">
        <v>0.65</v>
      </c>
      <c r="S823" s="2" t="s">
        <v>4399</v>
      </c>
      <c r="T823" s="2" t="s">
        <v>4400</v>
      </c>
      <c r="U823" s="2" t="s">
        <v>4401</v>
      </c>
      <c r="V823" s="2" t="s">
        <v>745</v>
      </c>
      <c r="W823" s="2" t="s">
        <v>271</v>
      </c>
      <c r="X823" s="2" t="s">
        <v>1588</v>
      </c>
    </row>
    <row r="824" customFormat="false" ht="15" hidden="false" customHeight="false" outlineLevel="0" collapsed="false">
      <c r="A824" s="2" t="n">
        <v>769</v>
      </c>
      <c r="B824" s="2" t="s">
        <v>4306</v>
      </c>
      <c r="C824" s="2" t="s">
        <v>4402</v>
      </c>
      <c r="D824" s="2" t="s">
        <v>1140</v>
      </c>
      <c r="E824" s="2" t="s">
        <v>807</v>
      </c>
      <c r="F824" s="2" t="s">
        <v>278</v>
      </c>
      <c r="G824" s="2" t="s">
        <v>4403</v>
      </c>
      <c r="H824" s="2" t="s">
        <v>807</v>
      </c>
      <c r="I824" s="2" t="s">
        <v>184</v>
      </c>
      <c r="J824" s="2" t="n">
        <v>-7.9007</v>
      </c>
      <c r="K824" s="2" t="n">
        <v>112.5536</v>
      </c>
      <c r="L824" s="2" t="s">
        <v>124</v>
      </c>
      <c r="M824" s="2" t="s">
        <v>60</v>
      </c>
      <c r="N824" s="2"/>
      <c r="O824" s="2" t="s">
        <v>4404</v>
      </c>
      <c r="P824" s="2" t="s">
        <v>4405</v>
      </c>
      <c r="Q824" s="2" t="s">
        <v>62</v>
      </c>
      <c r="R824" s="2" t="n">
        <v>0.8</v>
      </c>
      <c r="S824" s="2" t="s">
        <v>4406</v>
      </c>
      <c r="T824" s="2" t="s">
        <v>743</v>
      </c>
      <c r="U824" s="2" t="s">
        <v>4407</v>
      </c>
      <c r="V824" s="2" t="s">
        <v>4386</v>
      </c>
      <c r="W824" s="2" t="s">
        <v>2999</v>
      </c>
      <c r="X824" s="2" t="s">
        <v>1588</v>
      </c>
    </row>
    <row r="825" customFormat="false" ht="15" hidden="false" customHeight="false" outlineLevel="0" collapsed="false">
      <c r="A825" s="2" t="n">
        <v>770</v>
      </c>
      <c r="B825" s="2" t="s">
        <v>4306</v>
      </c>
      <c r="C825" s="2" t="s">
        <v>4387</v>
      </c>
      <c r="D825" s="2" t="s">
        <v>121</v>
      </c>
      <c r="E825" s="2" t="s">
        <v>4408</v>
      </c>
      <c r="F825" s="2" t="s">
        <v>4409</v>
      </c>
      <c r="G825" s="2" t="s">
        <v>4410</v>
      </c>
      <c r="H825" s="2" t="s">
        <v>950</v>
      </c>
      <c r="I825" s="2" t="s">
        <v>184</v>
      </c>
      <c r="J825" s="2" t="n">
        <v>-7.292</v>
      </c>
      <c r="K825" s="2" t="n">
        <v>112.719</v>
      </c>
      <c r="L825" s="2" t="s">
        <v>124</v>
      </c>
      <c r="M825" s="2" t="s">
        <v>60</v>
      </c>
      <c r="N825" s="2"/>
      <c r="O825" s="2" t="s">
        <v>4411</v>
      </c>
      <c r="P825" s="2" t="s">
        <v>4412</v>
      </c>
      <c r="Q825" s="2" t="s">
        <v>62</v>
      </c>
      <c r="R825" s="2" t="n">
        <v>0.75</v>
      </c>
      <c r="S825" s="2" t="s">
        <v>4413</v>
      </c>
      <c r="T825" s="2" t="s">
        <v>4394</v>
      </c>
      <c r="U825" s="2" t="s">
        <v>4414</v>
      </c>
      <c r="V825" s="2" t="s">
        <v>178</v>
      </c>
      <c r="W825" s="2" t="s">
        <v>132</v>
      </c>
      <c r="X825" s="2" t="s">
        <v>1588</v>
      </c>
    </row>
    <row r="826" customFormat="false" ht="15" hidden="false" customHeight="false" outlineLevel="0" collapsed="false">
      <c r="A826" s="2" t="n">
        <v>772</v>
      </c>
      <c r="B826" s="2" t="s">
        <v>4306</v>
      </c>
      <c r="C826" s="2" t="s">
        <v>4415</v>
      </c>
      <c r="D826" s="2" t="s">
        <v>1140</v>
      </c>
      <c r="E826" s="2" t="s">
        <v>4416</v>
      </c>
      <c r="F826" s="2"/>
      <c r="G826" s="2" t="s">
        <v>4417</v>
      </c>
      <c r="H826" s="2" t="s">
        <v>994</v>
      </c>
      <c r="I826" s="2" t="s">
        <v>577</v>
      </c>
      <c r="J826" s="2" t="n">
        <v>-8.56</v>
      </c>
      <c r="K826" s="2" t="n">
        <v>115.34</v>
      </c>
      <c r="L826" s="2" t="s">
        <v>84</v>
      </c>
      <c r="M826" s="2" t="s">
        <v>60</v>
      </c>
      <c r="N826" s="2"/>
      <c r="O826" s="2" t="s">
        <v>4418</v>
      </c>
      <c r="P826" s="2"/>
      <c r="Q826" s="2" t="s">
        <v>62</v>
      </c>
      <c r="R826" s="2" t="n">
        <v>0.55</v>
      </c>
      <c r="S826" s="2" t="s">
        <v>4419</v>
      </c>
      <c r="T826" s="2" t="s">
        <v>176</v>
      </c>
      <c r="U826" s="2" t="s">
        <v>4420</v>
      </c>
      <c r="V826" s="2" t="s">
        <v>745</v>
      </c>
      <c r="W826" s="2" t="s">
        <v>2234</v>
      </c>
      <c r="X826" s="2" t="s">
        <v>1588</v>
      </c>
    </row>
    <row r="827" customFormat="false" ht="15" hidden="false" customHeight="false" outlineLevel="0" collapsed="false">
      <c r="A827" s="2" t="n">
        <v>773</v>
      </c>
      <c r="B827" s="2" t="s">
        <v>4306</v>
      </c>
      <c r="C827" s="2" t="s">
        <v>4421</v>
      </c>
      <c r="D827" s="2" t="s">
        <v>53</v>
      </c>
      <c r="E827" s="2" t="s">
        <v>577</v>
      </c>
      <c r="F827" s="2"/>
      <c r="G827" s="2"/>
      <c r="H827" s="2"/>
      <c r="I827" s="2" t="s">
        <v>577</v>
      </c>
      <c r="J827" s="2" t="n">
        <v>-8.409</v>
      </c>
      <c r="K827" s="2" t="n">
        <v>115.189</v>
      </c>
      <c r="L827" s="2" t="s">
        <v>239</v>
      </c>
      <c r="M827" s="2" t="s">
        <v>340</v>
      </c>
      <c r="N827" s="2"/>
      <c r="O827" s="2" t="s">
        <v>4422</v>
      </c>
      <c r="P827" s="2"/>
      <c r="Q827" s="2" t="s">
        <v>110</v>
      </c>
      <c r="R827" s="2" t="n">
        <v>0.7</v>
      </c>
      <c r="S827" s="2" t="s">
        <v>4423</v>
      </c>
      <c r="T827" s="2" t="s">
        <v>743</v>
      </c>
      <c r="U827" s="2" t="s">
        <v>4424</v>
      </c>
      <c r="V827" s="2" t="s">
        <v>745</v>
      </c>
      <c r="W827" s="2" t="s">
        <v>1735</v>
      </c>
      <c r="X827" s="2" t="s">
        <v>1588</v>
      </c>
    </row>
    <row r="828" customFormat="false" ht="15" hidden="false" customHeight="false" outlineLevel="0" collapsed="false">
      <c r="A828" s="2" t="n">
        <v>773</v>
      </c>
      <c r="B828" s="2" t="s">
        <v>4306</v>
      </c>
      <c r="C828" s="2" t="s">
        <v>4425</v>
      </c>
      <c r="D828" s="2" t="s">
        <v>134</v>
      </c>
      <c r="E828" s="2" t="s">
        <v>989</v>
      </c>
      <c r="F828" s="2" t="s">
        <v>988</v>
      </c>
      <c r="G828" s="2" t="s">
        <v>990</v>
      </c>
      <c r="H828" s="2" t="s">
        <v>576</v>
      </c>
      <c r="I828" s="2" t="s">
        <v>577</v>
      </c>
      <c r="J828" s="2" t="n">
        <v>-8.64</v>
      </c>
      <c r="K828" s="2" t="n">
        <v>115.14</v>
      </c>
      <c r="L828" s="2" t="s">
        <v>59</v>
      </c>
      <c r="M828" s="2" t="s">
        <v>60</v>
      </c>
      <c r="N828" s="2"/>
      <c r="O828" s="2" t="s">
        <v>4426</v>
      </c>
      <c r="P828" s="2"/>
      <c r="Q828" s="2" t="s">
        <v>110</v>
      </c>
      <c r="R828" s="2" t="n">
        <v>0.75</v>
      </c>
      <c r="S828" s="2" t="s">
        <v>4423</v>
      </c>
      <c r="T828" s="2" t="s">
        <v>743</v>
      </c>
      <c r="U828" s="2" t="s">
        <v>4424</v>
      </c>
      <c r="V828" s="2" t="s">
        <v>745</v>
      </c>
      <c r="W828" s="2" t="s">
        <v>1735</v>
      </c>
      <c r="X828" s="2" t="s">
        <v>1588</v>
      </c>
    </row>
    <row r="829" customFormat="false" ht="15" hidden="false" customHeight="false" outlineLevel="0" collapsed="false">
      <c r="A829" s="2" t="n">
        <v>773</v>
      </c>
      <c r="B829" s="2" t="s">
        <v>4306</v>
      </c>
      <c r="C829" s="2" t="s">
        <v>4427</v>
      </c>
      <c r="D829" s="2" t="s">
        <v>134</v>
      </c>
      <c r="E829" s="2" t="s">
        <v>577</v>
      </c>
      <c r="F829" s="2"/>
      <c r="G829" s="2"/>
      <c r="H829" s="2"/>
      <c r="I829" s="2" t="s">
        <v>577</v>
      </c>
      <c r="J829" s="2" t="n">
        <v>-8.409</v>
      </c>
      <c r="K829" s="2" t="n">
        <v>115.189</v>
      </c>
      <c r="L829" s="2" t="s">
        <v>239</v>
      </c>
      <c r="M829" s="2" t="s">
        <v>340</v>
      </c>
      <c r="N829" s="2"/>
      <c r="O829" s="2" t="s">
        <v>4428</v>
      </c>
      <c r="P829" s="2"/>
      <c r="Q829" s="2" t="s">
        <v>110</v>
      </c>
      <c r="R829" s="2" t="n">
        <v>0.65</v>
      </c>
      <c r="S829" s="2" t="s">
        <v>4423</v>
      </c>
      <c r="T829" s="2" t="s">
        <v>743</v>
      </c>
      <c r="U829" s="2" t="s">
        <v>4424</v>
      </c>
      <c r="V829" s="2" t="s">
        <v>745</v>
      </c>
      <c r="W829" s="2" t="s">
        <v>1735</v>
      </c>
      <c r="X829" s="2" t="s">
        <v>1588</v>
      </c>
    </row>
    <row r="830" customFormat="false" ht="15" hidden="false" customHeight="false" outlineLevel="0" collapsed="false">
      <c r="A830" s="2" t="n">
        <v>774</v>
      </c>
      <c r="B830" s="2" t="s">
        <v>4306</v>
      </c>
      <c r="C830" s="2" t="s">
        <v>4429</v>
      </c>
      <c r="D830" s="2" t="s">
        <v>134</v>
      </c>
      <c r="E830" s="2" t="s">
        <v>4430</v>
      </c>
      <c r="F830" s="2" t="s">
        <v>4431</v>
      </c>
      <c r="G830" s="2" t="s">
        <v>4432</v>
      </c>
      <c r="H830" s="2" t="s">
        <v>4433</v>
      </c>
      <c r="I830" s="2" t="s">
        <v>577</v>
      </c>
      <c r="J830" s="2" t="n">
        <v>-8.68</v>
      </c>
      <c r="K830" s="2" t="n">
        <v>115.225</v>
      </c>
      <c r="L830" s="2" t="s">
        <v>59</v>
      </c>
      <c r="M830" s="2" t="s">
        <v>60</v>
      </c>
      <c r="N830" s="2"/>
      <c r="O830" s="2" t="s">
        <v>4434</v>
      </c>
      <c r="P830" s="2"/>
      <c r="Q830" s="2" t="s">
        <v>62</v>
      </c>
      <c r="R830" s="2" t="n">
        <v>0.6</v>
      </c>
      <c r="S830" s="2" t="s">
        <v>4435</v>
      </c>
      <c r="T830" s="2" t="s">
        <v>743</v>
      </c>
      <c r="U830" s="2" t="s">
        <v>4436</v>
      </c>
      <c r="V830" s="2" t="s">
        <v>114</v>
      </c>
      <c r="W830" s="2" t="s">
        <v>1397</v>
      </c>
      <c r="X830" s="2" t="s">
        <v>1588</v>
      </c>
    </row>
    <row r="831" customFormat="false" ht="15" hidden="false" customHeight="false" outlineLevel="0" collapsed="false">
      <c r="A831" s="2" t="n">
        <v>774</v>
      </c>
      <c r="B831" s="2" t="s">
        <v>4306</v>
      </c>
      <c r="C831" s="2" t="s">
        <v>4437</v>
      </c>
      <c r="D831" s="2" t="s">
        <v>53</v>
      </c>
      <c r="E831" s="2" t="s">
        <v>4438</v>
      </c>
      <c r="F831" s="2" t="s">
        <v>4439</v>
      </c>
      <c r="G831" s="2" t="s">
        <v>4440</v>
      </c>
      <c r="H831" s="2" t="s">
        <v>4433</v>
      </c>
      <c r="I831" s="2" t="s">
        <v>577</v>
      </c>
      <c r="J831" s="2" t="n">
        <v>-8.67</v>
      </c>
      <c r="K831" s="2" t="n">
        <v>115.21</v>
      </c>
      <c r="L831" s="2" t="s">
        <v>59</v>
      </c>
      <c r="M831" s="2" t="s">
        <v>60</v>
      </c>
      <c r="N831" s="2" t="s">
        <v>4441</v>
      </c>
      <c r="O831" s="2" t="s">
        <v>4442</v>
      </c>
      <c r="P831" s="2"/>
      <c r="Q831" s="2" t="s">
        <v>62</v>
      </c>
      <c r="R831" s="2" t="n">
        <v>0.65</v>
      </c>
      <c r="S831" s="2" t="s">
        <v>4435</v>
      </c>
      <c r="T831" s="2" t="s">
        <v>743</v>
      </c>
      <c r="U831" s="2" t="s">
        <v>4436</v>
      </c>
      <c r="V831" s="2" t="s">
        <v>114</v>
      </c>
      <c r="W831" s="2" t="s">
        <v>1397</v>
      </c>
      <c r="X831" s="2" t="s">
        <v>1588</v>
      </c>
    </row>
    <row r="832" customFormat="false" ht="15" hidden="false" customHeight="false" outlineLevel="0" collapsed="false">
      <c r="A832" s="2" t="n">
        <v>774</v>
      </c>
      <c r="B832" s="2" t="s">
        <v>4306</v>
      </c>
      <c r="C832" s="2" t="s">
        <v>4443</v>
      </c>
      <c r="D832" s="2" t="s">
        <v>53</v>
      </c>
      <c r="E832" s="2" t="s">
        <v>4444</v>
      </c>
      <c r="F832" s="2" t="s">
        <v>4445</v>
      </c>
      <c r="G832" s="2" t="s">
        <v>4446</v>
      </c>
      <c r="H832" s="2" t="s">
        <v>4433</v>
      </c>
      <c r="I832" s="2" t="s">
        <v>577</v>
      </c>
      <c r="J832" s="2" t="n">
        <v>-8.63</v>
      </c>
      <c r="K832" s="2" t="n">
        <v>115.23</v>
      </c>
      <c r="L832" s="2" t="s">
        <v>59</v>
      </c>
      <c r="M832" s="2" t="s">
        <v>60</v>
      </c>
      <c r="N832" s="2"/>
      <c r="O832" s="2" t="s">
        <v>4447</v>
      </c>
      <c r="P832" s="2"/>
      <c r="Q832" s="2" t="s">
        <v>62</v>
      </c>
      <c r="R832" s="2" t="n">
        <v>0.6</v>
      </c>
      <c r="S832" s="2" t="s">
        <v>4435</v>
      </c>
      <c r="T832" s="2" t="s">
        <v>743</v>
      </c>
      <c r="U832" s="2" t="s">
        <v>4436</v>
      </c>
      <c r="V832" s="2" t="s">
        <v>114</v>
      </c>
      <c r="W832" s="2" t="s">
        <v>1397</v>
      </c>
      <c r="X832" s="2" t="s">
        <v>1588</v>
      </c>
    </row>
    <row r="833" customFormat="false" ht="15" hidden="false" customHeight="false" outlineLevel="0" collapsed="false">
      <c r="A833" s="2" t="n">
        <v>774</v>
      </c>
      <c r="B833" s="2" t="s">
        <v>4306</v>
      </c>
      <c r="C833" s="2" t="s">
        <v>4448</v>
      </c>
      <c r="D833" s="2" t="s">
        <v>53</v>
      </c>
      <c r="E833" s="2" t="s">
        <v>4449</v>
      </c>
      <c r="F833" s="2" t="s">
        <v>4431</v>
      </c>
      <c r="G833" s="2" t="s">
        <v>4432</v>
      </c>
      <c r="H833" s="2" t="s">
        <v>4433</v>
      </c>
      <c r="I833" s="2" t="s">
        <v>577</v>
      </c>
      <c r="J833" s="2" t="n">
        <v>-8.68</v>
      </c>
      <c r="K833" s="2" t="n">
        <v>115.225</v>
      </c>
      <c r="L833" s="2" t="s">
        <v>59</v>
      </c>
      <c r="M833" s="2" t="s">
        <v>60</v>
      </c>
      <c r="N833" s="2"/>
      <c r="O833" s="2" t="s">
        <v>4450</v>
      </c>
      <c r="P833" s="2"/>
      <c r="Q833" s="2" t="s">
        <v>62</v>
      </c>
      <c r="R833" s="2" t="n">
        <v>0.6</v>
      </c>
      <c r="S833" s="2" t="s">
        <v>4435</v>
      </c>
      <c r="T833" s="2" t="s">
        <v>743</v>
      </c>
      <c r="U833" s="2" t="s">
        <v>4436</v>
      </c>
      <c r="V833" s="2" t="s">
        <v>114</v>
      </c>
      <c r="W833" s="2" t="s">
        <v>1397</v>
      </c>
      <c r="X833" s="2" t="s">
        <v>1588</v>
      </c>
    </row>
    <row r="834" customFormat="false" ht="15" hidden="false" customHeight="false" outlineLevel="0" collapsed="false">
      <c r="A834" s="2" t="n">
        <v>775</v>
      </c>
      <c r="B834" s="2" t="s">
        <v>4306</v>
      </c>
      <c r="C834" s="2" t="s">
        <v>4451</v>
      </c>
      <c r="D834" s="2" t="s">
        <v>53</v>
      </c>
      <c r="E834" s="2" t="s">
        <v>4452</v>
      </c>
      <c r="F834" s="2" t="s">
        <v>4453</v>
      </c>
      <c r="G834" s="2" t="s">
        <v>4454</v>
      </c>
      <c r="H834" s="2" t="s">
        <v>576</v>
      </c>
      <c r="I834" s="2" t="s">
        <v>577</v>
      </c>
      <c r="J834" s="2" t="n">
        <v>-8.79</v>
      </c>
      <c r="K834" s="2" t="n">
        <v>115.16</v>
      </c>
      <c r="L834" s="2" t="s">
        <v>59</v>
      </c>
      <c r="M834" s="2" t="s">
        <v>60</v>
      </c>
      <c r="N834" s="2"/>
      <c r="O834" s="2" t="s">
        <v>4455</v>
      </c>
      <c r="P834" s="2" t="s">
        <v>692</v>
      </c>
      <c r="Q834" s="2" t="s">
        <v>62</v>
      </c>
      <c r="R834" s="2" t="n">
        <v>0.8</v>
      </c>
      <c r="S834" s="2" t="s">
        <v>4456</v>
      </c>
      <c r="T834" s="2" t="s">
        <v>112</v>
      </c>
      <c r="U834" s="2" t="s">
        <v>4457</v>
      </c>
      <c r="V834" s="2" t="s">
        <v>158</v>
      </c>
      <c r="W834" s="2" t="s">
        <v>1543</v>
      </c>
      <c r="X834" s="2" t="s">
        <v>1588</v>
      </c>
    </row>
    <row r="835" customFormat="false" ht="15" hidden="false" customHeight="false" outlineLevel="0" collapsed="false">
      <c r="A835" s="2" t="n">
        <v>775</v>
      </c>
      <c r="B835" s="2" t="s">
        <v>4306</v>
      </c>
      <c r="C835" s="2" t="s">
        <v>4458</v>
      </c>
      <c r="D835" s="2" t="s">
        <v>53</v>
      </c>
      <c r="E835" s="2" t="s">
        <v>4459</v>
      </c>
      <c r="F835" s="2" t="s">
        <v>4460</v>
      </c>
      <c r="G835" s="2" t="s">
        <v>4235</v>
      </c>
      <c r="H835" s="2" t="s">
        <v>4461</v>
      </c>
      <c r="I835" s="2" t="s">
        <v>577</v>
      </c>
      <c r="J835" s="2" t="n">
        <v>-8.59</v>
      </c>
      <c r="K835" s="2" t="n">
        <v>115.11</v>
      </c>
      <c r="L835" s="2" t="s">
        <v>59</v>
      </c>
      <c r="M835" s="2" t="s">
        <v>60</v>
      </c>
      <c r="N835" s="2"/>
      <c r="O835" s="2" t="s">
        <v>4462</v>
      </c>
      <c r="P835" s="2" t="s">
        <v>692</v>
      </c>
      <c r="Q835" s="2" t="s">
        <v>62</v>
      </c>
      <c r="R835" s="2" t="n">
        <v>0.75</v>
      </c>
      <c r="S835" s="2" t="s">
        <v>4456</v>
      </c>
      <c r="T835" s="2" t="s">
        <v>112</v>
      </c>
      <c r="U835" s="2" t="s">
        <v>4457</v>
      </c>
      <c r="V835" s="2" t="s">
        <v>158</v>
      </c>
      <c r="W835" s="2" t="s">
        <v>1543</v>
      </c>
      <c r="X835" s="2" t="s">
        <v>1588</v>
      </c>
    </row>
    <row r="836" customFormat="false" ht="15" hidden="false" customHeight="false" outlineLevel="0" collapsed="false">
      <c r="A836" s="2" t="n">
        <v>776</v>
      </c>
      <c r="B836" s="2" t="s">
        <v>4306</v>
      </c>
      <c r="C836" s="2" t="s">
        <v>4463</v>
      </c>
      <c r="D836" s="2" t="s">
        <v>53</v>
      </c>
      <c r="E836" s="2" t="s">
        <v>4464</v>
      </c>
      <c r="F836" s="2" t="s">
        <v>4465</v>
      </c>
      <c r="G836" s="2" t="s">
        <v>575</v>
      </c>
      <c r="H836" s="2" t="s">
        <v>576</v>
      </c>
      <c r="I836" s="2" t="s">
        <v>577</v>
      </c>
      <c r="J836" s="2" t="n">
        <v>-8.705</v>
      </c>
      <c r="K836" s="2" t="n">
        <v>115.172</v>
      </c>
      <c r="L836" s="2" t="s">
        <v>59</v>
      </c>
      <c r="M836" s="2" t="s">
        <v>60</v>
      </c>
      <c r="N836" s="2"/>
      <c r="O836" s="2" t="s">
        <v>4466</v>
      </c>
      <c r="P836" s="2"/>
      <c r="Q836" s="2" t="s">
        <v>62</v>
      </c>
      <c r="R836" s="2" t="n">
        <v>0.75</v>
      </c>
      <c r="S836" s="2" t="s">
        <v>4467</v>
      </c>
      <c r="T836" s="2" t="s">
        <v>156</v>
      </c>
      <c r="U836" s="2" t="s">
        <v>4468</v>
      </c>
      <c r="V836" s="2" t="s">
        <v>114</v>
      </c>
      <c r="W836" s="2" t="s">
        <v>1188</v>
      </c>
      <c r="X836" s="2" t="s">
        <v>68</v>
      </c>
    </row>
    <row r="837" customFormat="false" ht="15" hidden="false" customHeight="false" outlineLevel="0" collapsed="false">
      <c r="A837" s="2" t="n">
        <v>776</v>
      </c>
      <c r="B837" s="2" t="s">
        <v>4306</v>
      </c>
      <c r="C837" s="2" t="s">
        <v>4469</v>
      </c>
      <c r="D837" s="2" t="s">
        <v>53</v>
      </c>
      <c r="E837" s="2" t="s">
        <v>4470</v>
      </c>
      <c r="F837" s="2"/>
      <c r="G837" s="2" t="s">
        <v>1088</v>
      </c>
      <c r="H837" s="2" t="s">
        <v>576</v>
      </c>
      <c r="I837" s="2" t="s">
        <v>577</v>
      </c>
      <c r="J837" s="2" t="n">
        <v>-8.55</v>
      </c>
      <c r="K837" s="2" t="n">
        <v>115.18</v>
      </c>
      <c r="L837" s="2" t="s">
        <v>84</v>
      </c>
      <c r="M837" s="2" t="s">
        <v>60</v>
      </c>
      <c r="N837" s="2"/>
      <c r="O837" s="2" t="s">
        <v>4471</v>
      </c>
      <c r="P837" s="2"/>
      <c r="Q837" s="2" t="s">
        <v>62</v>
      </c>
      <c r="R837" s="2" t="n">
        <v>0.7</v>
      </c>
      <c r="S837" s="2" t="s">
        <v>4467</v>
      </c>
      <c r="T837" s="2" t="s">
        <v>156</v>
      </c>
      <c r="U837" s="2" t="s">
        <v>4468</v>
      </c>
      <c r="V837" s="2" t="s">
        <v>114</v>
      </c>
      <c r="W837" s="2" t="s">
        <v>1188</v>
      </c>
      <c r="X837" s="2" t="s">
        <v>68</v>
      </c>
    </row>
    <row r="838" customFormat="false" ht="15" hidden="false" customHeight="false" outlineLevel="0" collapsed="false">
      <c r="A838" s="2" t="n">
        <v>776</v>
      </c>
      <c r="B838" s="2" t="s">
        <v>4306</v>
      </c>
      <c r="C838" s="2" t="s">
        <v>4472</v>
      </c>
      <c r="D838" s="2" t="s">
        <v>53</v>
      </c>
      <c r="E838" s="2" t="s">
        <v>577</v>
      </c>
      <c r="F838" s="2"/>
      <c r="G838" s="2"/>
      <c r="H838" s="2"/>
      <c r="I838" s="2" t="s">
        <v>577</v>
      </c>
      <c r="J838" s="2" t="n">
        <v>-8.409</v>
      </c>
      <c r="K838" s="2" t="n">
        <v>115.189</v>
      </c>
      <c r="L838" s="2" t="s">
        <v>239</v>
      </c>
      <c r="M838" s="2" t="s">
        <v>340</v>
      </c>
      <c r="N838" s="2"/>
      <c r="O838" s="2" t="s">
        <v>4473</v>
      </c>
      <c r="P838" s="2"/>
      <c r="Q838" s="2" t="s">
        <v>62</v>
      </c>
      <c r="R838" s="2" t="n">
        <v>0.65</v>
      </c>
      <c r="S838" s="2" t="s">
        <v>4467</v>
      </c>
      <c r="T838" s="2" t="s">
        <v>156</v>
      </c>
      <c r="U838" s="2" t="s">
        <v>4468</v>
      </c>
      <c r="V838" s="2" t="s">
        <v>114</v>
      </c>
      <c r="W838" s="2" t="s">
        <v>1188</v>
      </c>
      <c r="X838" s="2" t="s">
        <v>68</v>
      </c>
    </row>
    <row r="839" customFormat="false" ht="15" hidden="false" customHeight="false" outlineLevel="0" collapsed="false">
      <c r="A839" s="2" t="n">
        <v>777</v>
      </c>
      <c r="B839" s="2" t="s">
        <v>4306</v>
      </c>
      <c r="C839" s="2" t="s">
        <v>4474</v>
      </c>
      <c r="D839" s="2" t="s">
        <v>53</v>
      </c>
      <c r="E839" s="2" t="s">
        <v>4475</v>
      </c>
      <c r="F839" s="2" t="s">
        <v>1087</v>
      </c>
      <c r="G839" s="2" t="s">
        <v>1088</v>
      </c>
      <c r="H839" s="2" t="s">
        <v>576</v>
      </c>
      <c r="I839" s="2" t="s">
        <v>577</v>
      </c>
      <c r="J839" s="2" t="n">
        <v>-8.63</v>
      </c>
      <c r="K839" s="2" t="n">
        <v>115.12</v>
      </c>
      <c r="L839" s="2" t="s">
        <v>59</v>
      </c>
      <c r="M839" s="2" t="s">
        <v>60</v>
      </c>
      <c r="N839" s="2"/>
      <c r="O839" s="2" t="s">
        <v>4476</v>
      </c>
      <c r="P839" s="2" t="s">
        <v>109</v>
      </c>
      <c r="Q839" s="2" t="s">
        <v>62</v>
      </c>
      <c r="R839" s="2" t="n">
        <v>0.75</v>
      </c>
      <c r="S839" s="2" t="s">
        <v>4477</v>
      </c>
      <c r="T839" s="2" t="s">
        <v>112</v>
      </c>
      <c r="U839" s="2" t="s">
        <v>4478</v>
      </c>
      <c r="V839" s="2" t="s">
        <v>158</v>
      </c>
      <c r="W839" s="2" t="s">
        <v>2168</v>
      </c>
      <c r="X839" s="2" t="s">
        <v>1588</v>
      </c>
    </row>
    <row r="840" customFormat="false" ht="15" hidden="false" customHeight="false" outlineLevel="0" collapsed="false">
      <c r="A840" s="2" t="n">
        <v>777</v>
      </c>
      <c r="B840" s="2" t="s">
        <v>4306</v>
      </c>
      <c r="C840" s="2" t="s">
        <v>4479</v>
      </c>
      <c r="D840" s="2" t="s">
        <v>53</v>
      </c>
      <c r="E840" s="2" t="s">
        <v>4480</v>
      </c>
      <c r="F840" s="2" t="s">
        <v>575</v>
      </c>
      <c r="G840" s="2" t="s">
        <v>575</v>
      </c>
      <c r="H840" s="2" t="s">
        <v>576</v>
      </c>
      <c r="I840" s="2" t="s">
        <v>577</v>
      </c>
      <c r="J840" s="2" t="n">
        <v>-8.72</v>
      </c>
      <c r="K840" s="2" t="n">
        <v>115.175</v>
      </c>
      <c r="L840" s="2" t="s">
        <v>59</v>
      </c>
      <c r="M840" s="2" t="s">
        <v>60</v>
      </c>
      <c r="N840" s="2"/>
      <c r="O840" s="2" t="s">
        <v>4481</v>
      </c>
      <c r="P840" s="2" t="s">
        <v>1001</v>
      </c>
      <c r="Q840" s="2" t="s">
        <v>62</v>
      </c>
      <c r="R840" s="2" t="n">
        <v>0.7</v>
      </c>
      <c r="S840" s="2" t="s">
        <v>4477</v>
      </c>
      <c r="T840" s="2" t="s">
        <v>112</v>
      </c>
      <c r="U840" s="2" t="s">
        <v>4478</v>
      </c>
      <c r="V840" s="2" t="s">
        <v>158</v>
      </c>
      <c r="W840" s="2" t="s">
        <v>2168</v>
      </c>
      <c r="X840" s="2" t="s">
        <v>1588</v>
      </c>
    </row>
    <row r="841" customFormat="false" ht="15" hidden="false" customHeight="false" outlineLevel="0" collapsed="false">
      <c r="A841" s="2" t="n">
        <v>778</v>
      </c>
      <c r="B841" s="2" t="s">
        <v>4306</v>
      </c>
      <c r="C841" s="2" t="s">
        <v>4482</v>
      </c>
      <c r="D841" s="2" t="s">
        <v>53</v>
      </c>
      <c r="E841" s="2" t="s">
        <v>4483</v>
      </c>
      <c r="F841" s="2" t="s">
        <v>4484</v>
      </c>
      <c r="G841" s="2" t="s">
        <v>992</v>
      </c>
      <c r="H841" s="2" t="s">
        <v>994</v>
      </c>
      <c r="I841" s="2" t="s">
        <v>577</v>
      </c>
      <c r="J841" s="2" t="n">
        <v>-8.5</v>
      </c>
      <c r="K841" s="2" t="n">
        <v>115.245</v>
      </c>
      <c r="L841" s="2" t="s">
        <v>59</v>
      </c>
      <c r="M841" s="2" t="s">
        <v>60</v>
      </c>
      <c r="N841" s="2"/>
      <c r="O841" s="2" t="s">
        <v>4485</v>
      </c>
      <c r="P841" s="2"/>
      <c r="Q841" s="2" t="s">
        <v>62</v>
      </c>
      <c r="R841" s="2" t="n">
        <v>0.75</v>
      </c>
      <c r="S841" s="2" t="s">
        <v>4486</v>
      </c>
      <c r="T841" s="2" t="s">
        <v>156</v>
      </c>
      <c r="U841" s="2" t="s">
        <v>4487</v>
      </c>
      <c r="V841" s="2" t="s">
        <v>66</v>
      </c>
      <c r="W841" s="2" t="s">
        <v>1482</v>
      </c>
      <c r="X841" s="2" t="s">
        <v>1588</v>
      </c>
    </row>
    <row r="842" customFormat="false" ht="15" hidden="false" customHeight="false" outlineLevel="0" collapsed="false">
      <c r="A842" s="2" t="n">
        <v>779</v>
      </c>
      <c r="B842" s="2" t="s">
        <v>4306</v>
      </c>
      <c r="C842" s="2" t="s">
        <v>4488</v>
      </c>
      <c r="D842" s="2" t="s">
        <v>53</v>
      </c>
      <c r="E842" s="2" t="s">
        <v>4489</v>
      </c>
      <c r="F842" s="2" t="s">
        <v>4490</v>
      </c>
      <c r="G842" s="2" t="s">
        <v>1639</v>
      </c>
      <c r="H842" s="2" t="s">
        <v>426</v>
      </c>
      <c r="I842" s="2" t="s">
        <v>74</v>
      </c>
      <c r="J842" s="2" t="n">
        <v>-6.26</v>
      </c>
      <c r="K842" s="2" t="n">
        <v>106.815</v>
      </c>
      <c r="L842" s="2" t="s">
        <v>59</v>
      </c>
      <c r="M842" s="2" t="s">
        <v>60</v>
      </c>
      <c r="N842" s="2"/>
      <c r="O842" s="2" t="s">
        <v>4491</v>
      </c>
      <c r="P842" s="2"/>
      <c r="Q842" s="2" t="s">
        <v>62</v>
      </c>
      <c r="R842" s="2" t="n">
        <v>0.75</v>
      </c>
      <c r="S842" s="2" t="s">
        <v>4492</v>
      </c>
      <c r="T842" s="2" t="s">
        <v>64</v>
      </c>
      <c r="U842" s="2" t="s">
        <v>4493</v>
      </c>
      <c r="V842" s="2" t="s">
        <v>114</v>
      </c>
      <c r="W842" s="2" t="s">
        <v>1482</v>
      </c>
      <c r="X842" s="2" t="s">
        <v>1588</v>
      </c>
    </row>
    <row r="843" customFormat="false" ht="15" hidden="false" customHeight="false" outlineLevel="0" collapsed="false">
      <c r="A843" s="2" t="n">
        <v>780</v>
      </c>
      <c r="B843" s="2" t="s">
        <v>4494</v>
      </c>
      <c r="C843" s="2" t="s">
        <v>4495</v>
      </c>
      <c r="D843" s="2" t="s">
        <v>53</v>
      </c>
      <c r="E843" s="2" t="s">
        <v>4496</v>
      </c>
      <c r="F843" s="2" t="s">
        <v>4497</v>
      </c>
      <c r="G843" s="2" t="s">
        <v>4498</v>
      </c>
      <c r="H843" s="2" t="s">
        <v>4461</v>
      </c>
      <c r="I843" s="2" t="s">
        <v>577</v>
      </c>
      <c r="J843" s="2" t="n">
        <v>-8.52</v>
      </c>
      <c r="K843" s="2" t="n">
        <v>115.1</v>
      </c>
      <c r="L843" s="2" t="s">
        <v>84</v>
      </c>
      <c r="M843" s="2" t="s">
        <v>60</v>
      </c>
      <c r="N843" s="2"/>
      <c r="O843" s="2" t="s">
        <v>4499</v>
      </c>
      <c r="P843" s="2" t="s">
        <v>2558</v>
      </c>
      <c r="Q843" s="2" t="s">
        <v>62</v>
      </c>
      <c r="R843" s="2" t="n">
        <v>0.8</v>
      </c>
      <c r="S843" s="2" t="s">
        <v>4500</v>
      </c>
      <c r="T843" s="2" t="s">
        <v>112</v>
      </c>
      <c r="U843" s="2" t="s">
        <v>4501</v>
      </c>
      <c r="V843" s="2" t="s">
        <v>114</v>
      </c>
      <c r="W843" s="2" t="s">
        <v>301</v>
      </c>
      <c r="X843" s="2" t="s">
        <v>68</v>
      </c>
    </row>
    <row r="844" customFormat="false" ht="15" hidden="false" customHeight="false" outlineLevel="0" collapsed="false">
      <c r="A844" s="2" t="n">
        <v>780</v>
      </c>
      <c r="B844" s="2" t="s">
        <v>4494</v>
      </c>
      <c r="C844" s="2" t="s">
        <v>4502</v>
      </c>
      <c r="D844" s="2" t="s">
        <v>53</v>
      </c>
      <c r="E844" s="2" t="s">
        <v>4503</v>
      </c>
      <c r="F844" s="2"/>
      <c r="G844" s="2" t="s">
        <v>4504</v>
      </c>
      <c r="H844" s="2" t="s">
        <v>994</v>
      </c>
      <c r="I844" s="2" t="s">
        <v>577</v>
      </c>
      <c r="J844" s="2" t="n">
        <v>-8.58</v>
      </c>
      <c r="K844" s="2" t="n">
        <v>115.31</v>
      </c>
      <c r="L844" s="2" t="s">
        <v>84</v>
      </c>
      <c r="M844" s="2" t="s">
        <v>60</v>
      </c>
      <c r="N844" s="2"/>
      <c r="O844" s="2" t="s">
        <v>4505</v>
      </c>
      <c r="P844" s="2" t="s">
        <v>2558</v>
      </c>
      <c r="Q844" s="2" t="s">
        <v>62</v>
      </c>
      <c r="R844" s="2" t="n">
        <v>0.8</v>
      </c>
      <c r="S844" s="2" t="s">
        <v>4500</v>
      </c>
      <c r="T844" s="2" t="s">
        <v>112</v>
      </c>
      <c r="U844" s="2" t="s">
        <v>4501</v>
      </c>
      <c r="V844" s="2" t="s">
        <v>114</v>
      </c>
      <c r="W844" s="2" t="s">
        <v>301</v>
      </c>
      <c r="X844" s="2" t="s">
        <v>68</v>
      </c>
    </row>
    <row r="845" customFormat="false" ht="15" hidden="false" customHeight="false" outlineLevel="0" collapsed="false">
      <c r="A845" s="2" t="n">
        <v>780</v>
      </c>
      <c r="B845" s="2" t="s">
        <v>4494</v>
      </c>
      <c r="C845" s="2" t="s">
        <v>4506</v>
      </c>
      <c r="D845" s="2" t="s">
        <v>53</v>
      </c>
      <c r="E845" s="2" t="s">
        <v>4507</v>
      </c>
      <c r="F845" s="2" t="s">
        <v>4508</v>
      </c>
      <c r="G845" s="2" t="s">
        <v>4432</v>
      </c>
      <c r="H845" s="2" t="s">
        <v>4433</v>
      </c>
      <c r="I845" s="2" t="s">
        <v>577</v>
      </c>
      <c r="J845" s="2" t="n">
        <v>-8.68</v>
      </c>
      <c r="K845" s="2" t="n">
        <v>115.235</v>
      </c>
      <c r="L845" s="2" t="s">
        <v>59</v>
      </c>
      <c r="M845" s="2" t="s">
        <v>60</v>
      </c>
      <c r="N845" s="2"/>
      <c r="O845" s="2" t="s">
        <v>4509</v>
      </c>
      <c r="P845" s="2" t="s">
        <v>2558</v>
      </c>
      <c r="Q845" s="2" t="s">
        <v>62</v>
      </c>
      <c r="R845" s="2" t="n">
        <v>0.7</v>
      </c>
      <c r="S845" s="2" t="s">
        <v>4500</v>
      </c>
      <c r="T845" s="2" t="s">
        <v>112</v>
      </c>
      <c r="U845" s="2" t="s">
        <v>4501</v>
      </c>
      <c r="V845" s="2" t="s">
        <v>114</v>
      </c>
      <c r="W845" s="2" t="s">
        <v>301</v>
      </c>
      <c r="X845" s="2" t="s">
        <v>68</v>
      </c>
    </row>
    <row r="846" customFormat="false" ht="15" hidden="false" customHeight="false" outlineLevel="0" collapsed="false">
      <c r="A846" s="2" t="n">
        <v>781</v>
      </c>
      <c r="B846" s="2" t="s">
        <v>4494</v>
      </c>
      <c r="C846" s="2" t="s">
        <v>4510</v>
      </c>
      <c r="D846" s="2" t="s">
        <v>53</v>
      </c>
      <c r="E846" s="2" t="s">
        <v>4511</v>
      </c>
      <c r="F846" s="2" t="s">
        <v>4512</v>
      </c>
      <c r="G846" s="2" t="s">
        <v>992</v>
      </c>
      <c r="H846" s="2" t="s">
        <v>994</v>
      </c>
      <c r="I846" s="2" t="s">
        <v>577</v>
      </c>
      <c r="J846" s="2" t="n">
        <v>-8.53</v>
      </c>
      <c r="K846" s="2" t="n">
        <v>115.27</v>
      </c>
      <c r="L846" s="2" t="s">
        <v>59</v>
      </c>
      <c r="M846" s="2" t="s">
        <v>60</v>
      </c>
      <c r="N846" s="2"/>
      <c r="O846" s="2" t="s">
        <v>4513</v>
      </c>
      <c r="P846" s="2" t="s">
        <v>298</v>
      </c>
      <c r="Q846" s="2" t="s">
        <v>62</v>
      </c>
      <c r="R846" s="2" t="n">
        <v>0.8</v>
      </c>
      <c r="S846" s="2" t="s">
        <v>4514</v>
      </c>
      <c r="T846" s="2" t="s">
        <v>112</v>
      </c>
      <c r="U846" s="2" t="s">
        <v>4515</v>
      </c>
      <c r="V846" s="2" t="s">
        <v>745</v>
      </c>
      <c r="W846" s="2" t="s">
        <v>2252</v>
      </c>
      <c r="X846" s="2" t="s">
        <v>68</v>
      </c>
    </row>
    <row r="847" customFormat="false" ht="15" hidden="false" customHeight="false" outlineLevel="0" collapsed="false">
      <c r="A847" s="2" t="n">
        <v>781</v>
      </c>
      <c r="B847" s="2" t="s">
        <v>4494</v>
      </c>
      <c r="C847" s="2" t="s">
        <v>4516</v>
      </c>
      <c r="D847" s="2" t="s">
        <v>53</v>
      </c>
      <c r="E847" s="2" t="s">
        <v>4517</v>
      </c>
      <c r="F847" s="2" t="s">
        <v>4518</v>
      </c>
      <c r="G847" s="2" t="s">
        <v>4432</v>
      </c>
      <c r="H847" s="2" t="s">
        <v>4433</v>
      </c>
      <c r="I847" s="2" t="s">
        <v>577</v>
      </c>
      <c r="J847" s="2" t="n">
        <v>-8.69</v>
      </c>
      <c r="K847" s="2" t="n">
        <v>115.26</v>
      </c>
      <c r="L847" s="2" t="s">
        <v>59</v>
      </c>
      <c r="M847" s="2" t="s">
        <v>60</v>
      </c>
      <c r="N847" s="2"/>
      <c r="O847" s="2" t="s">
        <v>4519</v>
      </c>
      <c r="P847" s="2" t="s">
        <v>298</v>
      </c>
      <c r="Q847" s="2" t="s">
        <v>62</v>
      </c>
      <c r="R847" s="2" t="n">
        <v>0.8</v>
      </c>
      <c r="S847" s="2" t="s">
        <v>4514</v>
      </c>
      <c r="T847" s="2" t="s">
        <v>112</v>
      </c>
      <c r="U847" s="2" t="s">
        <v>4515</v>
      </c>
      <c r="V847" s="2" t="s">
        <v>745</v>
      </c>
      <c r="W847" s="2" t="s">
        <v>2252</v>
      </c>
      <c r="X847" s="2" t="s">
        <v>68</v>
      </c>
    </row>
    <row r="848" customFormat="false" ht="15" hidden="false" customHeight="false" outlineLevel="0" collapsed="false">
      <c r="A848" s="2" t="n">
        <v>782</v>
      </c>
      <c r="B848" s="2" t="s">
        <v>4494</v>
      </c>
      <c r="C848" s="2" t="s">
        <v>4520</v>
      </c>
      <c r="D848" s="2" t="s">
        <v>53</v>
      </c>
      <c r="E848" s="2" t="s">
        <v>4521</v>
      </c>
      <c r="F848" s="2" t="s">
        <v>4522</v>
      </c>
      <c r="G848" s="2" t="s">
        <v>575</v>
      </c>
      <c r="H848" s="2" t="s">
        <v>576</v>
      </c>
      <c r="I848" s="2" t="s">
        <v>577</v>
      </c>
      <c r="J848" s="2" t="n">
        <v>-8.74</v>
      </c>
      <c r="K848" s="2" t="n">
        <v>115.17</v>
      </c>
      <c r="L848" s="2" t="s">
        <v>59</v>
      </c>
      <c r="M848" s="2" t="s">
        <v>60</v>
      </c>
      <c r="N848" s="2"/>
      <c r="O848" s="2" t="s">
        <v>4523</v>
      </c>
      <c r="P848" s="2"/>
      <c r="Q848" s="2" t="s">
        <v>62</v>
      </c>
      <c r="R848" s="2" t="n">
        <v>0.8</v>
      </c>
      <c r="S848" s="2" t="s">
        <v>4524</v>
      </c>
      <c r="T848" s="2" t="s">
        <v>743</v>
      </c>
      <c r="U848" s="2" t="s">
        <v>4525</v>
      </c>
      <c r="V848" s="2" t="s">
        <v>66</v>
      </c>
      <c r="W848" s="2" t="s">
        <v>851</v>
      </c>
      <c r="X848" s="2" t="s">
        <v>1588</v>
      </c>
    </row>
    <row r="849" customFormat="false" ht="15" hidden="false" customHeight="false" outlineLevel="0" collapsed="false">
      <c r="A849" s="2" t="n">
        <v>783</v>
      </c>
      <c r="B849" s="2" t="s">
        <v>4494</v>
      </c>
      <c r="C849" s="2" t="s">
        <v>4526</v>
      </c>
      <c r="D849" s="2" t="s">
        <v>53</v>
      </c>
      <c r="E849" s="2" t="s">
        <v>4527</v>
      </c>
      <c r="F849" s="2"/>
      <c r="G849" s="2"/>
      <c r="H849" s="2" t="s">
        <v>426</v>
      </c>
      <c r="I849" s="2" t="s">
        <v>74</v>
      </c>
      <c r="J849" s="2" t="n">
        <v>-6.261</v>
      </c>
      <c r="K849" s="2" t="n">
        <v>106.81</v>
      </c>
      <c r="L849" s="2" t="s">
        <v>101</v>
      </c>
      <c r="M849" s="2" t="s">
        <v>60</v>
      </c>
      <c r="N849" s="2"/>
      <c r="O849" s="2" t="s">
        <v>4528</v>
      </c>
      <c r="P849" s="2"/>
      <c r="Q849" s="2" t="s">
        <v>62</v>
      </c>
      <c r="R849" s="2" t="n">
        <v>0.7</v>
      </c>
      <c r="S849" s="2" t="s">
        <v>4529</v>
      </c>
      <c r="T849" s="2" t="s">
        <v>64</v>
      </c>
      <c r="U849" s="2" t="s">
        <v>4530</v>
      </c>
      <c r="V849" s="2" t="s">
        <v>66</v>
      </c>
      <c r="W849" s="2" t="s">
        <v>918</v>
      </c>
      <c r="X849" s="2" t="s">
        <v>1588</v>
      </c>
    </row>
    <row r="850" customFormat="false" ht="15" hidden="false" customHeight="false" outlineLevel="0" collapsed="false">
      <c r="A850" s="2" t="n">
        <v>783</v>
      </c>
      <c r="B850" s="2" t="s">
        <v>4494</v>
      </c>
      <c r="C850" s="2" t="s">
        <v>4531</v>
      </c>
      <c r="D850" s="2" t="s">
        <v>53</v>
      </c>
      <c r="E850" s="2" t="s">
        <v>4527</v>
      </c>
      <c r="F850" s="2"/>
      <c r="G850" s="2"/>
      <c r="H850" s="2" t="s">
        <v>426</v>
      </c>
      <c r="I850" s="2" t="s">
        <v>74</v>
      </c>
      <c r="J850" s="2" t="n">
        <v>-6.261</v>
      </c>
      <c r="K850" s="2" t="n">
        <v>106.81</v>
      </c>
      <c r="L850" s="2" t="s">
        <v>101</v>
      </c>
      <c r="M850" s="2" t="s">
        <v>60</v>
      </c>
      <c r="N850" s="2"/>
      <c r="O850" s="2" t="s">
        <v>4532</v>
      </c>
      <c r="P850" s="2"/>
      <c r="Q850" s="2" t="s">
        <v>62</v>
      </c>
      <c r="R850" s="2" t="n">
        <v>0.7</v>
      </c>
      <c r="S850" s="2" t="s">
        <v>4529</v>
      </c>
      <c r="T850" s="2" t="s">
        <v>64</v>
      </c>
      <c r="U850" s="2" t="s">
        <v>4530</v>
      </c>
      <c r="V850" s="2" t="s">
        <v>66</v>
      </c>
      <c r="W850" s="2" t="s">
        <v>918</v>
      </c>
      <c r="X850" s="2" t="s">
        <v>1588</v>
      </c>
    </row>
    <row r="851" customFormat="false" ht="15" hidden="false" customHeight="false" outlineLevel="0" collapsed="false">
      <c r="A851" s="2" t="n">
        <v>783</v>
      </c>
      <c r="B851" s="2" t="s">
        <v>4494</v>
      </c>
      <c r="C851" s="2" t="s">
        <v>4533</v>
      </c>
      <c r="D851" s="2" t="s">
        <v>53</v>
      </c>
      <c r="E851" s="2" t="s">
        <v>4527</v>
      </c>
      <c r="F851" s="2"/>
      <c r="G851" s="2"/>
      <c r="H851" s="2" t="s">
        <v>426</v>
      </c>
      <c r="I851" s="2" t="s">
        <v>74</v>
      </c>
      <c r="J851" s="2" t="n">
        <v>-6.261</v>
      </c>
      <c r="K851" s="2" t="n">
        <v>106.81</v>
      </c>
      <c r="L851" s="2" t="s">
        <v>101</v>
      </c>
      <c r="M851" s="2" t="s">
        <v>60</v>
      </c>
      <c r="N851" s="2"/>
      <c r="O851" s="2" t="s">
        <v>4534</v>
      </c>
      <c r="P851" s="2"/>
      <c r="Q851" s="2" t="s">
        <v>62</v>
      </c>
      <c r="R851" s="2" t="n">
        <v>0.7</v>
      </c>
      <c r="S851" s="2" t="s">
        <v>4529</v>
      </c>
      <c r="T851" s="2" t="s">
        <v>64</v>
      </c>
      <c r="U851" s="2" t="s">
        <v>4530</v>
      </c>
      <c r="V851" s="2" t="s">
        <v>66</v>
      </c>
      <c r="W851" s="2" t="s">
        <v>918</v>
      </c>
      <c r="X851" s="2" t="s">
        <v>1588</v>
      </c>
    </row>
    <row r="852" customFormat="false" ht="15" hidden="false" customHeight="false" outlineLevel="0" collapsed="false">
      <c r="A852" s="2" t="n">
        <v>784</v>
      </c>
      <c r="B852" s="2" t="s">
        <v>4494</v>
      </c>
      <c r="C852" s="2" t="s">
        <v>4535</v>
      </c>
      <c r="D852" s="2" t="s">
        <v>53</v>
      </c>
      <c r="E852" s="2" t="s">
        <v>4536</v>
      </c>
      <c r="F852" s="2" t="s">
        <v>4537</v>
      </c>
      <c r="G852" s="2" t="s">
        <v>3558</v>
      </c>
      <c r="H852" s="2" t="s">
        <v>251</v>
      </c>
      <c r="I852" s="2" t="s">
        <v>238</v>
      </c>
      <c r="J852" s="2" t="n">
        <v>-6.27</v>
      </c>
      <c r="K852" s="2" t="n">
        <v>106.735</v>
      </c>
      <c r="L852" s="2" t="s">
        <v>59</v>
      </c>
      <c r="M852" s="2" t="s">
        <v>60</v>
      </c>
      <c r="N852" s="2"/>
      <c r="O852" s="2" t="s">
        <v>4538</v>
      </c>
      <c r="P852" s="2" t="s">
        <v>1001</v>
      </c>
      <c r="Q852" s="2" t="s">
        <v>110</v>
      </c>
      <c r="R852" s="2" t="n">
        <v>0.9</v>
      </c>
      <c r="S852" s="2" t="s">
        <v>4539</v>
      </c>
      <c r="T852" s="2" t="s">
        <v>64</v>
      </c>
      <c r="U852" s="2" t="s">
        <v>4540</v>
      </c>
      <c r="V852" s="2" t="s">
        <v>2214</v>
      </c>
      <c r="W852" s="2" t="s">
        <v>67</v>
      </c>
      <c r="X852" s="2" t="s">
        <v>1588</v>
      </c>
    </row>
    <row r="853" customFormat="false" ht="15" hidden="false" customHeight="false" outlineLevel="0" collapsed="false">
      <c r="A853" s="2" t="n">
        <v>792</v>
      </c>
      <c r="B853" s="2" t="s">
        <v>4494</v>
      </c>
      <c r="C853" s="2" t="s">
        <v>1107</v>
      </c>
      <c r="D853" s="2" t="s">
        <v>410</v>
      </c>
      <c r="E853" s="2" t="s">
        <v>1108</v>
      </c>
      <c r="F853" s="2"/>
      <c r="G853" s="2"/>
      <c r="H853" s="2" t="s">
        <v>1109</v>
      </c>
      <c r="I853" s="2" t="s">
        <v>1108</v>
      </c>
      <c r="J853" s="2" t="n">
        <v>-0.52</v>
      </c>
      <c r="K853" s="2" t="n">
        <v>130.5</v>
      </c>
      <c r="L853" s="2" t="s">
        <v>101</v>
      </c>
      <c r="M853" s="2" t="s">
        <v>60</v>
      </c>
      <c r="N853" s="2"/>
      <c r="O853" s="2" t="s">
        <v>4541</v>
      </c>
      <c r="P853" s="2"/>
      <c r="Q853" s="2" t="s">
        <v>62</v>
      </c>
      <c r="R853" s="2" t="n">
        <v>0.55</v>
      </c>
      <c r="S853" s="2" t="s">
        <v>4542</v>
      </c>
      <c r="T853" s="2" t="s">
        <v>1498</v>
      </c>
      <c r="U853" s="2" t="s">
        <v>4543</v>
      </c>
      <c r="V853" s="2" t="s">
        <v>4544</v>
      </c>
      <c r="W853" s="2" t="s">
        <v>4545</v>
      </c>
      <c r="X853" s="2" t="s">
        <v>1588</v>
      </c>
    </row>
    <row r="854" customFormat="false" ht="15" hidden="false" customHeight="false" outlineLevel="0" collapsed="false">
      <c r="A854" s="2" t="n">
        <v>792</v>
      </c>
      <c r="B854" s="2" t="s">
        <v>4494</v>
      </c>
      <c r="C854" s="2" t="s">
        <v>4546</v>
      </c>
      <c r="D854" s="2" t="s">
        <v>410</v>
      </c>
      <c r="E854" s="2" t="s">
        <v>4547</v>
      </c>
      <c r="F854" s="2"/>
      <c r="G854" s="2" t="s">
        <v>1116</v>
      </c>
      <c r="H854" s="2" t="s">
        <v>1117</v>
      </c>
      <c r="I854" s="2" t="s">
        <v>1115</v>
      </c>
      <c r="J854" s="2" t="n">
        <v>-8.5</v>
      </c>
      <c r="K854" s="2" t="n">
        <v>119.887</v>
      </c>
      <c r="L854" s="2" t="s">
        <v>84</v>
      </c>
      <c r="M854" s="2" t="s">
        <v>60</v>
      </c>
      <c r="N854" s="2"/>
      <c r="O854" s="2" t="s">
        <v>4548</v>
      </c>
      <c r="P854" s="2"/>
      <c r="Q854" s="2" t="s">
        <v>62</v>
      </c>
      <c r="R854" s="2" t="n">
        <v>0.55</v>
      </c>
      <c r="S854" s="2" t="s">
        <v>4542</v>
      </c>
      <c r="T854" s="2" t="s">
        <v>1498</v>
      </c>
      <c r="U854" s="2" t="s">
        <v>4543</v>
      </c>
      <c r="V854" s="2" t="s">
        <v>4544</v>
      </c>
      <c r="W854" s="2" t="s">
        <v>4545</v>
      </c>
      <c r="X854" s="2" t="s">
        <v>1588</v>
      </c>
    </row>
    <row r="855" customFormat="false" ht="15" hidden="false" customHeight="false" outlineLevel="0" collapsed="false">
      <c r="A855" s="2" t="n">
        <v>796</v>
      </c>
      <c r="B855" s="2" t="s">
        <v>4494</v>
      </c>
      <c r="C855" s="2" t="s">
        <v>4549</v>
      </c>
      <c r="D855" s="2" t="s">
        <v>1130</v>
      </c>
      <c r="E855" s="2" t="s">
        <v>4550</v>
      </c>
      <c r="F855" s="2" t="s">
        <v>4551</v>
      </c>
      <c r="G855" s="2" t="s">
        <v>4432</v>
      </c>
      <c r="H855" s="2" t="s">
        <v>4433</v>
      </c>
      <c r="I855" s="2" t="s">
        <v>577</v>
      </c>
      <c r="J855" s="2" t="n">
        <v>-8.69</v>
      </c>
      <c r="K855" s="2" t="n">
        <v>115.255</v>
      </c>
      <c r="L855" s="2" t="s">
        <v>59</v>
      </c>
      <c r="M855" s="2" t="s">
        <v>60</v>
      </c>
      <c r="N855" s="2"/>
      <c r="O855" s="2" t="s">
        <v>4552</v>
      </c>
      <c r="P855" s="2" t="s">
        <v>1376</v>
      </c>
      <c r="Q855" s="2" t="s">
        <v>62</v>
      </c>
      <c r="R855" s="2" t="n">
        <v>0.45</v>
      </c>
      <c r="S855" s="2" t="s">
        <v>4553</v>
      </c>
      <c r="T855" s="2" t="s">
        <v>743</v>
      </c>
      <c r="U855" s="2" t="s">
        <v>4554</v>
      </c>
      <c r="V855" s="2" t="s">
        <v>745</v>
      </c>
      <c r="W855" s="2" t="s">
        <v>421</v>
      </c>
      <c r="X855" s="2" t="s">
        <v>1588</v>
      </c>
    </row>
    <row r="856" customFormat="false" ht="15" hidden="false" customHeight="false" outlineLevel="0" collapsed="false">
      <c r="A856" s="2" t="n">
        <v>797</v>
      </c>
      <c r="B856" s="2" t="s">
        <v>4494</v>
      </c>
      <c r="C856" s="2" t="s">
        <v>4555</v>
      </c>
      <c r="D856" s="2" t="s">
        <v>53</v>
      </c>
      <c r="E856" s="2" t="s">
        <v>4556</v>
      </c>
      <c r="F856" s="2" t="s">
        <v>574</v>
      </c>
      <c r="G856" s="2" t="s">
        <v>575</v>
      </c>
      <c r="H856" s="2" t="s">
        <v>576</v>
      </c>
      <c r="I856" s="2" t="s">
        <v>577</v>
      </c>
      <c r="J856" s="2" t="n">
        <v>-8.69</v>
      </c>
      <c r="K856" s="2" t="n">
        <v>115.16</v>
      </c>
      <c r="L856" s="2" t="s">
        <v>59</v>
      </c>
      <c r="M856" s="2" t="s">
        <v>60</v>
      </c>
      <c r="N856" s="2"/>
      <c r="O856" s="2" t="s">
        <v>4557</v>
      </c>
      <c r="P856" s="2" t="s">
        <v>4558</v>
      </c>
      <c r="Q856" s="2" t="s">
        <v>62</v>
      </c>
      <c r="R856" s="2" t="n">
        <v>0.5</v>
      </c>
      <c r="S856" s="2" t="s">
        <v>4559</v>
      </c>
      <c r="T856" s="2" t="s">
        <v>743</v>
      </c>
      <c r="U856" s="2" t="s">
        <v>4560</v>
      </c>
      <c r="V856" s="2" t="s">
        <v>4544</v>
      </c>
      <c r="W856" s="2" t="s">
        <v>190</v>
      </c>
      <c r="X856" s="2" t="s">
        <v>1588</v>
      </c>
    </row>
    <row r="857" customFormat="false" ht="15" hidden="false" customHeight="false" outlineLevel="0" collapsed="false">
      <c r="A857" s="2" t="n">
        <v>800</v>
      </c>
      <c r="B857" s="2" t="s">
        <v>4494</v>
      </c>
      <c r="C857" s="2" t="s">
        <v>4561</v>
      </c>
      <c r="D857" s="2" t="s">
        <v>351</v>
      </c>
      <c r="E857" s="2" t="s">
        <v>4562</v>
      </c>
      <c r="F857" s="2"/>
      <c r="G857" s="2" t="s">
        <v>4563</v>
      </c>
      <c r="H857" s="2" t="s">
        <v>4562</v>
      </c>
      <c r="I857" s="2" t="s">
        <v>58</v>
      </c>
      <c r="J857" s="2" t="n">
        <v>-6.7</v>
      </c>
      <c r="K857" s="2" t="n">
        <v>108.43</v>
      </c>
      <c r="L857" s="2" t="s">
        <v>84</v>
      </c>
      <c r="M857" s="2" t="s">
        <v>60</v>
      </c>
      <c r="N857" s="2"/>
      <c r="O857" s="2" t="s">
        <v>4564</v>
      </c>
      <c r="P857" s="2" t="s">
        <v>4565</v>
      </c>
      <c r="Q857" s="2" t="s">
        <v>110</v>
      </c>
      <c r="R857" s="2" t="n">
        <v>0.4</v>
      </c>
      <c r="S857" s="2" t="s">
        <v>4566</v>
      </c>
      <c r="T857" s="2" t="s">
        <v>4567</v>
      </c>
      <c r="U857" s="2" t="s">
        <v>4568</v>
      </c>
      <c r="V857" s="2" t="s">
        <v>4569</v>
      </c>
      <c r="W857" s="2" t="s">
        <v>262</v>
      </c>
      <c r="X857" s="2" t="s">
        <v>160</v>
      </c>
    </row>
    <row r="858" customFormat="false" ht="15" hidden="false" customHeight="false" outlineLevel="0" collapsed="false">
      <c r="A858" s="2" t="n">
        <v>801</v>
      </c>
      <c r="B858" s="2" t="s">
        <v>4494</v>
      </c>
      <c r="C858" s="2" t="s">
        <v>4570</v>
      </c>
      <c r="D858" s="2" t="s">
        <v>351</v>
      </c>
      <c r="E858" s="2" t="s">
        <v>4571</v>
      </c>
      <c r="F858" s="2"/>
      <c r="G858" s="2" t="s">
        <v>4572</v>
      </c>
      <c r="H858" s="2" t="s">
        <v>4571</v>
      </c>
      <c r="I858" s="2" t="s">
        <v>58</v>
      </c>
      <c r="J858" s="2" t="n">
        <v>-7.01</v>
      </c>
      <c r="K858" s="2" t="n">
        <v>107.63</v>
      </c>
      <c r="L858" s="2" t="s">
        <v>84</v>
      </c>
      <c r="M858" s="2" t="s">
        <v>60</v>
      </c>
      <c r="N858" s="2"/>
      <c r="O858" s="2" t="s">
        <v>4573</v>
      </c>
      <c r="P858" s="2" t="s">
        <v>298</v>
      </c>
      <c r="Q858" s="2" t="s">
        <v>110</v>
      </c>
      <c r="R858" s="2" t="n">
        <v>0.35</v>
      </c>
      <c r="S858" s="2" t="s">
        <v>4574</v>
      </c>
      <c r="T858" s="2" t="s">
        <v>4567</v>
      </c>
      <c r="U858" s="2" t="s">
        <v>65</v>
      </c>
      <c r="V858" s="2" t="s">
        <v>66</v>
      </c>
      <c r="W858" s="2" t="s">
        <v>67</v>
      </c>
      <c r="X858" s="2" t="s">
        <v>507</v>
      </c>
    </row>
    <row r="859" customFormat="false" ht="15" hidden="false" customHeight="false" outlineLevel="0" collapsed="false">
      <c r="A859" s="2" t="n">
        <v>802</v>
      </c>
      <c r="B859" s="2" t="s">
        <v>4494</v>
      </c>
      <c r="C859" s="2" t="s">
        <v>4575</v>
      </c>
      <c r="D859" s="2" t="s">
        <v>121</v>
      </c>
      <c r="E859" s="2" t="s">
        <v>4576</v>
      </c>
      <c r="F859" s="2" t="s">
        <v>4577</v>
      </c>
      <c r="G859" s="2" t="s">
        <v>4578</v>
      </c>
      <c r="H859" s="2" t="s">
        <v>682</v>
      </c>
      <c r="I859" s="2" t="s">
        <v>58</v>
      </c>
      <c r="J859" s="2" t="n">
        <v>-7.745</v>
      </c>
      <c r="K859" s="2" t="n">
        <v>108.5</v>
      </c>
      <c r="L859" s="2" t="s">
        <v>59</v>
      </c>
      <c r="M859" s="2" t="s">
        <v>60</v>
      </c>
      <c r="N859" s="2"/>
      <c r="O859" s="2" t="s">
        <v>4579</v>
      </c>
      <c r="P859" s="2" t="s">
        <v>4580</v>
      </c>
      <c r="Q859" s="2" t="s">
        <v>62</v>
      </c>
      <c r="R859" s="2" t="n">
        <v>0.5</v>
      </c>
      <c r="S859" s="2" t="s">
        <v>4581</v>
      </c>
      <c r="T859" s="2" t="s">
        <v>4582</v>
      </c>
      <c r="U859" s="2" t="s">
        <v>113</v>
      </c>
      <c r="V859" s="2" t="s">
        <v>114</v>
      </c>
      <c r="W859" s="2" t="s">
        <v>115</v>
      </c>
      <c r="X859" s="2" t="s">
        <v>160</v>
      </c>
    </row>
    <row r="860" customFormat="false" ht="15" hidden="false" customHeight="false" outlineLevel="0" collapsed="false">
      <c r="A860" s="2" t="n">
        <v>803</v>
      </c>
      <c r="B860" s="2" t="s">
        <v>4494</v>
      </c>
      <c r="C860" s="2" t="s">
        <v>4583</v>
      </c>
      <c r="D860" s="2" t="s">
        <v>121</v>
      </c>
      <c r="E860" s="2" t="s">
        <v>58</v>
      </c>
      <c r="F860" s="2"/>
      <c r="G860" s="2"/>
      <c r="H860" s="2"/>
      <c r="I860" s="2" t="s">
        <v>58</v>
      </c>
      <c r="J860" s="2" t="n">
        <v>-6.89</v>
      </c>
      <c r="K860" s="2" t="n">
        <v>107.64</v>
      </c>
      <c r="L860" s="2" t="s">
        <v>239</v>
      </c>
      <c r="M860" s="2" t="s">
        <v>340</v>
      </c>
      <c r="N860" s="2"/>
      <c r="O860" s="2" t="s">
        <v>4584</v>
      </c>
      <c r="P860" s="2" t="s">
        <v>4585</v>
      </c>
      <c r="Q860" s="2" t="s">
        <v>62</v>
      </c>
      <c r="R860" s="2" t="n">
        <v>0.55</v>
      </c>
      <c r="S860" s="2" t="s">
        <v>4586</v>
      </c>
      <c r="T860" s="2" t="s">
        <v>4587</v>
      </c>
      <c r="U860" s="2" t="s">
        <v>130</v>
      </c>
      <c r="V860" s="2" t="s">
        <v>131</v>
      </c>
      <c r="W860" s="2" t="s">
        <v>132</v>
      </c>
      <c r="X860" s="2" t="s">
        <v>507</v>
      </c>
    </row>
    <row r="861" customFormat="false" ht="15" hidden="false" customHeight="false" outlineLevel="0" collapsed="false">
      <c r="A861" s="2" t="n">
        <v>803</v>
      </c>
      <c r="B861" s="2" t="s">
        <v>4494</v>
      </c>
      <c r="C861" s="2" t="s">
        <v>4588</v>
      </c>
      <c r="D861" s="2" t="s">
        <v>121</v>
      </c>
      <c r="E861" s="2" t="s">
        <v>58</v>
      </c>
      <c r="F861" s="2"/>
      <c r="G861" s="2"/>
      <c r="H861" s="2"/>
      <c r="I861" s="2" t="s">
        <v>58</v>
      </c>
      <c r="J861" s="2" t="n">
        <v>-6.89</v>
      </c>
      <c r="K861" s="2" t="n">
        <v>107.64</v>
      </c>
      <c r="L861" s="2" t="s">
        <v>239</v>
      </c>
      <c r="M861" s="2" t="s">
        <v>340</v>
      </c>
      <c r="N861" s="2"/>
      <c r="O861" s="2" t="s">
        <v>4584</v>
      </c>
      <c r="P861" s="2" t="s">
        <v>4585</v>
      </c>
      <c r="Q861" s="2" t="s">
        <v>62</v>
      </c>
      <c r="R861" s="2" t="n">
        <v>0.5</v>
      </c>
      <c r="S861" s="2" t="s">
        <v>4586</v>
      </c>
      <c r="T861" s="2" t="s">
        <v>4587</v>
      </c>
      <c r="U861" s="2" t="s">
        <v>130</v>
      </c>
      <c r="V861" s="2" t="s">
        <v>131</v>
      </c>
      <c r="W861" s="2" t="s">
        <v>132</v>
      </c>
      <c r="X861" s="2" t="s">
        <v>507</v>
      </c>
    </row>
    <row r="862" customFormat="false" ht="15" hidden="false" customHeight="false" outlineLevel="0" collapsed="false">
      <c r="A862" s="2" t="n">
        <v>803</v>
      </c>
      <c r="B862" s="2" t="s">
        <v>4494</v>
      </c>
      <c r="C862" s="2" t="s">
        <v>4589</v>
      </c>
      <c r="D862" s="2" t="s">
        <v>121</v>
      </c>
      <c r="E862" s="2" t="s">
        <v>117</v>
      </c>
      <c r="F862" s="2"/>
      <c r="G862" s="2"/>
      <c r="H862" s="2" t="s">
        <v>107</v>
      </c>
      <c r="I862" s="2" t="s">
        <v>58</v>
      </c>
      <c r="J862" s="2" t="n">
        <v>-6.917</v>
      </c>
      <c r="K862" s="2" t="n">
        <v>107.619</v>
      </c>
      <c r="L862" s="2" t="s">
        <v>101</v>
      </c>
      <c r="M862" s="2" t="s">
        <v>60</v>
      </c>
      <c r="N862" s="2"/>
      <c r="O862" s="2" t="s">
        <v>4590</v>
      </c>
      <c r="P862" s="2" t="s">
        <v>4585</v>
      </c>
      <c r="Q862" s="2" t="s">
        <v>62</v>
      </c>
      <c r="R862" s="2" t="n">
        <v>0.5</v>
      </c>
      <c r="S862" s="2" t="s">
        <v>4586</v>
      </c>
      <c r="T862" s="2" t="s">
        <v>4587</v>
      </c>
      <c r="U862" s="2" t="s">
        <v>130</v>
      </c>
      <c r="V862" s="2" t="s">
        <v>131</v>
      </c>
      <c r="W862" s="2" t="s">
        <v>132</v>
      </c>
      <c r="X862" s="2" t="s">
        <v>507</v>
      </c>
    </row>
    <row r="863" customFormat="false" ht="15" hidden="false" customHeight="false" outlineLevel="0" collapsed="false">
      <c r="A863" s="2" t="n">
        <v>803</v>
      </c>
      <c r="B863" s="2" t="s">
        <v>4494</v>
      </c>
      <c r="C863" s="2" t="s">
        <v>4591</v>
      </c>
      <c r="D863" s="2" t="s">
        <v>121</v>
      </c>
      <c r="E863" s="2" t="s">
        <v>58</v>
      </c>
      <c r="F863" s="2"/>
      <c r="G863" s="2"/>
      <c r="H863" s="2"/>
      <c r="I863" s="2" t="s">
        <v>58</v>
      </c>
      <c r="J863" s="2" t="n">
        <v>-6.89</v>
      </c>
      <c r="K863" s="2" t="n">
        <v>107.64</v>
      </c>
      <c r="L863" s="2" t="s">
        <v>239</v>
      </c>
      <c r="M863" s="2" t="s">
        <v>340</v>
      </c>
      <c r="N863" s="2"/>
      <c r="O863" s="2" t="s">
        <v>4592</v>
      </c>
      <c r="P863" s="2" t="s">
        <v>4585</v>
      </c>
      <c r="Q863" s="2" t="s">
        <v>110</v>
      </c>
      <c r="R863" s="2" t="n">
        <v>0.6</v>
      </c>
      <c r="S863" s="2" t="s">
        <v>4586</v>
      </c>
      <c r="T863" s="2" t="s">
        <v>4587</v>
      </c>
      <c r="U863" s="2" t="s">
        <v>130</v>
      </c>
      <c r="V863" s="2" t="s">
        <v>131</v>
      </c>
      <c r="W863" s="2" t="s">
        <v>132</v>
      </c>
      <c r="X863" s="2" t="s">
        <v>507</v>
      </c>
    </row>
    <row r="864" customFormat="false" ht="15" hidden="false" customHeight="false" outlineLevel="0" collapsed="false">
      <c r="A864" s="2" t="n">
        <v>806</v>
      </c>
      <c r="B864" s="2" t="s">
        <v>4494</v>
      </c>
      <c r="C864" s="2" t="s">
        <v>4593</v>
      </c>
      <c r="D864" s="2" t="s">
        <v>351</v>
      </c>
      <c r="E864" s="2" t="s">
        <v>4594</v>
      </c>
      <c r="F864" s="2"/>
      <c r="G864" s="2" t="s">
        <v>1088</v>
      </c>
      <c r="H864" s="2" t="s">
        <v>576</v>
      </c>
      <c r="I864" s="2" t="s">
        <v>577</v>
      </c>
      <c r="J864" s="2" t="n">
        <v>-8.55</v>
      </c>
      <c r="K864" s="2" t="n">
        <v>115.18</v>
      </c>
      <c r="L864" s="2" t="s">
        <v>84</v>
      </c>
      <c r="M864" s="2" t="s">
        <v>60</v>
      </c>
      <c r="N864" s="2"/>
      <c r="O864" s="2" t="s">
        <v>4595</v>
      </c>
      <c r="P864" s="2" t="s">
        <v>4596</v>
      </c>
      <c r="Q864" s="2" t="s">
        <v>110</v>
      </c>
      <c r="R864" s="2" t="n">
        <v>0.35</v>
      </c>
      <c r="S864" s="2" t="s">
        <v>4597</v>
      </c>
      <c r="T864" s="2" t="s">
        <v>743</v>
      </c>
      <c r="U864" s="2" t="s">
        <v>1460</v>
      </c>
      <c r="V864" s="2" t="s">
        <v>420</v>
      </c>
      <c r="W864" s="2" t="s">
        <v>697</v>
      </c>
      <c r="X864" s="2" t="s">
        <v>507</v>
      </c>
    </row>
    <row r="865" customFormat="false" ht="15" hidden="false" customHeight="false" outlineLevel="0" collapsed="false">
      <c r="A865" s="2" t="n">
        <v>807</v>
      </c>
      <c r="B865" s="2" t="s">
        <v>4494</v>
      </c>
      <c r="C865" s="2" t="s">
        <v>4598</v>
      </c>
      <c r="D865" s="2" t="s">
        <v>351</v>
      </c>
      <c r="E865" s="2" t="s">
        <v>4599</v>
      </c>
      <c r="F865" s="2" t="s">
        <v>4600</v>
      </c>
      <c r="G865" s="2" t="s">
        <v>4601</v>
      </c>
      <c r="H865" s="2" t="s">
        <v>4602</v>
      </c>
      <c r="I865" s="2" t="s">
        <v>577</v>
      </c>
      <c r="J865" s="2" t="n">
        <v>-8.08</v>
      </c>
      <c r="K865" s="2" t="n">
        <v>115.23</v>
      </c>
      <c r="L865" s="2" t="s">
        <v>59</v>
      </c>
      <c r="M865" s="2" t="s">
        <v>60</v>
      </c>
      <c r="N865" s="2"/>
      <c r="O865" s="2" t="s">
        <v>4603</v>
      </c>
      <c r="P865" s="2" t="s">
        <v>109</v>
      </c>
      <c r="Q865" s="2" t="s">
        <v>110</v>
      </c>
      <c r="R865" s="2" t="n">
        <v>0.75</v>
      </c>
      <c r="S865" s="2" t="s">
        <v>4604</v>
      </c>
      <c r="T865" s="2" t="s">
        <v>580</v>
      </c>
      <c r="U865" s="2" t="s">
        <v>4605</v>
      </c>
      <c r="V865" s="2" t="s">
        <v>2948</v>
      </c>
      <c r="W865" s="2" t="s">
        <v>4606</v>
      </c>
      <c r="X865" s="2" t="s">
        <v>507</v>
      </c>
    </row>
    <row r="866" customFormat="false" ht="15" hidden="false" customHeight="false" outlineLevel="0" collapsed="false">
      <c r="A866" s="2" t="n">
        <v>814</v>
      </c>
      <c r="B866" s="2" t="s">
        <v>4607</v>
      </c>
      <c r="C866" s="2" t="s">
        <v>4608</v>
      </c>
      <c r="D866" s="2" t="s">
        <v>121</v>
      </c>
      <c r="E866" s="2" t="s">
        <v>4609</v>
      </c>
      <c r="F866" s="2"/>
      <c r="G866" s="2" t="s">
        <v>4610</v>
      </c>
      <c r="H866" s="2" t="s">
        <v>4611</v>
      </c>
      <c r="I866" s="2" t="s">
        <v>577</v>
      </c>
      <c r="J866" s="2" t="n">
        <v>-8.45</v>
      </c>
      <c r="K866" s="2" t="n">
        <v>115.61</v>
      </c>
      <c r="L866" s="2" t="s">
        <v>84</v>
      </c>
      <c r="M866" s="2" t="s">
        <v>60</v>
      </c>
      <c r="N866" s="2"/>
      <c r="O866" s="2" t="s">
        <v>4612</v>
      </c>
      <c r="P866" s="2" t="s">
        <v>2704</v>
      </c>
      <c r="Q866" s="2" t="s">
        <v>62</v>
      </c>
      <c r="R866" s="2" t="n">
        <v>0.5</v>
      </c>
      <c r="S866" s="2" t="s">
        <v>4613</v>
      </c>
      <c r="T866" s="2" t="s">
        <v>4614</v>
      </c>
      <c r="U866" s="2" t="s">
        <v>4615</v>
      </c>
      <c r="V866" s="2" t="s">
        <v>1077</v>
      </c>
      <c r="W866" s="2" t="s">
        <v>1354</v>
      </c>
      <c r="X866" s="2" t="s">
        <v>507</v>
      </c>
    </row>
    <row r="867" customFormat="false" ht="15" hidden="false" customHeight="false" outlineLevel="0" collapsed="false">
      <c r="A867" s="2" t="n">
        <v>828</v>
      </c>
      <c r="B867" s="2" t="s">
        <v>4607</v>
      </c>
      <c r="C867" s="2" t="s">
        <v>4616</v>
      </c>
      <c r="D867" s="2" t="s">
        <v>53</v>
      </c>
      <c r="E867" s="2" t="s">
        <v>4617</v>
      </c>
      <c r="F867" s="2"/>
      <c r="G867" s="2" t="s">
        <v>4618</v>
      </c>
      <c r="H867" s="2" t="s">
        <v>4619</v>
      </c>
      <c r="I867" s="2" t="s">
        <v>1559</v>
      </c>
      <c r="J867" s="2" t="n">
        <v>-8.705</v>
      </c>
      <c r="K867" s="2" t="n">
        <v>116.27</v>
      </c>
      <c r="L867" s="2" t="s">
        <v>84</v>
      </c>
      <c r="M867" s="2" t="s">
        <v>60</v>
      </c>
      <c r="N867" s="2"/>
      <c r="O867" s="2" t="s">
        <v>4620</v>
      </c>
      <c r="P867" s="2"/>
      <c r="Q867" s="2" t="s">
        <v>62</v>
      </c>
      <c r="R867" s="2" t="n">
        <v>0.6</v>
      </c>
      <c r="S867" s="2" t="s">
        <v>4621</v>
      </c>
      <c r="T867" s="2" t="s">
        <v>4622</v>
      </c>
      <c r="U867" s="2" t="s">
        <v>1481</v>
      </c>
      <c r="V867" s="2" t="s">
        <v>1170</v>
      </c>
      <c r="W867" s="2" t="s">
        <v>1482</v>
      </c>
      <c r="X867" s="2" t="s">
        <v>68</v>
      </c>
    </row>
    <row r="868" customFormat="false" ht="15" hidden="false" customHeight="false" outlineLevel="0" collapsed="false">
      <c r="A868" s="2" t="n">
        <v>828</v>
      </c>
      <c r="B868" s="2" t="s">
        <v>4607</v>
      </c>
      <c r="C868" s="2" t="s">
        <v>4623</v>
      </c>
      <c r="D868" s="2" t="s">
        <v>53</v>
      </c>
      <c r="E868" s="2" t="s">
        <v>4624</v>
      </c>
      <c r="F868" s="2"/>
      <c r="G868" s="2" t="s">
        <v>4618</v>
      </c>
      <c r="H868" s="2" t="s">
        <v>4619</v>
      </c>
      <c r="I868" s="2" t="s">
        <v>1559</v>
      </c>
      <c r="J868" s="2" t="n">
        <v>-8.705</v>
      </c>
      <c r="K868" s="2" t="n">
        <v>116.27</v>
      </c>
      <c r="L868" s="2" t="s">
        <v>84</v>
      </c>
      <c r="M868" s="2" t="s">
        <v>60</v>
      </c>
      <c r="N868" s="2"/>
      <c r="O868" s="2" t="s">
        <v>4625</v>
      </c>
      <c r="P868" s="2"/>
      <c r="Q868" s="2" t="s">
        <v>62</v>
      </c>
      <c r="R868" s="2" t="n">
        <v>0.7</v>
      </c>
      <c r="S868" s="2" t="s">
        <v>4621</v>
      </c>
      <c r="T868" s="2" t="s">
        <v>4622</v>
      </c>
      <c r="U868" s="2" t="s">
        <v>1481</v>
      </c>
      <c r="V868" s="2" t="s">
        <v>1170</v>
      </c>
      <c r="W868" s="2" t="s">
        <v>1482</v>
      </c>
      <c r="X868" s="2" t="s">
        <v>68</v>
      </c>
    </row>
    <row r="869" customFormat="false" ht="15" hidden="false" customHeight="false" outlineLevel="0" collapsed="false">
      <c r="A869" s="2" t="n">
        <v>828</v>
      </c>
      <c r="B869" s="2" t="s">
        <v>4607</v>
      </c>
      <c r="C869" s="2" t="s">
        <v>4626</v>
      </c>
      <c r="D869" s="2" t="s">
        <v>53</v>
      </c>
      <c r="E869" s="2" t="s">
        <v>4627</v>
      </c>
      <c r="F869" s="2"/>
      <c r="G869" s="2" t="s">
        <v>4618</v>
      </c>
      <c r="H869" s="2" t="s">
        <v>4619</v>
      </c>
      <c r="I869" s="2" t="s">
        <v>1559</v>
      </c>
      <c r="J869" s="2" t="n">
        <v>-8.705</v>
      </c>
      <c r="K869" s="2" t="n">
        <v>116.27</v>
      </c>
      <c r="L869" s="2" t="s">
        <v>84</v>
      </c>
      <c r="M869" s="2" t="s">
        <v>60</v>
      </c>
      <c r="N869" s="2"/>
      <c r="O869" s="2" t="s">
        <v>4628</v>
      </c>
      <c r="P869" s="2"/>
      <c r="Q869" s="2" t="s">
        <v>62</v>
      </c>
      <c r="R869" s="2" t="n">
        <v>0.65</v>
      </c>
      <c r="S869" s="2" t="s">
        <v>4621</v>
      </c>
      <c r="T869" s="2" t="s">
        <v>4622</v>
      </c>
      <c r="U869" s="2" t="s">
        <v>1481</v>
      </c>
      <c r="V869" s="2" t="s">
        <v>1170</v>
      </c>
      <c r="W869" s="2" t="s">
        <v>1482</v>
      </c>
      <c r="X869" s="2" t="s">
        <v>68</v>
      </c>
    </row>
    <row r="870" customFormat="false" ht="15" hidden="false" customHeight="false" outlineLevel="0" collapsed="false">
      <c r="A870" s="2" t="n">
        <v>829</v>
      </c>
      <c r="B870" s="2" t="s">
        <v>4607</v>
      </c>
      <c r="C870" s="2" t="s">
        <v>4629</v>
      </c>
      <c r="D870" s="2" t="s">
        <v>53</v>
      </c>
      <c r="E870" s="2" t="s">
        <v>4630</v>
      </c>
      <c r="F870" s="2" t="s">
        <v>4631</v>
      </c>
      <c r="G870" s="2" t="s">
        <v>4632</v>
      </c>
      <c r="H870" s="2" t="s">
        <v>4633</v>
      </c>
      <c r="I870" s="2" t="s">
        <v>1559</v>
      </c>
      <c r="J870" s="2" t="n">
        <v>-8.585</v>
      </c>
      <c r="K870" s="2" t="n">
        <v>116.13</v>
      </c>
      <c r="L870" s="2" t="s">
        <v>59</v>
      </c>
      <c r="M870" s="2" t="s">
        <v>60</v>
      </c>
      <c r="N870" s="2"/>
      <c r="O870" s="2" t="s">
        <v>4634</v>
      </c>
      <c r="P870" s="2" t="s">
        <v>1001</v>
      </c>
      <c r="Q870" s="2" t="s">
        <v>110</v>
      </c>
      <c r="R870" s="2" t="n">
        <v>0.95</v>
      </c>
      <c r="S870" s="2" t="s">
        <v>4635</v>
      </c>
      <c r="T870" s="2" t="s">
        <v>743</v>
      </c>
      <c r="U870" s="2" t="s">
        <v>1491</v>
      </c>
      <c r="V870" s="2" t="s">
        <v>1170</v>
      </c>
      <c r="W870" s="2" t="s">
        <v>487</v>
      </c>
      <c r="X870" s="2" t="s">
        <v>507</v>
      </c>
    </row>
    <row r="871" customFormat="false" ht="15" hidden="false" customHeight="false" outlineLevel="0" collapsed="false">
      <c r="A871" s="2" t="n">
        <v>830</v>
      </c>
      <c r="B871" s="2" t="s">
        <v>4607</v>
      </c>
      <c r="C871" s="2" t="s">
        <v>4636</v>
      </c>
      <c r="D871" s="2" t="s">
        <v>53</v>
      </c>
      <c r="E871" s="2" t="s">
        <v>3389</v>
      </c>
      <c r="F871" s="2"/>
      <c r="G871" s="2" t="s">
        <v>1221</v>
      </c>
      <c r="H871" s="2" t="s">
        <v>296</v>
      </c>
      <c r="I871" s="2" t="s">
        <v>58</v>
      </c>
      <c r="J871" s="2" t="n">
        <v>-6.57</v>
      </c>
      <c r="K871" s="2" t="n">
        <v>106.89</v>
      </c>
      <c r="L871" s="2" t="s">
        <v>84</v>
      </c>
      <c r="M871" s="2" t="s">
        <v>60</v>
      </c>
      <c r="N871" s="2" t="s">
        <v>3390</v>
      </c>
      <c r="O871" s="2" t="s">
        <v>4637</v>
      </c>
      <c r="P871" s="2"/>
      <c r="Q871" s="2" t="s">
        <v>62</v>
      </c>
      <c r="R871" s="2" t="n">
        <v>0.8</v>
      </c>
      <c r="S871" s="2" t="s">
        <v>4638</v>
      </c>
      <c r="T871" s="2" t="s">
        <v>2293</v>
      </c>
      <c r="U871" s="2" t="s">
        <v>1495</v>
      </c>
      <c r="V871" s="2" t="s">
        <v>1170</v>
      </c>
      <c r="W871" s="2" t="s">
        <v>1045</v>
      </c>
      <c r="X871" s="2" t="s">
        <v>507</v>
      </c>
    </row>
    <row r="872" customFormat="false" ht="15" hidden="false" customHeight="false" outlineLevel="0" collapsed="false">
      <c r="A872" s="2" t="n">
        <v>830</v>
      </c>
      <c r="B872" s="2" t="s">
        <v>4607</v>
      </c>
      <c r="C872" s="2" t="s">
        <v>4639</v>
      </c>
      <c r="D872" s="2" t="s">
        <v>53</v>
      </c>
      <c r="E872" s="2" t="s">
        <v>4640</v>
      </c>
      <c r="F872" s="2" t="s">
        <v>373</v>
      </c>
      <c r="G872" s="2" t="s">
        <v>1221</v>
      </c>
      <c r="H872" s="2" t="s">
        <v>296</v>
      </c>
      <c r="I872" s="2" t="s">
        <v>58</v>
      </c>
      <c r="J872" s="2" t="n">
        <v>-6.59</v>
      </c>
      <c r="K872" s="2" t="n">
        <v>106.9</v>
      </c>
      <c r="L872" s="2" t="s">
        <v>84</v>
      </c>
      <c r="M872" s="2" t="s">
        <v>60</v>
      </c>
      <c r="N872" s="2"/>
      <c r="O872" s="2" t="s">
        <v>4641</v>
      </c>
      <c r="P872" s="2"/>
      <c r="Q872" s="2" t="s">
        <v>62</v>
      </c>
      <c r="R872" s="2" t="n">
        <v>0.75</v>
      </c>
      <c r="S872" s="2" t="s">
        <v>4638</v>
      </c>
      <c r="T872" s="2" t="s">
        <v>2293</v>
      </c>
      <c r="U872" s="2" t="s">
        <v>1495</v>
      </c>
      <c r="V872" s="2" t="s">
        <v>1170</v>
      </c>
      <c r="W872" s="2" t="s">
        <v>1045</v>
      </c>
      <c r="X872" s="2" t="s">
        <v>507</v>
      </c>
    </row>
    <row r="873" customFormat="false" ht="15" hidden="false" customHeight="false" outlineLevel="0" collapsed="false">
      <c r="A873" s="2" t="n">
        <v>830</v>
      </c>
      <c r="B873" s="2" t="s">
        <v>4607</v>
      </c>
      <c r="C873" s="2" t="s">
        <v>4642</v>
      </c>
      <c r="D873" s="2" t="s">
        <v>53</v>
      </c>
      <c r="E873" s="2" t="s">
        <v>3389</v>
      </c>
      <c r="F873" s="2" t="s">
        <v>1220</v>
      </c>
      <c r="G873" s="2" t="s">
        <v>1221</v>
      </c>
      <c r="H873" s="2" t="s">
        <v>296</v>
      </c>
      <c r="I873" s="2" t="s">
        <v>58</v>
      </c>
      <c r="J873" s="2" t="n">
        <v>-6.59</v>
      </c>
      <c r="K873" s="2" t="n">
        <v>106.92</v>
      </c>
      <c r="L873" s="2" t="s">
        <v>84</v>
      </c>
      <c r="M873" s="2" t="s">
        <v>60</v>
      </c>
      <c r="N873" s="2"/>
      <c r="O873" s="2" t="s">
        <v>4643</v>
      </c>
      <c r="P873" s="2"/>
      <c r="Q873" s="2" t="s">
        <v>62</v>
      </c>
      <c r="R873" s="2" t="n">
        <v>0.75</v>
      </c>
      <c r="S873" s="2" t="s">
        <v>4638</v>
      </c>
      <c r="T873" s="2" t="s">
        <v>2293</v>
      </c>
      <c r="U873" s="2" t="s">
        <v>1495</v>
      </c>
      <c r="V873" s="2" t="s">
        <v>1170</v>
      </c>
      <c r="W873" s="2" t="s">
        <v>1045</v>
      </c>
      <c r="X873" s="2" t="s">
        <v>507</v>
      </c>
    </row>
    <row r="874" customFormat="false" ht="15" hidden="false" customHeight="false" outlineLevel="0" collapsed="false">
      <c r="A874" s="2" t="n">
        <v>830</v>
      </c>
      <c r="B874" s="2" t="s">
        <v>4607</v>
      </c>
      <c r="C874" s="2" t="s">
        <v>4644</v>
      </c>
      <c r="D874" s="2" t="s">
        <v>134</v>
      </c>
      <c r="E874" s="2" t="s">
        <v>4645</v>
      </c>
      <c r="F874" s="2"/>
      <c r="G874" s="2" t="s">
        <v>1221</v>
      </c>
      <c r="H874" s="2" t="s">
        <v>296</v>
      </c>
      <c r="I874" s="2" t="s">
        <v>58</v>
      </c>
      <c r="J874" s="2" t="n">
        <v>-6.57</v>
      </c>
      <c r="K874" s="2" t="n">
        <v>106.89</v>
      </c>
      <c r="L874" s="2" t="s">
        <v>84</v>
      </c>
      <c r="M874" s="2" t="s">
        <v>60</v>
      </c>
      <c r="N874" s="2"/>
      <c r="O874" s="2" t="s">
        <v>4646</v>
      </c>
      <c r="P874" s="2"/>
      <c r="Q874" s="2" t="s">
        <v>62</v>
      </c>
      <c r="R874" s="2" t="n">
        <v>0.7</v>
      </c>
      <c r="S874" s="2" t="s">
        <v>4638</v>
      </c>
      <c r="T874" s="2" t="s">
        <v>2293</v>
      </c>
      <c r="U874" s="2" t="s">
        <v>1495</v>
      </c>
      <c r="V874" s="2" t="s">
        <v>1170</v>
      </c>
      <c r="W874" s="2" t="s">
        <v>1045</v>
      </c>
      <c r="X874" s="2" t="s">
        <v>507</v>
      </c>
    </row>
    <row r="875" customFormat="false" ht="15" hidden="false" customHeight="false" outlineLevel="0" collapsed="false">
      <c r="A875" s="2" t="n">
        <v>831</v>
      </c>
      <c r="B875" s="2" t="s">
        <v>4607</v>
      </c>
      <c r="C875" s="2" t="s">
        <v>4647</v>
      </c>
      <c r="D875" s="2" t="s">
        <v>410</v>
      </c>
      <c r="E875" s="2" t="s">
        <v>4648</v>
      </c>
      <c r="F875" s="2"/>
      <c r="G875" s="2" t="s">
        <v>4649</v>
      </c>
      <c r="H875" s="2" t="s">
        <v>4650</v>
      </c>
      <c r="I875" s="2" t="s">
        <v>1559</v>
      </c>
      <c r="J875" s="2" t="n">
        <v>-8.68</v>
      </c>
      <c r="K875" s="2" t="n">
        <v>116.56</v>
      </c>
      <c r="L875" s="2" t="s">
        <v>84</v>
      </c>
      <c r="M875" s="2" t="s">
        <v>60</v>
      </c>
      <c r="N875" s="2"/>
      <c r="O875" s="2" t="s">
        <v>4651</v>
      </c>
      <c r="P875" s="2" t="s">
        <v>567</v>
      </c>
      <c r="Q875" s="2" t="s">
        <v>110</v>
      </c>
      <c r="R875" s="2" t="n">
        <v>0.85</v>
      </c>
      <c r="S875" s="2" t="s">
        <v>4652</v>
      </c>
      <c r="T875" s="2" t="s">
        <v>743</v>
      </c>
      <c r="U875" s="2" t="s">
        <v>4653</v>
      </c>
      <c r="V875" s="2" t="s">
        <v>1170</v>
      </c>
      <c r="W875" s="2" t="s">
        <v>604</v>
      </c>
      <c r="X875" s="2" t="s">
        <v>507</v>
      </c>
    </row>
    <row r="876" customFormat="false" ht="15" hidden="false" customHeight="false" outlineLevel="0" collapsed="false">
      <c r="A876" s="2" t="n">
        <v>832</v>
      </c>
      <c r="B876" s="2" t="s">
        <v>4607</v>
      </c>
      <c r="C876" s="2" t="s">
        <v>4647</v>
      </c>
      <c r="D876" s="2" t="s">
        <v>410</v>
      </c>
      <c r="E876" s="2" t="s">
        <v>4648</v>
      </c>
      <c r="F876" s="2"/>
      <c r="G876" s="2" t="s">
        <v>4649</v>
      </c>
      <c r="H876" s="2" t="s">
        <v>4650</v>
      </c>
      <c r="I876" s="2" t="s">
        <v>1559</v>
      </c>
      <c r="J876" s="2" t="n">
        <v>-8.68</v>
      </c>
      <c r="K876" s="2" t="n">
        <v>116.56</v>
      </c>
      <c r="L876" s="2" t="s">
        <v>84</v>
      </c>
      <c r="M876" s="2" t="s">
        <v>60</v>
      </c>
      <c r="N876" s="2"/>
      <c r="O876" s="2" t="s">
        <v>4654</v>
      </c>
      <c r="P876" s="2" t="s">
        <v>567</v>
      </c>
      <c r="Q876" s="2" t="s">
        <v>110</v>
      </c>
      <c r="R876" s="2" t="n">
        <v>0.85</v>
      </c>
      <c r="S876" s="2" t="s">
        <v>4655</v>
      </c>
      <c r="T876" s="2" t="s">
        <v>743</v>
      </c>
      <c r="U876" s="2" t="s">
        <v>4656</v>
      </c>
      <c r="V876" s="2" t="s">
        <v>1170</v>
      </c>
      <c r="W876" s="2" t="s">
        <v>1654</v>
      </c>
      <c r="X876" s="2" t="s">
        <v>507</v>
      </c>
    </row>
    <row r="877" customFormat="false" ht="15" hidden="false" customHeight="false" outlineLevel="0" collapsed="false">
      <c r="A877" s="2" t="n">
        <v>833</v>
      </c>
      <c r="B877" s="2" t="s">
        <v>4607</v>
      </c>
      <c r="C877" s="2" t="s">
        <v>4657</v>
      </c>
      <c r="D877" s="2" t="s">
        <v>410</v>
      </c>
      <c r="E877" s="2" t="s">
        <v>4658</v>
      </c>
      <c r="F877" s="2" t="s">
        <v>575</v>
      </c>
      <c r="G877" s="2" t="s">
        <v>4659</v>
      </c>
      <c r="H877" s="2" t="s">
        <v>4619</v>
      </c>
      <c r="I877" s="2" t="s">
        <v>1559</v>
      </c>
      <c r="J877" s="2" t="n">
        <v>-8.895</v>
      </c>
      <c r="K877" s="2" t="n">
        <v>116.29</v>
      </c>
      <c r="L877" s="2" t="s">
        <v>59</v>
      </c>
      <c r="M877" s="2" t="s">
        <v>60</v>
      </c>
      <c r="N877" s="2"/>
      <c r="O877" s="2" t="s">
        <v>4660</v>
      </c>
      <c r="P877" s="2" t="s">
        <v>702</v>
      </c>
      <c r="Q877" s="2" t="s">
        <v>110</v>
      </c>
      <c r="R877" s="2" t="n">
        <v>0.45</v>
      </c>
      <c r="S877" s="2" t="s">
        <v>4661</v>
      </c>
      <c r="T877" s="2" t="s">
        <v>95</v>
      </c>
      <c r="U877" s="2" t="s">
        <v>4662</v>
      </c>
      <c r="V877" s="2" t="s">
        <v>1170</v>
      </c>
      <c r="W877" s="2" t="s">
        <v>2692</v>
      </c>
      <c r="X877" s="2" t="s">
        <v>507</v>
      </c>
    </row>
    <row r="878" customFormat="false" ht="15" hidden="false" customHeight="false" outlineLevel="0" collapsed="false">
      <c r="A878" s="2" t="n">
        <v>834</v>
      </c>
      <c r="B878" s="2" t="s">
        <v>4607</v>
      </c>
      <c r="C878" s="2" t="s">
        <v>4663</v>
      </c>
      <c r="D878" s="2" t="s">
        <v>410</v>
      </c>
      <c r="E878" s="2" t="s">
        <v>4664</v>
      </c>
      <c r="F878" s="2" t="s">
        <v>4665</v>
      </c>
      <c r="G878" s="2" t="s">
        <v>4666</v>
      </c>
      <c r="H878" s="2" t="s">
        <v>4633</v>
      </c>
      <c r="I878" s="2" t="s">
        <v>1559</v>
      </c>
      <c r="J878" s="2" t="n">
        <v>-8.6</v>
      </c>
      <c r="K878" s="2" t="n">
        <v>116.075</v>
      </c>
      <c r="L878" s="2" t="s">
        <v>59</v>
      </c>
      <c r="M878" s="2" t="s">
        <v>60</v>
      </c>
      <c r="N878" s="2"/>
      <c r="O878" s="2" t="s">
        <v>4667</v>
      </c>
      <c r="P878" s="2" t="s">
        <v>4668</v>
      </c>
      <c r="Q878" s="2" t="s">
        <v>110</v>
      </c>
      <c r="R878" s="2" t="n">
        <v>0.8</v>
      </c>
      <c r="S878" s="2" t="s">
        <v>4669</v>
      </c>
      <c r="T878" s="2" t="s">
        <v>4670</v>
      </c>
      <c r="U878" s="2" t="s">
        <v>4671</v>
      </c>
      <c r="V878" s="2" t="s">
        <v>1170</v>
      </c>
      <c r="W878" s="2" t="s">
        <v>2370</v>
      </c>
      <c r="X878" s="2" t="s">
        <v>507</v>
      </c>
    </row>
    <row r="879" customFormat="false" ht="15" hidden="false" customHeight="false" outlineLevel="0" collapsed="false">
      <c r="A879" s="2" t="n">
        <v>840</v>
      </c>
      <c r="B879" s="2" t="s">
        <v>4672</v>
      </c>
      <c r="C879" s="2" t="s">
        <v>4673</v>
      </c>
      <c r="D879" s="2" t="s">
        <v>410</v>
      </c>
      <c r="E879" s="2" t="s">
        <v>4674</v>
      </c>
      <c r="F879" s="2" t="s">
        <v>4675</v>
      </c>
      <c r="G879" s="2" t="s">
        <v>4676</v>
      </c>
      <c r="H879" s="2" t="s">
        <v>4650</v>
      </c>
      <c r="I879" s="2" t="s">
        <v>1559</v>
      </c>
      <c r="J879" s="2" t="n">
        <v>-8.56</v>
      </c>
      <c r="K879" s="2" t="n">
        <v>116.62</v>
      </c>
      <c r="L879" s="2" t="s">
        <v>84</v>
      </c>
      <c r="M879" s="2" t="s">
        <v>60</v>
      </c>
      <c r="N879" s="2"/>
      <c r="O879" s="2" t="s">
        <v>4677</v>
      </c>
      <c r="P879" s="2" t="s">
        <v>298</v>
      </c>
      <c r="Q879" s="2" t="s">
        <v>110</v>
      </c>
      <c r="R879" s="2" t="n">
        <v>0.9</v>
      </c>
      <c r="S879" s="2" t="s">
        <v>4678</v>
      </c>
      <c r="T879" s="2" t="s">
        <v>963</v>
      </c>
      <c r="U879" s="2" t="s">
        <v>1524</v>
      </c>
      <c r="V879" s="2" t="s">
        <v>1525</v>
      </c>
      <c r="W879" s="2" t="s">
        <v>331</v>
      </c>
      <c r="X879" s="2" t="s">
        <v>507</v>
      </c>
    </row>
    <row r="880" customFormat="false" ht="15" hidden="false" customHeight="false" outlineLevel="0" collapsed="false">
      <c r="A880" s="2" t="n">
        <v>844</v>
      </c>
      <c r="B880" s="2" t="s">
        <v>4672</v>
      </c>
      <c r="C880" s="2" t="s">
        <v>4679</v>
      </c>
      <c r="D880" s="2" t="s">
        <v>1130</v>
      </c>
      <c r="E880" s="2" t="s">
        <v>4680</v>
      </c>
      <c r="F880" s="2" t="s">
        <v>4681</v>
      </c>
      <c r="G880" s="2" t="s">
        <v>4659</v>
      </c>
      <c r="H880" s="2" t="s">
        <v>4619</v>
      </c>
      <c r="I880" s="2" t="s">
        <v>1559</v>
      </c>
      <c r="J880" s="2" t="n">
        <v>-8.84</v>
      </c>
      <c r="K880" s="2" t="n">
        <v>116.29</v>
      </c>
      <c r="L880" s="2" t="s">
        <v>59</v>
      </c>
      <c r="M880" s="2" t="s">
        <v>60</v>
      </c>
      <c r="N880" s="2" t="s">
        <v>4682</v>
      </c>
      <c r="O880" s="2" t="s">
        <v>4683</v>
      </c>
      <c r="P880" s="2" t="s">
        <v>773</v>
      </c>
      <c r="Q880" s="2" t="s">
        <v>62</v>
      </c>
      <c r="R880" s="2" t="n">
        <v>0.55</v>
      </c>
      <c r="S880" s="2" t="s">
        <v>4684</v>
      </c>
      <c r="T880" s="2" t="s">
        <v>803</v>
      </c>
      <c r="U880" s="2" t="s">
        <v>1542</v>
      </c>
      <c r="V880" s="2" t="s">
        <v>1170</v>
      </c>
      <c r="W880" s="2" t="s">
        <v>1543</v>
      </c>
      <c r="X880" s="2" t="s">
        <v>507</v>
      </c>
    </row>
    <row r="881" customFormat="false" ht="15" hidden="false" customHeight="false" outlineLevel="0" collapsed="false">
      <c r="A881" s="2" t="n">
        <v>845</v>
      </c>
      <c r="B881" s="2" t="s">
        <v>4672</v>
      </c>
      <c r="C881" s="2" t="s">
        <v>4685</v>
      </c>
      <c r="D881" s="2" t="s">
        <v>53</v>
      </c>
      <c r="E881" s="2" t="s">
        <v>4686</v>
      </c>
      <c r="F881" s="2" t="s">
        <v>4687</v>
      </c>
      <c r="G881" s="2" t="s">
        <v>4688</v>
      </c>
      <c r="H881" s="2" t="s">
        <v>4633</v>
      </c>
      <c r="I881" s="2" t="s">
        <v>1559</v>
      </c>
      <c r="J881" s="2" t="n">
        <v>-8.59</v>
      </c>
      <c r="K881" s="2" t="n">
        <v>116.085</v>
      </c>
      <c r="L881" s="2" t="s">
        <v>59</v>
      </c>
      <c r="M881" s="2" t="s">
        <v>60</v>
      </c>
      <c r="N881" s="2" t="s">
        <v>4689</v>
      </c>
      <c r="O881" s="2" t="s">
        <v>4690</v>
      </c>
      <c r="P881" s="2" t="s">
        <v>1001</v>
      </c>
      <c r="Q881" s="2" t="s">
        <v>110</v>
      </c>
      <c r="R881" s="2" t="n">
        <v>0.85</v>
      </c>
      <c r="S881" s="2" t="s">
        <v>4691</v>
      </c>
      <c r="T881" s="2" t="s">
        <v>743</v>
      </c>
      <c r="U881" s="2" t="s">
        <v>4692</v>
      </c>
      <c r="V881" s="2" t="s">
        <v>4693</v>
      </c>
      <c r="W881" s="2" t="s">
        <v>776</v>
      </c>
      <c r="X881" s="2" t="s">
        <v>507</v>
      </c>
    </row>
    <row r="882" customFormat="false" ht="15" hidden="false" customHeight="false" outlineLevel="0" collapsed="false">
      <c r="A882" s="2" t="n">
        <v>860</v>
      </c>
      <c r="B882" s="2" t="s">
        <v>4672</v>
      </c>
      <c r="C882" s="2" t="s">
        <v>4694</v>
      </c>
      <c r="D882" s="2" t="s">
        <v>351</v>
      </c>
      <c r="E882" s="2" t="s">
        <v>4695</v>
      </c>
      <c r="F882" s="2" t="s">
        <v>575</v>
      </c>
      <c r="G882" s="2" t="s">
        <v>4659</v>
      </c>
      <c r="H882" s="2" t="s">
        <v>4619</v>
      </c>
      <c r="I882" s="2" t="s">
        <v>1559</v>
      </c>
      <c r="J882" s="2" t="n">
        <v>-8.895</v>
      </c>
      <c r="K882" s="2" t="n">
        <v>116.29</v>
      </c>
      <c r="L882" s="2" t="s">
        <v>59</v>
      </c>
      <c r="M882" s="2" t="s">
        <v>60</v>
      </c>
      <c r="N882" s="2"/>
      <c r="O882" s="2" t="s">
        <v>4696</v>
      </c>
      <c r="P882" s="2" t="s">
        <v>4697</v>
      </c>
      <c r="Q882" s="2" t="s">
        <v>62</v>
      </c>
      <c r="R882" s="2" t="n">
        <v>0.5</v>
      </c>
      <c r="S882" s="2" t="s">
        <v>4698</v>
      </c>
      <c r="T882" s="2" t="s">
        <v>743</v>
      </c>
      <c r="U882" s="2" t="s">
        <v>1620</v>
      </c>
      <c r="V882" s="2" t="s">
        <v>1500</v>
      </c>
      <c r="W882" s="2" t="s">
        <v>1078</v>
      </c>
      <c r="X882" s="2" t="s">
        <v>507</v>
      </c>
    </row>
    <row r="883" customFormat="false" ht="15" hidden="false" customHeight="false" outlineLevel="0" collapsed="false">
      <c r="A883" s="2" t="n">
        <v>861</v>
      </c>
      <c r="B883" s="2" t="s">
        <v>4672</v>
      </c>
      <c r="C883" s="2" t="s">
        <v>4699</v>
      </c>
      <c r="D883" s="2" t="s">
        <v>351</v>
      </c>
      <c r="E883" s="2" t="s">
        <v>4700</v>
      </c>
      <c r="F883" s="2" t="s">
        <v>1566</v>
      </c>
      <c r="G883" s="2" t="s">
        <v>1567</v>
      </c>
      <c r="H883" s="2" t="s">
        <v>1568</v>
      </c>
      <c r="I883" s="2" t="s">
        <v>1559</v>
      </c>
      <c r="J883" s="2" t="n">
        <v>-8.49</v>
      </c>
      <c r="K883" s="2" t="n">
        <v>116.045</v>
      </c>
      <c r="L883" s="2" t="s">
        <v>59</v>
      </c>
      <c r="M883" s="2" t="s">
        <v>60</v>
      </c>
      <c r="N883" s="2"/>
      <c r="O883" s="2" t="s">
        <v>4701</v>
      </c>
      <c r="P883" s="2" t="s">
        <v>4702</v>
      </c>
      <c r="Q883" s="2" t="s">
        <v>62</v>
      </c>
      <c r="R883" s="2" t="n">
        <v>0.55</v>
      </c>
      <c r="S883" s="2" t="s">
        <v>4703</v>
      </c>
      <c r="T883" s="2" t="s">
        <v>4704</v>
      </c>
      <c r="U883" s="2" t="s">
        <v>1625</v>
      </c>
      <c r="V883" s="2" t="s">
        <v>1626</v>
      </c>
      <c r="W883" s="2" t="s">
        <v>1627</v>
      </c>
      <c r="X883" s="2" t="s">
        <v>507</v>
      </c>
    </row>
    <row r="884" customFormat="false" ht="15" hidden="false" customHeight="false" outlineLevel="0" collapsed="false">
      <c r="A884" s="2" t="n">
        <v>862</v>
      </c>
      <c r="B884" s="2" t="s">
        <v>4672</v>
      </c>
      <c r="C884" s="2" t="s">
        <v>4705</v>
      </c>
      <c r="D884" s="2" t="s">
        <v>351</v>
      </c>
      <c r="E884" s="2" t="s">
        <v>4706</v>
      </c>
      <c r="F884" s="2"/>
      <c r="G884" s="2" t="s">
        <v>4707</v>
      </c>
      <c r="H884" s="2" t="s">
        <v>4708</v>
      </c>
      <c r="I884" s="2" t="s">
        <v>1559</v>
      </c>
      <c r="J884" s="2" t="n">
        <v>-8.6</v>
      </c>
      <c r="K884" s="2" t="n">
        <v>118.7</v>
      </c>
      <c r="L884" s="2" t="s">
        <v>84</v>
      </c>
      <c r="M884" s="2" t="s">
        <v>60</v>
      </c>
      <c r="N884" s="2"/>
      <c r="O884" s="2" t="s">
        <v>4709</v>
      </c>
      <c r="P884" s="2" t="s">
        <v>1001</v>
      </c>
      <c r="Q884" s="2" t="s">
        <v>62</v>
      </c>
      <c r="R884" s="2" t="n">
        <v>0.3</v>
      </c>
      <c r="S884" s="2" t="s">
        <v>4710</v>
      </c>
      <c r="T884" s="2" t="s">
        <v>4711</v>
      </c>
      <c r="U884" s="2" t="s">
        <v>4712</v>
      </c>
      <c r="V884" s="2" t="s">
        <v>4713</v>
      </c>
      <c r="W884" s="2" t="s">
        <v>751</v>
      </c>
      <c r="X884" s="2" t="s">
        <v>507</v>
      </c>
    </row>
    <row r="885" customFormat="false" ht="15" hidden="false" customHeight="false" outlineLevel="0" collapsed="false">
      <c r="A885" s="2" t="n">
        <v>868</v>
      </c>
      <c r="B885" s="2" t="s">
        <v>4672</v>
      </c>
      <c r="C885" s="2" t="s">
        <v>4714</v>
      </c>
      <c r="D885" s="2" t="s">
        <v>121</v>
      </c>
      <c r="E885" s="2" t="s">
        <v>4715</v>
      </c>
      <c r="F885" s="2"/>
      <c r="G885" s="2"/>
      <c r="H885" s="2" t="s">
        <v>4633</v>
      </c>
      <c r="I885" s="2" t="s">
        <v>1559</v>
      </c>
      <c r="J885" s="2" t="n">
        <v>-8.583</v>
      </c>
      <c r="K885" s="2" t="n">
        <v>116.117</v>
      </c>
      <c r="L885" s="2" t="s">
        <v>101</v>
      </c>
      <c r="M885" s="2" t="s">
        <v>60</v>
      </c>
      <c r="N885" s="2"/>
      <c r="O885" s="2" t="s">
        <v>4716</v>
      </c>
      <c r="P885" s="2" t="s">
        <v>109</v>
      </c>
      <c r="Q885" s="2" t="s">
        <v>62</v>
      </c>
      <c r="R885" s="2" t="n">
        <v>0.5</v>
      </c>
      <c r="S885" s="2" t="s">
        <v>4717</v>
      </c>
      <c r="T885" s="2" t="s">
        <v>4718</v>
      </c>
      <c r="U885" s="2" t="s">
        <v>1653</v>
      </c>
      <c r="V885" s="2" t="s">
        <v>1170</v>
      </c>
      <c r="W885" s="2" t="s">
        <v>1654</v>
      </c>
      <c r="X885" s="2" t="s">
        <v>507</v>
      </c>
    </row>
    <row r="886" customFormat="false" ht="15" hidden="false" customHeight="false" outlineLevel="0" collapsed="false">
      <c r="A886" s="2" t="n">
        <v>881</v>
      </c>
      <c r="B886" s="2" t="s">
        <v>4719</v>
      </c>
      <c r="C886" s="2" t="s">
        <v>4720</v>
      </c>
      <c r="D886" s="2" t="s">
        <v>410</v>
      </c>
      <c r="E886" s="2" t="s">
        <v>4547</v>
      </c>
      <c r="F886" s="2"/>
      <c r="G886" s="2" t="s">
        <v>4721</v>
      </c>
      <c r="H886" s="2" t="s">
        <v>1117</v>
      </c>
      <c r="I886" s="2" t="s">
        <v>1115</v>
      </c>
      <c r="J886" s="2" t="n">
        <v>-8.45</v>
      </c>
      <c r="K886" s="2" t="n">
        <v>119.95</v>
      </c>
      <c r="L886" s="2" t="s">
        <v>84</v>
      </c>
      <c r="M886" s="2" t="s">
        <v>60</v>
      </c>
      <c r="N886" s="2"/>
      <c r="O886" s="2" t="s">
        <v>4722</v>
      </c>
      <c r="P886" s="2" t="s">
        <v>773</v>
      </c>
      <c r="Q886" s="2" t="s">
        <v>62</v>
      </c>
      <c r="R886" s="2" t="n">
        <v>0.6</v>
      </c>
      <c r="S886" s="2" t="s">
        <v>4723</v>
      </c>
      <c r="T886" s="2" t="s">
        <v>3318</v>
      </c>
      <c r="U886" s="2" t="s">
        <v>4724</v>
      </c>
      <c r="V886" s="2" t="s">
        <v>97</v>
      </c>
      <c r="W886" s="2" t="s">
        <v>4206</v>
      </c>
      <c r="X886" s="2" t="s">
        <v>507</v>
      </c>
    </row>
    <row r="887" customFormat="false" ht="15" hidden="false" customHeight="false" outlineLevel="0" collapsed="false">
      <c r="A887" s="2" t="n">
        <v>881</v>
      </c>
      <c r="B887" s="2" t="s">
        <v>4719</v>
      </c>
      <c r="C887" s="2" t="s">
        <v>4725</v>
      </c>
      <c r="D887" s="2" t="s">
        <v>410</v>
      </c>
      <c r="E887" s="2" t="s">
        <v>4726</v>
      </c>
      <c r="F887" s="2" t="s">
        <v>4727</v>
      </c>
      <c r="G887" s="2" t="s">
        <v>4728</v>
      </c>
      <c r="H887" s="2" t="s">
        <v>4729</v>
      </c>
      <c r="I887" s="2" t="s">
        <v>1115</v>
      </c>
      <c r="J887" s="2" t="n">
        <v>-8.769</v>
      </c>
      <c r="K887" s="2" t="n">
        <v>120.284</v>
      </c>
      <c r="L887" s="2" t="s">
        <v>124</v>
      </c>
      <c r="M887" s="2" t="s">
        <v>60</v>
      </c>
      <c r="N887" s="2"/>
      <c r="O887" s="2" t="s">
        <v>4730</v>
      </c>
      <c r="P887" s="2" t="s">
        <v>773</v>
      </c>
      <c r="Q887" s="2" t="s">
        <v>62</v>
      </c>
      <c r="R887" s="2" t="n">
        <v>0.6</v>
      </c>
      <c r="S887" s="2" t="s">
        <v>4723</v>
      </c>
      <c r="T887" s="2" t="s">
        <v>3318</v>
      </c>
      <c r="U887" s="2" t="s">
        <v>4724</v>
      </c>
      <c r="V887" s="2" t="s">
        <v>97</v>
      </c>
      <c r="W887" s="2" t="s">
        <v>4206</v>
      </c>
      <c r="X887" s="2" t="s">
        <v>507</v>
      </c>
    </row>
    <row r="888" customFormat="false" ht="15" hidden="false" customHeight="false" outlineLevel="0" collapsed="false">
      <c r="A888" s="2" t="n">
        <v>881</v>
      </c>
      <c r="B888" s="2" t="s">
        <v>4719</v>
      </c>
      <c r="C888" s="2" t="s">
        <v>4731</v>
      </c>
      <c r="D888" s="2" t="s">
        <v>410</v>
      </c>
      <c r="E888" s="2" t="s">
        <v>4732</v>
      </c>
      <c r="F888" s="2"/>
      <c r="G888" s="2" t="s">
        <v>4733</v>
      </c>
      <c r="H888" s="2" t="s">
        <v>4734</v>
      </c>
      <c r="I888" s="2" t="s">
        <v>1115</v>
      </c>
      <c r="J888" s="2" t="n">
        <v>-8.77</v>
      </c>
      <c r="K888" s="2" t="n">
        <v>121.82</v>
      </c>
      <c r="L888" s="2" t="s">
        <v>124</v>
      </c>
      <c r="M888" s="2" t="s">
        <v>60</v>
      </c>
      <c r="N888" s="2"/>
      <c r="O888" s="2" t="s">
        <v>4730</v>
      </c>
      <c r="P888" s="2" t="s">
        <v>773</v>
      </c>
      <c r="Q888" s="2" t="s">
        <v>62</v>
      </c>
      <c r="R888" s="2" t="n">
        <v>0.6</v>
      </c>
      <c r="S888" s="2" t="s">
        <v>4723</v>
      </c>
      <c r="T888" s="2" t="s">
        <v>3318</v>
      </c>
      <c r="U888" s="2" t="s">
        <v>4724</v>
      </c>
      <c r="V888" s="2" t="s">
        <v>97</v>
      </c>
      <c r="W888" s="2" t="s">
        <v>4206</v>
      </c>
      <c r="X888" s="2" t="s">
        <v>507</v>
      </c>
    </row>
    <row r="889" customFormat="false" ht="15" hidden="false" customHeight="false" outlineLevel="0" collapsed="false">
      <c r="A889" s="2" t="n">
        <v>881</v>
      </c>
      <c r="B889" s="2" t="s">
        <v>4719</v>
      </c>
      <c r="C889" s="2" t="s">
        <v>4735</v>
      </c>
      <c r="D889" s="2" t="s">
        <v>410</v>
      </c>
      <c r="E889" s="2" t="s">
        <v>4736</v>
      </c>
      <c r="F889" s="2"/>
      <c r="G889" s="2" t="s">
        <v>1116</v>
      </c>
      <c r="H889" s="2" t="s">
        <v>1117</v>
      </c>
      <c r="I889" s="2" t="s">
        <v>1115</v>
      </c>
      <c r="J889" s="2" t="n">
        <v>-8.55</v>
      </c>
      <c r="K889" s="2" t="n">
        <v>119.5</v>
      </c>
      <c r="L889" s="2" t="s">
        <v>84</v>
      </c>
      <c r="M889" s="2" t="s">
        <v>60</v>
      </c>
      <c r="N889" s="2"/>
      <c r="O889" s="2" t="s">
        <v>4737</v>
      </c>
      <c r="P889" s="2" t="s">
        <v>773</v>
      </c>
      <c r="Q889" s="2" t="s">
        <v>62</v>
      </c>
      <c r="R889" s="2" t="n">
        <v>0.5</v>
      </c>
      <c r="S889" s="2" t="s">
        <v>4723</v>
      </c>
      <c r="T889" s="2" t="s">
        <v>3318</v>
      </c>
      <c r="U889" s="2" t="s">
        <v>4724</v>
      </c>
      <c r="V889" s="2" t="s">
        <v>97</v>
      </c>
      <c r="W889" s="2" t="s">
        <v>4206</v>
      </c>
      <c r="X889" s="2" t="s">
        <v>507</v>
      </c>
    </row>
    <row r="890" customFormat="false" ht="15" hidden="false" customHeight="false" outlineLevel="0" collapsed="false">
      <c r="A890" s="2" t="n">
        <v>883</v>
      </c>
      <c r="B890" s="2" t="s">
        <v>4719</v>
      </c>
      <c r="C890" s="2" t="s">
        <v>4738</v>
      </c>
      <c r="D890" s="2" t="s">
        <v>410</v>
      </c>
      <c r="E890" s="2" t="s">
        <v>4732</v>
      </c>
      <c r="F890" s="2"/>
      <c r="G890" s="2" t="s">
        <v>4733</v>
      </c>
      <c r="H890" s="2" t="s">
        <v>4734</v>
      </c>
      <c r="I890" s="2" t="s">
        <v>1115</v>
      </c>
      <c r="J890" s="2" t="n">
        <v>-8.77</v>
      </c>
      <c r="K890" s="2" t="n">
        <v>121.82</v>
      </c>
      <c r="L890" s="2" t="s">
        <v>124</v>
      </c>
      <c r="M890" s="2" t="s">
        <v>60</v>
      </c>
      <c r="N890" s="2"/>
      <c r="O890" s="2" t="s">
        <v>4739</v>
      </c>
      <c r="P890" s="2" t="s">
        <v>4740</v>
      </c>
      <c r="Q890" s="2" t="s">
        <v>62</v>
      </c>
      <c r="R890" s="2" t="n">
        <v>0.75</v>
      </c>
      <c r="S890" s="2" t="s">
        <v>4741</v>
      </c>
      <c r="T890" s="2" t="s">
        <v>4742</v>
      </c>
      <c r="U890" s="2" t="s">
        <v>1767</v>
      </c>
      <c r="V890" s="2" t="s">
        <v>97</v>
      </c>
      <c r="W890" s="2" t="s">
        <v>1768</v>
      </c>
      <c r="X890" s="2" t="s">
        <v>507</v>
      </c>
    </row>
    <row r="891" customFormat="false" ht="15" hidden="false" customHeight="false" outlineLevel="0" collapsed="false">
      <c r="A891" s="2" t="n">
        <v>885</v>
      </c>
      <c r="B891" s="2" t="s">
        <v>4719</v>
      </c>
      <c r="C891" s="2" t="s">
        <v>4743</v>
      </c>
      <c r="D891" s="2" t="s">
        <v>121</v>
      </c>
      <c r="E891" s="2" t="s">
        <v>4744</v>
      </c>
      <c r="F891" s="2"/>
      <c r="G891" s="2" t="s">
        <v>4745</v>
      </c>
      <c r="H891" s="2" t="s">
        <v>4746</v>
      </c>
      <c r="I891" s="2" t="s">
        <v>1115</v>
      </c>
      <c r="J891" s="2" t="n">
        <v>-8.22</v>
      </c>
      <c r="K891" s="2" t="n">
        <v>124.52</v>
      </c>
      <c r="L891" s="2" t="s">
        <v>84</v>
      </c>
      <c r="M891" s="2" t="s">
        <v>60</v>
      </c>
      <c r="N891" s="2"/>
      <c r="O891" s="2" t="s">
        <v>4747</v>
      </c>
      <c r="P891" s="2" t="s">
        <v>4748</v>
      </c>
      <c r="Q891" s="2" t="s">
        <v>62</v>
      </c>
      <c r="R891" s="2" t="n">
        <v>0.75</v>
      </c>
      <c r="S891" s="2" t="s">
        <v>4749</v>
      </c>
      <c r="T891" s="2" t="s">
        <v>95</v>
      </c>
      <c r="U891" s="2" t="s">
        <v>1780</v>
      </c>
      <c r="V891" s="2" t="s">
        <v>97</v>
      </c>
      <c r="W891" s="2" t="s">
        <v>805</v>
      </c>
      <c r="X891" s="2" t="s">
        <v>507</v>
      </c>
    </row>
    <row r="892" customFormat="false" ht="15" hidden="false" customHeight="false" outlineLevel="0" collapsed="false">
      <c r="A892" s="2" t="n">
        <v>886</v>
      </c>
      <c r="B892" s="2" t="s">
        <v>4719</v>
      </c>
      <c r="C892" s="2" t="s">
        <v>4750</v>
      </c>
      <c r="D892" s="2" t="s">
        <v>410</v>
      </c>
      <c r="E892" s="2" t="s">
        <v>4751</v>
      </c>
      <c r="F892" s="2"/>
      <c r="G892" s="2" t="s">
        <v>1116</v>
      </c>
      <c r="H892" s="2" t="s">
        <v>1117</v>
      </c>
      <c r="I892" s="2" t="s">
        <v>1115</v>
      </c>
      <c r="J892" s="2" t="n">
        <v>-8.653</v>
      </c>
      <c r="K892" s="2" t="n">
        <v>119.579</v>
      </c>
      <c r="L892" s="2" t="s">
        <v>124</v>
      </c>
      <c r="M892" s="2" t="s">
        <v>60</v>
      </c>
      <c r="N892" s="2"/>
      <c r="O892" s="2" t="s">
        <v>4752</v>
      </c>
      <c r="P892" s="2" t="s">
        <v>4753</v>
      </c>
      <c r="Q892" s="2" t="s">
        <v>110</v>
      </c>
      <c r="R892" s="2" t="n">
        <v>0.75</v>
      </c>
      <c r="S892" s="2" t="s">
        <v>4754</v>
      </c>
      <c r="T892" s="2" t="s">
        <v>3318</v>
      </c>
      <c r="U892" s="2" t="s">
        <v>1791</v>
      </c>
      <c r="V892" s="2" t="s">
        <v>1792</v>
      </c>
      <c r="W892" s="2" t="s">
        <v>1793</v>
      </c>
      <c r="X892" s="2" t="s">
        <v>507</v>
      </c>
    </row>
    <row r="893" customFormat="false" ht="15" hidden="false" customHeight="false" outlineLevel="0" collapsed="false">
      <c r="A893" s="2" t="n">
        <v>888</v>
      </c>
      <c r="B893" s="2" t="s">
        <v>4719</v>
      </c>
      <c r="C893" s="2" t="s">
        <v>4750</v>
      </c>
      <c r="D893" s="2" t="s">
        <v>410</v>
      </c>
      <c r="E893" s="2" t="s">
        <v>4755</v>
      </c>
      <c r="F893" s="2"/>
      <c r="G893" s="2" t="s">
        <v>1116</v>
      </c>
      <c r="H893" s="2" t="s">
        <v>1117</v>
      </c>
      <c r="I893" s="2" t="s">
        <v>1115</v>
      </c>
      <c r="J893" s="2" t="n">
        <v>-8.653</v>
      </c>
      <c r="K893" s="2" t="n">
        <v>119.579</v>
      </c>
      <c r="L893" s="2" t="s">
        <v>124</v>
      </c>
      <c r="M893" s="2" t="s">
        <v>60</v>
      </c>
      <c r="N893" s="2"/>
      <c r="O893" s="2" t="s">
        <v>4756</v>
      </c>
      <c r="P893" s="2" t="s">
        <v>109</v>
      </c>
      <c r="Q893" s="2" t="s">
        <v>110</v>
      </c>
      <c r="R893" s="2" t="n">
        <v>0.8</v>
      </c>
      <c r="S893" s="2" t="s">
        <v>4757</v>
      </c>
      <c r="T893" s="2" t="s">
        <v>963</v>
      </c>
      <c r="U893" s="2" t="s">
        <v>4758</v>
      </c>
      <c r="V893" s="2" t="s">
        <v>97</v>
      </c>
      <c r="W893" s="2" t="s">
        <v>3469</v>
      </c>
      <c r="X893" s="2" t="s">
        <v>507</v>
      </c>
    </row>
    <row r="894" customFormat="false" ht="15" hidden="false" customHeight="false" outlineLevel="0" collapsed="false">
      <c r="A894" s="2" t="n">
        <v>889</v>
      </c>
      <c r="B894" s="2" t="s">
        <v>4719</v>
      </c>
      <c r="C894" s="2" t="s">
        <v>4759</v>
      </c>
      <c r="D894" s="2" t="s">
        <v>410</v>
      </c>
      <c r="E894" s="2" t="s">
        <v>4760</v>
      </c>
      <c r="F894" s="2"/>
      <c r="G894" s="2"/>
      <c r="H894" s="2"/>
      <c r="I894" s="2" t="s">
        <v>1115</v>
      </c>
      <c r="J894" s="2" t="n">
        <v>-8.657</v>
      </c>
      <c r="K894" s="2" t="n">
        <v>121.079</v>
      </c>
      <c r="L894" s="2" t="s">
        <v>239</v>
      </c>
      <c r="M894" s="2" t="s">
        <v>340</v>
      </c>
      <c r="N894" s="2"/>
      <c r="O894" s="2" t="s">
        <v>4761</v>
      </c>
      <c r="P894" s="2"/>
      <c r="Q894" s="2" t="s">
        <v>62</v>
      </c>
      <c r="R894" s="2" t="n">
        <v>0.4</v>
      </c>
      <c r="S894" s="2" t="s">
        <v>4762</v>
      </c>
      <c r="T894" s="2" t="s">
        <v>580</v>
      </c>
      <c r="U894" s="2" t="s">
        <v>4763</v>
      </c>
      <c r="V894" s="2" t="s">
        <v>4764</v>
      </c>
      <c r="W894" s="2" t="s">
        <v>3787</v>
      </c>
      <c r="X894" s="2" t="s">
        <v>507</v>
      </c>
    </row>
    <row r="895" customFormat="false" ht="15" hidden="false" customHeight="false" outlineLevel="0" collapsed="false">
      <c r="A895" s="2" t="n">
        <v>894</v>
      </c>
      <c r="B895" s="2" t="s">
        <v>4719</v>
      </c>
      <c r="C895" s="2" t="s">
        <v>4765</v>
      </c>
      <c r="D895" s="2" t="s">
        <v>1130</v>
      </c>
      <c r="E895" s="2" t="s">
        <v>4766</v>
      </c>
      <c r="F895" s="2"/>
      <c r="G895" s="2" t="s">
        <v>4767</v>
      </c>
      <c r="H895" s="2" t="s">
        <v>4433</v>
      </c>
      <c r="I895" s="2" t="s">
        <v>577</v>
      </c>
      <c r="J895" s="2" t="n">
        <v>-8.64</v>
      </c>
      <c r="K895" s="2" t="n">
        <v>115.245</v>
      </c>
      <c r="L895" s="2" t="s">
        <v>84</v>
      </c>
      <c r="M895" s="2" t="s">
        <v>60</v>
      </c>
      <c r="N895" s="2" t="s">
        <v>4768</v>
      </c>
      <c r="O895" s="2" t="s">
        <v>4769</v>
      </c>
      <c r="P895" s="2" t="s">
        <v>4770</v>
      </c>
      <c r="Q895" s="2" t="s">
        <v>62</v>
      </c>
      <c r="R895" s="2" t="n">
        <v>0.6</v>
      </c>
      <c r="S895" s="2" t="s">
        <v>4771</v>
      </c>
      <c r="T895" s="2" t="s">
        <v>4614</v>
      </c>
      <c r="U895" s="2" t="s">
        <v>4772</v>
      </c>
      <c r="V895" s="2" t="s">
        <v>420</v>
      </c>
      <c r="W895" s="2" t="s">
        <v>4606</v>
      </c>
      <c r="X895" s="2" t="s">
        <v>507</v>
      </c>
    </row>
    <row r="896" customFormat="false" ht="15" hidden="false" customHeight="false" outlineLevel="0" collapsed="false">
      <c r="A896" s="2" t="n">
        <v>898</v>
      </c>
      <c r="B896" s="2" t="s">
        <v>4719</v>
      </c>
      <c r="C896" s="2" t="s">
        <v>4773</v>
      </c>
      <c r="D896" s="2" t="s">
        <v>351</v>
      </c>
      <c r="E896" s="2" t="s">
        <v>4774</v>
      </c>
      <c r="F896" s="2"/>
      <c r="G896" s="2" t="s">
        <v>4775</v>
      </c>
      <c r="H896" s="2" t="s">
        <v>4729</v>
      </c>
      <c r="I896" s="2" t="s">
        <v>1115</v>
      </c>
      <c r="J896" s="2" t="n">
        <v>-8.3</v>
      </c>
      <c r="K896" s="2" t="n">
        <v>120.45</v>
      </c>
      <c r="L896" s="2" t="s">
        <v>84</v>
      </c>
      <c r="M896" s="2" t="s">
        <v>340</v>
      </c>
      <c r="N896" s="2"/>
      <c r="O896" s="2" t="s">
        <v>4776</v>
      </c>
      <c r="P896" s="2" t="s">
        <v>4777</v>
      </c>
      <c r="Q896" s="2" t="s">
        <v>110</v>
      </c>
      <c r="R896" s="2" t="n">
        <v>0.4</v>
      </c>
      <c r="S896" s="2" t="s">
        <v>4778</v>
      </c>
      <c r="T896" s="2" t="s">
        <v>4779</v>
      </c>
      <c r="U896" s="2" t="s">
        <v>1809</v>
      </c>
      <c r="V896" s="2" t="s">
        <v>1688</v>
      </c>
      <c r="W896" s="2" t="s">
        <v>1810</v>
      </c>
      <c r="X896" s="2" t="s">
        <v>507</v>
      </c>
    </row>
    <row r="897" customFormat="false" ht="15" hidden="false" customHeight="false" outlineLevel="0" collapsed="false">
      <c r="A897" s="2" t="n">
        <v>904</v>
      </c>
      <c r="B897" s="2" t="s">
        <v>4780</v>
      </c>
      <c r="C897" s="2" t="s">
        <v>4781</v>
      </c>
      <c r="D897" s="2" t="s">
        <v>351</v>
      </c>
      <c r="E897" s="2" t="s">
        <v>577</v>
      </c>
      <c r="F897" s="2"/>
      <c r="G897" s="2"/>
      <c r="H897" s="2"/>
      <c r="I897" s="2" t="s">
        <v>577</v>
      </c>
      <c r="J897" s="2" t="n">
        <v>-8.409</v>
      </c>
      <c r="K897" s="2" t="n">
        <v>115.189</v>
      </c>
      <c r="L897" s="2" t="s">
        <v>239</v>
      </c>
      <c r="M897" s="2" t="s">
        <v>340</v>
      </c>
      <c r="N897" s="2"/>
      <c r="O897" s="2" t="s">
        <v>4782</v>
      </c>
      <c r="P897" s="2" t="s">
        <v>109</v>
      </c>
      <c r="Q897" s="2" t="s">
        <v>62</v>
      </c>
      <c r="R897" s="2" t="n">
        <v>0.5</v>
      </c>
      <c r="S897" s="2" t="s">
        <v>4783</v>
      </c>
      <c r="T897" s="2" t="s">
        <v>4784</v>
      </c>
      <c r="U897" s="2" t="s">
        <v>4785</v>
      </c>
      <c r="V897" s="2" t="s">
        <v>2979</v>
      </c>
      <c r="W897" s="2" t="s">
        <v>3206</v>
      </c>
      <c r="X897" s="2" t="s">
        <v>507</v>
      </c>
    </row>
    <row r="898" customFormat="false" ht="15" hidden="false" customHeight="false" outlineLevel="0" collapsed="false">
      <c r="A898" s="2" t="n">
        <v>910</v>
      </c>
      <c r="B898" s="2" t="s">
        <v>4780</v>
      </c>
      <c r="C898" s="2" t="s">
        <v>4786</v>
      </c>
      <c r="D898" s="2" t="s">
        <v>121</v>
      </c>
      <c r="E898" s="2" t="s">
        <v>4787</v>
      </c>
      <c r="F898" s="2"/>
      <c r="G898" s="2"/>
      <c r="H898" s="2" t="s">
        <v>4788</v>
      </c>
      <c r="I898" s="2" t="s">
        <v>1115</v>
      </c>
      <c r="J898" s="2" t="n">
        <v>-10.178</v>
      </c>
      <c r="K898" s="2" t="n">
        <v>123.607</v>
      </c>
      <c r="L898" s="2" t="s">
        <v>101</v>
      </c>
      <c r="M898" s="2" t="s">
        <v>340</v>
      </c>
      <c r="N898" s="2"/>
      <c r="O898" s="2" t="s">
        <v>4789</v>
      </c>
      <c r="P898" s="2" t="s">
        <v>4790</v>
      </c>
      <c r="Q898" s="2" t="s">
        <v>62</v>
      </c>
      <c r="R898" s="2" t="n">
        <v>0.5</v>
      </c>
      <c r="S898" s="2" t="s">
        <v>4791</v>
      </c>
      <c r="T898" s="2" t="s">
        <v>4792</v>
      </c>
      <c r="U898" s="2" t="s">
        <v>1839</v>
      </c>
      <c r="V898" s="2" t="s">
        <v>420</v>
      </c>
      <c r="W898" s="2" t="s">
        <v>1840</v>
      </c>
      <c r="X898" s="2" t="s">
        <v>507</v>
      </c>
    </row>
    <row r="899" customFormat="false" ht="15" hidden="false" customHeight="false" outlineLevel="0" collapsed="false">
      <c r="A899" s="2" t="n">
        <v>917</v>
      </c>
      <c r="B899" s="2" t="s">
        <v>4780</v>
      </c>
      <c r="C899" s="2" t="s">
        <v>4793</v>
      </c>
      <c r="D899" s="2" t="s">
        <v>121</v>
      </c>
      <c r="E899" s="2" t="s">
        <v>4794</v>
      </c>
      <c r="F899" s="2"/>
      <c r="G899" s="2"/>
      <c r="H899" s="2" t="s">
        <v>4788</v>
      </c>
      <c r="I899" s="2" t="s">
        <v>1115</v>
      </c>
      <c r="J899" s="2" t="n">
        <v>-10.178</v>
      </c>
      <c r="K899" s="2" t="n">
        <v>123.607</v>
      </c>
      <c r="L899" s="2" t="s">
        <v>101</v>
      </c>
      <c r="M899" s="2" t="s">
        <v>340</v>
      </c>
      <c r="N899" s="2"/>
      <c r="O899" s="2" t="s">
        <v>4795</v>
      </c>
      <c r="P899" s="2" t="s">
        <v>4796</v>
      </c>
      <c r="Q899" s="2" t="s">
        <v>62</v>
      </c>
      <c r="R899" s="2" t="n">
        <v>0.55</v>
      </c>
      <c r="S899" s="2" t="s">
        <v>4797</v>
      </c>
      <c r="T899" s="2" t="s">
        <v>4798</v>
      </c>
      <c r="U899" s="2" t="s">
        <v>1898</v>
      </c>
      <c r="V899" s="2" t="s">
        <v>1874</v>
      </c>
      <c r="W899" s="2" t="s">
        <v>370</v>
      </c>
      <c r="X899" s="2" t="s">
        <v>507</v>
      </c>
    </row>
    <row r="900" customFormat="false" ht="15" hidden="false" customHeight="false" outlineLevel="0" collapsed="false">
      <c r="A900" s="2" t="n">
        <v>922</v>
      </c>
      <c r="B900" s="2" t="s">
        <v>4780</v>
      </c>
      <c r="C900" s="2" t="s">
        <v>4799</v>
      </c>
      <c r="D900" s="2" t="s">
        <v>53</v>
      </c>
      <c r="E900" s="2" t="s">
        <v>4800</v>
      </c>
      <c r="F900" s="2"/>
      <c r="G900" s="2" t="s">
        <v>4801</v>
      </c>
      <c r="H900" s="2" t="s">
        <v>4802</v>
      </c>
      <c r="I900" s="2" t="s">
        <v>4803</v>
      </c>
      <c r="J900" s="2" t="n">
        <v>-0.05</v>
      </c>
      <c r="K900" s="2" t="n">
        <v>109.34</v>
      </c>
      <c r="L900" s="2" t="s">
        <v>84</v>
      </c>
      <c r="M900" s="2" t="s">
        <v>60</v>
      </c>
      <c r="N900" s="2"/>
      <c r="O900" s="2" t="s">
        <v>4804</v>
      </c>
      <c r="P900" s="2"/>
      <c r="Q900" s="2" t="s">
        <v>62</v>
      </c>
      <c r="R900" s="2" t="n">
        <v>0.7</v>
      </c>
      <c r="S900" s="2" t="s">
        <v>4805</v>
      </c>
      <c r="T900" s="2" t="s">
        <v>1168</v>
      </c>
      <c r="U900" s="2" t="s">
        <v>1941</v>
      </c>
      <c r="V900" s="2" t="s">
        <v>1077</v>
      </c>
      <c r="W900" s="2" t="s">
        <v>1840</v>
      </c>
      <c r="X900" s="2" t="s">
        <v>507</v>
      </c>
    </row>
    <row r="901" customFormat="false" ht="15" hidden="false" customHeight="false" outlineLevel="0" collapsed="false">
      <c r="A901" s="2" t="n">
        <v>922</v>
      </c>
      <c r="B901" s="2" t="s">
        <v>4780</v>
      </c>
      <c r="C901" s="2" t="s">
        <v>4806</v>
      </c>
      <c r="D901" s="2" t="s">
        <v>53</v>
      </c>
      <c r="E901" s="2" t="s">
        <v>4807</v>
      </c>
      <c r="F901" s="2" t="s">
        <v>4808</v>
      </c>
      <c r="G901" s="2" t="s">
        <v>4801</v>
      </c>
      <c r="H901" s="2" t="s">
        <v>4802</v>
      </c>
      <c r="I901" s="2" t="s">
        <v>4803</v>
      </c>
      <c r="J901" s="2" t="n">
        <v>-0.033</v>
      </c>
      <c r="K901" s="2" t="n">
        <v>109.34</v>
      </c>
      <c r="L901" s="2" t="s">
        <v>59</v>
      </c>
      <c r="M901" s="2" t="s">
        <v>60</v>
      </c>
      <c r="N901" s="2"/>
      <c r="O901" s="2" t="s">
        <v>4809</v>
      </c>
      <c r="P901" s="2"/>
      <c r="Q901" s="2" t="s">
        <v>62</v>
      </c>
      <c r="R901" s="2" t="n">
        <v>0.7</v>
      </c>
      <c r="S901" s="2" t="s">
        <v>4805</v>
      </c>
      <c r="T901" s="2" t="s">
        <v>1168</v>
      </c>
      <c r="U901" s="2" t="s">
        <v>1941</v>
      </c>
      <c r="V901" s="2" t="s">
        <v>1077</v>
      </c>
      <c r="W901" s="2" t="s">
        <v>1840</v>
      </c>
      <c r="X901" s="2" t="s">
        <v>507</v>
      </c>
    </row>
    <row r="902" customFormat="false" ht="15" hidden="false" customHeight="false" outlineLevel="0" collapsed="false">
      <c r="A902" s="2" t="n">
        <v>922</v>
      </c>
      <c r="B902" s="2" t="s">
        <v>4780</v>
      </c>
      <c r="C902" s="2" t="s">
        <v>4810</v>
      </c>
      <c r="D902" s="2" t="s">
        <v>53</v>
      </c>
      <c r="E902" s="2" t="s">
        <v>4811</v>
      </c>
      <c r="F902" s="2"/>
      <c r="G902" s="2"/>
      <c r="H902" s="2" t="s">
        <v>4802</v>
      </c>
      <c r="I902" s="2" t="s">
        <v>4803</v>
      </c>
      <c r="J902" s="2" t="n">
        <v>-0.026</v>
      </c>
      <c r="K902" s="2" t="n">
        <v>109.342</v>
      </c>
      <c r="L902" s="2" t="s">
        <v>101</v>
      </c>
      <c r="M902" s="2" t="s">
        <v>60</v>
      </c>
      <c r="N902" s="2"/>
      <c r="O902" s="2" t="s">
        <v>4812</v>
      </c>
      <c r="P902" s="2"/>
      <c r="Q902" s="2" t="s">
        <v>62</v>
      </c>
      <c r="R902" s="2" t="n">
        <v>0.65</v>
      </c>
      <c r="S902" s="2" t="s">
        <v>4805</v>
      </c>
      <c r="T902" s="2" t="s">
        <v>1168</v>
      </c>
      <c r="U902" s="2" t="s">
        <v>1941</v>
      </c>
      <c r="V902" s="2" t="s">
        <v>1077</v>
      </c>
      <c r="W902" s="2" t="s">
        <v>1840</v>
      </c>
      <c r="X902" s="2" t="s">
        <v>507</v>
      </c>
    </row>
    <row r="903" customFormat="false" ht="15" hidden="false" customHeight="false" outlineLevel="0" collapsed="false">
      <c r="A903" s="2" t="n">
        <v>922</v>
      </c>
      <c r="B903" s="2" t="s">
        <v>4780</v>
      </c>
      <c r="C903" s="2" t="s">
        <v>4813</v>
      </c>
      <c r="D903" s="2" t="s">
        <v>53</v>
      </c>
      <c r="E903" s="2" t="s">
        <v>4814</v>
      </c>
      <c r="F903" s="2" t="s">
        <v>4815</v>
      </c>
      <c r="G903" s="2" t="s">
        <v>4801</v>
      </c>
      <c r="H903" s="2" t="s">
        <v>4802</v>
      </c>
      <c r="I903" s="2" t="s">
        <v>4803</v>
      </c>
      <c r="J903" s="2" t="n">
        <v>-0.045</v>
      </c>
      <c r="K903" s="2" t="n">
        <v>109.335</v>
      </c>
      <c r="L903" s="2" t="s">
        <v>59</v>
      </c>
      <c r="M903" s="2" t="s">
        <v>60</v>
      </c>
      <c r="N903" s="2"/>
      <c r="O903" s="2" t="s">
        <v>4816</v>
      </c>
      <c r="P903" s="2"/>
      <c r="Q903" s="2" t="s">
        <v>62</v>
      </c>
      <c r="R903" s="2" t="n">
        <v>0.65</v>
      </c>
      <c r="S903" s="2" t="s">
        <v>4805</v>
      </c>
      <c r="T903" s="2" t="s">
        <v>1168</v>
      </c>
      <c r="U903" s="2" t="s">
        <v>1941</v>
      </c>
      <c r="V903" s="2" t="s">
        <v>1077</v>
      </c>
      <c r="W903" s="2" t="s">
        <v>1840</v>
      </c>
      <c r="X903" s="2" t="s">
        <v>507</v>
      </c>
    </row>
    <row r="904" customFormat="false" ht="15" hidden="false" customHeight="false" outlineLevel="0" collapsed="false">
      <c r="A904" s="2" t="n">
        <v>923</v>
      </c>
      <c r="B904" s="2" t="s">
        <v>4780</v>
      </c>
      <c r="C904" s="2" t="s">
        <v>4817</v>
      </c>
      <c r="D904" s="2" t="s">
        <v>53</v>
      </c>
      <c r="E904" s="2" t="s">
        <v>4818</v>
      </c>
      <c r="F904" s="2"/>
      <c r="G904" s="2"/>
      <c r="H904" s="2" t="s">
        <v>4802</v>
      </c>
      <c r="I904" s="2" t="s">
        <v>4803</v>
      </c>
      <c r="J904" s="2" t="n">
        <v>-0.026</v>
      </c>
      <c r="K904" s="2" t="n">
        <v>109.342</v>
      </c>
      <c r="L904" s="2" t="s">
        <v>101</v>
      </c>
      <c r="M904" s="2" t="s">
        <v>60</v>
      </c>
      <c r="N904" s="2"/>
      <c r="O904" s="2" t="s">
        <v>4819</v>
      </c>
      <c r="P904" s="2"/>
      <c r="Q904" s="2" t="s">
        <v>62</v>
      </c>
      <c r="R904" s="2" t="n">
        <v>0.8</v>
      </c>
      <c r="S904" s="2" t="s">
        <v>4820</v>
      </c>
      <c r="T904" s="2" t="s">
        <v>4821</v>
      </c>
      <c r="U904" s="2" t="s">
        <v>4822</v>
      </c>
      <c r="V904" s="2" t="s">
        <v>420</v>
      </c>
      <c r="W904" s="2" t="s">
        <v>3017</v>
      </c>
      <c r="X904" s="2" t="s">
        <v>507</v>
      </c>
    </row>
    <row r="905" customFormat="false" ht="15" hidden="false" customHeight="false" outlineLevel="0" collapsed="false">
      <c r="A905" s="2" t="n">
        <v>923</v>
      </c>
      <c r="B905" s="2" t="s">
        <v>4780</v>
      </c>
      <c r="C905" s="2" t="s">
        <v>4823</v>
      </c>
      <c r="D905" s="2" t="s">
        <v>134</v>
      </c>
      <c r="E905" s="2" t="s">
        <v>4818</v>
      </c>
      <c r="F905" s="2"/>
      <c r="G905" s="2"/>
      <c r="H905" s="2" t="s">
        <v>4802</v>
      </c>
      <c r="I905" s="2" t="s">
        <v>4803</v>
      </c>
      <c r="J905" s="2" t="n">
        <v>-0.026</v>
      </c>
      <c r="K905" s="2" t="n">
        <v>109.342</v>
      </c>
      <c r="L905" s="2" t="s">
        <v>101</v>
      </c>
      <c r="M905" s="2" t="s">
        <v>60</v>
      </c>
      <c r="N905" s="2"/>
      <c r="O905" s="2" t="s">
        <v>4824</v>
      </c>
      <c r="P905" s="2"/>
      <c r="Q905" s="2" t="s">
        <v>62</v>
      </c>
      <c r="R905" s="2" t="n">
        <v>0.7</v>
      </c>
      <c r="S905" s="2" t="s">
        <v>4820</v>
      </c>
      <c r="T905" s="2" t="s">
        <v>4821</v>
      </c>
      <c r="U905" s="2" t="s">
        <v>4822</v>
      </c>
      <c r="V905" s="2" t="s">
        <v>420</v>
      </c>
      <c r="W905" s="2" t="s">
        <v>3017</v>
      </c>
      <c r="X905" s="2" t="s">
        <v>507</v>
      </c>
    </row>
    <row r="906" customFormat="false" ht="15" hidden="false" customHeight="false" outlineLevel="0" collapsed="false">
      <c r="A906" s="2" t="n">
        <v>924</v>
      </c>
      <c r="B906" s="2" t="s">
        <v>4780</v>
      </c>
      <c r="C906" s="2" t="s">
        <v>4825</v>
      </c>
      <c r="D906" s="2" t="s">
        <v>53</v>
      </c>
      <c r="E906" s="2" t="s">
        <v>4826</v>
      </c>
      <c r="F906" s="2" t="s">
        <v>4827</v>
      </c>
      <c r="G906" s="2" t="s">
        <v>4828</v>
      </c>
      <c r="H906" s="2" t="s">
        <v>4829</v>
      </c>
      <c r="I906" s="2" t="s">
        <v>4803</v>
      </c>
      <c r="J906" s="2" t="n">
        <v>-1.25</v>
      </c>
      <c r="K906" s="2" t="n">
        <v>110</v>
      </c>
      <c r="L906" s="2" t="s">
        <v>84</v>
      </c>
      <c r="M906" s="2" t="s">
        <v>60</v>
      </c>
      <c r="N906" s="2"/>
      <c r="O906" s="2" t="s">
        <v>4830</v>
      </c>
      <c r="P906" s="2"/>
      <c r="Q906" s="2" t="s">
        <v>62</v>
      </c>
      <c r="R906" s="2" t="n">
        <v>0.7</v>
      </c>
      <c r="S906" s="2" t="s">
        <v>4831</v>
      </c>
      <c r="T906" s="2" t="s">
        <v>4821</v>
      </c>
      <c r="U906" s="2" t="s">
        <v>1948</v>
      </c>
      <c r="V906" s="2" t="s">
        <v>1931</v>
      </c>
      <c r="W906" s="2" t="s">
        <v>1750</v>
      </c>
      <c r="X906" s="2" t="s">
        <v>507</v>
      </c>
    </row>
    <row r="907" customFormat="false" ht="15" hidden="false" customHeight="false" outlineLevel="0" collapsed="false">
      <c r="A907" s="2" t="n">
        <v>924</v>
      </c>
      <c r="B907" s="2" t="s">
        <v>4780</v>
      </c>
      <c r="C907" s="2" t="s">
        <v>4832</v>
      </c>
      <c r="D907" s="2" t="s">
        <v>53</v>
      </c>
      <c r="E907" s="2" t="s">
        <v>4833</v>
      </c>
      <c r="F907" s="2"/>
      <c r="G907" s="2" t="s">
        <v>4828</v>
      </c>
      <c r="H907" s="2" t="s">
        <v>4829</v>
      </c>
      <c r="I907" s="2" t="s">
        <v>4803</v>
      </c>
      <c r="J907" s="2" t="n">
        <v>-1.25</v>
      </c>
      <c r="K907" s="2" t="n">
        <v>110</v>
      </c>
      <c r="L907" s="2" t="s">
        <v>84</v>
      </c>
      <c r="M907" s="2" t="s">
        <v>60</v>
      </c>
      <c r="N907" s="2"/>
      <c r="O907" s="2" t="s">
        <v>4834</v>
      </c>
      <c r="P907" s="2"/>
      <c r="Q907" s="2" t="s">
        <v>62</v>
      </c>
      <c r="R907" s="2" t="n">
        <v>0.7</v>
      </c>
      <c r="S907" s="2" t="s">
        <v>4831</v>
      </c>
      <c r="T907" s="2" t="s">
        <v>4821</v>
      </c>
      <c r="U907" s="2" t="s">
        <v>1948</v>
      </c>
      <c r="V907" s="2" t="s">
        <v>1931</v>
      </c>
      <c r="W907" s="2" t="s">
        <v>1750</v>
      </c>
      <c r="X907" s="2" t="s">
        <v>507</v>
      </c>
    </row>
    <row r="908" customFormat="false" ht="15" hidden="false" customHeight="false" outlineLevel="0" collapsed="false">
      <c r="A908" s="2" t="n">
        <v>925</v>
      </c>
      <c r="B908" s="2" t="s">
        <v>4780</v>
      </c>
      <c r="C908" s="2" t="s">
        <v>4835</v>
      </c>
      <c r="D908" s="2" t="s">
        <v>53</v>
      </c>
      <c r="E908" s="2" t="s">
        <v>4836</v>
      </c>
      <c r="F908" s="2" t="s">
        <v>4837</v>
      </c>
      <c r="G908" s="2" t="s">
        <v>4838</v>
      </c>
      <c r="H908" s="2" t="s">
        <v>4839</v>
      </c>
      <c r="I908" s="2" t="s">
        <v>4803</v>
      </c>
      <c r="J908" s="2" t="n">
        <v>-0.345</v>
      </c>
      <c r="K908" s="2" t="n">
        <v>111.735</v>
      </c>
      <c r="L908" s="2" t="s">
        <v>84</v>
      </c>
      <c r="M908" s="2" t="s">
        <v>60</v>
      </c>
      <c r="N908" s="2"/>
      <c r="O908" s="2" t="s">
        <v>4840</v>
      </c>
      <c r="P908" s="2"/>
      <c r="Q908" s="2" t="s">
        <v>62</v>
      </c>
      <c r="R908" s="2" t="n">
        <v>0.55</v>
      </c>
      <c r="S908" s="2" t="s">
        <v>4841</v>
      </c>
      <c r="T908" s="2" t="s">
        <v>4821</v>
      </c>
      <c r="U908" s="2" t="s">
        <v>4842</v>
      </c>
      <c r="V908" s="2" t="s">
        <v>745</v>
      </c>
      <c r="W908" s="2" t="s">
        <v>4843</v>
      </c>
      <c r="X908" s="2" t="s">
        <v>507</v>
      </c>
    </row>
    <row r="909" customFormat="false" ht="15" hidden="false" customHeight="false" outlineLevel="0" collapsed="false">
      <c r="A909" s="2" t="n">
        <v>925</v>
      </c>
      <c r="B909" s="2" t="s">
        <v>4780</v>
      </c>
      <c r="C909" s="2" t="s">
        <v>4844</v>
      </c>
      <c r="D909" s="2" t="s">
        <v>53</v>
      </c>
      <c r="E909" s="2" t="s">
        <v>4845</v>
      </c>
      <c r="F909" s="2" t="s">
        <v>1744</v>
      </c>
      <c r="G909" s="2" t="s">
        <v>4838</v>
      </c>
      <c r="H909" s="2" t="s">
        <v>4839</v>
      </c>
      <c r="I909" s="2" t="s">
        <v>4803</v>
      </c>
      <c r="J909" s="2" t="n">
        <v>-0.345</v>
      </c>
      <c r="K909" s="2" t="n">
        <v>111.735</v>
      </c>
      <c r="L909" s="2" t="s">
        <v>84</v>
      </c>
      <c r="M909" s="2" t="s">
        <v>60</v>
      </c>
      <c r="N909" s="2"/>
      <c r="O909" s="2" t="s">
        <v>4846</v>
      </c>
      <c r="P909" s="2"/>
      <c r="Q909" s="2" t="s">
        <v>62</v>
      </c>
      <c r="R909" s="2" t="n">
        <v>0.55</v>
      </c>
      <c r="S909" s="2" t="s">
        <v>4841</v>
      </c>
      <c r="T909" s="2" t="s">
        <v>4821</v>
      </c>
      <c r="U909" s="2" t="s">
        <v>4842</v>
      </c>
      <c r="V909" s="2" t="s">
        <v>745</v>
      </c>
      <c r="W909" s="2" t="s">
        <v>4843</v>
      </c>
      <c r="X909" s="2" t="s">
        <v>507</v>
      </c>
    </row>
    <row r="910" customFormat="false" ht="15" hidden="false" customHeight="false" outlineLevel="0" collapsed="false">
      <c r="A910" s="2" t="n">
        <v>927</v>
      </c>
      <c r="B910" s="2" t="s">
        <v>4780</v>
      </c>
      <c r="C910" s="2" t="s">
        <v>4847</v>
      </c>
      <c r="D910" s="2" t="s">
        <v>410</v>
      </c>
      <c r="E910" s="2" t="s">
        <v>4848</v>
      </c>
      <c r="F910" s="2"/>
      <c r="G910" s="2"/>
      <c r="H910" s="2" t="s">
        <v>4849</v>
      </c>
      <c r="I910" s="2" t="s">
        <v>4803</v>
      </c>
      <c r="J910" s="2" t="n">
        <v>0.42</v>
      </c>
      <c r="K910" s="2" t="n">
        <v>109.8</v>
      </c>
      <c r="L910" s="2" t="s">
        <v>101</v>
      </c>
      <c r="M910" s="2" t="s">
        <v>340</v>
      </c>
      <c r="N910" s="2" t="s">
        <v>4850</v>
      </c>
      <c r="O910" s="2" t="s">
        <v>4851</v>
      </c>
      <c r="P910" s="2" t="s">
        <v>4852</v>
      </c>
      <c r="Q910" s="2" t="s">
        <v>110</v>
      </c>
      <c r="R910" s="2" t="n">
        <v>0.85</v>
      </c>
      <c r="S910" s="2" t="s">
        <v>4853</v>
      </c>
      <c r="T910" s="2" t="s">
        <v>4854</v>
      </c>
      <c r="U910" s="2" t="s">
        <v>1968</v>
      </c>
      <c r="V910" s="2" t="s">
        <v>1077</v>
      </c>
      <c r="W910" s="2" t="s">
        <v>1078</v>
      </c>
      <c r="X910" s="2" t="s">
        <v>507</v>
      </c>
    </row>
    <row r="911" customFormat="false" ht="15" hidden="false" customHeight="false" outlineLevel="0" collapsed="false">
      <c r="A911" s="2" t="n">
        <v>928</v>
      </c>
      <c r="B911" s="2" t="s">
        <v>4780</v>
      </c>
      <c r="C911" s="2" t="s">
        <v>4855</v>
      </c>
      <c r="D911" s="2" t="s">
        <v>410</v>
      </c>
      <c r="E911" s="2" t="s">
        <v>4856</v>
      </c>
      <c r="F911" s="2" t="s">
        <v>4857</v>
      </c>
      <c r="G911" s="2" t="s">
        <v>4858</v>
      </c>
      <c r="H911" s="2" t="s">
        <v>4859</v>
      </c>
      <c r="I911" s="2" t="s">
        <v>4803</v>
      </c>
      <c r="J911" s="2" t="n">
        <v>1.33</v>
      </c>
      <c r="K911" s="2" t="n">
        <v>109.05</v>
      </c>
      <c r="L911" s="2" t="s">
        <v>84</v>
      </c>
      <c r="M911" s="2" t="s">
        <v>60</v>
      </c>
      <c r="N911" s="2"/>
      <c r="O911" s="2" t="s">
        <v>4860</v>
      </c>
      <c r="P911" s="2" t="s">
        <v>109</v>
      </c>
      <c r="Q911" s="2" t="s">
        <v>110</v>
      </c>
      <c r="R911" s="2" t="n">
        <v>0.7</v>
      </c>
      <c r="S911" s="2" t="s">
        <v>4861</v>
      </c>
      <c r="T911" s="2" t="s">
        <v>4821</v>
      </c>
      <c r="U911" s="2" t="s">
        <v>4862</v>
      </c>
      <c r="V911" s="2" t="s">
        <v>745</v>
      </c>
      <c r="W911" s="2" t="s">
        <v>1840</v>
      </c>
      <c r="X911" s="2" t="s">
        <v>507</v>
      </c>
    </row>
    <row r="912" customFormat="false" ht="15" hidden="false" customHeight="false" outlineLevel="0" collapsed="false">
      <c r="A912" s="2" t="n">
        <v>933</v>
      </c>
      <c r="B912" s="2" t="s">
        <v>4863</v>
      </c>
      <c r="C912" s="2" t="s">
        <v>4864</v>
      </c>
      <c r="D912" s="2" t="s">
        <v>351</v>
      </c>
      <c r="E912" s="2" t="s">
        <v>4802</v>
      </c>
      <c r="F912" s="2" t="s">
        <v>4808</v>
      </c>
      <c r="G912" s="2" t="s">
        <v>4801</v>
      </c>
      <c r="H912" s="2" t="s">
        <v>4802</v>
      </c>
      <c r="I912" s="2" t="s">
        <v>4803</v>
      </c>
      <c r="J912" s="2" t="n">
        <v>-0.034</v>
      </c>
      <c r="K912" s="2" t="n">
        <v>109.338</v>
      </c>
      <c r="L912" s="2" t="s">
        <v>59</v>
      </c>
      <c r="M912" s="2" t="s">
        <v>60</v>
      </c>
      <c r="N912" s="2"/>
      <c r="O912" s="2" t="s">
        <v>4865</v>
      </c>
      <c r="P912" s="2" t="s">
        <v>4866</v>
      </c>
      <c r="Q912" s="2" t="s">
        <v>110</v>
      </c>
      <c r="R912" s="2" t="n">
        <v>0.45</v>
      </c>
      <c r="S912" s="2" t="s">
        <v>4867</v>
      </c>
      <c r="T912" s="2" t="s">
        <v>803</v>
      </c>
      <c r="U912" s="2" t="s">
        <v>4868</v>
      </c>
      <c r="V912" s="2" t="s">
        <v>745</v>
      </c>
      <c r="W912" s="2" t="s">
        <v>1810</v>
      </c>
      <c r="X912" s="2" t="s">
        <v>507</v>
      </c>
    </row>
    <row r="913" customFormat="false" ht="15" hidden="false" customHeight="false" outlineLevel="0" collapsed="false">
      <c r="A913" s="2" t="n">
        <v>935</v>
      </c>
      <c r="B913" s="2" t="s">
        <v>4863</v>
      </c>
      <c r="C913" s="2" t="s">
        <v>4869</v>
      </c>
      <c r="D913" s="2" t="s">
        <v>351</v>
      </c>
      <c r="E913" s="2" t="s">
        <v>4870</v>
      </c>
      <c r="F913" s="2"/>
      <c r="G913" s="2"/>
      <c r="H913" s="2" t="s">
        <v>4871</v>
      </c>
      <c r="I913" s="2" t="s">
        <v>4803</v>
      </c>
      <c r="J913" s="2" t="n">
        <v>1</v>
      </c>
      <c r="K913" s="2" t="n">
        <v>109.65</v>
      </c>
      <c r="L913" s="2" t="s">
        <v>101</v>
      </c>
      <c r="M913" s="2" t="s">
        <v>340</v>
      </c>
      <c r="N913" s="2" t="s">
        <v>4872</v>
      </c>
      <c r="O913" s="2" t="s">
        <v>4873</v>
      </c>
      <c r="P913" s="2" t="s">
        <v>4874</v>
      </c>
      <c r="Q913" s="2" t="s">
        <v>110</v>
      </c>
      <c r="R913" s="2" t="n">
        <v>0.35</v>
      </c>
      <c r="S913" s="2" t="s">
        <v>4875</v>
      </c>
      <c r="T913" s="2" t="s">
        <v>418</v>
      </c>
      <c r="U913" s="2" t="s">
        <v>4876</v>
      </c>
      <c r="V913" s="2" t="s">
        <v>1525</v>
      </c>
      <c r="W913" s="2" t="s">
        <v>2399</v>
      </c>
      <c r="X913" s="2" t="s">
        <v>507</v>
      </c>
    </row>
    <row r="914" customFormat="false" ht="15" hidden="false" customHeight="false" outlineLevel="0" collapsed="false">
      <c r="A914" s="2" t="n">
        <v>943</v>
      </c>
      <c r="B914" s="2" t="s">
        <v>4863</v>
      </c>
      <c r="C914" s="2" t="s">
        <v>4877</v>
      </c>
      <c r="D914" s="2" t="s">
        <v>410</v>
      </c>
      <c r="E914" s="2" t="s">
        <v>4878</v>
      </c>
      <c r="F914" s="2"/>
      <c r="G914" s="2"/>
      <c r="H914" s="2" t="s">
        <v>4879</v>
      </c>
      <c r="I914" s="2" t="s">
        <v>4880</v>
      </c>
      <c r="J914" s="2" t="n">
        <v>-2.8</v>
      </c>
      <c r="K914" s="2" t="n">
        <v>111.95</v>
      </c>
      <c r="L914" s="2" t="s">
        <v>124</v>
      </c>
      <c r="M914" s="2" t="s">
        <v>340</v>
      </c>
      <c r="N914" s="2" t="s">
        <v>4881</v>
      </c>
      <c r="O914" s="2" t="s">
        <v>4882</v>
      </c>
      <c r="P914" s="2" t="s">
        <v>692</v>
      </c>
      <c r="Q914" s="2" t="s">
        <v>62</v>
      </c>
      <c r="R914" s="2" t="n">
        <v>0.65</v>
      </c>
      <c r="S914" s="2" t="s">
        <v>4883</v>
      </c>
      <c r="T914" s="2" t="s">
        <v>3544</v>
      </c>
      <c r="U914" s="2" t="s">
        <v>4884</v>
      </c>
      <c r="V914" s="2" t="s">
        <v>420</v>
      </c>
      <c r="W914" s="2" t="s">
        <v>1324</v>
      </c>
      <c r="X914" s="2" t="s">
        <v>507</v>
      </c>
    </row>
    <row r="915" customFormat="false" ht="15" hidden="false" customHeight="false" outlineLevel="0" collapsed="false">
      <c r="A915" s="2" t="n">
        <v>945</v>
      </c>
      <c r="B915" s="2" t="s">
        <v>4863</v>
      </c>
      <c r="C915" s="2" t="s">
        <v>4885</v>
      </c>
      <c r="D915" s="2" t="s">
        <v>1130</v>
      </c>
      <c r="E915" s="2" t="s">
        <v>100</v>
      </c>
      <c r="F915" s="2" t="s">
        <v>1549</v>
      </c>
      <c r="G915" s="2" t="s">
        <v>1550</v>
      </c>
      <c r="H915" s="2" t="s">
        <v>91</v>
      </c>
      <c r="I915" s="2" t="s">
        <v>92</v>
      </c>
      <c r="J915" s="2" t="n">
        <v>-7.8024</v>
      </c>
      <c r="K915" s="2" t="n">
        <v>110.3638</v>
      </c>
      <c r="L915" s="2" t="s">
        <v>124</v>
      </c>
      <c r="M915" s="2" t="s">
        <v>60</v>
      </c>
      <c r="N915" s="2"/>
      <c r="O915" s="2" t="s">
        <v>4886</v>
      </c>
      <c r="P915" s="2" t="s">
        <v>109</v>
      </c>
      <c r="Q915" s="2" t="s">
        <v>62</v>
      </c>
      <c r="R915" s="2" t="n">
        <v>0.8</v>
      </c>
      <c r="S915" s="2" t="s">
        <v>4887</v>
      </c>
      <c r="T915" s="2" t="s">
        <v>3524</v>
      </c>
      <c r="U915" s="2" t="s">
        <v>2041</v>
      </c>
      <c r="V915" s="2" t="s">
        <v>2012</v>
      </c>
      <c r="W915" s="2" t="s">
        <v>1354</v>
      </c>
      <c r="X915" s="2" t="s">
        <v>507</v>
      </c>
    </row>
    <row r="916" customFormat="false" ht="15" hidden="false" customHeight="false" outlineLevel="0" collapsed="false">
      <c r="A916" s="2" t="n">
        <v>959</v>
      </c>
      <c r="B916" s="2" t="s">
        <v>4863</v>
      </c>
      <c r="C916" s="2" t="s">
        <v>4888</v>
      </c>
      <c r="D916" s="2" t="s">
        <v>53</v>
      </c>
      <c r="E916" s="2" t="s">
        <v>4889</v>
      </c>
      <c r="F916" s="2" t="s">
        <v>4890</v>
      </c>
      <c r="G916" s="2" t="s">
        <v>4891</v>
      </c>
      <c r="H916" s="2" t="s">
        <v>4892</v>
      </c>
      <c r="I916" s="2" t="s">
        <v>4893</v>
      </c>
      <c r="J916" s="2" t="n">
        <v>-3.318</v>
      </c>
      <c r="K916" s="2" t="n">
        <v>114.615</v>
      </c>
      <c r="L916" s="2" t="s">
        <v>59</v>
      </c>
      <c r="M916" s="2" t="s">
        <v>60</v>
      </c>
      <c r="N916" s="2"/>
      <c r="O916" s="2" t="s">
        <v>4894</v>
      </c>
      <c r="P916" s="2"/>
      <c r="Q916" s="2" t="s">
        <v>62</v>
      </c>
      <c r="R916" s="2" t="n">
        <v>0.8</v>
      </c>
      <c r="S916" s="2" t="s">
        <v>4895</v>
      </c>
      <c r="T916" s="2" t="s">
        <v>1168</v>
      </c>
      <c r="U916" s="2" t="s">
        <v>2187</v>
      </c>
      <c r="V916" s="2" t="s">
        <v>745</v>
      </c>
      <c r="W916" s="2" t="s">
        <v>1574</v>
      </c>
      <c r="X916" s="2" t="s">
        <v>507</v>
      </c>
    </row>
    <row r="917" customFormat="false" ht="15" hidden="false" customHeight="false" outlineLevel="0" collapsed="false">
      <c r="A917" s="2" t="n">
        <v>959</v>
      </c>
      <c r="B917" s="2" t="s">
        <v>4863</v>
      </c>
      <c r="C917" s="2" t="s">
        <v>4896</v>
      </c>
      <c r="D917" s="2" t="s">
        <v>53</v>
      </c>
      <c r="E917" s="2" t="s">
        <v>4897</v>
      </c>
      <c r="F917" s="2"/>
      <c r="G917" s="2"/>
      <c r="H917" s="2" t="s">
        <v>4892</v>
      </c>
      <c r="I917" s="2" t="s">
        <v>4893</v>
      </c>
      <c r="J917" s="2" t="n">
        <v>-3.319</v>
      </c>
      <c r="K917" s="2" t="n">
        <v>114.591</v>
      </c>
      <c r="L917" s="2" t="s">
        <v>101</v>
      </c>
      <c r="M917" s="2" t="s">
        <v>60</v>
      </c>
      <c r="N917" s="2"/>
      <c r="O917" s="2" t="s">
        <v>4898</v>
      </c>
      <c r="P917" s="2"/>
      <c r="Q917" s="2" t="s">
        <v>62</v>
      </c>
      <c r="R917" s="2" t="n">
        <v>0.75</v>
      </c>
      <c r="S917" s="2" t="s">
        <v>4895</v>
      </c>
      <c r="T917" s="2" t="s">
        <v>1168</v>
      </c>
      <c r="U917" s="2" t="s">
        <v>2187</v>
      </c>
      <c r="V917" s="2" t="s">
        <v>745</v>
      </c>
      <c r="W917" s="2" t="s">
        <v>1574</v>
      </c>
      <c r="X917" s="2" t="s">
        <v>507</v>
      </c>
    </row>
    <row r="918" customFormat="false" ht="15" hidden="false" customHeight="false" outlineLevel="0" collapsed="false">
      <c r="A918" s="2" t="n">
        <v>959</v>
      </c>
      <c r="B918" s="2" t="s">
        <v>4863</v>
      </c>
      <c r="C918" s="2" t="s">
        <v>4899</v>
      </c>
      <c r="D918" s="2" t="s">
        <v>53</v>
      </c>
      <c r="E918" s="2" t="s">
        <v>4897</v>
      </c>
      <c r="F918" s="2"/>
      <c r="G918" s="2"/>
      <c r="H918" s="2" t="s">
        <v>4892</v>
      </c>
      <c r="I918" s="2" t="s">
        <v>4893</v>
      </c>
      <c r="J918" s="2" t="n">
        <v>-3.319</v>
      </c>
      <c r="K918" s="2" t="n">
        <v>114.591</v>
      </c>
      <c r="L918" s="2" t="s">
        <v>101</v>
      </c>
      <c r="M918" s="2" t="s">
        <v>60</v>
      </c>
      <c r="N918" s="2"/>
      <c r="O918" s="2" t="s">
        <v>4900</v>
      </c>
      <c r="P918" s="2"/>
      <c r="Q918" s="2" t="s">
        <v>62</v>
      </c>
      <c r="R918" s="2" t="n">
        <v>0.65</v>
      </c>
      <c r="S918" s="2" t="s">
        <v>4895</v>
      </c>
      <c r="T918" s="2" t="s">
        <v>1168</v>
      </c>
      <c r="U918" s="2" t="s">
        <v>2187</v>
      </c>
      <c r="V918" s="2" t="s">
        <v>745</v>
      </c>
      <c r="W918" s="2" t="s">
        <v>1574</v>
      </c>
      <c r="X918" s="2" t="s">
        <v>507</v>
      </c>
    </row>
    <row r="919" customFormat="false" ht="15" hidden="false" customHeight="false" outlineLevel="0" collapsed="false">
      <c r="A919" s="2" t="n">
        <v>959</v>
      </c>
      <c r="B919" s="2" t="s">
        <v>4863</v>
      </c>
      <c r="C919" s="2" t="s">
        <v>4901</v>
      </c>
      <c r="D919" s="2" t="s">
        <v>53</v>
      </c>
      <c r="E919" s="2" t="s">
        <v>4897</v>
      </c>
      <c r="F919" s="2"/>
      <c r="G919" s="2"/>
      <c r="H919" s="2" t="s">
        <v>4892</v>
      </c>
      <c r="I919" s="2" t="s">
        <v>4893</v>
      </c>
      <c r="J919" s="2" t="n">
        <v>-3.319</v>
      </c>
      <c r="K919" s="2" t="n">
        <v>114.591</v>
      </c>
      <c r="L919" s="2" t="s">
        <v>101</v>
      </c>
      <c r="M919" s="2" t="s">
        <v>60</v>
      </c>
      <c r="N919" s="2"/>
      <c r="O919" s="2" t="s">
        <v>4902</v>
      </c>
      <c r="P919" s="2"/>
      <c r="Q919" s="2" t="s">
        <v>62</v>
      </c>
      <c r="R919" s="2" t="n">
        <v>0.65</v>
      </c>
      <c r="S919" s="2" t="s">
        <v>4895</v>
      </c>
      <c r="T919" s="2" t="s">
        <v>1168</v>
      </c>
      <c r="U919" s="2" t="s">
        <v>2187</v>
      </c>
      <c r="V919" s="2" t="s">
        <v>745</v>
      </c>
      <c r="W919" s="2" t="s">
        <v>1574</v>
      </c>
      <c r="X919" s="2" t="s">
        <v>507</v>
      </c>
    </row>
    <row r="920" customFormat="false" ht="15" hidden="false" customHeight="false" outlineLevel="0" collapsed="false">
      <c r="A920" s="2" t="n">
        <v>959</v>
      </c>
      <c r="B920" s="2" t="s">
        <v>4863</v>
      </c>
      <c r="C920" s="2" t="s">
        <v>4903</v>
      </c>
      <c r="D920" s="2" t="s">
        <v>53</v>
      </c>
      <c r="E920" s="2" t="s">
        <v>4904</v>
      </c>
      <c r="F920" s="2"/>
      <c r="G920" s="2" t="s">
        <v>4891</v>
      </c>
      <c r="H920" s="2" t="s">
        <v>4892</v>
      </c>
      <c r="I920" s="2" t="s">
        <v>4893</v>
      </c>
      <c r="J920" s="2" t="n">
        <v>-3.32</v>
      </c>
      <c r="K920" s="2" t="n">
        <v>114.62</v>
      </c>
      <c r="L920" s="2" t="s">
        <v>84</v>
      </c>
      <c r="M920" s="2" t="s">
        <v>60</v>
      </c>
      <c r="N920" s="2"/>
      <c r="O920" s="2" t="s">
        <v>4905</v>
      </c>
      <c r="P920" s="2"/>
      <c r="Q920" s="2" t="s">
        <v>62</v>
      </c>
      <c r="R920" s="2" t="n">
        <v>0.65</v>
      </c>
      <c r="S920" s="2" t="s">
        <v>4895</v>
      </c>
      <c r="T920" s="2" t="s">
        <v>1168</v>
      </c>
      <c r="U920" s="2" t="s">
        <v>2187</v>
      </c>
      <c r="V920" s="2" t="s">
        <v>745</v>
      </c>
      <c r="W920" s="2" t="s">
        <v>1574</v>
      </c>
      <c r="X920" s="2" t="s">
        <v>507</v>
      </c>
    </row>
    <row r="921" customFormat="false" ht="15" hidden="false" customHeight="false" outlineLevel="0" collapsed="false">
      <c r="A921" s="2" t="n">
        <v>960</v>
      </c>
      <c r="B921" s="2" t="s">
        <v>4906</v>
      </c>
      <c r="C921" s="2" t="s">
        <v>4907</v>
      </c>
      <c r="D921" s="2" t="s">
        <v>410</v>
      </c>
      <c r="E921" s="2" t="s">
        <v>4908</v>
      </c>
      <c r="F921" s="2" t="s">
        <v>4909</v>
      </c>
      <c r="G921" s="2" t="s">
        <v>4910</v>
      </c>
      <c r="H921" s="2" t="s">
        <v>4911</v>
      </c>
      <c r="I921" s="2" t="s">
        <v>4893</v>
      </c>
      <c r="J921" s="2" t="n">
        <v>-3.37</v>
      </c>
      <c r="K921" s="2" t="n">
        <v>114.72</v>
      </c>
      <c r="L921" s="2" t="s">
        <v>84</v>
      </c>
      <c r="M921" s="2" t="s">
        <v>340</v>
      </c>
      <c r="N921" s="2"/>
      <c r="O921" s="2" t="s">
        <v>4912</v>
      </c>
      <c r="P921" s="2" t="s">
        <v>298</v>
      </c>
      <c r="Q921" s="2" t="s">
        <v>110</v>
      </c>
      <c r="R921" s="2" t="n">
        <v>0.9</v>
      </c>
      <c r="S921" s="2" t="s">
        <v>4913</v>
      </c>
      <c r="T921" s="2" t="s">
        <v>4914</v>
      </c>
      <c r="U921" s="2" t="s">
        <v>2194</v>
      </c>
      <c r="V921" s="2" t="s">
        <v>2195</v>
      </c>
      <c r="W921" s="2" t="s">
        <v>2196</v>
      </c>
      <c r="X921" s="2" t="s">
        <v>507</v>
      </c>
    </row>
    <row r="922" customFormat="false" ht="15" hidden="false" customHeight="false" outlineLevel="0" collapsed="false">
      <c r="A922" s="2" t="n">
        <v>961</v>
      </c>
      <c r="B922" s="2" t="s">
        <v>4906</v>
      </c>
      <c r="C922" s="2" t="s">
        <v>4915</v>
      </c>
      <c r="D922" s="2" t="s">
        <v>410</v>
      </c>
      <c r="E922" s="2" t="s">
        <v>4916</v>
      </c>
      <c r="F922" s="2"/>
      <c r="G922" s="2" t="s">
        <v>4917</v>
      </c>
      <c r="H922" s="2" t="s">
        <v>4911</v>
      </c>
      <c r="I922" s="2" t="s">
        <v>4893</v>
      </c>
      <c r="J922" s="2" t="n">
        <v>-3.55</v>
      </c>
      <c r="K922" s="2" t="n">
        <v>115</v>
      </c>
      <c r="L922" s="2" t="s">
        <v>84</v>
      </c>
      <c r="M922" s="2" t="s">
        <v>60</v>
      </c>
      <c r="N922" s="2" t="s">
        <v>4918</v>
      </c>
      <c r="O922" s="2" t="s">
        <v>4919</v>
      </c>
      <c r="P922" s="2" t="s">
        <v>702</v>
      </c>
      <c r="Q922" s="2" t="s">
        <v>110</v>
      </c>
      <c r="R922" s="2" t="n">
        <v>0.95</v>
      </c>
      <c r="S922" s="2" t="s">
        <v>4920</v>
      </c>
      <c r="T922" s="2" t="s">
        <v>4921</v>
      </c>
      <c r="U922" s="2" t="s">
        <v>4922</v>
      </c>
      <c r="V922" s="2" t="s">
        <v>420</v>
      </c>
      <c r="W922" s="2" t="s">
        <v>4923</v>
      </c>
      <c r="X922" s="2" t="s">
        <v>507</v>
      </c>
    </row>
    <row r="923" customFormat="false" ht="15" hidden="false" customHeight="false" outlineLevel="0" collapsed="false">
      <c r="A923" s="2" t="n">
        <v>962</v>
      </c>
      <c r="B923" s="2" t="s">
        <v>4906</v>
      </c>
      <c r="C923" s="2" t="s">
        <v>4924</v>
      </c>
      <c r="D923" s="2" t="s">
        <v>1130</v>
      </c>
      <c r="E923" s="2" t="s">
        <v>4925</v>
      </c>
      <c r="F923" s="2" t="s">
        <v>4926</v>
      </c>
      <c r="G923" s="2" t="s">
        <v>4927</v>
      </c>
      <c r="H923" s="2" t="s">
        <v>4928</v>
      </c>
      <c r="I923" s="2" t="s">
        <v>4893</v>
      </c>
      <c r="J923" s="2" t="n">
        <v>-3.443</v>
      </c>
      <c r="K923" s="2" t="n">
        <v>114.831</v>
      </c>
      <c r="L923" s="2" t="s">
        <v>124</v>
      </c>
      <c r="M923" s="2" t="s">
        <v>60</v>
      </c>
      <c r="N923" s="2"/>
      <c r="O923" s="2" t="s">
        <v>4929</v>
      </c>
      <c r="P923" s="2" t="s">
        <v>109</v>
      </c>
      <c r="Q923" s="2" t="s">
        <v>62</v>
      </c>
      <c r="R923" s="2" t="n">
        <v>0.65</v>
      </c>
      <c r="S923" s="2" t="s">
        <v>4930</v>
      </c>
      <c r="T923" s="2" t="s">
        <v>4931</v>
      </c>
      <c r="U923" s="2" t="s">
        <v>4932</v>
      </c>
      <c r="V923" s="2" t="s">
        <v>2979</v>
      </c>
      <c r="W923" s="2" t="s">
        <v>2196</v>
      </c>
      <c r="X923" s="2" t="s">
        <v>507</v>
      </c>
    </row>
    <row r="924" customFormat="false" ht="15" hidden="false" customHeight="false" outlineLevel="0" collapsed="false">
      <c r="A924" s="2" t="n">
        <v>963</v>
      </c>
      <c r="B924" s="2" t="s">
        <v>4906</v>
      </c>
      <c r="C924" s="2" t="s">
        <v>4933</v>
      </c>
      <c r="D924" s="2" t="s">
        <v>1130</v>
      </c>
      <c r="E924" s="2" t="s">
        <v>4934</v>
      </c>
      <c r="F924" s="2" t="s">
        <v>4890</v>
      </c>
      <c r="G924" s="2" t="s">
        <v>4891</v>
      </c>
      <c r="H924" s="2" t="s">
        <v>4892</v>
      </c>
      <c r="I924" s="2" t="s">
        <v>4893</v>
      </c>
      <c r="J924" s="2" t="n">
        <v>-3.318</v>
      </c>
      <c r="K924" s="2" t="n">
        <v>114.615</v>
      </c>
      <c r="L924" s="2" t="s">
        <v>59</v>
      </c>
      <c r="M924" s="2" t="s">
        <v>60</v>
      </c>
      <c r="N924" s="2" t="s">
        <v>4935</v>
      </c>
      <c r="O924" s="2" t="s">
        <v>4936</v>
      </c>
      <c r="P924" s="2"/>
      <c r="Q924" s="2" t="s">
        <v>62</v>
      </c>
      <c r="R924" s="2" t="n">
        <v>0.8</v>
      </c>
      <c r="S924" s="2" t="s">
        <v>4937</v>
      </c>
      <c r="T924" s="2" t="s">
        <v>4938</v>
      </c>
      <c r="U924" s="2" t="s">
        <v>4939</v>
      </c>
      <c r="V924" s="2" t="s">
        <v>745</v>
      </c>
      <c r="W924" s="2" t="s">
        <v>487</v>
      </c>
      <c r="X924" s="2" t="s">
        <v>507</v>
      </c>
    </row>
    <row r="925" customFormat="false" ht="15" hidden="false" customHeight="false" outlineLevel="0" collapsed="false">
      <c r="A925" s="2" t="n">
        <v>969</v>
      </c>
      <c r="B925" s="2" t="s">
        <v>4906</v>
      </c>
      <c r="C925" s="2" t="s">
        <v>4940</v>
      </c>
      <c r="D925" s="2" t="s">
        <v>410</v>
      </c>
      <c r="E925" s="2" t="s">
        <v>4893</v>
      </c>
      <c r="F925" s="2" t="s">
        <v>4941</v>
      </c>
      <c r="G925" s="2" t="s">
        <v>4942</v>
      </c>
      <c r="H925" s="2" t="s">
        <v>4911</v>
      </c>
      <c r="I925" s="2" t="s">
        <v>4893</v>
      </c>
      <c r="J925" s="2" t="n">
        <v>-3.284</v>
      </c>
      <c r="K925" s="2" t="n">
        <v>114.67</v>
      </c>
      <c r="L925" s="2" t="s">
        <v>124</v>
      </c>
      <c r="M925" s="2" t="s">
        <v>60</v>
      </c>
      <c r="N925" s="2"/>
      <c r="O925" s="2" t="s">
        <v>4943</v>
      </c>
      <c r="P925" s="2"/>
      <c r="Q925" s="2" t="s">
        <v>62</v>
      </c>
      <c r="R925" s="2" t="n">
        <v>0.75</v>
      </c>
      <c r="S925" s="2" t="s">
        <v>4944</v>
      </c>
      <c r="T925" s="2" t="s">
        <v>743</v>
      </c>
      <c r="U925" s="2" t="s">
        <v>4945</v>
      </c>
      <c r="V925" s="2" t="s">
        <v>1525</v>
      </c>
      <c r="W925" s="2" t="s">
        <v>271</v>
      </c>
      <c r="X925" s="2" t="s">
        <v>507</v>
      </c>
    </row>
    <row r="926" customFormat="false" ht="15" hidden="false" customHeight="false" outlineLevel="0" collapsed="false">
      <c r="A926" s="2" t="n">
        <v>969</v>
      </c>
      <c r="B926" s="2" t="s">
        <v>4906</v>
      </c>
      <c r="C926" s="2" t="s">
        <v>4946</v>
      </c>
      <c r="D926" s="2" t="s">
        <v>410</v>
      </c>
      <c r="E926" s="2" t="s">
        <v>4897</v>
      </c>
      <c r="F926" s="2" t="s">
        <v>4947</v>
      </c>
      <c r="G926" s="2" t="s">
        <v>4948</v>
      </c>
      <c r="H926" s="2" t="s">
        <v>4892</v>
      </c>
      <c r="I926" s="2" t="s">
        <v>4893</v>
      </c>
      <c r="J926" s="2" t="n">
        <v>-3.295</v>
      </c>
      <c r="K926" s="2" t="n">
        <v>114.575</v>
      </c>
      <c r="L926" s="2" t="s">
        <v>59</v>
      </c>
      <c r="M926" s="2" t="s">
        <v>60</v>
      </c>
      <c r="N926" s="2"/>
      <c r="O926" s="2" t="s">
        <v>4949</v>
      </c>
      <c r="P926" s="2"/>
      <c r="Q926" s="2" t="s">
        <v>62</v>
      </c>
      <c r="R926" s="2" t="n">
        <v>0.7</v>
      </c>
      <c r="S926" s="2" t="s">
        <v>4944</v>
      </c>
      <c r="T926" s="2" t="s">
        <v>743</v>
      </c>
      <c r="U926" s="2" t="s">
        <v>4945</v>
      </c>
      <c r="V926" s="2" t="s">
        <v>1525</v>
      </c>
      <c r="W926" s="2" t="s">
        <v>271</v>
      </c>
      <c r="X926" s="2" t="s">
        <v>507</v>
      </c>
    </row>
    <row r="927" customFormat="false" ht="15" hidden="false" customHeight="false" outlineLevel="0" collapsed="false">
      <c r="A927" s="2" t="n">
        <v>972</v>
      </c>
      <c r="B927" s="2" t="s">
        <v>4906</v>
      </c>
      <c r="C927" s="2" t="s">
        <v>4950</v>
      </c>
      <c r="D927" s="2" t="s">
        <v>53</v>
      </c>
      <c r="E927" s="2" t="s">
        <v>4951</v>
      </c>
      <c r="F927" s="2" t="s">
        <v>4952</v>
      </c>
      <c r="G927" s="2" t="s">
        <v>4953</v>
      </c>
      <c r="H927" s="2" t="s">
        <v>4954</v>
      </c>
      <c r="I927" s="2" t="s">
        <v>898</v>
      </c>
      <c r="J927" s="2" t="n">
        <v>-1.25</v>
      </c>
      <c r="K927" s="2" t="n">
        <v>116.87</v>
      </c>
      <c r="L927" s="2" t="s">
        <v>59</v>
      </c>
      <c r="M927" s="2" t="s">
        <v>60</v>
      </c>
      <c r="N927" s="2"/>
      <c r="O927" s="2" t="s">
        <v>4955</v>
      </c>
      <c r="P927" s="2"/>
      <c r="Q927" s="2" t="s">
        <v>62</v>
      </c>
      <c r="R927" s="2" t="n">
        <v>0.8</v>
      </c>
      <c r="S927" s="2" t="s">
        <v>4956</v>
      </c>
      <c r="T927" s="2" t="s">
        <v>4957</v>
      </c>
      <c r="U927" s="2" t="s">
        <v>2213</v>
      </c>
      <c r="V927" s="2" t="s">
        <v>2214</v>
      </c>
      <c r="W927" s="2" t="s">
        <v>2215</v>
      </c>
      <c r="X927" s="2" t="s">
        <v>507</v>
      </c>
    </row>
    <row r="928" customFormat="false" ht="15" hidden="false" customHeight="false" outlineLevel="0" collapsed="false">
      <c r="A928" s="2" t="n">
        <v>972</v>
      </c>
      <c r="B928" s="2" t="s">
        <v>4906</v>
      </c>
      <c r="C928" s="2" t="s">
        <v>4958</v>
      </c>
      <c r="D928" s="2" t="s">
        <v>53</v>
      </c>
      <c r="E928" s="2" t="s">
        <v>4959</v>
      </c>
      <c r="F928" s="2"/>
      <c r="G928" s="2"/>
      <c r="H928" s="2" t="s">
        <v>4954</v>
      </c>
      <c r="I928" s="2" t="s">
        <v>898</v>
      </c>
      <c r="J928" s="2" t="n">
        <v>-1.24</v>
      </c>
      <c r="K928" s="2" t="n">
        <v>116.86</v>
      </c>
      <c r="L928" s="2" t="s">
        <v>101</v>
      </c>
      <c r="M928" s="2" t="s">
        <v>60</v>
      </c>
      <c r="N928" s="2"/>
      <c r="O928" s="2" t="s">
        <v>4960</v>
      </c>
      <c r="P928" s="2"/>
      <c r="Q928" s="2" t="s">
        <v>62</v>
      </c>
      <c r="R928" s="2" t="n">
        <v>0.7</v>
      </c>
      <c r="S928" s="2" t="s">
        <v>4956</v>
      </c>
      <c r="T928" s="2" t="s">
        <v>4957</v>
      </c>
      <c r="U928" s="2" t="s">
        <v>2213</v>
      </c>
      <c r="V928" s="2" t="s">
        <v>2214</v>
      </c>
      <c r="W928" s="2" t="s">
        <v>2215</v>
      </c>
      <c r="X928" s="2" t="s">
        <v>507</v>
      </c>
    </row>
    <row r="929" customFormat="false" ht="15" hidden="false" customHeight="false" outlineLevel="0" collapsed="false">
      <c r="A929" s="2" t="n">
        <v>973</v>
      </c>
      <c r="B929" s="2" t="s">
        <v>4906</v>
      </c>
      <c r="C929" s="2" t="s">
        <v>4961</v>
      </c>
      <c r="D929" s="2" t="s">
        <v>53</v>
      </c>
      <c r="E929" s="2" t="s">
        <v>4962</v>
      </c>
      <c r="F929" s="2"/>
      <c r="G929" s="2"/>
      <c r="H929" s="2" t="s">
        <v>897</v>
      </c>
      <c r="I929" s="2" t="s">
        <v>898</v>
      </c>
      <c r="J929" s="2" t="n">
        <v>-0.502</v>
      </c>
      <c r="K929" s="2" t="n">
        <v>117.154</v>
      </c>
      <c r="L929" s="2" t="s">
        <v>101</v>
      </c>
      <c r="M929" s="2" t="s">
        <v>60</v>
      </c>
      <c r="N929" s="2"/>
      <c r="O929" s="2" t="s">
        <v>4963</v>
      </c>
      <c r="P929" s="2"/>
      <c r="Q929" s="2" t="s">
        <v>62</v>
      </c>
      <c r="R929" s="2" t="n">
        <v>0.7</v>
      </c>
      <c r="S929" s="2" t="s">
        <v>4964</v>
      </c>
      <c r="T929" s="2" t="s">
        <v>176</v>
      </c>
      <c r="U929" s="2" t="s">
        <v>4965</v>
      </c>
      <c r="V929" s="2" t="s">
        <v>1390</v>
      </c>
      <c r="W929" s="2" t="s">
        <v>512</v>
      </c>
      <c r="X929" s="2" t="s">
        <v>507</v>
      </c>
    </row>
    <row r="930" customFormat="false" ht="15" hidden="false" customHeight="false" outlineLevel="0" collapsed="false">
      <c r="A930" s="2" t="n">
        <v>974</v>
      </c>
      <c r="B930" s="2" t="s">
        <v>4906</v>
      </c>
      <c r="C930" s="2" t="s">
        <v>4966</v>
      </c>
      <c r="D930" s="2" t="s">
        <v>134</v>
      </c>
      <c r="E930" s="2" t="s">
        <v>898</v>
      </c>
      <c r="F930" s="2"/>
      <c r="G930" s="2"/>
      <c r="H930" s="2"/>
      <c r="I930" s="2" t="s">
        <v>898</v>
      </c>
      <c r="J930" s="2" t="n">
        <v>0.538</v>
      </c>
      <c r="K930" s="2" t="n">
        <v>116.419</v>
      </c>
      <c r="L930" s="2" t="s">
        <v>239</v>
      </c>
      <c r="M930" s="2" t="s">
        <v>340</v>
      </c>
      <c r="N930" s="2"/>
      <c r="O930" s="2" t="s">
        <v>4967</v>
      </c>
      <c r="P930" s="2" t="s">
        <v>298</v>
      </c>
      <c r="Q930" s="2" t="s">
        <v>62</v>
      </c>
      <c r="R930" s="2" t="n">
        <v>0.55</v>
      </c>
      <c r="S930" s="2" t="s">
        <v>4968</v>
      </c>
      <c r="T930" s="2" t="s">
        <v>4299</v>
      </c>
      <c r="U930" s="2" t="s">
        <v>2232</v>
      </c>
      <c r="V930" s="2" t="s">
        <v>2233</v>
      </c>
      <c r="W930" s="2" t="s">
        <v>2234</v>
      </c>
      <c r="X930" s="2" t="s">
        <v>507</v>
      </c>
    </row>
    <row r="931" customFormat="false" ht="15" hidden="false" customHeight="false" outlineLevel="0" collapsed="false">
      <c r="A931" s="2" t="n">
        <v>975</v>
      </c>
      <c r="B931" s="2" t="s">
        <v>4906</v>
      </c>
      <c r="C931" s="2" t="s">
        <v>4969</v>
      </c>
      <c r="D931" s="2" t="s">
        <v>53</v>
      </c>
      <c r="E931" s="2" t="s">
        <v>4970</v>
      </c>
      <c r="F931" s="2" t="s">
        <v>4971</v>
      </c>
      <c r="G931" s="2" t="s">
        <v>4972</v>
      </c>
      <c r="H931" s="2" t="s">
        <v>4954</v>
      </c>
      <c r="I931" s="2" t="s">
        <v>898</v>
      </c>
      <c r="J931" s="2" t="n">
        <v>-1.275</v>
      </c>
      <c r="K931" s="2" t="n">
        <v>116.83</v>
      </c>
      <c r="L931" s="2" t="s">
        <v>59</v>
      </c>
      <c r="M931" s="2" t="s">
        <v>60</v>
      </c>
      <c r="N931" s="2"/>
      <c r="O931" s="2" t="s">
        <v>4973</v>
      </c>
      <c r="P931" s="2"/>
      <c r="Q931" s="2" t="s">
        <v>62</v>
      </c>
      <c r="R931" s="2" t="n">
        <v>0.75</v>
      </c>
      <c r="S931" s="2" t="s">
        <v>4974</v>
      </c>
      <c r="T931" s="2" t="s">
        <v>4957</v>
      </c>
      <c r="U931" s="2" t="s">
        <v>2240</v>
      </c>
      <c r="V931" s="2" t="s">
        <v>745</v>
      </c>
      <c r="W931" s="2" t="s">
        <v>2241</v>
      </c>
      <c r="X931" s="2" t="s">
        <v>507</v>
      </c>
    </row>
    <row r="932" customFormat="false" ht="15" hidden="false" customHeight="false" outlineLevel="0" collapsed="false">
      <c r="A932" s="2" t="n">
        <v>982</v>
      </c>
      <c r="B932" s="2" t="s">
        <v>4906</v>
      </c>
      <c r="C932" s="2" t="s">
        <v>4975</v>
      </c>
      <c r="D932" s="2" t="s">
        <v>410</v>
      </c>
      <c r="E932" s="2" t="s">
        <v>4976</v>
      </c>
      <c r="F932" s="2"/>
      <c r="G932" s="2" t="s">
        <v>4977</v>
      </c>
      <c r="H932" s="2" t="s">
        <v>1127</v>
      </c>
      <c r="I932" s="2" t="s">
        <v>898</v>
      </c>
      <c r="J932" s="2" t="n">
        <v>2.24</v>
      </c>
      <c r="K932" s="2" t="n">
        <v>118.61</v>
      </c>
      <c r="L932" s="2" t="s">
        <v>84</v>
      </c>
      <c r="M932" s="2" t="s">
        <v>60</v>
      </c>
      <c r="N932" s="2"/>
      <c r="O932" s="2" t="s">
        <v>4978</v>
      </c>
      <c r="P932" s="2" t="s">
        <v>109</v>
      </c>
      <c r="Q932" s="2" t="s">
        <v>62</v>
      </c>
      <c r="R932" s="2" t="n">
        <v>0.85</v>
      </c>
      <c r="S932" s="2" t="s">
        <v>4979</v>
      </c>
      <c r="T932" s="2" t="s">
        <v>95</v>
      </c>
      <c r="U932" s="2" t="s">
        <v>4980</v>
      </c>
      <c r="V932" s="2" t="s">
        <v>2312</v>
      </c>
      <c r="W932" s="2" t="s">
        <v>4981</v>
      </c>
      <c r="X932" s="2" t="s">
        <v>507</v>
      </c>
    </row>
    <row r="933" customFormat="false" ht="15" hidden="false" customHeight="false" outlineLevel="0" collapsed="false">
      <c r="A933" s="2" t="n">
        <v>982</v>
      </c>
      <c r="B933" s="2" t="s">
        <v>4906</v>
      </c>
      <c r="C933" s="2" t="s">
        <v>4982</v>
      </c>
      <c r="D933" s="2" t="s">
        <v>410</v>
      </c>
      <c r="E933" s="2" t="s">
        <v>4983</v>
      </c>
      <c r="F933" s="2"/>
      <c r="G933" s="2" t="s">
        <v>4977</v>
      </c>
      <c r="H933" s="2" t="s">
        <v>1127</v>
      </c>
      <c r="I933" s="2" t="s">
        <v>898</v>
      </c>
      <c r="J933" s="2" t="n">
        <v>2.24</v>
      </c>
      <c r="K933" s="2" t="n">
        <v>118.61</v>
      </c>
      <c r="L933" s="2" t="s">
        <v>84</v>
      </c>
      <c r="M933" s="2" t="s">
        <v>60</v>
      </c>
      <c r="N933" s="2"/>
      <c r="O933" s="2" t="s">
        <v>4984</v>
      </c>
      <c r="P933" s="2"/>
      <c r="Q933" s="2" t="s">
        <v>62</v>
      </c>
      <c r="R933" s="2" t="n">
        <v>0.7</v>
      </c>
      <c r="S933" s="2" t="s">
        <v>4979</v>
      </c>
      <c r="T933" s="2" t="s">
        <v>95</v>
      </c>
      <c r="U933" s="2" t="s">
        <v>4980</v>
      </c>
      <c r="V933" s="2" t="s">
        <v>2312</v>
      </c>
      <c r="W933" s="2" t="s">
        <v>4981</v>
      </c>
      <c r="X933" s="2" t="s">
        <v>507</v>
      </c>
    </row>
    <row r="934" customFormat="false" ht="15" hidden="false" customHeight="false" outlineLevel="0" collapsed="false">
      <c r="A934" s="2" t="n">
        <v>992</v>
      </c>
      <c r="B934" s="2" t="s">
        <v>4985</v>
      </c>
      <c r="C934" s="2" t="s">
        <v>4986</v>
      </c>
      <c r="D934" s="2" t="s">
        <v>351</v>
      </c>
      <c r="E934" s="2" t="s">
        <v>4987</v>
      </c>
      <c r="F934" s="2" t="s">
        <v>4988</v>
      </c>
      <c r="G934" s="2" t="s">
        <v>4989</v>
      </c>
      <c r="H934" s="2" t="s">
        <v>897</v>
      </c>
      <c r="I934" s="2" t="s">
        <v>898</v>
      </c>
      <c r="J934" s="2" t="n">
        <v>-0.503</v>
      </c>
      <c r="K934" s="2" t="n">
        <v>117.148</v>
      </c>
      <c r="L934" s="2" t="s">
        <v>59</v>
      </c>
      <c r="M934" s="2" t="s">
        <v>60</v>
      </c>
      <c r="N934" s="2"/>
      <c r="O934" s="2" t="s">
        <v>4990</v>
      </c>
      <c r="P934" s="2" t="s">
        <v>4991</v>
      </c>
      <c r="Q934" s="2" t="s">
        <v>110</v>
      </c>
      <c r="R934" s="2" t="n">
        <v>0.35</v>
      </c>
      <c r="S934" s="2" t="s">
        <v>4992</v>
      </c>
      <c r="T934" s="2" t="s">
        <v>803</v>
      </c>
      <c r="U934" s="2" t="s">
        <v>4993</v>
      </c>
      <c r="V934" s="2" t="s">
        <v>4994</v>
      </c>
      <c r="W934" s="2" t="s">
        <v>813</v>
      </c>
      <c r="X934" s="2" t="s">
        <v>507</v>
      </c>
    </row>
    <row r="935" customFormat="false" ht="15" hidden="false" customHeight="false" outlineLevel="0" collapsed="false">
      <c r="A935" s="2" t="n">
        <v>999</v>
      </c>
      <c r="B935" s="2" t="s">
        <v>4985</v>
      </c>
      <c r="C935" s="2" t="s">
        <v>4995</v>
      </c>
      <c r="D935" s="2" t="s">
        <v>121</v>
      </c>
      <c r="E935" s="2" t="s">
        <v>4996</v>
      </c>
      <c r="F935" s="2"/>
      <c r="G935" s="2"/>
      <c r="H935" s="2" t="s">
        <v>897</v>
      </c>
      <c r="I935" s="2" t="s">
        <v>898</v>
      </c>
      <c r="J935" s="2" t="n">
        <v>-0.502</v>
      </c>
      <c r="K935" s="2" t="n">
        <v>117.154</v>
      </c>
      <c r="L935" s="2" t="s">
        <v>101</v>
      </c>
      <c r="M935" s="2" t="s">
        <v>60</v>
      </c>
      <c r="N935" s="2"/>
      <c r="O935" s="2" t="s">
        <v>4997</v>
      </c>
      <c r="P935" s="2" t="s">
        <v>4998</v>
      </c>
      <c r="Q935" s="2" t="s">
        <v>62</v>
      </c>
      <c r="R935" s="2" t="n">
        <v>0.85</v>
      </c>
      <c r="S935" s="2" t="s">
        <v>4999</v>
      </c>
      <c r="T935" s="2" t="s">
        <v>5000</v>
      </c>
      <c r="U935" s="2" t="s">
        <v>2368</v>
      </c>
      <c r="V935" s="2" t="s">
        <v>2369</v>
      </c>
      <c r="W935" s="2" t="s">
        <v>2370</v>
      </c>
      <c r="X935" s="2" t="s">
        <v>507</v>
      </c>
    </row>
    <row r="936" customFormat="false" ht="15" hidden="false" customHeight="false" outlineLevel="0" collapsed="false">
      <c r="A936" s="2" t="n">
        <v>1001</v>
      </c>
      <c r="B936" s="2" t="s">
        <v>4985</v>
      </c>
      <c r="C936" s="2" t="s">
        <v>5001</v>
      </c>
      <c r="D936" s="2" t="s">
        <v>121</v>
      </c>
      <c r="E936" s="2" t="s">
        <v>5002</v>
      </c>
      <c r="F936" s="2"/>
      <c r="G936" s="2"/>
      <c r="H936" s="2" t="s">
        <v>5003</v>
      </c>
      <c r="I936" s="2" t="s">
        <v>4803</v>
      </c>
      <c r="J936" s="2" t="n">
        <v>0.05</v>
      </c>
      <c r="K936" s="2" t="n">
        <v>112.1</v>
      </c>
      <c r="L936" s="2" t="s">
        <v>101</v>
      </c>
      <c r="M936" s="2" t="s">
        <v>60</v>
      </c>
      <c r="N936" s="2"/>
      <c r="O936" s="2" t="s">
        <v>5004</v>
      </c>
      <c r="P936" s="2" t="s">
        <v>5005</v>
      </c>
      <c r="Q936" s="2" t="s">
        <v>110</v>
      </c>
      <c r="R936" s="2" t="n">
        <v>0.85</v>
      </c>
      <c r="S936" s="2" t="s">
        <v>5006</v>
      </c>
      <c r="T936" s="2" t="s">
        <v>95</v>
      </c>
      <c r="U936" s="2" t="s">
        <v>5007</v>
      </c>
      <c r="V936" s="2" t="s">
        <v>2567</v>
      </c>
      <c r="W936" s="2" t="s">
        <v>301</v>
      </c>
      <c r="X936" s="2" t="s">
        <v>507</v>
      </c>
    </row>
    <row r="937" customFormat="false" ht="15" hidden="false" customHeight="false" outlineLevel="0" collapsed="false">
      <c r="A937" s="2" t="n">
        <v>1004</v>
      </c>
      <c r="B937" s="2" t="s">
        <v>4985</v>
      </c>
      <c r="C937" s="2" t="s">
        <v>5008</v>
      </c>
      <c r="D937" s="2" t="s">
        <v>121</v>
      </c>
      <c r="E937" s="2" t="s">
        <v>5009</v>
      </c>
      <c r="F937" s="2"/>
      <c r="G937" s="2" t="s">
        <v>5010</v>
      </c>
      <c r="H937" s="2" t="s">
        <v>5011</v>
      </c>
      <c r="I937" s="2" t="s">
        <v>898</v>
      </c>
      <c r="J937" s="2" t="n">
        <v>-0.42</v>
      </c>
      <c r="K937" s="2" t="n">
        <v>116.99</v>
      </c>
      <c r="L937" s="2" t="s">
        <v>84</v>
      </c>
      <c r="M937" s="2" t="s">
        <v>60</v>
      </c>
      <c r="N937" s="2"/>
      <c r="O937" s="2" t="s">
        <v>5012</v>
      </c>
      <c r="P937" s="2" t="s">
        <v>5013</v>
      </c>
      <c r="Q937" s="2" t="s">
        <v>62</v>
      </c>
      <c r="R937" s="2" t="n">
        <v>0.75</v>
      </c>
      <c r="S937" s="2" t="s">
        <v>5014</v>
      </c>
      <c r="T937" s="2" t="s">
        <v>4299</v>
      </c>
      <c r="U937" s="2" t="s">
        <v>2398</v>
      </c>
      <c r="V937" s="2" t="s">
        <v>661</v>
      </c>
      <c r="W937" s="2" t="s">
        <v>2399</v>
      </c>
      <c r="X937" s="2" t="s">
        <v>507</v>
      </c>
    </row>
    <row r="938" customFormat="false" ht="15" hidden="false" customHeight="false" outlineLevel="0" collapsed="false">
      <c r="A938" s="2" t="n">
        <v>1007</v>
      </c>
      <c r="B938" s="2" t="s">
        <v>4985</v>
      </c>
      <c r="C938" s="2" t="s">
        <v>5015</v>
      </c>
      <c r="D938" s="2" t="s">
        <v>121</v>
      </c>
      <c r="E938" s="2" t="s">
        <v>5016</v>
      </c>
      <c r="F938" s="2"/>
      <c r="G938" s="2"/>
      <c r="H938" s="2" t="s">
        <v>4954</v>
      </c>
      <c r="I938" s="2" t="s">
        <v>898</v>
      </c>
      <c r="J938" s="2" t="n">
        <v>-1.24</v>
      </c>
      <c r="K938" s="2" t="n">
        <v>116.86</v>
      </c>
      <c r="L938" s="2" t="s">
        <v>101</v>
      </c>
      <c r="M938" s="2" t="s">
        <v>340</v>
      </c>
      <c r="N938" s="2"/>
      <c r="O938" s="2" t="s">
        <v>5017</v>
      </c>
      <c r="P938" s="2" t="s">
        <v>5018</v>
      </c>
      <c r="Q938" s="2" t="s">
        <v>62</v>
      </c>
      <c r="R938" s="2" t="n">
        <v>0.45</v>
      </c>
      <c r="S938" s="2" t="s">
        <v>5019</v>
      </c>
      <c r="T938" s="2" t="s">
        <v>5020</v>
      </c>
      <c r="U938" s="2" t="s">
        <v>5021</v>
      </c>
      <c r="V938" s="2" t="s">
        <v>2449</v>
      </c>
      <c r="W938" s="2" t="s">
        <v>1840</v>
      </c>
      <c r="X938" s="2" t="s">
        <v>507</v>
      </c>
    </row>
    <row r="939" customFormat="false" ht="15" hidden="false" customHeight="false" outlineLevel="0" collapsed="false">
      <c r="A939" s="2" t="n">
        <v>1012</v>
      </c>
      <c r="B939" s="2" t="s">
        <v>4985</v>
      </c>
      <c r="C939" s="2" t="s">
        <v>5022</v>
      </c>
      <c r="D939" s="2" t="s">
        <v>121</v>
      </c>
      <c r="E939" s="2" t="s">
        <v>5023</v>
      </c>
      <c r="F939" s="2"/>
      <c r="G939" s="2" t="s">
        <v>5024</v>
      </c>
      <c r="H939" s="2" t="s">
        <v>5025</v>
      </c>
      <c r="I939" s="2" t="s">
        <v>5026</v>
      </c>
      <c r="J939" s="2" t="n">
        <v>2.84</v>
      </c>
      <c r="K939" s="2" t="n">
        <v>117.37</v>
      </c>
      <c r="L939" s="2" t="s">
        <v>84</v>
      </c>
      <c r="M939" s="2" t="s">
        <v>60</v>
      </c>
      <c r="N939" s="2"/>
      <c r="O939" s="2" t="s">
        <v>5027</v>
      </c>
      <c r="P939" s="2" t="s">
        <v>5028</v>
      </c>
      <c r="Q939" s="2" t="s">
        <v>62</v>
      </c>
      <c r="R939" s="2" t="n">
        <v>0.75</v>
      </c>
      <c r="S939" s="2" t="s">
        <v>5029</v>
      </c>
      <c r="T939" s="2" t="s">
        <v>5030</v>
      </c>
      <c r="U939" s="2" t="s">
        <v>2487</v>
      </c>
      <c r="V939" s="2" t="s">
        <v>2488</v>
      </c>
      <c r="W939" s="2" t="s">
        <v>2489</v>
      </c>
      <c r="X939" s="2" t="s">
        <v>507</v>
      </c>
    </row>
    <row r="940" customFormat="false" ht="15" hidden="false" customHeight="false" outlineLevel="0" collapsed="false">
      <c r="A940" s="2" t="n">
        <v>1015</v>
      </c>
      <c r="B940" s="2" t="s">
        <v>4985</v>
      </c>
      <c r="C940" s="2" t="s">
        <v>5031</v>
      </c>
      <c r="D940" s="2" t="s">
        <v>351</v>
      </c>
      <c r="E940" s="2" t="s">
        <v>5032</v>
      </c>
      <c r="F940" s="2"/>
      <c r="G940" s="2"/>
      <c r="H940" s="2" t="s">
        <v>5033</v>
      </c>
      <c r="I940" s="2" t="s">
        <v>5026</v>
      </c>
      <c r="J940" s="2" t="n">
        <v>3.3</v>
      </c>
      <c r="K940" s="2" t="n">
        <v>117.6</v>
      </c>
      <c r="L940" s="2" t="s">
        <v>101</v>
      </c>
      <c r="M940" s="2" t="s">
        <v>60</v>
      </c>
      <c r="N940" s="2"/>
      <c r="O940" s="2" t="s">
        <v>5034</v>
      </c>
      <c r="P940" s="2" t="s">
        <v>1001</v>
      </c>
      <c r="Q940" s="2" t="s">
        <v>62</v>
      </c>
      <c r="R940" s="2" t="n">
        <v>0.4</v>
      </c>
      <c r="S940" s="2" t="s">
        <v>5035</v>
      </c>
      <c r="T940" s="2" t="s">
        <v>5030</v>
      </c>
      <c r="U940" s="2" t="s">
        <v>2505</v>
      </c>
      <c r="V940" s="2" t="s">
        <v>2449</v>
      </c>
      <c r="W940" s="2" t="s">
        <v>2506</v>
      </c>
      <c r="X940" s="2" t="s">
        <v>507</v>
      </c>
    </row>
    <row r="941" customFormat="false" ht="15" hidden="false" customHeight="false" outlineLevel="0" collapsed="false">
      <c r="A941" s="2" t="n">
        <v>1021</v>
      </c>
      <c r="B941" s="2" t="s">
        <v>5036</v>
      </c>
      <c r="C941" s="2" t="s">
        <v>5037</v>
      </c>
      <c r="D941" s="2" t="s">
        <v>53</v>
      </c>
      <c r="E941" s="2" t="s">
        <v>5038</v>
      </c>
      <c r="F941" s="2"/>
      <c r="G941" s="2" t="s">
        <v>5039</v>
      </c>
      <c r="H941" s="2" t="s">
        <v>5040</v>
      </c>
      <c r="I941" s="2" t="s">
        <v>5041</v>
      </c>
      <c r="J941" s="2" t="n">
        <v>1.33</v>
      </c>
      <c r="K941" s="2" t="n">
        <v>124.81</v>
      </c>
      <c r="L941" s="2" t="s">
        <v>84</v>
      </c>
      <c r="M941" s="2" t="s">
        <v>60</v>
      </c>
      <c r="N941" s="2" t="s">
        <v>5042</v>
      </c>
      <c r="O941" s="2" t="s">
        <v>5043</v>
      </c>
      <c r="P941" s="2"/>
      <c r="Q941" s="2" t="s">
        <v>62</v>
      </c>
      <c r="R941" s="2" t="n">
        <v>0.8</v>
      </c>
      <c r="S941" s="2" t="s">
        <v>5044</v>
      </c>
      <c r="T941" s="2" t="s">
        <v>5045</v>
      </c>
      <c r="U941" s="2" t="s">
        <v>2540</v>
      </c>
      <c r="V941" s="2" t="s">
        <v>2378</v>
      </c>
      <c r="W941" s="2" t="s">
        <v>421</v>
      </c>
      <c r="X941" s="2" t="s">
        <v>507</v>
      </c>
    </row>
    <row r="942" customFormat="false" ht="15" hidden="false" customHeight="false" outlineLevel="0" collapsed="false">
      <c r="A942" s="2" t="n">
        <v>1021</v>
      </c>
      <c r="B942" s="2" t="s">
        <v>5036</v>
      </c>
      <c r="C942" s="2" t="s">
        <v>5046</v>
      </c>
      <c r="D942" s="2" t="s">
        <v>53</v>
      </c>
      <c r="E942" s="2" t="s">
        <v>5047</v>
      </c>
      <c r="F942" s="2"/>
      <c r="G942" s="2"/>
      <c r="H942" s="2" t="s">
        <v>5040</v>
      </c>
      <c r="I942" s="2" t="s">
        <v>5041</v>
      </c>
      <c r="J942" s="2" t="n">
        <v>1.325</v>
      </c>
      <c r="K942" s="2" t="n">
        <v>124.838</v>
      </c>
      <c r="L942" s="2" t="s">
        <v>101</v>
      </c>
      <c r="M942" s="2" t="s">
        <v>60</v>
      </c>
      <c r="N942" s="2"/>
      <c r="O942" s="2" t="s">
        <v>5048</v>
      </c>
      <c r="P942" s="2"/>
      <c r="Q942" s="2" t="s">
        <v>62</v>
      </c>
      <c r="R942" s="2" t="n">
        <v>0.55</v>
      </c>
      <c r="S942" s="2" t="s">
        <v>5044</v>
      </c>
      <c r="T942" s="2" t="s">
        <v>5045</v>
      </c>
      <c r="U942" s="2" t="s">
        <v>2540</v>
      </c>
      <c r="V942" s="2" t="s">
        <v>2378</v>
      </c>
      <c r="W942" s="2" t="s">
        <v>421</v>
      </c>
      <c r="X942" s="2" t="s">
        <v>507</v>
      </c>
    </row>
    <row r="943" customFormat="false" ht="15" hidden="false" customHeight="false" outlineLevel="0" collapsed="false">
      <c r="A943" s="2" t="n">
        <v>1022</v>
      </c>
      <c r="B943" s="2" t="s">
        <v>5036</v>
      </c>
      <c r="C943" s="2" t="s">
        <v>5049</v>
      </c>
      <c r="D943" s="2" t="s">
        <v>53</v>
      </c>
      <c r="E943" s="2" t="s">
        <v>5050</v>
      </c>
      <c r="F943" s="2" t="s">
        <v>5051</v>
      </c>
      <c r="G943" s="2" t="s">
        <v>316</v>
      </c>
      <c r="H943" s="2" t="s">
        <v>317</v>
      </c>
      <c r="I943" s="2" t="s">
        <v>74</v>
      </c>
      <c r="J943" s="2" t="n">
        <v>-6.16</v>
      </c>
      <c r="K943" s="2" t="n">
        <v>106.91</v>
      </c>
      <c r="L943" s="2" t="s">
        <v>59</v>
      </c>
      <c r="M943" s="2" t="s">
        <v>60</v>
      </c>
      <c r="N943" s="2"/>
      <c r="O943" s="2" t="s">
        <v>5052</v>
      </c>
      <c r="P943" s="2"/>
      <c r="Q943" s="2" t="s">
        <v>62</v>
      </c>
      <c r="R943" s="2" t="n">
        <v>0.75</v>
      </c>
      <c r="S943" s="2" t="s">
        <v>5053</v>
      </c>
      <c r="T943" s="2" t="s">
        <v>5054</v>
      </c>
      <c r="U943" s="2" t="s">
        <v>5055</v>
      </c>
      <c r="V943" s="2" t="s">
        <v>745</v>
      </c>
      <c r="W943" s="2" t="s">
        <v>3023</v>
      </c>
      <c r="X943" s="2" t="s">
        <v>507</v>
      </c>
    </row>
    <row r="944" customFormat="false" ht="15" hidden="false" customHeight="false" outlineLevel="0" collapsed="false">
      <c r="A944" s="2" t="n">
        <v>1022</v>
      </c>
      <c r="B944" s="2" t="s">
        <v>5036</v>
      </c>
      <c r="C944" s="2" t="s">
        <v>5056</v>
      </c>
      <c r="D944" s="2" t="s">
        <v>53</v>
      </c>
      <c r="E944" s="2" t="s">
        <v>3282</v>
      </c>
      <c r="F944" s="2"/>
      <c r="G944" s="2"/>
      <c r="H944" s="2" t="s">
        <v>317</v>
      </c>
      <c r="I944" s="2" t="s">
        <v>74</v>
      </c>
      <c r="J944" s="2" t="n">
        <v>-6.138</v>
      </c>
      <c r="K944" s="2" t="n">
        <v>106.863</v>
      </c>
      <c r="L944" s="2" t="s">
        <v>101</v>
      </c>
      <c r="M944" s="2" t="s">
        <v>60</v>
      </c>
      <c r="N944" s="2"/>
      <c r="O944" s="2" t="s">
        <v>5057</v>
      </c>
      <c r="P944" s="2"/>
      <c r="Q944" s="2" t="s">
        <v>62</v>
      </c>
      <c r="R944" s="2" t="n">
        <v>0.6</v>
      </c>
      <c r="S944" s="2" t="s">
        <v>5053</v>
      </c>
      <c r="T944" s="2" t="s">
        <v>5054</v>
      </c>
      <c r="U944" s="2" t="s">
        <v>5055</v>
      </c>
      <c r="V944" s="2" t="s">
        <v>745</v>
      </c>
      <c r="W944" s="2" t="s">
        <v>3023</v>
      </c>
      <c r="X944" s="2" t="s">
        <v>507</v>
      </c>
    </row>
    <row r="945" customFormat="false" ht="15" hidden="false" customHeight="false" outlineLevel="0" collapsed="false">
      <c r="A945" s="2" t="n">
        <v>1022</v>
      </c>
      <c r="B945" s="2" t="s">
        <v>5036</v>
      </c>
      <c r="C945" s="2" t="s">
        <v>5058</v>
      </c>
      <c r="D945" s="2" t="s">
        <v>53</v>
      </c>
      <c r="E945" s="2" t="s">
        <v>5059</v>
      </c>
      <c r="F945" s="2"/>
      <c r="G945" s="2" t="s">
        <v>316</v>
      </c>
      <c r="H945" s="2" t="s">
        <v>317</v>
      </c>
      <c r="I945" s="2" t="s">
        <v>74</v>
      </c>
      <c r="J945" s="2" t="n">
        <v>-6.16</v>
      </c>
      <c r="K945" s="2" t="n">
        <v>106.905</v>
      </c>
      <c r="L945" s="2" t="s">
        <v>84</v>
      </c>
      <c r="M945" s="2" t="s">
        <v>60</v>
      </c>
      <c r="N945" s="2"/>
      <c r="O945" s="2" t="s">
        <v>5057</v>
      </c>
      <c r="P945" s="2"/>
      <c r="Q945" s="2" t="s">
        <v>62</v>
      </c>
      <c r="R945" s="2" t="n">
        <v>0.6</v>
      </c>
      <c r="S945" s="2" t="s">
        <v>5053</v>
      </c>
      <c r="T945" s="2" t="s">
        <v>5054</v>
      </c>
      <c r="U945" s="2" t="s">
        <v>5055</v>
      </c>
      <c r="V945" s="2" t="s">
        <v>745</v>
      </c>
      <c r="W945" s="2" t="s">
        <v>3023</v>
      </c>
      <c r="X945" s="2" t="s">
        <v>507</v>
      </c>
    </row>
    <row r="946" customFormat="false" ht="15" hidden="false" customHeight="false" outlineLevel="0" collapsed="false">
      <c r="A946" s="2" t="n">
        <v>1022</v>
      </c>
      <c r="B946" s="2" t="s">
        <v>5036</v>
      </c>
      <c r="C946" s="2" t="s">
        <v>5060</v>
      </c>
      <c r="D946" s="2" t="s">
        <v>53</v>
      </c>
      <c r="E946" s="2" t="s">
        <v>5061</v>
      </c>
      <c r="F946" s="2"/>
      <c r="G946" s="2"/>
      <c r="H946" s="2" t="s">
        <v>317</v>
      </c>
      <c r="I946" s="2" t="s">
        <v>74</v>
      </c>
      <c r="J946" s="2" t="n">
        <v>-6.138</v>
      </c>
      <c r="K946" s="2" t="n">
        <v>106.863</v>
      </c>
      <c r="L946" s="2" t="s">
        <v>101</v>
      </c>
      <c r="M946" s="2" t="s">
        <v>60</v>
      </c>
      <c r="N946" s="2"/>
      <c r="O946" s="2" t="s">
        <v>5062</v>
      </c>
      <c r="P946" s="2"/>
      <c r="Q946" s="2" t="s">
        <v>62</v>
      </c>
      <c r="R946" s="2" t="n">
        <v>0.65</v>
      </c>
      <c r="S946" s="2" t="s">
        <v>5053</v>
      </c>
      <c r="T946" s="2" t="s">
        <v>5054</v>
      </c>
      <c r="U946" s="2" t="s">
        <v>5055</v>
      </c>
      <c r="V946" s="2" t="s">
        <v>745</v>
      </c>
      <c r="W946" s="2" t="s">
        <v>3023</v>
      </c>
      <c r="X946" s="2" t="s">
        <v>507</v>
      </c>
    </row>
    <row r="947" customFormat="false" ht="15" hidden="false" customHeight="false" outlineLevel="0" collapsed="false">
      <c r="A947" s="2" t="n">
        <v>1023</v>
      </c>
      <c r="B947" s="2" t="s">
        <v>5036</v>
      </c>
      <c r="C947" s="2" t="s">
        <v>5063</v>
      </c>
      <c r="D947" s="2" t="s">
        <v>53</v>
      </c>
      <c r="E947" s="2" t="s">
        <v>5064</v>
      </c>
      <c r="F947" s="2" t="s">
        <v>1926</v>
      </c>
      <c r="G947" s="2" t="s">
        <v>932</v>
      </c>
      <c r="H947" s="2" t="s">
        <v>107</v>
      </c>
      <c r="I947" s="2" t="s">
        <v>58</v>
      </c>
      <c r="J947" s="2" t="n">
        <v>-6.91</v>
      </c>
      <c r="K947" s="2" t="n">
        <v>107.612</v>
      </c>
      <c r="L947" s="2" t="s">
        <v>59</v>
      </c>
      <c r="M947" s="2" t="s">
        <v>60</v>
      </c>
      <c r="N947" s="2"/>
      <c r="O947" s="2" t="s">
        <v>5065</v>
      </c>
      <c r="P947" s="2"/>
      <c r="Q947" s="2" t="s">
        <v>62</v>
      </c>
      <c r="R947" s="2" t="n">
        <v>0.75</v>
      </c>
      <c r="S947" s="2" t="s">
        <v>5066</v>
      </c>
      <c r="T947" s="2" t="s">
        <v>5045</v>
      </c>
      <c r="U947" s="2" t="s">
        <v>2544</v>
      </c>
      <c r="V947" s="2" t="s">
        <v>2535</v>
      </c>
      <c r="W947" s="2" t="s">
        <v>262</v>
      </c>
      <c r="X947" s="2" t="s">
        <v>507</v>
      </c>
    </row>
    <row r="948" customFormat="false" ht="15" hidden="false" customHeight="false" outlineLevel="0" collapsed="false">
      <c r="A948" s="2" t="n">
        <v>1023</v>
      </c>
      <c r="B948" s="2" t="s">
        <v>5036</v>
      </c>
      <c r="C948" s="2" t="s">
        <v>5067</v>
      </c>
      <c r="D948" s="2" t="s">
        <v>53</v>
      </c>
      <c r="E948" s="2" t="s">
        <v>5068</v>
      </c>
      <c r="F948" s="2" t="s">
        <v>1926</v>
      </c>
      <c r="G948" s="2" t="s">
        <v>932</v>
      </c>
      <c r="H948" s="2" t="s">
        <v>107</v>
      </c>
      <c r="I948" s="2" t="s">
        <v>58</v>
      </c>
      <c r="J948" s="2" t="n">
        <v>-6.91</v>
      </c>
      <c r="K948" s="2" t="n">
        <v>107.612</v>
      </c>
      <c r="L948" s="2" t="s">
        <v>59</v>
      </c>
      <c r="M948" s="2" t="s">
        <v>60</v>
      </c>
      <c r="N948" s="2"/>
      <c r="O948" s="2" t="s">
        <v>5069</v>
      </c>
      <c r="P948" s="2"/>
      <c r="Q948" s="2" t="s">
        <v>62</v>
      </c>
      <c r="R948" s="2" t="n">
        <v>0.7</v>
      </c>
      <c r="S948" s="2" t="s">
        <v>5066</v>
      </c>
      <c r="T948" s="2" t="s">
        <v>5045</v>
      </c>
      <c r="U948" s="2" t="s">
        <v>2544</v>
      </c>
      <c r="V948" s="2" t="s">
        <v>2535</v>
      </c>
      <c r="W948" s="2" t="s">
        <v>262</v>
      </c>
      <c r="X948" s="2" t="s">
        <v>507</v>
      </c>
    </row>
    <row r="949" customFormat="false" ht="15" hidden="false" customHeight="false" outlineLevel="0" collapsed="false">
      <c r="A949" s="2" t="n">
        <v>1024</v>
      </c>
      <c r="B949" s="2" t="s">
        <v>5036</v>
      </c>
      <c r="C949" s="2" t="s">
        <v>5070</v>
      </c>
      <c r="D949" s="2" t="s">
        <v>410</v>
      </c>
      <c r="E949" s="2" t="s">
        <v>5071</v>
      </c>
      <c r="F949" s="2"/>
      <c r="G949" s="2"/>
      <c r="H949" s="2" t="s">
        <v>5071</v>
      </c>
      <c r="I949" s="2" t="s">
        <v>5041</v>
      </c>
      <c r="J949" s="2" t="n">
        <v>1.487</v>
      </c>
      <c r="K949" s="2" t="n">
        <v>124.845</v>
      </c>
      <c r="L949" s="2" t="s">
        <v>101</v>
      </c>
      <c r="M949" s="2" t="s">
        <v>60</v>
      </c>
      <c r="N949" s="2"/>
      <c r="O949" s="2" t="s">
        <v>5072</v>
      </c>
      <c r="P949" s="2"/>
      <c r="Q949" s="2" t="s">
        <v>62</v>
      </c>
      <c r="R949" s="2" t="n">
        <v>0.7</v>
      </c>
      <c r="S949" s="2" t="s">
        <v>5073</v>
      </c>
      <c r="T949" s="2" t="s">
        <v>5074</v>
      </c>
      <c r="U949" s="2" t="s">
        <v>2547</v>
      </c>
      <c r="V949" s="2" t="s">
        <v>2449</v>
      </c>
      <c r="W949" s="2" t="s">
        <v>1365</v>
      </c>
      <c r="X949" s="2" t="s">
        <v>507</v>
      </c>
    </row>
    <row r="950" customFormat="false" ht="15" hidden="false" customHeight="false" outlineLevel="0" collapsed="false">
      <c r="A950" s="2" t="n">
        <v>1024</v>
      </c>
      <c r="B950" s="2" t="s">
        <v>5036</v>
      </c>
      <c r="C950" s="2" t="s">
        <v>5075</v>
      </c>
      <c r="D950" s="2" t="s">
        <v>410</v>
      </c>
      <c r="E950" s="2" t="s">
        <v>5076</v>
      </c>
      <c r="F950" s="2"/>
      <c r="G950" s="2" t="s">
        <v>5077</v>
      </c>
      <c r="H950" s="2" t="s">
        <v>5078</v>
      </c>
      <c r="I950" s="2" t="s">
        <v>5041</v>
      </c>
      <c r="J950" s="2" t="n">
        <v>1.33</v>
      </c>
      <c r="K950" s="2" t="n">
        <v>125.03</v>
      </c>
      <c r="L950" s="2" t="s">
        <v>84</v>
      </c>
      <c r="M950" s="2" t="s">
        <v>60</v>
      </c>
      <c r="N950" s="2"/>
      <c r="O950" s="2" t="s">
        <v>5079</v>
      </c>
      <c r="P950" s="2"/>
      <c r="Q950" s="2" t="s">
        <v>62</v>
      </c>
      <c r="R950" s="2" t="n">
        <v>0.75</v>
      </c>
      <c r="S950" s="2" t="s">
        <v>5073</v>
      </c>
      <c r="T950" s="2" t="s">
        <v>5074</v>
      </c>
      <c r="U950" s="2" t="s">
        <v>2547</v>
      </c>
      <c r="V950" s="2" t="s">
        <v>2449</v>
      </c>
      <c r="W950" s="2" t="s">
        <v>1365</v>
      </c>
      <c r="X950" s="2" t="s">
        <v>507</v>
      </c>
    </row>
    <row r="951" customFormat="false" ht="15" hidden="false" customHeight="false" outlineLevel="0" collapsed="false">
      <c r="A951" s="2" t="n">
        <v>1026</v>
      </c>
      <c r="B951" s="2" t="s">
        <v>5036</v>
      </c>
      <c r="C951" s="2" t="s">
        <v>5080</v>
      </c>
      <c r="D951" s="2" t="s">
        <v>1130</v>
      </c>
      <c r="E951" s="2" t="s">
        <v>5071</v>
      </c>
      <c r="F951" s="2"/>
      <c r="G951" s="2"/>
      <c r="H951" s="2" t="s">
        <v>5071</v>
      </c>
      <c r="I951" s="2" t="s">
        <v>5041</v>
      </c>
      <c r="J951" s="2" t="n">
        <v>1.487</v>
      </c>
      <c r="K951" s="2" t="n">
        <v>124.845</v>
      </c>
      <c r="L951" s="2" t="s">
        <v>101</v>
      </c>
      <c r="M951" s="2" t="s">
        <v>60</v>
      </c>
      <c r="N951" s="2"/>
      <c r="O951" s="2" t="s">
        <v>5081</v>
      </c>
      <c r="P951" s="2" t="s">
        <v>773</v>
      </c>
      <c r="Q951" s="2" t="s">
        <v>110</v>
      </c>
      <c r="R951" s="2" t="n">
        <v>0.6</v>
      </c>
      <c r="S951" s="2" t="s">
        <v>5082</v>
      </c>
      <c r="T951" s="2" t="s">
        <v>694</v>
      </c>
      <c r="U951" s="2" t="s">
        <v>2555</v>
      </c>
      <c r="V951" s="2" t="s">
        <v>2459</v>
      </c>
      <c r="W951" s="2" t="s">
        <v>1875</v>
      </c>
      <c r="X951" s="2" t="s">
        <v>507</v>
      </c>
    </row>
    <row r="952" customFormat="false" ht="15" hidden="false" customHeight="false" outlineLevel="0" collapsed="false">
      <c r="A952" s="2" t="n">
        <v>1027</v>
      </c>
      <c r="B952" s="2" t="s">
        <v>5036</v>
      </c>
      <c r="C952" s="2" t="s">
        <v>5083</v>
      </c>
      <c r="D952" s="2" t="s">
        <v>1130</v>
      </c>
      <c r="E952" s="2" t="s">
        <v>5084</v>
      </c>
      <c r="F952" s="2" t="s">
        <v>5085</v>
      </c>
      <c r="G952" s="2" t="s">
        <v>5086</v>
      </c>
      <c r="H952" s="2" t="s">
        <v>5071</v>
      </c>
      <c r="I952" s="2" t="s">
        <v>5041</v>
      </c>
      <c r="J952" s="2" t="n">
        <v>1.488</v>
      </c>
      <c r="K952" s="2" t="n">
        <v>124.838</v>
      </c>
      <c r="L952" s="2" t="s">
        <v>59</v>
      </c>
      <c r="M952" s="2" t="s">
        <v>60</v>
      </c>
      <c r="N952" s="2"/>
      <c r="O952" s="2" t="s">
        <v>5087</v>
      </c>
      <c r="P952" s="2" t="s">
        <v>5088</v>
      </c>
      <c r="Q952" s="2" t="s">
        <v>62</v>
      </c>
      <c r="R952" s="2" t="n">
        <v>0.8</v>
      </c>
      <c r="S952" s="2" t="s">
        <v>5089</v>
      </c>
      <c r="T952" s="2" t="s">
        <v>694</v>
      </c>
      <c r="U952" s="2" t="s">
        <v>2560</v>
      </c>
      <c r="V952" s="2" t="s">
        <v>2561</v>
      </c>
      <c r="W952" s="2" t="s">
        <v>647</v>
      </c>
      <c r="X952" s="2" t="s">
        <v>507</v>
      </c>
    </row>
    <row r="953" customFormat="false" ht="15" hidden="false" customHeight="false" outlineLevel="0" collapsed="false">
      <c r="A953" s="2" t="n">
        <v>1029</v>
      </c>
      <c r="B953" s="2" t="s">
        <v>5036</v>
      </c>
      <c r="C953" s="2" t="s">
        <v>5090</v>
      </c>
      <c r="D953" s="2" t="s">
        <v>1130</v>
      </c>
      <c r="E953" s="2" t="s">
        <v>5084</v>
      </c>
      <c r="F953" s="2" t="s">
        <v>5085</v>
      </c>
      <c r="G953" s="2" t="s">
        <v>5086</v>
      </c>
      <c r="H953" s="2" t="s">
        <v>5071</v>
      </c>
      <c r="I953" s="2" t="s">
        <v>5041</v>
      </c>
      <c r="J953" s="2" t="n">
        <v>1.488</v>
      </c>
      <c r="K953" s="2" t="n">
        <v>124.838</v>
      </c>
      <c r="L953" s="2" t="s">
        <v>59</v>
      </c>
      <c r="M953" s="2" t="s">
        <v>60</v>
      </c>
      <c r="N953" s="2"/>
      <c r="O953" s="2" t="s">
        <v>5091</v>
      </c>
      <c r="P953" s="2" t="s">
        <v>3760</v>
      </c>
      <c r="Q953" s="2" t="s">
        <v>62</v>
      </c>
      <c r="R953" s="2" t="n">
        <v>0.75</v>
      </c>
      <c r="S953" s="2" t="s">
        <v>5092</v>
      </c>
      <c r="T953" s="2" t="s">
        <v>5093</v>
      </c>
      <c r="U953" s="2" t="s">
        <v>5094</v>
      </c>
      <c r="V953" s="2" t="s">
        <v>5095</v>
      </c>
      <c r="W953" s="2" t="s">
        <v>421</v>
      </c>
      <c r="X953" s="2" t="s">
        <v>507</v>
      </c>
    </row>
    <row r="954" customFormat="false" ht="15" hidden="false" customHeight="false" outlineLevel="0" collapsed="false">
      <c r="A954" s="2" t="n">
        <v>1030</v>
      </c>
      <c r="B954" s="2" t="s">
        <v>5036</v>
      </c>
      <c r="C954" s="2" t="s">
        <v>5090</v>
      </c>
      <c r="D954" s="2" t="s">
        <v>1130</v>
      </c>
      <c r="E954" s="2" t="s">
        <v>5096</v>
      </c>
      <c r="F954" s="2" t="s">
        <v>5085</v>
      </c>
      <c r="G954" s="2" t="s">
        <v>5086</v>
      </c>
      <c r="H954" s="2" t="s">
        <v>5071</v>
      </c>
      <c r="I954" s="2" t="s">
        <v>5041</v>
      </c>
      <c r="J954" s="2" t="n">
        <v>1.488</v>
      </c>
      <c r="K954" s="2" t="n">
        <v>124.838</v>
      </c>
      <c r="L954" s="2" t="s">
        <v>59</v>
      </c>
      <c r="M954" s="2" t="s">
        <v>60</v>
      </c>
      <c r="N954" s="2"/>
      <c r="O954" s="2" t="s">
        <v>5097</v>
      </c>
      <c r="P954" s="2" t="s">
        <v>3760</v>
      </c>
      <c r="Q954" s="2" t="s">
        <v>62</v>
      </c>
      <c r="R954" s="2" t="n">
        <v>0.75</v>
      </c>
      <c r="S954" s="2" t="s">
        <v>5098</v>
      </c>
      <c r="T954" s="2" t="s">
        <v>5093</v>
      </c>
      <c r="U954" s="2" t="s">
        <v>2571</v>
      </c>
      <c r="V954" s="2" t="s">
        <v>745</v>
      </c>
      <c r="W954" s="2" t="s">
        <v>159</v>
      </c>
      <c r="X954" s="2" t="s">
        <v>507</v>
      </c>
    </row>
    <row r="955" customFormat="false" ht="15" hidden="false" customHeight="false" outlineLevel="0" collapsed="false">
      <c r="A955" s="2" t="n">
        <v>1036</v>
      </c>
      <c r="B955" s="2" t="s">
        <v>5036</v>
      </c>
      <c r="C955" s="2" t="s">
        <v>5099</v>
      </c>
      <c r="D955" s="2" t="s">
        <v>351</v>
      </c>
      <c r="E955" s="2" t="s">
        <v>5100</v>
      </c>
      <c r="F955" s="2"/>
      <c r="G955" s="2" t="s">
        <v>5101</v>
      </c>
      <c r="H955" s="2" t="s">
        <v>5071</v>
      </c>
      <c r="I955" s="2" t="s">
        <v>5041</v>
      </c>
      <c r="J955" s="2" t="n">
        <v>1.475</v>
      </c>
      <c r="K955" s="2" t="n">
        <v>124.835</v>
      </c>
      <c r="L955" s="2" t="s">
        <v>84</v>
      </c>
      <c r="M955" s="2" t="s">
        <v>60</v>
      </c>
      <c r="N955" s="2"/>
      <c r="O955" s="2" t="s">
        <v>5102</v>
      </c>
      <c r="P955" s="2" t="s">
        <v>3032</v>
      </c>
      <c r="Q955" s="2" t="s">
        <v>110</v>
      </c>
      <c r="R955" s="2" t="n">
        <v>0.5</v>
      </c>
      <c r="S955" s="2" t="s">
        <v>5103</v>
      </c>
      <c r="T955" s="2" t="s">
        <v>5093</v>
      </c>
      <c r="U955" s="2" t="s">
        <v>5104</v>
      </c>
      <c r="V955" s="2" t="s">
        <v>245</v>
      </c>
      <c r="W955" s="2" t="s">
        <v>2489</v>
      </c>
      <c r="X955" s="2" t="s">
        <v>507</v>
      </c>
    </row>
    <row r="956" customFormat="false" ht="15" hidden="false" customHeight="false" outlineLevel="0" collapsed="false">
      <c r="A956" s="2" t="n">
        <v>1037</v>
      </c>
      <c r="B956" s="2" t="s">
        <v>5036</v>
      </c>
      <c r="C956" s="2" t="s">
        <v>5099</v>
      </c>
      <c r="D956" s="2" t="s">
        <v>351</v>
      </c>
      <c r="E956" s="2" t="s">
        <v>5071</v>
      </c>
      <c r="F956" s="2"/>
      <c r="G956" s="2" t="s">
        <v>5101</v>
      </c>
      <c r="H956" s="2" t="s">
        <v>5071</v>
      </c>
      <c r="I956" s="2" t="s">
        <v>5041</v>
      </c>
      <c r="J956" s="2" t="n">
        <v>1.475</v>
      </c>
      <c r="K956" s="2" t="n">
        <v>124.835</v>
      </c>
      <c r="L956" s="2" t="s">
        <v>84</v>
      </c>
      <c r="M956" s="2" t="s">
        <v>60</v>
      </c>
      <c r="N956" s="2"/>
      <c r="O956" s="2" t="s">
        <v>5105</v>
      </c>
      <c r="P956" s="2" t="s">
        <v>3032</v>
      </c>
      <c r="Q956" s="2" t="s">
        <v>62</v>
      </c>
      <c r="R956" s="2" t="n">
        <v>0.4</v>
      </c>
      <c r="S956" s="2" t="s">
        <v>5106</v>
      </c>
      <c r="T956" s="2" t="s">
        <v>5093</v>
      </c>
      <c r="U956" s="2" t="s">
        <v>2576</v>
      </c>
      <c r="V956" s="2" t="s">
        <v>2577</v>
      </c>
      <c r="W956" s="2" t="s">
        <v>421</v>
      </c>
      <c r="X956" s="2" t="s">
        <v>507</v>
      </c>
    </row>
    <row r="957" customFormat="false" ht="15" hidden="false" customHeight="false" outlineLevel="0" collapsed="false">
      <c r="A957" s="2" t="n">
        <v>1040</v>
      </c>
      <c r="B957" s="2" t="s">
        <v>5036</v>
      </c>
      <c r="C957" s="2" t="s">
        <v>5107</v>
      </c>
      <c r="D957" s="2" t="s">
        <v>351</v>
      </c>
      <c r="E957" s="2" t="s">
        <v>5108</v>
      </c>
      <c r="F957" s="2" t="s">
        <v>5109</v>
      </c>
      <c r="G957" s="2" t="s">
        <v>5110</v>
      </c>
      <c r="H957" s="2" t="s">
        <v>5111</v>
      </c>
      <c r="I957" s="2" t="s">
        <v>403</v>
      </c>
      <c r="J957" s="2" t="n">
        <v>-5.125</v>
      </c>
      <c r="K957" s="2" t="n">
        <v>120.25</v>
      </c>
      <c r="L957" s="2" t="s">
        <v>59</v>
      </c>
      <c r="M957" s="2" t="s">
        <v>60</v>
      </c>
      <c r="N957" s="2"/>
      <c r="O957" s="2" t="s">
        <v>5112</v>
      </c>
      <c r="P957" s="2" t="s">
        <v>5113</v>
      </c>
      <c r="Q957" s="2" t="s">
        <v>110</v>
      </c>
      <c r="R957" s="2" t="n">
        <v>0.35</v>
      </c>
      <c r="S957" s="2" t="s">
        <v>5114</v>
      </c>
      <c r="T957" s="2" t="s">
        <v>5115</v>
      </c>
      <c r="U957" s="2" t="s">
        <v>5116</v>
      </c>
      <c r="V957" s="2" t="s">
        <v>2567</v>
      </c>
      <c r="W957" s="2" t="s">
        <v>908</v>
      </c>
      <c r="X957" s="2" t="s">
        <v>507</v>
      </c>
    </row>
    <row r="958" customFormat="false" ht="15" hidden="false" customHeight="false" outlineLevel="0" collapsed="false">
      <c r="A958" s="2" t="n">
        <v>1045</v>
      </c>
      <c r="B958" s="2" t="s">
        <v>5036</v>
      </c>
      <c r="C958" s="2" t="s">
        <v>5117</v>
      </c>
      <c r="D958" s="2" t="s">
        <v>121</v>
      </c>
      <c r="E958" s="2" t="s">
        <v>5118</v>
      </c>
      <c r="F958" s="2"/>
      <c r="G958" s="2"/>
      <c r="H958" s="2" t="s">
        <v>5071</v>
      </c>
      <c r="I958" s="2" t="s">
        <v>5041</v>
      </c>
      <c r="J958" s="2" t="n">
        <v>1.487</v>
      </c>
      <c r="K958" s="2" t="n">
        <v>124.845</v>
      </c>
      <c r="L958" s="2" t="s">
        <v>101</v>
      </c>
      <c r="M958" s="2" t="s">
        <v>60</v>
      </c>
      <c r="N958" s="2"/>
      <c r="O958" s="2" t="s">
        <v>5119</v>
      </c>
      <c r="P958" s="2" t="s">
        <v>5120</v>
      </c>
      <c r="Q958" s="2" t="s">
        <v>62</v>
      </c>
      <c r="R958" s="2" t="n">
        <v>0.75</v>
      </c>
      <c r="S958" s="2" t="s">
        <v>5121</v>
      </c>
      <c r="T958" s="2" t="s">
        <v>3524</v>
      </c>
      <c r="U958" s="2" t="s">
        <v>2608</v>
      </c>
      <c r="V958" s="2" t="s">
        <v>2520</v>
      </c>
      <c r="W958" s="2" t="s">
        <v>795</v>
      </c>
      <c r="X958" s="2" t="s">
        <v>507</v>
      </c>
    </row>
    <row r="959" customFormat="false" ht="15" hidden="false" customHeight="false" outlineLevel="0" collapsed="false">
      <c r="A959" s="2" t="n">
        <v>1045</v>
      </c>
      <c r="B959" s="2" t="s">
        <v>5036</v>
      </c>
      <c r="C959" s="2" t="s">
        <v>5122</v>
      </c>
      <c r="D959" s="2" t="s">
        <v>121</v>
      </c>
      <c r="E959" s="2" t="s">
        <v>5123</v>
      </c>
      <c r="F959" s="2" t="s">
        <v>5124</v>
      </c>
      <c r="G959" s="2" t="s">
        <v>5125</v>
      </c>
      <c r="H959" s="2" t="s">
        <v>479</v>
      </c>
      <c r="I959" s="2" t="s">
        <v>403</v>
      </c>
      <c r="J959" s="2" t="n">
        <v>-5.158</v>
      </c>
      <c r="K959" s="2" t="n">
        <v>119.392</v>
      </c>
      <c r="L959" s="2" t="s">
        <v>124</v>
      </c>
      <c r="M959" s="2" t="s">
        <v>60</v>
      </c>
      <c r="N959" s="2"/>
      <c r="O959" s="2" t="s">
        <v>5126</v>
      </c>
      <c r="P959" s="2" t="s">
        <v>5127</v>
      </c>
      <c r="Q959" s="2" t="s">
        <v>62</v>
      </c>
      <c r="R959" s="2" t="n">
        <v>0.4</v>
      </c>
      <c r="S959" s="2" t="s">
        <v>5121</v>
      </c>
      <c r="T959" s="2" t="s">
        <v>3524</v>
      </c>
      <c r="U959" s="2" t="s">
        <v>2608</v>
      </c>
      <c r="V959" s="2" t="s">
        <v>2520</v>
      </c>
      <c r="W959" s="2" t="s">
        <v>795</v>
      </c>
      <c r="X959" s="2" t="s">
        <v>507</v>
      </c>
    </row>
    <row r="960" customFormat="false" ht="15" hidden="false" customHeight="false" outlineLevel="0" collapsed="false">
      <c r="A960" s="2" t="n">
        <v>1047</v>
      </c>
      <c r="B960" s="2" t="s">
        <v>5036</v>
      </c>
      <c r="C960" s="2" t="s">
        <v>5128</v>
      </c>
      <c r="D960" s="2" t="s">
        <v>53</v>
      </c>
      <c r="E960" s="2" t="s">
        <v>5129</v>
      </c>
      <c r="F960" s="2" t="s">
        <v>5130</v>
      </c>
      <c r="G960" s="2" t="s">
        <v>5131</v>
      </c>
      <c r="H960" s="2" t="s">
        <v>5132</v>
      </c>
      <c r="I960" s="2" t="s">
        <v>5133</v>
      </c>
      <c r="J960" s="2" t="n">
        <v>0.6</v>
      </c>
      <c r="K960" s="2" t="n">
        <v>123</v>
      </c>
      <c r="L960" s="2" t="s">
        <v>84</v>
      </c>
      <c r="M960" s="2" t="s">
        <v>60</v>
      </c>
      <c r="N960" s="2"/>
      <c r="O960" s="2" t="s">
        <v>5134</v>
      </c>
      <c r="P960" s="2" t="s">
        <v>5135</v>
      </c>
      <c r="Q960" s="2" t="s">
        <v>62</v>
      </c>
      <c r="R960" s="2" t="n">
        <v>0.45</v>
      </c>
      <c r="S960" s="2" t="s">
        <v>5136</v>
      </c>
      <c r="T960" s="2" t="s">
        <v>95</v>
      </c>
      <c r="U960" s="2" t="s">
        <v>5137</v>
      </c>
      <c r="V960" s="2" t="s">
        <v>2601</v>
      </c>
      <c r="W960" s="2" t="s">
        <v>4545</v>
      </c>
      <c r="X960" s="2" t="s">
        <v>507</v>
      </c>
    </row>
    <row r="961" customFormat="false" ht="15" hidden="false" customHeight="false" outlineLevel="0" collapsed="false">
      <c r="A961" s="2" t="n">
        <v>1048</v>
      </c>
      <c r="B961" s="2" t="s">
        <v>5036</v>
      </c>
      <c r="C961" s="2" t="s">
        <v>5138</v>
      </c>
      <c r="D961" s="2" t="s">
        <v>53</v>
      </c>
      <c r="E961" s="2" t="s">
        <v>5139</v>
      </c>
      <c r="F961" s="2" t="s">
        <v>5140</v>
      </c>
      <c r="G961" s="2" t="s">
        <v>5141</v>
      </c>
      <c r="H961" s="2" t="s">
        <v>5142</v>
      </c>
      <c r="I961" s="2" t="s">
        <v>5133</v>
      </c>
      <c r="J961" s="2" t="n">
        <v>0.545</v>
      </c>
      <c r="K961" s="2" t="n">
        <v>123.075</v>
      </c>
      <c r="L961" s="2" t="s">
        <v>59</v>
      </c>
      <c r="M961" s="2" t="s">
        <v>60</v>
      </c>
      <c r="N961" s="2"/>
      <c r="O961" s="2" t="s">
        <v>5143</v>
      </c>
      <c r="P961" s="2" t="s">
        <v>5113</v>
      </c>
      <c r="Q961" s="2" t="s">
        <v>62</v>
      </c>
      <c r="R961" s="2" t="n">
        <v>0.75</v>
      </c>
      <c r="S961" s="2" t="s">
        <v>5144</v>
      </c>
      <c r="T961" s="2" t="s">
        <v>5145</v>
      </c>
      <c r="U961" s="2" t="s">
        <v>2612</v>
      </c>
      <c r="V961" s="2" t="s">
        <v>2520</v>
      </c>
      <c r="W961" s="2" t="s">
        <v>2613</v>
      </c>
      <c r="X961" s="2" t="s">
        <v>507</v>
      </c>
    </row>
    <row r="962" customFormat="false" ht="15" hidden="false" customHeight="false" outlineLevel="0" collapsed="false">
      <c r="A962" s="2" t="n">
        <v>1049</v>
      </c>
      <c r="B962" s="2" t="s">
        <v>5036</v>
      </c>
      <c r="C962" s="2" t="s">
        <v>5146</v>
      </c>
      <c r="D962" s="2" t="s">
        <v>410</v>
      </c>
      <c r="E962" s="2" t="s">
        <v>5132</v>
      </c>
      <c r="F962" s="2"/>
      <c r="G962" s="2" t="s">
        <v>5131</v>
      </c>
      <c r="H962" s="2" t="s">
        <v>5132</v>
      </c>
      <c r="I962" s="2" t="s">
        <v>5133</v>
      </c>
      <c r="J962" s="2" t="n">
        <v>0.6</v>
      </c>
      <c r="K962" s="2" t="n">
        <v>123</v>
      </c>
      <c r="L962" s="2" t="s">
        <v>84</v>
      </c>
      <c r="M962" s="2" t="s">
        <v>60</v>
      </c>
      <c r="N962" s="2"/>
      <c r="O962" s="2" t="s">
        <v>5147</v>
      </c>
      <c r="P962" s="2" t="s">
        <v>298</v>
      </c>
      <c r="Q962" s="2" t="s">
        <v>62</v>
      </c>
      <c r="R962" s="2" t="n">
        <v>0.7</v>
      </c>
      <c r="S962" s="2" t="s">
        <v>5148</v>
      </c>
      <c r="T962" s="2" t="s">
        <v>5149</v>
      </c>
      <c r="U962" s="2" t="s">
        <v>5150</v>
      </c>
      <c r="V962" s="2" t="s">
        <v>2451</v>
      </c>
      <c r="W962" s="2" t="s">
        <v>370</v>
      </c>
      <c r="X962" s="2" t="s">
        <v>507</v>
      </c>
    </row>
    <row r="963" customFormat="false" ht="15" hidden="false" customHeight="false" outlineLevel="0" collapsed="false">
      <c r="A963" s="2" t="n">
        <v>1049</v>
      </c>
      <c r="B963" s="2" t="s">
        <v>5036</v>
      </c>
      <c r="C963" s="2" t="s">
        <v>5151</v>
      </c>
      <c r="D963" s="2" t="s">
        <v>351</v>
      </c>
      <c r="E963" s="2" t="s">
        <v>5132</v>
      </c>
      <c r="F963" s="2"/>
      <c r="G963" s="2" t="s">
        <v>5152</v>
      </c>
      <c r="H963" s="2" t="s">
        <v>5132</v>
      </c>
      <c r="I963" s="2" t="s">
        <v>5133</v>
      </c>
      <c r="J963" s="2" t="n">
        <v>0.625</v>
      </c>
      <c r="K963" s="2" t="n">
        <v>122.98</v>
      </c>
      <c r="L963" s="2" t="s">
        <v>84</v>
      </c>
      <c r="M963" s="2" t="s">
        <v>60</v>
      </c>
      <c r="N963" s="2"/>
      <c r="O963" s="2" t="s">
        <v>5153</v>
      </c>
      <c r="P963" s="2" t="s">
        <v>298</v>
      </c>
      <c r="Q963" s="2" t="s">
        <v>62</v>
      </c>
      <c r="R963" s="2" t="n">
        <v>0.65</v>
      </c>
      <c r="S963" s="2" t="s">
        <v>5148</v>
      </c>
      <c r="T963" s="2" t="s">
        <v>5149</v>
      </c>
      <c r="U963" s="2" t="s">
        <v>5150</v>
      </c>
      <c r="V963" s="2" t="s">
        <v>2451</v>
      </c>
      <c r="W963" s="2" t="s">
        <v>370</v>
      </c>
      <c r="X963" s="2" t="s">
        <v>507</v>
      </c>
    </row>
    <row r="964" customFormat="false" ht="15" hidden="false" customHeight="false" outlineLevel="0" collapsed="false">
      <c r="A964" s="2" t="n">
        <v>1049</v>
      </c>
      <c r="B964" s="2" t="s">
        <v>5036</v>
      </c>
      <c r="C964" s="2" t="s">
        <v>5154</v>
      </c>
      <c r="D964" s="2" t="s">
        <v>410</v>
      </c>
      <c r="E964" s="2" t="s">
        <v>5155</v>
      </c>
      <c r="F964" s="2"/>
      <c r="G964" s="2" t="s">
        <v>5156</v>
      </c>
      <c r="H964" s="2" t="s">
        <v>5155</v>
      </c>
      <c r="I964" s="2" t="s">
        <v>5133</v>
      </c>
      <c r="J964" s="2" t="n">
        <v>0.53</v>
      </c>
      <c r="K964" s="2" t="n">
        <v>123.15</v>
      </c>
      <c r="L964" s="2" t="s">
        <v>84</v>
      </c>
      <c r="M964" s="2" t="s">
        <v>60</v>
      </c>
      <c r="N964" s="2"/>
      <c r="O964" s="2" t="s">
        <v>5157</v>
      </c>
      <c r="P964" s="2" t="s">
        <v>298</v>
      </c>
      <c r="Q964" s="2" t="s">
        <v>62</v>
      </c>
      <c r="R964" s="2" t="n">
        <v>0.65</v>
      </c>
      <c r="S964" s="2" t="s">
        <v>5148</v>
      </c>
      <c r="T964" s="2" t="s">
        <v>5149</v>
      </c>
      <c r="U964" s="2" t="s">
        <v>5150</v>
      </c>
      <c r="V964" s="2" t="s">
        <v>2451</v>
      </c>
      <c r="W964" s="2" t="s">
        <v>370</v>
      </c>
      <c r="X964" s="2" t="s">
        <v>507</v>
      </c>
    </row>
    <row r="965" customFormat="false" ht="15" hidden="false" customHeight="false" outlineLevel="0" collapsed="false">
      <c r="A965" s="2" t="n">
        <v>1049</v>
      </c>
      <c r="B965" s="2" t="s">
        <v>5036</v>
      </c>
      <c r="C965" s="2" t="s">
        <v>5158</v>
      </c>
      <c r="D965" s="2" t="s">
        <v>410</v>
      </c>
      <c r="E965" s="2" t="s">
        <v>5142</v>
      </c>
      <c r="F965" s="2"/>
      <c r="G965" s="2"/>
      <c r="H965" s="2" t="s">
        <v>5142</v>
      </c>
      <c r="I965" s="2" t="s">
        <v>5133</v>
      </c>
      <c r="J965" s="2" t="n">
        <v>0.54</v>
      </c>
      <c r="K965" s="2" t="n">
        <v>123.06</v>
      </c>
      <c r="L965" s="2" t="s">
        <v>101</v>
      </c>
      <c r="M965" s="2" t="s">
        <v>60</v>
      </c>
      <c r="N965" s="2"/>
      <c r="O965" s="2" t="s">
        <v>5159</v>
      </c>
      <c r="P965" s="2"/>
      <c r="Q965" s="2" t="s">
        <v>62</v>
      </c>
      <c r="R965" s="2" t="n">
        <v>0.55</v>
      </c>
      <c r="S965" s="2" t="s">
        <v>5148</v>
      </c>
      <c r="T965" s="2" t="s">
        <v>5149</v>
      </c>
      <c r="U965" s="2" t="s">
        <v>5150</v>
      </c>
      <c r="V965" s="2" t="s">
        <v>2451</v>
      </c>
      <c r="W965" s="2" t="s">
        <v>370</v>
      </c>
      <c r="X965" s="2" t="s">
        <v>507</v>
      </c>
    </row>
    <row r="966" customFormat="false" ht="15" hidden="false" customHeight="false" outlineLevel="0" collapsed="false">
      <c r="A966" s="2" t="n">
        <v>1050</v>
      </c>
      <c r="B966" s="2" t="s">
        <v>5160</v>
      </c>
      <c r="C966" s="2" t="s">
        <v>5161</v>
      </c>
      <c r="D966" s="2" t="s">
        <v>410</v>
      </c>
      <c r="E966" s="2" t="s">
        <v>5162</v>
      </c>
      <c r="F966" s="2"/>
      <c r="G966" s="2"/>
      <c r="H966" s="2"/>
      <c r="I966" s="2" t="s">
        <v>5133</v>
      </c>
      <c r="J966" s="2" t="n">
        <v>0.7</v>
      </c>
      <c r="K966" s="2" t="n">
        <v>122.45</v>
      </c>
      <c r="L966" s="2" t="s">
        <v>239</v>
      </c>
      <c r="M966" s="2" t="s">
        <v>60</v>
      </c>
      <c r="N966" s="2" t="s">
        <v>5163</v>
      </c>
      <c r="O966" s="2" t="s">
        <v>5164</v>
      </c>
      <c r="P966" s="2"/>
      <c r="Q966" s="2" t="s">
        <v>62</v>
      </c>
      <c r="R966" s="2" t="n">
        <v>0.8</v>
      </c>
      <c r="S966" s="2" t="s">
        <v>5165</v>
      </c>
      <c r="T966" s="2" t="s">
        <v>5166</v>
      </c>
      <c r="U966" s="2" t="s">
        <v>5167</v>
      </c>
      <c r="V966" s="2" t="s">
        <v>2620</v>
      </c>
      <c r="W966" s="2" t="s">
        <v>190</v>
      </c>
      <c r="X966" s="2" t="s">
        <v>507</v>
      </c>
    </row>
    <row r="967" customFormat="false" ht="15" hidden="false" customHeight="false" outlineLevel="0" collapsed="false">
      <c r="A967" s="2" t="n">
        <v>1050</v>
      </c>
      <c r="B967" s="2" t="s">
        <v>5160</v>
      </c>
      <c r="C967" s="2" t="s">
        <v>5168</v>
      </c>
      <c r="D967" s="2" t="s">
        <v>410</v>
      </c>
      <c r="E967" s="2" t="s">
        <v>5133</v>
      </c>
      <c r="F967" s="2" t="s">
        <v>5169</v>
      </c>
      <c r="G967" s="2" t="s">
        <v>5170</v>
      </c>
      <c r="H967" s="2" t="s">
        <v>5155</v>
      </c>
      <c r="I967" s="2" t="s">
        <v>5133</v>
      </c>
      <c r="J967" s="2" t="n">
        <v>0.458</v>
      </c>
      <c r="K967" s="2" t="n">
        <v>123.139</v>
      </c>
      <c r="L967" s="2" t="s">
        <v>59</v>
      </c>
      <c r="M967" s="2" t="s">
        <v>60</v>
      </c>
      <c r="N967" s="2"/>
      <c r="O967" s="2" t="s">
        <v>5171</v>
      </c>
      <c r="P967" s="2"/>
      <c r="Q967" s="2" t="s">
        <v>62</v>
      </c>
      <c r="R967" s="2" t="n">
        <v>0.8</v>
      </c>
      <c r="S967" s="2" t="s">
        <v>5165</v>
      </c>
      <c r="T967" s="2" t="s">
        <v>5166</v>
      </c>
      <c r="U967" s="2" t="s">
        <v>5167</v>
      </c>
      <c r="V967" s="2" t="s">
        <v>2620</v>
      </c>
      <c r="W967" s="2" t="s">
        <v>190</v>
      </c>
      <c r="X967" s="2" t="s">
        <v>507</v>
      </c>
    </row>
    <row r="968" customFormat="false" ht="15" hidden="false" customHeight="false" outlineLevel="0" collapsed="false">
      <c r="A968" s="2" t="n">
        <v>1050</v>
      </c>
      <c r="B968" s="2" t="s">
        <v>5160</v>
      </c>
      <c r="C968" s="2" t="s">
        <v>5172</v>
      </c>
      <c r="D968" s="2" t="s">
        <v>1130</v>
      </c>
      <c r="E968" s="2" t="s">
        <v>5133</v>
      </c>
      <c r="F968" s="2" t="s">
        <v>5173</v>
      </c>
      <c r="G968" s="2" t="s">
        <v>5174</v>
      </c>
      <c r="H968" s="2" t="s">
        <v>5142</v>
      </c>
      <c r="I968" s="2" t="s">
        <v>5133</v>
      </c>
      <c r="J968" s="2" t="n">
        <v>0.546</v>
      </c>
      <c r="K968" s="2" t="n">
        <v>123.02</v>
      </c>
      <c r="L968" s="2" t="s">
        <v>59</v>
      </c>
      <c r="M968" s="2" t="s">
        <v>60</v>
      </c>
      <c r="N968" s="2"/>
      <c r="O968" s="2" t="s">
        <v>5175</v>
      </c>
      <c r="P968" s="2"/>
      <c r="Q968" s="2" t="s">
        <v>62</v>
      </c>
      <c r="R968" s="2" t="n">
        <v>0.75</v>
      </c>
      <c r="S968" s="2" t="s">
        <v>5165</v>
      </c>
      <c r="T968" s="2" t="s">
        <v>5166</v>
      </c>
      <c r="U968" s="2" t="s">
        <v>5167</v>
      </c>
      <c r="V968" s="2" t="s">
        <v>2620</v>
      </c>
      <c r="W968" s="2" t="s">
        <v>190</v>
      </c>
      <c r="X968" s="2" t="s">
        <v>507</v>
      </c>
    </row>
    <row r="969" customFormat="false" ht="15" hidden="false" customHeight="false" outlineLevel="0" collapsed="false">
      <c r="A969" s="2" t="n">
        <v>1050</v>
      </c>
      <c r="B969" s="2" t="s">
        <v>5160</v>
      </c>
      <c r="C969" s="2" t="s">
        <v>5176</v>
      </c>
      <c r="D969" s="2" t="s">
        <v>410</v>
      </c>
      <c r="E969" s="2" t="s">
        <v>5177</v>
      </c>
      <c r="F969" s="2" t="s">
        <v>5178</v>
      </c>
      <c r="G969" s="2" t="s">
        <v>5170</v>
      </c>
      <c r="H969" s="2" t="s">
        <v>5155</v>
      </c>
      <c r="I969" s="2" t="s">
        <v>5133</v>
      </c>
      <c r="J969" s="2" t="n">
        <v>0.482</v>
      </c>
      <c r="K969" s="2" t="n">
        <v>123.117</v>
      </c>
      <c r="L969" s="2" t="s">
        <v>59</v>
      </c>
      <c r="M969" s="2" t="s">
        <v>60</v>
      </c>
      <c r="N969" s="2"/>
      <c r="O969" s="2" t="s">
        <v>5179</v>
      </c>
      <c r="P969" s="2"/>
      <c r="Q969" s="2" t="s">
        <v>62</v>
      </c>
      <c r="R969" s="2" t="n">
        <v>0.8</v>
      </c>
      <c r="S969" s="2" t="s">
        <v>5165</v>
      </c>
      <c r="T969" s="2" t="s">
        <v>5166</v>
      </c>
      <c r="U969" s="2" t="s">
        <v>5167</v>
      </c>
      <c r="V969" s="2" t="s">
        <v>2620</v>
      </c>
      <c r="W969" s="2" t="s">
        <v>190</v>
      </c>
      <c r="X969" s="2" t="s">
        <v>507</v>
      </c>
    </row>
    <row r="970" customFormat="false" ht="15" hidden="false" customHeight="false" outlineLevel="0" collapsed="false">
      <c r="A970" s="2" t="n">
        <v>1050</v>
      </c>
      <c r="B970" s="2" t="s">
        <v>5160</v>
      </c>
      <c r="C970" s="2" t="s">
        <v>5180</v>
      </c>
      <c r="D970" s="2" t="s">
        <v>410</v>
      </c>
      <c r="E970" s="2" t="s">
        <v>5181</v>
      </c>
      <c r="F970" s="2"/>
      <c r="G970" s="2" t="s">
        <v>5182</v>
      </c>
      <c r="H970" s="2" t="s">
        <v>5183</v>
      </c>
      <c r="I970" s="2" t="s">
        <v>5133</v>
      </c>
      <c r="J970" s="2" t="n">
        <v>0.92</v>
      </c>
      <c r="K970" s="2" t="n">
        <v>122.86</v>
      </c>
      <c r="L970" s="2" t="s">
        <v>84</v>
      </c>
      <c r="M970" s="2" t="s">
        <v>60</v>
      </c>
      <c r="N970" s="2"/>
      <c r="O970" s="2" t="s">
        <v>5184</v>
      </c>
      <c r="P970" s="2"/>
      <c r="Q970" s="2" t="s">
        <v>62</v>
      </c>
      <c r="R970" s="2" t="n">
        <v>0.65</v>
      </c>
      <c r="S970" s="2" t="s">
        <v>5165</v>
      </c>
      <c r="T970" s="2" t="s">
        <v>5166</v>
      </c>
      <c r="U970" s="2" t="s">
        <v>5167</v>
      </c>
      <c r="V970" s="2" t="s">
        <v>2620</v>
      </c>
      <c r="W970" s="2" t="s">
        <v>190</v>
      </c>
      <c r="X970" s="2" t="s">
        <v>507</v>
      </c>
    </row>
    <row r="971" customFormat="false" ht="15" hidden="false" customHeight="false" outlineLevel="0" collapsed="false">
      <c r="A971" s="2" t="n">
        <v>1052</v>
      </c>
      <c r="B971" s="2" t="s">
        <v>5160</v>
      </c>
      <c r="C971" s="2" t="s">
        <v>5146</v>
      </c>
      <c r="D971" s="2" t="s">
        <v>410</v>
      </c>
      <c r="E971" s="2" t="s">
        <v>5185</v>
      </c>
      <c r="F971" s="2"/>
      <c r="G971" s="2"/>
      <c r="H971" s="2" t="s">
        <v>5132</v>
      </c>
      <c r="I971" s="2" t="s">
        <v>5133</v>
      </c>
      <c r="J971" s="2" t="n">
        <v>0.65</v>
      </c>
      <c r="K971" s="2" t="n">
        <v>122.8</v>
      </c>
      <c r="L971" s="2" t="s">
        <v>101</v>
      </c>
      <c r="M971" s="2" t="s">
        <v>60</v>
      </c>
      <c r="N971" s="2" t="s">
        <v>5186</v>
      </c>
      <c r="O971" s="2" t="s">
        <v>5187</v>
      </c>
      <c r="P971" s="2" t="s">
        <v>109</v>
      </c>
      <c r="Q971" s="2" t="s">
        <v>62</v>
      </c>
      <c r="R971" s="2" t="n">
        <v>0.8</v>
      </c>
      <c r="S971" s="2" t="s">
        <v>5188</v>
      </c>
      <c r="T971" s="2" t="s">
        <v>5189</v>
      </c>
      <c r="U971" s="2" t="s">
        <v>2619</v>
      </c>
      <c r="V971" s="2" t="s">
        <v>2620</v>
      </c>
      <c r="W971" s="2" t="s">
        <v>1875</v>
      </c>
      <c r="X971" s="2" t="s">
        <v>507</v>
      </c>
    </row>
    <row r="972" customFormat="false" ht="15" hidden="false" customHeight="false" outlineLevel="0" collapsed="false">
      <c r="A972" s="2" t="n">
        <v>1054</v>
      </c>
      <c r="B972" s="2" t="s">
        <v>5160</v>
      </c>
      <c r="C972" s="2" t="s">
        <v>5190</v>
      </c>
      <c r="D972" s="2" t="s">
        <v>1130</v>
      </c>
      <c r="E972" s="2" t="s">
        <v>5142</v>
      </c>
      <c r="F972" s="2"/>
      <c r="G972" s="2"/>
      <c r="H972" s="2" t="s">
        <v>5142</v>
      </c>
      <c r="I972" s="2" t="s">
        <v>5133</v>
      </c>
      <c r="J972" s="2" t="n">
        <v>0.54</v>
      </c>
      <c r="K972" s="2" t="n">
        <v>123.06</v>
      </c>
      <c r="L972" s="2" t="s">
        <v>101</v>
      </c>
      <c r="M972" s="2" t="s">
        <v>60</v>
      </c>
      <c r="N972" s="2"/>
      <c r="O972" s="2" t="s">
        <v>5191</v>
      </c>
      <c r="P972" s="2" t="s">
        <v>5192</v>
      </c>
      <c r="Q972" s="2" t="s">
        <v>62</v>
      </c>
      <c r="R972" s="2" t="n">
        <v>0.5</v>
      </c>
      <c r="S972" s="2" t="s">
        <v>5193</v>
      </c>
      <c r="T972" s="2" t="s">
        <v>5194</v>
      </c>
      <c r="U972" s="2" t="s">
        <v>5195</v>
      </c>
      <c r="V972" s="2" t="s">
        <v>1238</v>
      </c>
      <c r="W972" s="2" t="s">
        <v>1793</v>
      </c>
      <c r="X972" s="2" t="s">
        <v>507</v>
      </c>
    </row>
    <row r="973" customFormat="false" ht="15" hidden="false" customHeight="false" outlineLevel="0" collapsed="false">
      <c r="A973" s="2" t="n">
        <v>1063</v>
      </c>
      <c r="B973" s="2" t="s">
        <v>5160</v>
      </c>
      <c r="C973" s="2" t="s">
        <v>5196</v>
      </c>
      <c r="D973" s="2" t="s">
        <v>121</v>
      </c>
      <c r="E973" s="2" t="s">
        <v>5197</v>
      </c>
      <c r="F973" s="2"/>
      <c r="G973" s="2"/>
      <c r="H973" s="2" t="s">
        <v>5142</v>
      </c>
      <c r="I973" s="2" t="s">
        <v>5133</v>
      </c>
      <c r="J973" s="2" t="n">
        <v>0.54</v>
      </c>
      <c r="K973" s="2" t="n">
        <v>123.06</v>
      </c>
      <c r="L973" s="2" t="s">
        <v>101</v>
      </c>
      <c r="M973" s="2" t="s">
        <v>60</v>
      </c>
      <c r="N973" s="2"/>
      <c r="O973" s="2" t="s">
        <v>5198</v>
      </c>
      <c r="P973" s="2" t="s">
        <v>5199</v>
      </c>
      <c r="Q973" s="2" t="s">
        <v>62</v>
      </c>
      <c r="R973" s="2" t="n">
        <v>0.75</v>
      </c>
      <c r="S973" s="2" t="s">
        <v>5200</v>
      </c>
      <c r="T973" s="2" t="s">
        <v>5201</v>
      </c>
      <c r="U973" s="2" t="s">
        <v>5202</v>
      </c>
      <c r="V973" s="2" t="s">
        <v>5203</v>
      </c>
      <c r="W973" s="2" t="s">
        <v>2939</v>
      </c>
      <c r="X973" s="2" t="s">
        <v>507</v>
      </c>
    </row>
    <row r="974" customFormat="false" ht="15" hidden="false" customHeight="false" outlineLevel="0" collapsed="false">
      <c r="A974" s="2" t="n">
        <v>1069</v>
      </c>
      <c r="B974" s="2" t="s">
        <v>5160</v>
      </c>
      <c r="C974" s="2" t="s">
        <v>5204</v>
      </c>
      <c r="D974" s="2" t="s">
        <v>134</v>
      </c>
      <c r="E974" s="2" t="s">
        <v>5205</v>
      </c>
      <c r="F974" s="2"/>
      <c r="G974" s="2" t="s">
        <v>5206</v>
      </c>
      <c r="H974" s="2" t="s">
        <v>5207</v>
      </c>
      <c r="I974" s="2" t="s">
        <v>5133</v>
      </c>
      <c r="J974" s="2" t="n">
        <v>0.47</v>
      </c>
      <c r="K974" s="2" t="n">
        <v>121.94</v>
      </c>
      <c r="L974" s="2" t="s">
        <v>84</v>
      </c>
      <c r="M974" s="2" t="s">
        <v>60</v>
      </c>
      <c r="N974" s="2"/>
      <c r="O974" s="2" t="s">
        <v>5208</v>
      </c>
      <c r="P974" s="2" t="s">
        <v>109</v>
      </c>
      <c r="Q974" s="2" t="s">
        <v>62</v>
      </c>
      <c r="R974" s="2" t="n">
        <v>0.4</v>
      </c>
      <c r="S974" s="2" t="s">
        <v>5209</v>
      </c>
      <c r="T974" s="2" t="s">
        <v>5210</v>
      </c>
      <c r="U974" s="2" t="s">
        <v>5211</v>
      </c>
      <c r="V974" s="2" t="s">
        <v>2652</v>
      </c>
      <c r="W974" s="2" t="s">
        <v>3744</v>
      </c>
      <c r="X974" s="2" t="s">
        <v>507</v>
      </c>
    </row>
    <row r="975" customFormat="false" ht="15" hidden="false" customHeight="false" outlineLevel="0" collapsed="false">
      <c r="A975" s="2" t="n">
        <v>1071</v>
      </c>
      <c r="B975" s="2" t="s">
        <v>5160</v>
      </c>
      <c r="C975" s="2" t="s">
        <v>5212</v>
      </c>
      <c r="D975" s="2" t="s">
        <v>53</v>
      </c>
      <c r="E975" s="2" t="s">
        <v>5213</v>
      </c>
      <c r="F975" s="2" t="s">
        <v>5214</v>
      </c>
      <c r="G975" s="2" t="s">
        <v>5215</v>
      </c>
      <c r="H975" s="2" t="s">
        <v>950</v>
      </c>
      <c r="I975" s="2" t="s">
        <v>184</v>
      </c>
      <c r="J975" s="2" t="n">
        <v>-7.258</v>
      </c>
      <c r="K975" s="2" t="n">
        <v>112.748</v>
      </c>
      <c r="L975" s="2" t="s">
        <v>59</v>
      </c>
      <c r="M975" s="2" t="s">
        <v>60</v>
      </c>
      <c r="N975" s="2"/>
      <c r="O975" s="2" t="s">
        <v>5216</v>
      </c>
      <c r="P975" s="2"/>
      <c r="Q975" s="2" t="s">
        <v>62</v>
      </c>
      <c r="R975" s="2" t="n">
        <v>0.8</v>
      </c>
      <c r="S975" s="2" t="s">
        <v>5217</v>
      </c>
      <c r="T975" s="2" t="s">
        <v>5218</v>
      </c>
      <c r="U975" s="2" t="s">
        <v>2722</v>
      </c>
      <c r="V975" s="2" t="s">
        <v>420</v>
      </c>
      <c r="W975" s="2" t="s">
        <v>2723</v>
      </c>
      <c r="X975" s="2" t="s">
        <v>507</v>
      </c>
    </row>
    <row r="976" customFormat="false" ht="15" hidden="false" customHeight="false" outlineLevel="0" collapsed="false">
      <c r="A976" s="2" t="n">
        <v>1072</v>
      </c>
      <c r="B976" s="2" t="s">
        <v>5160</v>
      </c>
      <c r="C976" s="2" t="s">
        <v>5219</v>
      </c>
      <c r="D976" s="2" t="s">
        <v>53</v>
      </c>
      <c r="E976" s="2" t="s">
        <v>5220</v>
      </c>
      <c r="F976" s="2" t="s">
        <v>5221</v>
      </c>
      <c r="G976" s="2" t="s">
        <v>5222</v>
      </c>
      <c r="H976" s="2" t="s">
        <v>5223</v>
      </c>
      <c r="I976" s="2" t="s">
        <v>5133</v>
      </c>
      <c r="J976" s="2" t="n">
        <v>0.51</v>
      </c>
      <c r="K976" s="2" t="n">
        <v>122.34</v>
      </c>
      <c r="L976" s="2" t="s">
        <v>84</v>
      </c>
      <c r="M976" s="2" t="s">
        <v>60</v>
      </c>
      <c r="N976" s="2"/>
      <c r="O976" s="2" t="s">
        <v>5224</v>
      </c>
      <c r="P976" s="2"/>
      <c r="Q976" s="2" t="s">
        <v>62</v>
      </c>
      <c r="R976" s="2" t="n">
        <v>0.55</v>
      </c>
      <c r="S976" s="2" t="s">
        <v>5225</v>
      </c>
      <c r="T976" s="2" t="s">
        <v>5226</v>
      </c>
      <c r="U976" s="2" t="s">
        <v>5227</v>
      </c>
      <c r="V976" s="2" t="s">
        <v>745</v>
      </c>
      <c r="W976" s="2" t="s">
        <v>697</v>
      </c>
      <c r="X976" s="2" t="s">
        <v>507</v>
      </c>
    </row>
    <row r="977" customFormat="false" ht="15" hidden="false" customHeight="false" outlineLevel="0" collapsed="false">
      <c r="A977" s="2" t="n">
        <v>1073</v>
      </c>
      <c r="B977" s="2" t="s">
        <v>5160</v>
      </c>
      <c r="C977" s="2" t="s">
        <v>5228</v>
      </c>
      <c r="D977" s="2" t="s">
        <v>53</v>
      </c>
      <c r="E977" s="2" t="s">
        <v>5229</v>
      </c>
      <c r="F977" s="2" t="s">
        <v>2394</v>
      </c>
      <c r="G977" s="2" t="s">
        <v>2395</v>
      </c>
      <c r="H977" s="2" t="s">
        <v>655</v>
      </c>
      <c r="I977" s="2" t="s">
        <v>656</v>
      </c>
      <c r="J977" s="2" t="n">
        <v>1.11</v>
      </c>
      <c r="K977" s="2" t="n">
        <v>103.96</v>
      </c>
      <c r="L977" s="2" t="s">
        <v>59</v>
      </c>
      <c r="M977" s="2" t="s">
        <v>60</v>
      </c>
      <c r="N977" s="2"/>
      <c r="O977" s="2" t="s">
        <v>5230</v>
      </c>
      <c r="P977" s="2"/>
      <c r="Q977" s="2" t="s">
        <v>62</v>
      </c>
      <c r="R977" s="2" t="n">
        <v>0.7</v>
      </c>
      <c r="S977" s="2" t="s">
        <v>5231</v>
      </c>
      <c r="T977" s="2" t="s">
        <v>5218</v>
      </c>
      <c r="U977" s="2" t="s">
        <v>5232</v>
      </c>
      <c r="V977" s="2" t="s">
        <v>420</v>
      </c>
      <c r="W977" s="2" t="s">
        <v>3888</v>
      </c>
      <c r="X977" s="2" t="s">
        <v>507</v>
      </c>
    </row>
    <row r="978" customFormat="false" ht="15" hidden="false" customHeight="false" outlineLevel="0" collapsed="false">
      <c r="A978" s="2" t="n">
        <v>1073</v>
      </c>
      <c r="B978" s="2" t="s">
        <v>5160</v>
      </c>
      <c r="C978" s="2" t="s">
        <v>5233</v>
      </c>
      <c r="D978" s="2" t="s">
        <v>134</v>
      </c>
      <c r="E978" s="2" t="s">
        <v>5234</v>
      </c>
      <c r="F978" s="2" t="s">
        <v>339</v>
      </c>
      <c r="G978" s="2" t="s">
        <v>654</v>
      </c>
      <c r="H978" s="2" t="s">
        <v>655</v>
      </c>
      <c r="I978" s="2" t="s">
        <v>656</v>
      </c>
      <c r="J978" s="2" t="n">
        <v>1.13</v>
      </c>
      <c r="K978" s="2" t="n">
        <v>104.05</v>
      </c>
      <c r="L978" s="2" t="s">
        <v>84</v>
      </c>
      <c r="M978" s="2" t="s">
        <v>60</v>
      </c>
      <c r="N978" s="2"/>
      <c r="O978" s="2" t="s">
        <v>5235</v>
      </c>
      <c r="P978" s="2"/>
      <c r="Q978" s="2" t="s">
        <v>62</v>
      </c>
      <c r="R978" s="2" t="n">
        <v>0.7</v>
      </c>
      <c r="S978" s="2" t="s">
        <v>5231</v>
      </c>
      <c r="T978" s="2" t="s">
        <v>5218</v>
      </c>
      <c r="U978" s="2" t="s">
        <v>5232</v>
      </c>
      <c r="V978" s="2" t="s">
        <v>420</v>
      </c>
      <c r="W978" s="2" t="s">
        <v>3888</v>
      </c>
      <c r="X978" s="2" t="s">
        <v>507</v>
      </c>
    </row>
    <row r="979" customFormat="false" ht="15" hidden="false" customHeight="false" outlineLevel="0" collapsed="false">
      <c r="A979" s="2" t="n">
        <v>1073</v>
      </c>
      <c r="B979" s="2" t="s">
        <v>5160</v>
      </c>
      <c r="C979" s="2" t="s">
        <v>5236</v>
      </c>
      <c r="D979" s="2" t="s">
        <v>53</v>
      </c>
      <c r="E979" s="2" t="s">
        <v>5237</v>
      </c>
      <c r="F979" s="2" t="s">
        <v>653</v>
      </c>
      <c r="G979" s="2" t="s">
        <v>654</v>
      </c>
      <c r="H979" s="2" t="s">
        <v>655</v>
      </c>
      <c r="I979" s="2" t="s">
        <v>656</v>
      </c>
      <c r="J979" s="2" t="n">
        <v>1.13</v>
      </c>
      <c r="K979" s="2" t="n">
        <v>104.05</v>
      </c>
      <c r="L979" s="2" t="s">
        <v>84</v>
      </c>
      <c r="M979" s="2" t="s">
        <v>60</v>
      </c>
      <c r="N979" s="2"/>
      <c r="O979" s="2" t="s">
        <v>5238</v>
      </c>
      <c r="P979" s="2"/>
      <c r="Q979" s="2" t="s">
        <v>62</v>
      </c>
      <c r="R979" s="2" t="n">
        <v>0.6</v>
      </c>
      <c r="S979" s="2" t="s">
        <v>5231</v>
      </c>
      <c r="T979" s="2" t="s">
        <v>5218</v>
      </c>
      <c r="U979" s="2" t="s">
        <v>5232</v>
      </c>
      <c r="V979" s="2" t="s">
        <v>420</v>
      </c>
      <c r="W979" s="2" t="s">
        <v>3888</v>
      </c>
      <c r="X979" s="2" t="s">
        <v>507</v>
      </c>
    </row>
    <row r="980" customFormat="false" ht="15" hidden="false" customHeight="false" outlineLevel="0" collapsed="false">
      <c r="A980" s="2" t="n">
        <v>1073</v>
      </c>
      <c r="B980" s="2" t="s">
        <v>5160</v>
      </c>
      <c r="C980" s="2" t="s">
        <v>5239</v>
      </c>
      <c r="D980" s="2" t="s">
        <v>134</v>
      </c>
      <c r="E980" s="2" t="s">
        <v>5240</v>
      </c>
      <c r="F980" s="2" t="s">
        <v>2279</v>
      </c>
      <c r="G980" s="2" t="s">
        <v>2266</v>
      </c>
      <c r="H980" s="2" t="s">
        <v>655</v>
      </c>
      <c r="I980" s="2" t="s">
        <v>656</v>
      </c>
      <c r="J980" s="2" t="n">
        <v>1.15</v>
      </c>
      <c r="K980" s="2" t="n">
        <v>104.12</v>
      </c>
      <c r="L980" s="2" t="s">
        <v>59</v>
      </c>
      <c r="M980" s="2" t="s">
        <v>60</v>
      </c>
      <c r="N980" s="2"/>
      <c r="O980" s="2" t="s">
        <v>5241</v>
      </c>
      <c r="P980" s="2"/>
      <c r="Q980" s="2" t="s">
        <v>62</v>
      </c>
      <c r="R980" s="2" t="n">
        <v>0.65</v>
      </c>
      <c r="S980" s="2" t="s">
        <v>5231</v>
      </c>
      <c r="T980" s="2" t="s">
        <v>5218</v>
      </c>
      <c r="U980" s="2" t="s">
        <v>5232</v>
      </c>
      <c r="V980" s="2" t="s">
        <v>420</v>
      </c>
      <c r="W980" s="2" t="s">
        <v>3888</v>
      </c>
      <c r="X980" s="2" t="s">
        <v>507</v>
      </c>
    </row>
    <row r="981" customFormat="false" ht="15" hidden="false" customHeight="false" outlineLevel="0" collapsed="false">
      <c r="A981" s="2" t="n">
        <v>1073</v>
      </c>
      <c r="B981" s="2" t="s">
        <v>5160</v>
      </c>
      <c r="C981" s="2" t="s">
        <v>5242</v>
      </c>
      <c r="D981" s="2" t="s">
        <v>53</v>
      </c>
      <c r="E981" s="2" t="s">
        <v>5243</v>
      </c>
      <c r="F981" s="2"/>
      <c r="G981" s="2"/>
      <c r="H981" s="2" t="s">
        <v>655</v>
      </c>
      <c r="I981" s="2" t="s">
        <v>656</v>
      </c>
      <c r="J981" s="2" t="n">
        <v>1.07</v>
      </c>
      <c r="K981" s="2" t="n">
        <v>104.03</v>
      </c>
      <c r="L981" s="2" t="s">
        <v>101</v>
      </c>
      <c r="M981" s="2" t="s">
        <v>60</v>
      </c>
      <c r="N981" s="2"/>
      <c r="O981" s="2" t="s">
        <v>5244</v>
      </c>
      <c r="P981" s="2"/>
      <c r="Q981" s="2" t="s">
        <v>62</v>
      </c>
      <c r="R981" s="2" t="n">
        <v>0.6</v>
      </c>
      <c r="S981" s="2" t="s">
        <v>5231</v>
      </c>
      <c r="T981" s="2" t="s">
        <v>5218</v>
      </c>
      <c r="U981" s="2" t="s">
        <v>5232</v>
      </c>
      <c r="V981" s="2" t="s">
        <v>420</v>
      </c>
      <c r="W981" s="2" t="s">
        <v>3888</v>
      </c>
      <c r="X981" s="2" t="s">
        <v>507</v>
      </c>
    </row>
    <row r="982" customFormat="false" ht="15" hidden="false" customHeight="false" outlineLevel="0" collapsed="false">
      <c r="A982" s="2" t="n">
        <v>1074</v>
      </c>
      <c r="B982" s="2" t="s">
        <v>5160</v>
      </c>
      <c r="C982" s="2" t="s">
        <v>5245</v>
      </c>
      <c r="D982" s="2" t="s">
        <v>410</v>
      </c>
      <c r="E982" s="2" t="s">
        <v>5246</v>
      </c>
      <c r="F982" s="2"/>
      <c r="G982" s="2"/>
      <c r="H982" s="2" t="s">
        <v>5247</v>
      </c>
      <c r="I982" s="2" t="s">
        <v>5248</v>
      </c>
      <c r="J982" s="2" t="n">
        <v>-1.25</v>
      </c>
      <c r="K982" s="2" t="n">
        <v>123.1</v>
      </c>
      <c r="L982" s="2" t="s">
        <v>101</v>
      </c>
      <c r="M982" s="2" t="s">
        <v>340</v>
      </c>
      <c r="N982" s="2" t="s">
        <v>5249</v>
      </c>
      <c r="O982" s="2" t="s">
        <v>5250</v>
      </c>
      <c r="P982" s="2"/>
      <c r="Q982" s="2" t="s">
        <v>110</v>
      </c>
      <c r="R982" s="2" t="n">
        <v>0.75</v>
      </c>
      <c r="S982" s="2" t="s">
        <v>5251</v>
      </c>
      <c r="T982" s="2" t="s">
        <v>580</v>
      </c>
      <c r="U982" s="2" t="s">
        <v>2730</v>
      </c>
      <c r="V982" s="2" t="s">
        <v>494</v>
      </c>
      <c r="W982" s="2" t="s">
        <v>2731</v>
      </c>
      <c r="X982" s="2" t="s">
        <v>507</v>
      </c>
    </row>
    <row r="983" customFormat="false" ht="15" hidden="false" customHeight="false" outlineLevel="0" collapsed="false">
      <c r="A983" s="2" t="n">
        <v>1075</v>
      </c>
      <c r="B983" s="2" t="s">
        <v>5160</v>
      </c>
      <c r="C983" s="2" t="s">
        <v>5252</v>
      </c>
      <c r="D983" s="2" t="s">
        <v>410</v>
      </c>
      <c r="E983" s="2" t="s">
        <v>5253</v>
      </c>
      <c r="F983" s="2" t="s">
        <v>5254</v>
      </c>
      <c r="G983" s="2" t="s">
        <v>5255</v>
      </c>
      <c r="H983" s="2" t="s">
        <v>5256</v>
      </c>
      <c r="I983" s="2" t="s">
        <v>5248</v>
      </c>
      <c r="J983" s="2" t="n">
        <v>1.05</v>
      </c>
      <c r="K983" s="2" t="n">
        <v>120.8</v>
      </c>
      <c r="L983" s="2" t="s">
        <v>101</v>
      </c>
      <c r="M983" s="2" t="s">
        <v>60</v>
      </c>
      <c r="N983" s="2"/>
      <c r="O983" s="2" t="s">
        <v>5257</v>
      </c>
      <c r="P983" s="2" t="s">
        <v>5135</v>
      </c>
      <c r="Q983" s="2" t="s">
        <v>110</v>
      </c>
      <c r="R983" s="2" t="n">
        <v>0.85</v>
      </c>
      <c r="S983" s="2" t="s">
        <v>5258</v>
      </c>
      <c r="T983" s="2" t="s">
        <v>95</v>
      </c>
      <c r="U983" s="2" t="s">
        <v>2749</v>
      </c>
      <c r="V983" s="2" t="s">
        <v>2750</v>
      </c>
      <c r="W983" s="2" t="s">
        <v>1768</v>
      </c>
      <c r="X983" s="2" t="s">
        <v>507</v>
      </c>
    </row>
    <row r="984" customFormat="false" ht="15" hidden="false" customHeight="false" outlineLevel="0" collapsed="false">
      <c r="A984" s="2" t="n">
        <v>1076</v>
      </c>
      <c r="B984" s="2" t="s">
        <v>5160</v>
      </c>
      <c r="C984" s="2" t="s">
        <v>5259</v>
      </c>
      <c r="D984" s="2" t="s">
        <v>410</v>
      </c>
      <c r="E984" s="2" t="s">
        <v>5260</v>
      </c>
      <c r="F984" s="2"/>
      <c r="G984" s="2" t="s">
        <v>5261</v>
      </c>
      <c r="H984" s="2" t="s">
        <v>5262</v>
      </c>
      <c r="I984" s="2" t="s">
        <v>5248</v>
      </c>
      <c r="J984" s="2" t="n">
        <v>-2.3</v>
      </c>
      <c r="K984" s="2" t="n">
        <v>121.9</v>
      </c>
      <c r="L984" s="2" t="s">
        <v>101</v>
      </c>
      <c r="M984" s="2" t="s">
        <v>60</v>
      </c>
      <c r="N984" s="2"/>
      <c r="O984" s="2" t="s">
        <v>5263</v>
      </c>
      <c r="P984" s="2"/>
      <c r="Q984" s="2" t="s">
        <v>62</v>
      </c>
      <c r="R984" s="2" t="n">
        <v>0.8</v>
      </c>
      <c r="S984" s="2" t="s">
        <v>5264</v>
      </c>
      <c r="T984" s="2" t="s">
        <v>95</v>
      </c>
      <c r="U984" s="2" t="s">
        <v>2767</v>
      </c>
      <c r="V984" s="2" t="s">
        <v>2768</v>
      </c>
      <c r="W984" s="2" t="s">
        <v>370</v>
      </c>
      <c r="X984" s="2" t="s">
        <v>507</v>
      </c>
    </row>
    <row r="985" customFormat="false" ht="15" hidden="false" customHeight="false" outlineLevel="0" collapsed="false">
      <c r="A985" s="2" t="n">
        <v>1076</v>
      </c>
      <c r="B985" s="2" t="s">
        <v>5160</v>
      </c>
      <c r="C985" s="2" t="s">
        <v>5265</v>
      </c>
      <c r="D985" s="2" t="s">
        <v>410</v>
      </c>
      <c r="E985" s="2" t="s">
        <v>5266</v>
      </c>
      <c r="F985" s="2"/>
      <c r="G985" s="2" t="s">
        <v>5261</v>
      </c>
      <c r="H985" s="2" t="s">
        <v>5262</v>
      </c>
      <c r="I985" s="2" t="s">
        <v>5248</v>
      </c>
      <c r="J985" s="2" t="n">
        <v>-2.3</v>
      </c>
      <c r="K985" s="2" t="n">
        <v>121.9</v>
      </c>
      <c r="L985" s="2" t="s">
        <v>101</v>
      </c>
      <c r="M985" s="2" t="s">
        <v>60</v>
      </c>
      <c r="N985" s="2"/>
      <c r="O985" s="2" t="s">
        <v>5267</v>
      </c>
      <c r="P985" s="2"/>
      <c r="Q985" s="2" t="s">
        <v>62</v>
      </c>
      <c r="R985" s="2" t="n">
        <v>0.65</v>
      </c>
      <c r="S985" s="2" t="s">
        <v>5264</v>
      </c>
      <c r="T985" s="2" t="s">
        <v>95</v>
      </c>
      <c r="U985" s="2" t="s">
        <v>2767</v>
      </c>
      <c r="V985" s="2" t="s">
        <v>2768</v>
      </c>
      <c r="W985" s="2" t="s">
        <v>370</v>
      </c>
      <c r="X985" s="2" t="s">
        <v>507</v>
      </c>
    </row>
    <row r="986" customFormat="false" ht="15" hidden="false" customHeight="false" outlineLevel="0" collapsed="false">
      <c r="A986" s="2" t="n">
        <v>1077</v>
      </c>
      <c r="B986" s="2" t="s">
        <v>5160</v>
      </c>
      <c r="C986" s="2" t="s">
        <v>5268</v>
      </c>
      <c r="D986" s="2" t="s">
        <v>410</v>
      </c>
      <c r="E986" s="2" t="s">
        <v>5269</v>
      </c>
      <c r="F986" s="2"/>
      <c r="G986" s="2" t="s">
        <v>5270</v>
      </c>
      <c r="H986" s="2" t="s">
        <v>5271</v>
      </c>
      <c r="I986" s="2" t="s">
        <v>5248</v>
      </c>
      <c r="J986" s="2" t="n">
        <v>-1.32</v>
      </c>
      <c r="K986" s="2" t="n">
        <v>120.08</v>
      </c>
      <c r="L986" s="2" t="s">
        <v>124</v>
      </c>
      <c r="M986" s="2" t="s">
        <v>60</v>
      </c>
      <c r="N986" s="2"/>
      <c r="O986" s="2" t="s">
        <v>5272</v>
      </c>
      <c r="P986" s="2" t="s">
        <v>1001</v>
      </c>
      <c r="Q986" s="2" t="s">
        <v>110</v>
      </c>
      <c r="R986" s="2" t="n">
        <v>0.9</v>
      </c>
      <c r="S986" s="2" t="s">
        <v>5273</v>
      </c>
      <c r="T986" s="2" t="s">
        <v>95</v>
      </c>
      <c r="U986" s="2" t="s">
        <v>2778</v>
      </c>
      <c r="V986" s="2" t="s">
        <v>965</v>
      </c>
      <c r="W986" s="2" t="s">
        <v>2158</v>
      </c>
      <c r="X986" s="2" t="s">
        <v>507</v>
      </c>
    </row>
    <row r="987" customFormat="false" ht="15" hidden="false" customHeight="false" outlineLevel="0" collapsed="false">
      <c r="A987" s="2" t="n">
        <v>1079</v>
      </c>
      <c r="B987" s="2" t="s">
        <v>5160</v>
      </c>
      <c r="C987" s="2" t="s">
        <v>5274</v>
      </c>
      <c r="D987" s="2" t="s">
        <v>351</v>
      </c>
      <c r="E987" s="2" t="s">
        <v>5275</v>
      </c>
      <c r="F987" s="2"/>
      <c r="G987" s="2"/>
      <c r="H987" s="2"/>
      <c r="I987" s="2"/>
      <c r="J987" s="2"/>
      <c r="K987" s="2"/>
      <c r="L987" s="2"/>
      <c r="M987" s="2" t="s">
        <v>340</v>
      </c>
      <c r="N987" s="2" t="s">
        <v>5276</v>
      </c>
      <c r="O987" s="2" t="s">
        <v>5277</v>
      </c>
      <c r="P987" s="2" t="s">
        <v>692</v>
      </c>
      <c r="Q987" s="2" t="s">
        <v>62</v>
      </c>
      <c r="R987" s="2" t="n">
        <v>0.3</v>
      </c>
      <c r="S987" s="2" t="s">
        <v>5278</v>
      </c>
      <c r="T987" s="2" t="s">
        <v>4036</v>
      </c>
      <c r="U987" s="2" t="s">
        <v>5279</v>
      </c>
      <c r="V987" s="2" t="s">
        <v>2851</v>
      </c>
      <c r="W987" s="2" t="s">
        <v>4923</v>
      </c>
      <c r="X987" s="2" t="s">
        <v>507</v>
      </c>
    </row>
    <row r="988" customFormat="false" ht="15" hidden="false" customHeight="false" outlineLevel="0" collapsed="false">
      <c r="A988" s="2" t="n">
        <v>1086</v>
      </c>
      <c r="B988" s="2" t="s">
        <v>5280</v>
      </c>
      <c r="C988" s="2" t="s">
        <v>5281</v>
      </c>
      <c r="D988" s="2" t="s">
        <v>121</v>
      </c>
      <c r="E988" s="2" t="s">
        <v>5282</v>
      </c>
      <c r="F988" s="2"/>
      <c r="G988" s="2"/>
      <c r="H988" s="2" t="s">
        <v>5283</v>
      </c>
      <c r="I988" s="2" t="s">
        <v>5248</v>
      </c>
      <c r="J988" s="2" t="n">
        <v>-0.9</v>
      </c>
      <c r="K988" s="2" t="n">
        <v>119.87</v>
      </c>
      <c r="L988" s="2" t="s">
        <v>101</v>
      </c>
      <c r="M988" s="2" t="s">
        <v>60</v>
      </c>
      <c r="N988" s="2"/>
      <c r="O988" s="2" t="s">
        <v>5284</v>
      </c>
      <c r="P988" s="2" t="s">
        <v>5285</v>
      </c>
      <c r="Q988" s="2" t="s">
        <v>62</v>
      </c>
      <c r="R988" s="2" t="n">
        <v>0.7</v>
      </c>
      <c r="S988" s="2" t="s">
        <v>5286</v>
      </c>
      <c r="T988" s="2" t="s">
        <v>3524</v>
      </c>
      <c r="U988" s="2" t="s">
        <v>2833</v>
      </c>
      <c r="V988" s="2" t="s">
        <v>745</v>
      </c>
      <c r="W988" s="2" t="s">
        <v>2168</v>
      </c>
      <c r="X988" s="2" t="s">
        <v>507</v>
      </c>
    </row>
    <row r="989" customFormat="false" ht="15" hidden="false" customHeight="false" outlineLevel="0" collapsed="false">
      <c r="A989" s="2" t="n">
        <v>1087</v>
      </c>
      <c r="B989" s="2" t="s">
        <v>5280</v>
      </c>
      <c r="C989" s="2" t="s">
        <v>5287</v>
      </c>
      <c r="D989" s="2" t="s">
        <v>121</v>
      </c>
      <c r="E989" s="2" t="s">
        <v>5288</v>
      </c>
      <c r="F989" s="2"/>
      <c r="G989" s="2"/>
      <c r="H989" s="2" t="s">
        <v>5289</v>
      </c>
      <c r="I989" s="2" t="s">
        <v>5290</v>
      </c>
      <c r="J989" s="2" t="n">
        <v>-2.6</v>
      </c>
      <c r="K989" s="2" t="n">
        <v>119.1</v>
      </c>
      <c r="L989" s="2" t="s">
        <v>101</v>
      </c>
      <c r="M989" s="2" t="s">
        <v>60</v>
      </c>
      <c r="N989" s="2"/>
      <c r="O989" s="2" t="s">
        <v>5291</v>
      </c>
      <c r="P989" s="2" t="s">
        <v>5292</v>
      </c>
      <c r="Q989" s="2" t="s">
        <v>62</v>
      </c>
      <c r="R989" s="2" t="n">
        <v>0.5</v>
      </c>
      <c r="S989" s="2" t="s">
        <v>5293</v>
      </c>
      <c r="T989" s="2" t="s">
        <v>3524</v>
      </c>
      <c r="U989" s="2" t="s">
        <v>2839</v>
      </c>
      <c r="V989" s="2" t="s">
        <v>2840</v>
      </c>
      <c r="W989" s="2" t="s">
        <v>1509</v>
      </c>
      <c r="X989" s="2" t="s">
        <v>507</v>
      </c>
    </row>
    <row r="990" customFormat="false" ht="15" hidden="false" customHeight="false" outlineLevel="0" collapsed="false">
      <c r="A990" s="2" t="n">
        <v>1088</v>
      </c>
      <c r="B990" s="2" t="s">
        <v>5280</v>
      </c>
      <c r="C990" s="2" t="s">
        <v>5294</v>
      </c>
      <c r="D990" s="2" t="s">
        <v>121</v>
      </c>
      <c r="E990" s="2" t="s">
        <v>5133</v>
      </c>
      <c r="F990" s="2"/>
      <c r="G990" s="2"/>
      <c r="H990" s="2"/>
      <c r="I990" s="2" t="s">
        <v>5133</v>
      </c>
      <c r="J990" s="2" t="n">
        <v>0.7</v>
      </c>
      <c r="K990" s="2" t="n">
        <v>122.45</v>
      </c>
      <c r="L990" s="2" t="s">
        <v>239</v>
      </c>
      <c r="M990" s="2" t="s">
        <v>340</v>
      </c>
      <c r="N990" s="2" t="s">
        <v>5295</v>
      </c>
      <c r="O990" s="2" t="s">
        <v>5296</v>
      </c>
      <c r="P990" s="2" t="s">
        <v>702</v>
      </c>
      <c r="Q990" s="2" t="s">
        <v>62</v>
      </c>
      <c r="R990" s="2" t="n">
        <v>0.6</v>
      </c>
      <c r="S990" s="2" t="s">
        <v>5297</v>
      </c>
      <c r="T990" s="2" t="s">
        <v>3524</v>
      </c>
      <c r="U990" s="2" t="s">
        <v>2845</v>
      </c>
      <c r="V990" s="2" t="s">
        <v>1314</v>
      </c>
      <c r="W990" s="2" t="s">
        <v>2846</v>
      </c>
      <c r="X990" s="2" t="s">
        <v>507</v>
      </c>
    </row>
    <row r="991" customFormat="false" ht="15" hidden="false" customHeight="false" outlineLevel="0" collapsed="false">
      <c r="A991" s="2" t="n">
        <v>1089</v>
      </c>
      <c r="B991" s="2" t="s">
        <v>5280</v>
      </c>
      <c r="C991" s="2" t="s">
        <v>5298</v>
      </c>
      <c r="D991" s="2" t="s">
        <v>410</v>
      </c>
      <c r="E991" s="2" t="s">
        <v>5299</v>
      </c>
      <c r="F991" s="2" t="s">
        <v>5300</v>
      </c>
      <c r="G991" s="2" t="s">
        <v>5301</v>
      </c>
      <c r="H991" s="2" t="s">
        <v>5289</v>
      </c>
      <c r="I991" s="2" t="s">
        <v>5290</v>
      </c>
      <c r="J991" s="2" t="n">
        <v>-2.48</v>
      </c>
      <c r="K991" s="2" t="n">
        <v>118.95</v>
      </c>
      <c r="L991" s="2" t="s">
        <v>84</v>
      </c>
      <c r="M991" s="2" t="s">
        <v>60</v>
      </c>
      <c r="N991" s="2"/>
      <c r="O991" s="2" t="s">
        <v>5302</v>
      </c>
      <c r="P991" s="2" t="s">
        <v>2712</v>
      </c>
      <c r="Q991" s="2" t="s">
        <v>110</v>
      </c>
      <c r="R991" s="2" t="n">
        <v>0.6</v>
      </c>
      <c r="S991" s="2" t="s">
        <v>5303</v>
      </c>
      <c r="T991" s="2" t="s">
        <v>5304</v>
      </c>
      <c r="U991" s="2" t="s">
        <v>5305</v>
      </c>
      <c r="V991" s="2" t="s">
        <v>745</v>
      </c>
      <c r="W991" s="2" t="s">
        <v>1324</v>
      </c>
      <c r="X991" s="2" t="s">
        <v>507</v>
      </c>
    </row>
    <row r="992" customFormat="false" ht="15" hidden="false" customHeight="false" outlineLevel="0" collapsed="false">
      <c r="A992" s="2" t="n">
        <v>1093</v>
      </c>
      <c r="B992" s="2" t="s">
        <v>5280</v>
      </c>
      <c r="C992" s="2" t="s">
        <v>5306</v>
      </c>
      <c r="D992" s="2" t="s">
        <v>134</v>
      </c>
      <c r="E992" s="2" t="s">
        <v>5307</v>
      </c>
      <c r="F992" s="2"/>
      <c r="G992" s="2" t="s">
        <v>5308</v>
      </c>
      <c r="H992" s="2" t="s">
        <v>5309</v>
      </c>
      <c r="I992" s="2" t="s">
        <v>184</v>
      </c>
      <c r="J992" s="2" t="n">
        <v>-8.15</v>
      </c>
      <c r="K992" s="2" t="n">
        <v>113.72</v>
      </c>
      <c r="L992" s="2" t="s">
        <v>84</v>
      </c>
      <c r="M992" s="2" t="s">
        <v>60</v>
      </c>
      <c r="N992" s="2"/>
      <c r="O992" s="2" t="s">
        <v>5310</v>
      </c>
      <c r="P992" s="2"/>
      <c r="Q992" s="2" t="s">
        <v>62</v>
      </c>
      <c r="R992" s="2" t="n">
        <v>0.8</v>
      </c>
      <c r="S992" s="2" t="s">
        <v>5311</v>
      </c>
      <c r="T992" s="2" t="s">
        <v>5312</v>
      </c>
      <c r="U992" s="2" t="s">
        <v>2866</v>
      </c>
      <c r="V992" s="2" t="s">
        <v>2867</v>
      </c>
      <c r="W992" s="2" t="s">
        <v>604</v>
      </c>
      <c r="X992" s="2" t="s">
        <v>507</v>
      </c>
    </row>
    <row r="993" customFormat="false" ht="15" hidden="false" customHeight="false" outlineLevel="0" collapsed="false">
      <c r="A993" s="2" t="n">
        <v>1095</v>
      </c>
      <c r="B993" s="2" t="s">
        <v>5280</v>
      </c>
      <c r="C993" s="2" t="s">
        <v>5313</v>
      </c>
      <c r="D993" s="2" t="s">
        <v>134</v>
      </c>
      <c r="E993" s="2" t="s">
        <v>5314</v>
      </c>
      <c r="F993" s="2" t="s">
        <v>5315</v>
      </c>
      <c r="G993" s="2" t="s">
        <v>862</v>
      </c>
      <c r="H993" s="2" t="s">
        <v>224</v>
      </c>
      <c r="I993" s="2" t="s">
        <v>184</v>
      </c>
      <c r="J993" s="2" t="n">
        <v>-7.987</v>
      </c>
      <c r="K993" s="2" t="n">
        <v>112.632</v>
      </c>
      <c r="L993" s="2" t="s">
        <v>59</v>
      </c>
      <c r="M993" s="2" t="s">
        <v>60</v>
      </c>
      <c r="N993" s="2"/>
      <c r="O993" s="2" t="s">
        <v>5316</v>
      </c>
      <c r="P993" s="2" t="s">
        <v>109</v>
      </c>
      <c r="Q993" s="2" t="s">
        <v>62</v>
      </c>
      <c r="R993" s="2" t="n">
        <v>0.7</v>
      </c>
      <c r="S993" s="2" t="s">
        <v>5317</v>
      </c>
      <c r="T993" s="2" t="s">
        <v>5312</v>
      </c>
      <c r="U993" s="2" t="s">
        <v>2871</v>
      </c>
      <c r="V993" s="2" t="s">
        <v>2750</v>
      </c>
      <c r="W993" s="2" t="s">
        <v>370</v>
      </c>
      <c r="X993" s="2" t="s">
        <v>507</v>
      </c>
    </row>
    <row r="994" customFormat="false" ht="15" hidden="false" customHeight="false" outlineLevel="0" collapsed="false">
      <c r="A994" s="2" t="n">
        <v>1099</v>
      </c>
      <c r="B994" s="2" t="s">
        <v>5280</v>
      </c>
      <c r="C994" s="2" t="s">
        <v>5318</v>
      </c>
      <c r="D994" s="2" t="s">
        <v>121</v>
      </c>
      <c r="E994" s="2" t="s">
        <v>5319</v>
      </c>
      <c r="F994" s="2"/>
      <c r="G994" s="2"/>
      <c r="H994" s="2" t="s">
        <v>5320</v>
      </c>
      <c r="I994" s="2" t="s">
        <v>5290</v>
      </c>
      <c r="J994" s="2" t="n">
        <v>-3.3</v>
      </c>
      <c r="K994" s="2" t="n">
        <v>118.95</v>
      </c>
      <c r="L994" s="2" t="s">
        <v>101</v>
      </c>
      <c r="M994" s="2" t="s">
        <v>60</v>
      </c>
      <c r="N994" s="2" t="s">
        <v>5321</v>
      </c>
      <c r="O994" s="2" t="s">
        <v>5322</v>
      </c>
      <c r="P994" s="2" t="s">
        <v>1678</v>
      </c>
      <c r="Q994" s="2" t="s">
        <v>62</v>
      </c>
      <c r="R994" s="2" t="n">
        <v>0.65</v>
      </c>
      <c r="S994" s="2" t="s">
        <v>5323</v>
      </c>
      <c r="T994" s="2" t="s">
        <v>3524</v>
      </c>
      <c r="U994" s="2" t="s">
        <v>5324</v>
      </c>
      <c r="V994" s="2" t="s">
        <v>2926</v>
      </c>
      <c r="W994" s="2" t="s">
        <v>1543</v>
      </c>
      <c r="X994" s="2" t="s">
        <v>507</v>
      </c>
    </row>
    <row r="995" customFormat="false" ht="15" hidden="false" customHeight="false" outlineLevel="0" collapsed="false">
      <c r="A995" s="2" t="n">
        <v>1099</v>
      </c>
      <c r="B995" s="2" t="s">
        <v>5280</v>
      </c>
      <c r="C995" s="2" t="s">
        <v>5325</v>
      </c>
      <c r="D995" s="2" t="s">
        <v>121</v>
      </c>
      <c r="E995" s="2" t="s">
        <v>5326</v>
      </c>
      <c r="F995" s="2"/>
      <c r="G995" s="2"/>
      <c r="H995" s="2" t="s">
        <v>5327</v>
      </c>
      <c r="I995" s="2" t="s">
        <v>403</v>
      </c>
      <c r="J995" s="2" t="n">
        <v>-4.7</v>
      </c>
      <c r="K995" s="2" t="n">
        <v>120.14</v>
      </c>
      <c r="L995" s="2" t="s">
        <v>101</v>
      </c>
      <c r="M995" s="2" t="s">
        <v>340</v>
      </c>
      <c r="N995" s="2"/>
      <c r="O995" s="2" t="s">
        <v>5328</v>
      </c>
      <c r="P995" s="2" t="s">
        <v>5329</v>
      </c>
      <c r="Q995" s="2" t="s">
        <v>62</v>
      </c>
      <c r="R995" s="2" t="n">
        <v>0.7</v>
      </c>
      <c r="S995" s="2" t="s">
        <v>5323</v>
      </c>
      <c r="T995" s="2" t="s">
        <v>3524</v>
      </c>
      <c r="U995" s="2" t="s">
        <v>5324</v>
      </c>
      <c r="V995" s="2" t="s">
        <v>2926</v>
      </c>
      <c r="W995" s="2" t="s">
        <v>1543</v>
      </c>
      <c r="X995" s="2" t="s">
        <v>507</v>
      </c>
    </row>
    <row r="996" customFormat="false" ht="15" hidden="false" customHeight="false" outlineLevel="0" collapsed="false">
      <c r="A996" s="2" t="n">
        <v>1100</v>
      </c>
      <c r="B996" s="2" t="s">
        <v>5280</v>
      </c>
      <c r="C996" s="2" t="s">
        <v>5330</v>
      </c>
      <c r="D996" s="2" t="s">
        <v>121</v>
      </c>
      <c r="E996" s="2" t="s">
        <v>5331</v>
      </c>
      <c r="F996" s="2"/>
      <c r="G996" s="2"/>
      <c r="H996" s="2" t="s">
        <v>5332</v>
      </c>
      <c r="I996" s="2" t="s">
        <v>5290</v>
      </c>
      <c r="J996" s="2" t="n">
        <v>-3.33</v>
      </c>
      <c r="K996" s="2" t="n">
        <v>119.15</v>
      </c>
      <c r="L996" s="2" t="s">
        <v>101</v>
      </c>
      <c r="M996" s="2" t="s">
        <v>60</v>
      </c>
      <c r="N996" s="2"/>
      <c r="O996" s="2" t="s">
        <v>5333</v>
      </c>
      <c r="P996" s="2" t="s">
        <v>5334</v>
      </c>
      <c r="Q996" s="2" t="s">
        <v>62</v>
      </c>
      <c r="R996" s="2" t="n">
        <v>0.5</v>
      </c>
      <c r="S996" s="2" t="s">
        <v>5335</v>
      </c>
      <c r="T996" s="2" t="s">
        <v>5336</v>
      </c>
      <c r="U996" s="2" t="s">
        <v>5337</v>
      </c>
      <c r="V996" s="2" t="s">
        <v>97</v>
      </c>
      <c r="W996" s="2" t="s">
        <v>1587</v>
      </c>
      <c r="X996" s="2" t="s">
        <v>507</v>
      </c>
    </row>
    <row r="997" customFormat="false" ht="15" hidden="false" customHeight="false" outlineLevel="0" collapsed="false">
      <c r="A997" s="2" t="n">
        <v>1105</v>
      </c>
      <c r="B997" s="2" t="s">
        <v>5280</v>
      </c>
      <c r="C997" s="2" t="s">
        <v>5338</v>
      </c>
      <c r="D997" s="2" t="s">
        <v>53</v>
      </c>
      <c r="E997" s="2" t="s">
        <v>5339</v>
      </c>
      <c r="F997" s="2"/>
      <c r="G997" s="2"/>
      <c r="H997" s="2" t="s">
        <v>479</v>
      </c>
      <c r="I997" s="2" t="s">
        <v>403</v>
      </c>
      <c r="J997" s="2" t="n">
        <v>-5.147</v>
      </c>
      <c r="K997" s="2" t="n">
        <v>119.432</v>
      </c>
      <c r="L997" s="2" t="s">
        <v>101</v>
      </c>
      <c r="M997" s="2" t="s">
        <v>60</v>
      </c>
      <c r="N997" s="2"/>
      <c r="O997" s="2" t="s">
        <v>5340</v>
      </c>
      <c r="P997" s="2"/>
      <c r="Q997" s="2" t="s">
        <v>62</v>
      </c>
      <c r="R997" s="2" t="n">
        <v>0.85</v>
      </c>
      <c r="S997" s="2" t="s">
        <v>5341</v>
      </c>
      <c r="T997" s="2" t="s">
        <v>5342</v>
      </c>
      <c r="U997" s="2" t="s">
        <v>5343</v>
      </c>
      <c r="V997" s="2" t="s">
        <v>2926</v>
      </c>
      <c r="W997" s="2" t="s">
        <v>331</v>
      </c>
      <c r="X997" s="2" t="s">
        <v>507</v>
      </c>
    </row>
    <row r="998" customFormat="false" ht="15" hidden="false" customHeight="false" outlineLevel="0" collapsed="false">
      <c r="A998" s="2" t="n">
        <v>1105</v>
      </c>
      <c r="B998" s="2" t="s">
        <v>5280</v>
      </c>
      <c r="C998" s="2" t="s">
        <v>5344</v>
      </c>
      <c r="D998" s="2" t="s">
        <v>53</v>
      </c>
      <c r="E998" s="2" t="s">
        <v>5339</v>
      </c>
      <c r="F998" s="2"/>
      <c r="G998" s="2"/>
      <c r="H998" s="2" t="s">
        <v>479</v>
      </c>
      <c r="I998" s="2" t="s">
        <v>403</v>
      </c>
      <c r="J998" s="2" t="n">
        <v>-5.147</v>
      </c>
      <c r="K998" s="2" t="n">
        <v>119.432</v>
      </c>
      <c r="L998" s="2" t="s">
        <v>101</v>
      </c>
      <c r="M998" s="2" t="s">
        <v>60</v>
      </c>
      <c r="N998" s="2"/>
      <c r="O998" s="2" t="s">
        <v>5345</v>
      </c>
      <c r="P998" s="2"/>
      <c r="Q998" s="2" t="s">
        <v>62</v>
      </c>
      <c r="R998" s="2" t="n">
        <v>0.85</v>
      </c>
      <c r="S998" s="2" t="s">
        <v>5341</v>
      </c>
      <c r="T998" s="2" t="s">
        <v>5342</v>
      </c>
      <c r="U998" s="2" t="s">
        <v>5343</v>
      </c>
      <c r="V998" s="2" t="s">
        <v>2926</v>
      </c>
      <c r="W998" s="2" t="s">
        <v>331</v>
      </c>
      <c r="X998" s="2" t="s">
        <v>507</v>
      </c>
    </row>
    <row r="999" customFormat="false" ht="15" hidden="false" customHeight="false" outlineLevel="0" collapsed="false">
      <c r="A999" s="2" t="n">
        <v>1107</v>
      </c>
      <c r="B999" s="2" t="s">
        <v>5280</v>
      </c>
      <c r="C999" s="2" t="s">
        <v>5346</v>
      </c>
      <c r="D999" s="2" t="s">
        <v>410</v>
      </c>
      <c r="E999" s="2" t="s">
        <v>5347</v>
      </c>
      <c r="F999" s="2"/>
      <c r="G999" s="2" t="s">
        <v>5348</v>
      </c>
      <c r="H999" s="2" t="s">
        <v>5349</v>
      </c>
      <c r="I999" s="2" t="s">
        <v>403</v>
      </c>
      <c r="J999" s="2" t="n">
        <v>-3.1</v>
      </c>
      <c r="K999" s="2" t="n">
        <v>119.855</v>
      </c>
      <c r="L999" s="2" t="s">
        <v>84</v>
      </c>
      <c r="M999" s="2" t="s">
        <v>60</v>
      </c>
      <c r="N999" s="2"/>
      <c r="O999" s="2" t="s">
        <v>5350</v>
      </c>
      <c r="P999" s="2"/>
      <c r="Q999" s="2" t="s">
        <v>62</v>
      </c>
      <c r="R999" s="2" t="n">
        <v>0.8</v>
      </c>
      <c r="S999" s="2" t="s">
        <v>5351</v>
      </c>
      <c r="T999" s="2" t="s">
        <v>5074</v>
      </c>
      <c r="U999" s="2" t="s">
        <v>2925</v>
      </c>
      <c r="V999" s="2" t="s">
        <v>2926</v>
      </c>
      <c r="W999" s="2" t="s">
        <v>2927</v>
      </c>
      <c r="X999" s="2" t="s">
        <v>507</v>
      </c>
    </row>
    <row r="1000" customFormat="false" ht="15" hidden="false" customHeight="false" outlineLevel="0" collapsed="false">
      <c r="A1000" s="2" t="n">
        <v>1107</v>
      </c>
      <c r="B1000" s="2" t="s">
        <v>5280</v>
      </c>
      <c r="C1000" s="2" t="s">
        <v>5352</v>
      </c>
      <c r="D1000" s="2" t="s">
        <v>410</v>
      </c>
      <c r="E1000" s="2" t="s">
        <v>5339</v>
      </c>
      <c r="F1000" s="2"/>
      <c r="G1000" s="2" t="s">
        <v>5353</v>
      </c>
      <c r="H1000" s="2" t="s">
        <v>479</v>
      </c>
      <c r="I1000" s="2" t="s">
        <v>403</v>
      </c>
      <c r="J1000" s="2" t="n">
        <v>-5.1</v>
      </c>
      <c r="K1000" s="2" t="n">
        <v>119.28</v>
      </c>
      <c r="L1000" s="2" t="s">
        <v>84</v>
      </c>
      <c r="M1000" s="2" t="s">
        <v>60</v>
      </c>
      <c r="N1000" s="2"/>
      <c r="O1000" s="2" t="s">
        <v>5354</v>
      </c>
      <c r="P1000" s="2"/>
      <c r="Q1000" s="2" t="s">
        <v>62</v>
      </c>
      <c r="R1000" s="2" t="n">
        <v>0.75</v>
      </c>
      <c r="S1000" s="2" t="s">
        <v>5351</v>
      </c>
      <c r="T1000" s="2" t="s">
        <v>5074</v>
      </c>
      <c r="U1000" s="2" t="s">
        <v>2925</v>
      </c>
      <c r="V1000" s="2" t="s">
        <v>2926</v>
      </c>
      <c r="W1000" s="2" t="s">
        <v>2927</v>
      </c>
      <c r="X1000" s="2" t="s">
        <v>507</v>
      </c>
    </row>
    <row r="1001" customFormat="false" ht="15" hidden="false" customHeight="false" outlineLevel="0" collapsed="false">
      <c r="A1001" s="2" t="n">
        <v>1107</v>
      </c>
      <c r="B1001" s="2" t="s">
        <v>5280</v>
      </c>
      <c r="C1001" s="2" t="s">
        <v>5355</v>
      </c>
      <c r="D1001" s="2" t="s">
        <v>410</v>
      </c>
      <c r="E1001" s="2" t="s">
        <v>5356</v>
      </c>
      <c r="F1001" s="2"/>
      <c r="G1001" s="2" t="s">
        <v>5357</v>
      </c>
      <c r="H1001" s="2" t="s">
        <v>5358</v>
      </c>
      <c r="I1001" s="2" t="s">
        <v>403</v>
      </c>
      <c r="J1001" s="2" t="n">
        <v>-5.56</v>
      </c>
      <c r="K1001" s="2" t="n">
        <v>120.44</v>
      </c>
      <c r="L1001" s="2" t="s">
        <v>84</v>
      </c>
      <c r="M1001" s="2" t="s">
        <v>60</v>
      </c>
      <c r="N1001" s="2"/>
      <c r="O1001" s="2" t="s">
        <v>5359</v>
      </c>
      <c r="P1001" s="2"/>
      <c r="Q1001" s="2" t="s">
        <v>62</v>
      </c>
      <c r="R1001" s="2" t="n">
        <v>0.75</v>
      </c>
      <c r="S1001" s="2" t="s">
        <v>5351</v>
      </c>
      <c r="T1001" s="2" t="s">
        <v>5074</v>
      </c>
      <c r="U1001" s="2" t="s">
        <v>2925</v>
      </c>
      <c r="V1001" s="2" t="s">
        <v>2926</v>
      </c>
      <c r="W1001" s="2" t="s">
        <v>2927</v>
      </c>
      <c r="X1001" s="2" t="s">
        <v>507</v>
      </c>
    </row>
    <row r="1002" customFormat="false" ht="15" hidden="false" customHeight="false" outlineLevel="0" collapsed="false">
      <c r="A1002" s="2" t="n">
        <v>1107</v>
      </c>
      <c r="B1002" s="2" t="s">
        <v>5280</v>
      </c>
      <c r="C1002" s="2" t="s">
        <v>5360</v>
      </c>
      <c r="D1002" s="2" t="s">
        <v>410</v>
      </c>
      <c r="E1002" s="2" t="s">
        <v>5361</v>
      </c>
      <c r="F1002" s="2"/>
      <c r="G1002" s="2"/>
      <c r="H1002" s="2" t="s">
        <v>5361</v>
      </c>
      <c r="I1002" s="2" t="s">
        <v>403</v>
      </c>
      <c r="J1002" s="2" t="n">
        <v>-3.5</v>
      </c>
      <c r="K1002" s="2" t="n">
        <v>119.87</v>
      </c>
      <c r="L1002" s="2" t="s">
        <v>101</v>
      </c>
      <c r="M1002" s="2" t="s">
        <v>60</v>
      </c>
      <c r="N1002" s="2"/>
      <c r="O1002" s="2" t="s">
        <v>5362</v>
      </c>
      <c r="P1002" s="2"/>
      <c r="Q1002" s="2" t="s">
        <v>62</v>
      </c>
      <c r="R1002" s="2" t="n">
        <v>0.7</v>
      </c>
      <c r="S1002" s="2" t="s">
        <v>5351</v>
      </c>
      <c r="T1002" s="2" t="s">
        <v>5074</v>
      </c>
      <c r="U1002" s="2" t="s">
        <v>2925</v>
      </c>
      <c r="V1002" s="2" t="s">
        <v>2926</v>
      </c>
      <c r="W1002" s="2" t="s">
        <v>2927</v>
      </c>
      <c r="X1002" s="2" t="s">
        <v>507</v>
      </c>
    </row>
    <row r="1003" customFormat="false" ht="15" hidden="false" customHeight="false" outlineLevel="0" collapsed="false">
      <c r="A1003" s="2" t="n">
        <v>1107</v>
      </c>
      <c r="B1003" s="2" t="s">
        <v>5280</v>
      </c>
      <c r="C1003" s="2" t="s">
        <v>5363</v>
      </c>
      <c r="D1003" s="2" t="s">
        <v>410</v>
      </c>
      <c r="E1003" s="2" t="s">
        <v>5364</v>
      </c>
      <c r="F1003" s="2" t="s">
        <v>5365</v>
      </c>
      <c r="G1003" s="2" t="s">
        <v>5366</v>
      </c>
      <c r="H1003" s="2" t="s">
        <v>5367</v>
      </c>
      <c r="I1003" s="2" t="s">
        <v>403</v>
      </c>
      <c r="J1003" s="2" t="n">
        <v>-4.918</v>
      </c>
      <c r="K1003" s="2" t="n">
        <v>119.598</v>
      </c>
      <c r="L1003" s="2" t="s">
        <v>59</v>
      </c>
      <c r="M1003" s="2" t="s">
        <v>60</v>
      </c>
      <c r="N1003" s="2"/>
      <c r="O1003" s="2" t="s">
        <v>5368</v>
      </c>
      <c r="P1003" s="2"/>
      <c r="Q1003" s="2" t="s">
        <v>62</v>
      </c>
      <c r="R1003" s="2" t="n">
        <v>0.75</v>
      </c>
      <c r="S1003" s="2" t="s">
        <v>5351</v>
      </c>
      <c r="T1003" s="2" t="s">
        <v>5074</v>
      </c>
      <c r="U1003" s="2" t="s">
        <v>2925</v>
      </c>
      <c r="V1003" s="2" t="s">
        <v>2926</v>
      </c>
      <c r="W1003" s="2" t="s">
        <v>2927</v>
      </c>
      <c r="X1003" s="2" t="s">
        <v>507</v>
      </c>
    </row>
    <row r="1004" customFormat="false" ht="15" hidden="false" customHeight="false" outlineLevel="0" collapsed="false">
      <c r="A1004" s="2" t="n">
        <v>1108</v>
      </c>
      <c r="B1004" s="2" t="s">
        <v>5280</v>
      </c>
      <c r="C1004" s="2" t="s">
        <v>5355</v>
      </c>
      <c r="D1004" s="2" t="s">
        <v>410</v>
      </c>
      <c r="E1004" s="2" t="s">
        <v>5369</v>
      </c>
      <c r="F1004" s="2" t="s">
        <v>5370</v>
      </c>
      <c r="G1004" s="2" t="s">
        <v>5357</v>
      </c>
      <c r="H1004" s="2" t="s">
        <v>5358</v>
      </c>
      <c r="I1004" s="2" t="s">
        <v>403</v>
      </c>
      <c r="J1004" s="2" t="n">
        <v>-5.56</v>
      </c>
      <c r="K1004" s="2" t="n">
        <v>120.44</v>
      </c>
      <c r="L1004" s="2" t="s">
        <v>84</v>
      </c>
      <c r="M1004" s="2" t="s">
        <v>60</v>
      </c>
      <c r="N1004" s="2" t="s">
        <v>5371</v>
      </c>
      <c r="O1004" s="2" t="s">
        <v>5372</v>
      </c>
      <c r="P1004" s="2" t="s">
        <v>5373</v>
      </c>
      <c r="Q1004" s="2" t="s">
        <v>110</v>
      </c>
      <c r="R1004" s="2" t="n">
        <v>0.7</v>
      </c>
      <c r="S1004" s="2" t="s">
        <v>5374</v>
      </c>
      <c r="T1004" s="2" t="s">
        <v>743</v>
      </c>
      <c r="U1004" s="2" t="s">
        <v>5375</v>
      </c>
      <c r="V1004" s="2" t="s">
        <v>5376</v>
      </c>
      <c r="W1004" s="2" t="s">
        <v>2431</v>
      </c>
      <c r="X1004" s="2" t="s">
        <v>507</v>
      </c>
    </row>
    <row r="1005" customFormat="false" ht="15" hidden="false" customHeight="false" outlineLevel="0" collapsed="false">
      <c r="A1005" s="2" t="n">
        <v>1109</v>
      </c>
      <c r="B1005" s="2" t="s">
        <v>5280</v>
      </c>
      <c r="C1005" s="2" t="s">
        <v>5355</v>
      </c>
      <c r="D1005" s="2" t="s">
        <v>410</v>
      </c>
      <c r="E1005" s="2" t="s">
        <v>5377</v>
      </c>
      <c r="F1005" s="2" t="s">
        <v>5378</v>
      </c>
      <c r="G1005" s="2" t="s">
        <v>5357</v>
      </c>
      <c r="H1005" s="2" t="s">
        <v>5358</v>
      </c>
      <c r="I1005" s="2" t="s">
        <v>403</v>
      </c>
      <c r="J1005" s="2" t="n">
        <v>-5.56</v>
      </c>
      <c r="K1005" s="2" t="n">
        <v>120.44</v>
      </c>
      <c r="L1005" s="2" t="s">
        <v>84</v>
      </c>
      <c r="M1005" s="2" t="s">
        <v>60</v>
      </c>
      <c r="N1005" s="2"/>
      <c r="O1005" s="2" t="s">
        <v>5379</v>
      </c>
      <c r="P1005" s="2" t="s">
        <v>5373</v>
      </c>
      <c r="Q1005" s="2" t="s">
        <v>110</v>
      </c>
      <c r="R1005" s="2" t="n">
        <v>0.7</v>
      </c>
      <c r="S1005" s="2" t="s">
        <v>5380</v>
      </c>
      <c r="T1005" s="2" t="s">
        <v>5381</v>
      </c>
      <c r="U1005" s="2" t="s">
        <v>5382</v>
      </c>
      <c r="V1005" s="2" t="s">
        <v>2926</v>
      </c>
      <c r="W1005" s="2" t="s">
        <v>2252</v>
      </c>
      <c r="X1005" s="2" t="s">
        <v>507</v>
      </c>
    </row>
    <row r="1006" customFormat="false" ht="15" hidden="false" customHeight="false" outlineLevel="0" collapsed="false">
      <c r="A1006" s="2" t="n">
        <v>1110</v>
      </c>
      <c r="B1006" s="2" t="s">
        <v>5383</v>
      </c>
      <c r="C1006" s="2" t="s">
        <v>5355</v>
      </c>
      <c r="D1006" s="2" t="s">
        <v>410</v>
      </c>
      <c r="E1006" s="2" t="s">
        <v>5369</v>
      </c>
      <c r="F1006" s="2" t="s">
        <v>5370</v>
      </c>
      <c r="G1006" s="2" t="s">
        <v>5357</v>
      </c>
      <c r="H1006" s="2" t="s">
        <v>5358</v>
      </c>
      <c r="I1006" s="2" t="s">
        <v>403</v>
      </c>
      <c r="J1006" s="2" t="n">
        <v>-5.56</v>
      </c>
      <c r="K1006" s="2" t="n">
        <v>120.44</v>
      </c>
      <c r="L1006" s="2" t="s">
        <v>84</v>
      </c>
      <c r="M1006" s="2" t="s">
        <v>60</v>
      </c>
      <c r="N1006" s="2" t="s">
        <v>5371</v>
      </c>
      <c r="O1006" s="2" t="s">
        <v>5384</v>
      </c>
      <c r="P1006" s="2" t="s">
        <v>5373</v>
      </c>
      <c r="Q1006" s="2" t="s">
        <v>110</v>
      </c>
      <c r="R1006" s="2" t="n">
        <v>0.7</v>
      </c>
      <c r="S1006" s="2" t="s">
        <v>5385</v>
      </c>
      <c r="T1006" s="2" t="s">
        <v>694</v>
      </c>
      <c r="U1006" s="2" t="s">
        <v>5386</v>
      </c>
      <c r="V1006" s="2" t="s">
        <v>5387</v>
      </c>
      <c r="W1006" s="2" t="s">
        <v>5388</v>
      </c>
      <c r="X1006" s="2" t="s">
        <v>507</v>
      </c>
    </row>
    <row r="1007" customFormat="false" ht="15" hidden="false" customHeight="false" outlineLevel="0" collapsed="false">
      <c r="A1007" s="2" t="n">
        <v>1111</v>
      </c>
      <c r="B1007" s="2" t="s">
        <v>5383</v>
      </c>
      <c r="C1007" s="2" t="s">
        <v>5389</v>
      </c>
      <c r="D1007" s="2" t="s">
        <v>410</v>
      </c>
      <c r="E1007" s="2" t="s">
        <v>5390</v>
      </c>
      <c r="F1007" s="2" t="s">
        <v>5370</v>
      </c>
      <c r="G1007" s="2" t="s">
        <v>5357</v>
      </c>
      <c r="H1007" s="2" t="s">
        <v>5358</v>
      </c>
      <c r="I1007" s="2" t="s">
        <v>403</v>
      </c>
      <c r="J1007" s="2" t="n">
        <v>-5.56</v>
      </c>
      <c r="K1007" s="2" t="n">
        <v>120.44</v>
      </c>
      <c r="L1007" s="2" t="s">
        <v>84</v>
      </c>
      <c r="M1007" s="2" t="s">
        <v>60</v>
      </c>
      <c r="N1007" s="2" t="s">
        <v>5371</v>
      </c>
      <c r="O1007" s="2" t="s">
        <v>5391</v>
      </c>
      <c r="P1007" s="2" t="s">
        <v>5392</v>
      </c>
      <c r="Q1007" s="2" t="s">
        <v>110</v>
      </c>
      <c r="R1007" s="2" t="n">
        <v>0.65</v>
      </c>
      <c r="S1007" s="2" t="s">
        <v>5393</v>
      </c>
      <c r="T1007" s="2" t="s">
        <v>743</v>
      </c>
      <c r="U1007" s="2" t="s">
        <v>5394</v>
      </c>
      <c r="V1007" s="2" t="s">
        <v>2926</v>
      </c>
      <c r="W1007" s="2" t="s">
        <v>344</v>
      </c>
      <c r="X1007" s="2" t="s">
        <v>507</v>
      </c>
    </row>
    <row r="1008" customFormat="false" ht="15" hidden="false" customHeight="false" outlineLevel="0" collapsed="false">
      <c r="A1008" s="2" t="n">
        <v>1116</v>
      </c>
      <c r="B1008" s="2" t="s">
        <v>5383</v>
      </c>
      <c r="C1008" s="2" t="s">
        <v>5395</v>
      </c>
      <c r="D1008" s="2" t="s">
        <v>53</v>
      </c>
      <c r="E1008" s="2" t="s">
        <v>5396</v>
      </c>
      <c r="F1008" s="2"/>
      <c r="G1008" s="2"/>
      <c r="H1008" s="2" t="s">
        <v>479</v>
      </c>
      <c r="I1008" s="2" t="s">
        <v>403</v>
      </c>
      <c r="J1008" s="2" t="n">
        <v>-5.147</v>
      </c>
      <c r="K1008" s="2" t="n">
        <v>119.432</v>
      </c>
      <c r="L1008" s="2" t="s">
        <v>101</v>
      </c>
      <c r="M1008" s="2" t="s">
        <v>60</v>
      </c>
      <c r="N1008" s="2"/>
      <c r="O1008" s="2" t="s">
        <v>5397</v>
      </c>
      <c r="P1008" s="2" t="s">
        <v>5398</v>
      </c>
      <c r="Q1008" s="2" t="s">
        <v>110</v>
      </c>
      <c r="R1008" s="2" t="n">
        <v>0.35</v>
      </c>
      <c r="S1008" s="2" t="s">
        <v>5399</v>
      </c>
      <c r="T1008" s="2" t="s">
        <v>5400</v>
      </c>
      <c r="U1008" s="2" t="s">
        <v>2947</v>
      </c>
      <c r="V1008" s="2" t="s">
        <v>2948</v>
      </c>
      <c r="W1008" s="2" t="s">
        <v>1429</v>
      </c>
      <c r="X1008" s="2" t="s">
        <v>507</v>
      </c>
    </row>
    <row r="1009" customFormat="false" ht="15" hidden="false" customHeight="false" outlineLevel="0" collapsed="false">
      <c r="A1009" s="2" t="n">
        <v>1126</v>
      </c>
      <c r="B1009" s="2" t="s">
        <v>5383</v>
      </c>
      <c r="C1009" s="2" t="s">
        <v>5401</v>
      </c>
      <c r="D1009" s="2" t="s">
        <v>351</v>
      </c>
      <c r="E1009" s="2" t="s">
        <v>5402</v>
      </c>
      <c r="F1009" s="2" t="s">
        <v>5403</v>
      </c>
      <c r="G1009" s="2" t="s">
        <v>5404</v>
      </c>
      <c r="H1009" s="2" t="s">
        <v>5361</v>
      </c>
      <c r="I1009" s="2" t="s">
        <v>403</v>
      </c>
      <c r="J1009" s="2" t="n">
        <v>-3.33</v>
      </c>
      <c r="K1009" s="2" t="n">
        <v>119.86</v>
      </c>
      <c r="L1009" s="2" t="s">
        <v>84</v>
      </c>
      <c r="M1009" s="2" t="s">
        <v>60</v>
      </c>
      <c r="N1009" s="2"/>
      <c r="O1009" s="2" t="s">
        <v>5405</v>
      </c>
      <c r="P1009" s="2" t="s">
        <v>2764</v>
      </c>
      <c r="Q1009" s="2" t="s">
        <v>62</v>
      </c>
      <c r="R1009" s="2" t="n">
        <v>0.35</v>
      </c>
      <c r="S1009" s="2" t="s">
        <v>5406</v>
      </c>
      <c r="T1009" s="2" t="s">
        <v>743</v>
      </c>
      <c r="U1009" s="2" t="s">
        <v>5407</v>
      </c>
      <c r="V1009" s="2" t="s">
        <v>5408</v>
      </c>
      <c r="W1009" s="2" t="s">
        <v>776</v>
      </c>
      <c r="X1009" s="2" t="s">
        <v>507</v>
      </c>
    </row>
    <row r="1010" customFormat="false" ht="15" hidden="false" customHeight="false" outlineLevel="0" collapsed="false">
      <c r="A1010" s="2" t="n">
        <v>1130</v>
      </c>
      <c r="B1010" s="2" t="s">
        <v>5383</v>
      </c>
      <c r="C1010" s="2" t="s">
        <v>5409</v>
      </c>
      <c r="D1010" s="2" t="s">
        <v>121</v>
      </c>
      <c r="E1010" s="2" t="s">
        <v>5410</v>
      </c>
      <c r="F1010" s="2"/>
      <c r="G1010" s="2" t="s">
        <v>5411</v>
      </c>
      <c r="H1010" s="2" t="s">
        <v>5412</v>
      </c>
      <c r="I1010" s="2" t="s">
        <v>403</v>
      </c>
      <c r="J1010" s="2" t="n">
        <v>-4.13</v>
      </c>
      <c r="K1010" s="2" t="n">
        <v>120.02</v>
      </c>
      <c r="L1010" s="2" t="s">
        <v>84</v>
      </c>
      <c r="M1010" s="2" t="s">
        <v>60</v>
      </c>
      <c r="N1010" s="2"/>
      <c r="O1010" s="2" t="s">
        <v>5413</v>
      </c>
      <c r="P1010" s="2" t="s">
        <v>2553</v>
      </c>
      <c r="Q1010" s="2" t="s">
        <v>62</v>
      </c>
      <c r="R1010" s="2" t="n">
        <v>0.75</v>
      </c>
      <c r="S1010" s="2" t="s">
        <v>5414</v>
      </c>
      <c r="T1010" s="2" t="s">
        <v>5415</v>
      </c>
      <c r="U1010" s="2" t="s">
        <v>5416</v>
      </c>
      <c r="V1010" s="2" t="s">
        <v>5408</v>
      </c>
      <c r="W1010" s="2" t="s">
        <v>647</v>
      </c>
      <c r="X1010" s="2" t="s">
        <v>507</v>
      </c>
    </row>
    <row r="1011" customFormat="false" ht="15" hidden="false" customHeight="false" outlineLevel="0" collapsed="false">
      <c r="A1011" s="2" t="n">
        <v>1131</v>
      </c>
      <c r="B1011" s="2" t="s">
        <v>5383</v>
      </c>
      <c r="C1011" s="2" t="s">
        <v>5417</v>
      </c>
      <c r="D1011" s="2" t="s">
        <v>121</v>
      </c>
      <c r="E1011" s="2" t="s">
        <v>5418</v>
      </c>
      <c r="F1011" s="2" t="s">
        <v>5419</v>
      </c>
      <c r="G1011" s="2" t="s">
        <v>5420</v>
      </c>
      <c r="H1011" s="2" t="s">
        <v>5361</v>
      </c>
      <c r="I1011" s="2" t="s">
        <v>403</v>
      </c>
      <c r="J1011" s="2" t="n">
        <v>-3.67</v>
      </c>
      <c r="K1011" s="2" t="n">
        <v>119.83</v>
      </c>
      <c r="L1011" s="2" t="s">
        <v>84</v>
      </c>
      <c r="M1011" s="2" t="s">
        <v>60</v>
      </c>
      <c r="N1011" s="2"/>
      <c r="O1011" s="2" t="s">
        <v>5421</v>
      </c>
      <c r="P1011" s="2" t="s">
        <v>3760</v>
      </c>
      <c r="Q1011" s="2" t="s">
        <v>62</v>
      </c>
      <c r="R1011" s="2" t="n">
        <v>0.7</v>
      </c>
      <c r="S1011" s="2" t="s">
        <v>5422</v>
      </c>
      <c r="T1011" s="2" t="s">
        <v>743</v>
      </c>
      <c r="U1011" s="2" t="s">
        <v>3012</v>
      </c>
      <c r="V1011" s="2" t="s">
        <v>2948</v>
      </c>
      <c r="W1011" s="2" t="s">
        <v>1875</v>
      </c>
      <c r="X1011" s="2" t="s">
        <v>507</v>
      </c>
    </row>
    <row r="1012" customFormat="false" ht="15" hidden="false" customHeight="false" outlineLevel="0" collapsed="false">
      <c r="A1012" s="2" t="n">
        <v>1131</v>
      </c>
      <c r="B1012" s="2" t="s">
        <v>5383</v>
      </c>
      <c r="C1012" s="2" t="s">
        <v>5423</v>
      </c>
      <c r="D1012" s="2" t="s">
        <v>410</v>
      </c>
      <c r="E1012" s="2" t="s">
        <v>5424</v>
      </c>
      <c r="F1012" s="2" t="s">
        <v>5419</v>
      </c>
      <c r="G1012" s="2" t="s">
        <v>5420</v>
      </c>
      <c r="H1012" s="2" t="s">
        <v>5361</v>
      </c>
      <c r="I1012" s="2" t="s">
        <v>403</v>
      </c>
      <c r="J1012" s="2" t="n">
        <v>-3.67</v>
      </c>
      <c r="K1012" s="2" t="n">
        <v>119.83</v>
      </c>
      <c r="L1012" s="2" t="s">
        <v>84</v>
      </c>
      <c r="M1012" s="2" t="s">
        <v>60</v>
      </c>
      <c r="N1012" s="2"/>
      <c r="O1012" s="2" t="s">
        <v>5425</v>
      </c>
      <c r="P1012" s="2" t="s">
        <v>3760</v>
      </c>
      <c r="Q1012" s="2" t="s">
        <v>62</v>
      </c>
      <c r="R1012" s="2" t="n">
        <v>0.5</v>
      </c>
      <c r="S1012" s="2" t="s">
        <v>5422</v>
      </c>
      <c r="T1012" s="2" t="s">
        <v>743</v>
      </c>
      <c r="U1012" s="2" t="s">
        <v>3012</v>
      </c>
      <c r="V1012" s="2" t="s">
        <v>2948</v>
      </c>
      <c r="W1012" s="2" t="s">
        <v>1875</v>
      </c>
      <c r="X1012" s="2" t="s">
        <v>507</v>
      </c>
    </row>
    <row r="1013" customFormat="false" ht="15" hidden="false" customHeight="false" outlineLevel="0" collapsed="false">
      <c r="A1013" s="2" t="n">
        <v>1132</v>
      </c>
      <c r="B1013" s="2" t="s">
        <v>5383</v>
      </c>
      <c r="C1013" s="2" t="s">
        <v>5426</v>
      </c>
      <c r="D1013" s="2" t="s">
        <v>351</v>
      </c>
      <c r="E1013" s="2" t="s">
        <v>5339</v>
      </c>
      <c r="F1013" s="2"/>
      <c r="G1013" s="2"/>
      <c r="H1013" s="2" t="s">
        <v>479</v>
      </c>
      <c r="I1013" s="2" t="s">
        <v>403</v>
      </c>
      <c r="J1013" s="2" t="n">
        <v>-5.147</v>
      </c>
      <c r="K1013" s="2" t="n">
        <v>119.432</v>
      </c>
      <c r="L1013" s="2" t="s">
        <v>101</v>
      </c>
      <c r="M1013" s="2" t="s">
        <v>60</v>
      </c>
      <c r="N1013" s="2"/>
      <c r="O1013" s="2" t="s">
        <v>5427</v>
      </c>
      <c r="P1013" s="2" t="s">
        <v>692</v>
      </c>
      <c r="Q1013" s="2" t="s">
        <v>110</v>
      </c>
      <c r="R1013" s="2" t="n">
        <v>0.5</v>
      </c>
      <c r="S1013" s="2" t="s">
        <v>5428</v>
      </c>
      <c r="T1013" s="2" t="s">
        <v>743</v>
      </c>
      <c r="U1013" s="2" t="s">
        <v>3016</v>
      </c>
      <c r="V1013" s="2" t="s">
        <v>2948</v>
      </c>
      <c r="W1013" s="2" t="s">
        <v>3017</v>
      </c>
      <c r="X1013" s="2" t="s">
        <v>507</v>
      </c>
    </row>
    <row r="1014" customFormat="false" ht="15" hidden="false" customHeight="false" outlineLevel="0" collapsed="false">
      <c r="A1014" s="2" t="n">
        <v>1133</v>
      </c>
      <c r="B1014" s="2" t="s">
        <v>5383</v>
      </c>
      <c r="C1014" s="2" t="s">
        <v>5429</v>
      </c>
      <c r="D1014" s="2" t="s">
        <v>121</v>
      </c>
      <c r="E1014" s="2" t="s">
        <v>5339</v>
      </c>
      <c r="F1014" s="2"/>
      <c r="G1014" s="2"/>
      <c r="H1014" s="2" t="s">
        <v>479</v>
      </c>
      <c r="I1014" s="2" t="s">
        <v>403</v>
      </c>
      <c r="J1014" s="2" t="n">
        <v>-5.147</v>
      </c>
      <c r="K1014" s="2" t="n">
        <v>119.432</v>
      </c>
      <c r="L1014" s="2" t="s">
        <v>101</v>
      </c>
      <c r="M1014" s="2" t="s">
        <v>60</v>
      </c>
      <c r="N1014" s="2"/>
      <c r="O1014" s="2" t="s">
        <v>5430</v>
      </c>
      <c r="P1014" s="2" t="s">
        <v>109</v>
      </c>
      <c r="Q1014" s="2" t="s">
        <v>62</v>
      </c>
      <c r="R1014" s="2" t="n">
        <v>0.6</v>
      </c>
      <c r="S1014" s="2" t="s">
        <v>5431</v>
      </c>
      <c r="T1014" s="2" t="s">
        <v>5074</v>
      </c>
      <c r="U1014" s="2" t="s">
        <v>5432</v>
      </c>
      <c r="V1014" s="2" t="s">
        <v>2983</v>
      </c>
      <c r="W1014" s="2" t="s">
        <v>604</v>
      </c>
      <c r="X1014" s="2" t="s">
        <v>507</v>
      </c>
    </row>
    <row r="1015" customFormat="false" ht="15" hidden="false" customHeight="false" outlineLevel="0" collapsed="false">
      <c r="A1015" s="2" t="n">
        <v>1142</v>
      </c>
      <c r="B1015" s="2" t="s">
        <v>5433</v>
      </c>
      <c r="C1015" s="2" t="s">
        <v>5434</v>
      </c>
      <c r="D1015" s="2" t="s">
        <v>53</v>
      </c>
      <c r="E1015" s="2" t="s">
        <v>5435</v>
      </c>
      <c r="F1015" s="2"/>
      <c r="G1015" s="2"/>
      <c r="H1015" s="2" t="s">
        <v>5436</v>
      </c>
      <c r="I1015" s="2" t="s">
        <v>5437</v>
      </c>
      <c r="J1015" s="2" t="n">
        <v>-3.99</v>
      </c>
      <c r="K1015" s="2" t="n">
        <v>122.515</v>
      </c>
      <c r="L1015" s="2" t="s">
        <v>101</v>
      </c>
      <c r="M1015" s="2" t="s">
        <v>340</v>
      </c>
      <c r="N1015" s="2"/>
      <c r="O1015" s="2" t="s">
        <v>5438</v>
      </c>
      <c r="P1015" s="2" t="s">
        <v>298</v>
      </c>
      <c r="Q1015" s="2" t="s">
        <v>110</v>
      </c>
      <c r="R1015" s="2" t="n">
        <v>0.7</v>
      </c>
      <c r="S1015" s="2" t="s">
        <v>5439</v>
      </c>
      <c r="T1015" s="2" t="s">
        <v>95</v>
      </c>
      <c r="U1015" s="2" t="s">
        <v>5440</v>
      </c>
      <c r="V1015" s="2" t="s">
        <v>245</v>
      </c>
      <c r="W1015" s="2" t="s">
        <v>3321</v>
      </c>
      <c r="X1015" s="2" t="s">
        <v>507</v>
      </c>
    </row>
    <row r="1016" customFormat="false" ht="15" hidden="false" customHeight="false" outlineLevel="0" collapsed="false">
      <c r="A1016" s="2" t="n">
        <v>1143</v>
      </c>
      <c r="B1016" s="2" t="s">
        <v>5433</v>
      </c>
      <c r="C1016" s="2" t="s">
        <v>5441</v>
      </c>
      <c r="D1016" s="2" t="s">
        <v>351</v>
      </c>
      <c r="E1016" s="2" t="s">
        <v>5436</v>
      </c>
      <c r="F1016" s="2"/>
      <c r="G1016" s="2" t="s">
        <v>5442</v>
      </c>
      <c r="H1016" s="2" t="s">
        <v>5436</v>
      </c>
      <c r="I1016" s="2" t="s">
        <v>5437</v>
      </c>
      <c r="J1016" s="2" t="n">
        <v>-4.04</v>
      </c>
      <c r="K1016" s="2" t="n">
        <v>122.51</v>
      </c>
      <c r="L1016" s="2" t="s">
        <v>84</v>
      </c>
      <c r="M1016" s="2" t="s">
        <v>60</v>
      </c>
      <c r="N1016" s="2"/>
      <c r="O1016" s="2" t="s">
        <v>5443</v>
      </c>
      <c r="P1016" s="2" t="s">
        <v>2558</v>
      </c>
      <c r="Q1016" s="2" t="s">
        <v>110</v>
      </c>
      <c r="R1016" s="2" t="n">
        <v>0.35</v>
      </c>
      <c r="S1016" s="2" t="s">
        <v>5444</v>
      </c>
      <c r="T1016" s="2" t="s">
        <v>5445</v>
      </c>
      <c r="U1016" s="2" t="s">
        <v>3058</v>
      </c>
      <c r="V1016" s="2" t="s">
        <v>594</v>
      </c>
      <c r="W1016" s="2" t="s">
        <v>768</v>
      </c>
      <c r="X1016" s="2" t="s">
        <v>507</v>
      </c>
    </row>
    <row r="1017" customFormat="false" ht="15" hidden="false" customHeight="false" outlineLevel="0" collapsed="false">
      <c r="A1017" s="2" t="n">
        <v>1148</v>
      </c>
      <c r="B1017" s="2" t="s">
        <v>5433</v>
      </c>
      <c r="C1017" s="2" t="s">
        <v>5446</v>
      </c>
      <c r="D1017" s="2" t="s">
        <v>351</v>
      </c>
      <c r="E1017" s="2" t="s">
        <v>5447</v>
      </c>
      <c r="F1017" s="2"/>
      <c r="G1017" s="2" t="s">
        <v>5448</v>
      </c>
      <c r="H1017" s="2" t="s">
        <v>5449</v>
      </c>
      <c r="I1017" s="2" t="s">
        <v>5437</v>
      </c>
      <c r="J1017" s="2" t="n">
        <v>-5.77</v>
      </c>
      <c r="K1017" s="2" t="n">
        <v>123.97</v>
      </c>
      <c r="L1017" s="2" t="s">
        <v>84</v>
      </c>
      <c r="M1017" s="2" t="s">
        <v>60</v>
      </c>
      <c r="N1017" s="2"/>
      <c r="O1017" s="2" t="s">
        <v>5450</v>
      </c>
      <c r="P1017" s="2" t="s">
        <v>5451</v>
      </c>
      <c r="Q1017" s="2" t="s">
        <v>110</v>
      </c>
      <c r="R1017" s="2" t="n">
        <v>0.75</v>
      </c>
      <c r="S1017" s="2" t="s">
        <v>5452</v>
      </c>
      <c r="T1017" s="2" t="s">
        <v>5453</v>
      </c>
      <c r="U1017" s="2" t="s">
        <v>3104</v>
      </c>
      <c r="V1017" s="2" t="s">
        <v>1238</v>
      </c>
      <c r="W1017" s="2" t="s">
        <v>1332</v>
      </c>
      <c r="X1017" s="2" t="s">
        <v>507</v>
      </c>
    </row>
    <row r="1018" customFormat="false" ht="15" hidden="false" customHeight="false" outlineLevel="0" collapsed="false">
      <c r="A1018" s="2" t="n">
        <v>1148</v>
      </c>
      <c r="B1018" s="2" t="s">
        <v>5433</v>
      </c>
      <c r="C1018" s="2" t="s">
        <v>5454</v>
      </c>
      <c r="D1018" s="2" t="s">
        <v>410</v>
      </c>
      <c r="E1018" s="2" t="s">
        <v>5455</v>
      </c>
      <c r="F1018" s="2"/>
      <c r="G1018" s="2" t="s">
        <v>5448</v>
      </c>
      <c r="H1018" s="2" t="s">
        <v>5449</v>
      </c>
      <c r="I1018" s="2" t="s">
        <v>5437</v>
      </c>
      <c r="J1018" s="2" t="n">
        <v>-5.77</v>
      </c>
      <c r="K1018" s="2" t="n">
        <v>123.97</v>
      </c>
      <c r="L1018" s="2" t="s">
        <v>84</v>
      </c>
      <c r="M1018" s="2" t="s">
        <v>60</v>
      </c>
      <c r="N1018" s="2"/>
      <c r="O1018" s="2" t="s">
        <v>5456</v>
      </c>
      <c r="P1018" s="2" t="s">
        <v>298</v>
      </c>
      <c r="Q1018" s="2" t="s">
        <v>110</v>
      </c>
      <c r="R1018" s="2" t="n">
        <v>0.6</v>
      </c>
      <c r="S1018" s="2" t="s">
        <v>5452</v>
      </c>
      <c r="T1018" s="2" t="s">
        <v>5453</v>
      </c>
      <c r="U1018" s="2" t="s">
        <v>3104</v>
      </c>
      <c r="V1018" s="2" t="s">
        <v>1238</v>
      </c>
      <c r="W1018" s="2" t="s">
        <v>1332</v>
      </c>
      <c r="X1018" s="2" t="s">
        <v>507</v>
      </c>
    </row>
    <row r="1019" customFormat="false" ht="15" hidden="false" customHeight="false" outlineLevel="0" collapsed="false">
      <c r="A1019" s="2" t="n">
        <v>1149</v>
      </c>
      <c r="B1019" s="2" t="s">
        <v>5433</v>
      </c>
      <c r="C1019" s="2" t="s">
        <v>5457</v>
      </c>
      <c r="D1019" s="2" t="s">
        <v>410</v>
      </c>
      <c r="E1019" s="2" t="s">
        <v>5458</v>
      </c>
      <c r="F1019" s="2"/>
      <c r="G1019" s="2"/>
      <c r="H1019" s="2"/>
      <c r="I1019" s="2"/>
      <c r="J1019" s="2"/>
      <c r="K1019" s="2"/>
      <c r="L1019" s="2"/>
      <c r="M1019" s="2" t="s">
        <v>340</v>
      </c>
      <c r="N1019" s="2" t="s">
        <v>5459</v>
      </c>
      <c r="O1019" s="2" t="s">
        <v>5460</v>
      </c>
      <c r="P1019" s="2"/>
      <c r="Q1019" s="2" t="s">
        <v>62</v>
      </c>
      <c r="R1019" s="2" t="n">
        <v>0.4</v>
      </c>
      <c r="S1019" s="2" t="s">
        <v>5461</v>
      </c>
      <c r="T1019" s="2" t="s">
        <v>580</v>
      </c>
      <c r="U1019" s="2" t="s">
        <v>3114</v>
      </c>
      <c r="V1019" s="2" t="s">
        <v>745</v>
      </c>
      <c r="W1019" s="2" t="s">
        <v>1768</v>
      </c>
      <c r="X1019" s="2" t="s">
        <v>507</v>
      </c>
    </row>
    <row r="1020" customFormat="false" ht="15" hidden="false" customHeight="false" outlineLevel="0" collapsed="false">
      <c r="A1020" s="2" t="n">
        <v>1150</v>
      </c>
      <c r="B1020" s="2" t="s">
        <v>5433</v>
      </c>
      <c r="C1020" s="2" t="s">
        <v>5462</v>
      </c>
      <c r="D1020" s="2" t="s">
        <v>410</v>
      </c>
      <c r="E1020" s="2" t="s">
        <v>5463</v>
      </c>
      <c r="F1020" s="2"/>
      <c r="G1020" s="2" t="s">
        <v>5464</v>
      </c>
      <c r="H1020" s="2" t="s">
        <v>5465</v>
      </c>
      <c r="I1020" s="2" t="s">
        <v>554</v>
      </c>
      <c r="J1020" s="2" t="n">
        <v>-2.99</v>
      </c>
      <c r="K1020" s="2" t="n">
        <v>129.17</v>
      </c>
      <c r="L1020" s="2" t="s">
        <v>84</v>
      </c>
      <c r="M1020" s="2" t="s">
        <v>60</v>
      </c>
      <c r="N1020" s="2"/>
      <c r="O1020" s="2" t="s">
        <v>5466</v>
      </c>
      <c r="P1020" s="2"/>
      <c r="Q1020" s="2" t="s">
        <v>62</v>
      </c>
      <c r="R1020" s="2" t="n">
        <v>0.85</v>
      </c>
      <c r="S1020" s="2" t="s">
        <v>5467</v>
      </c>
      <c r="T1020" s="2" t="s">
        <v>95</v>
      </c>
      <c r="U1020" s="2" t="s">
        <v>3126</v>
      </c>
      <c r="V1020" s="2" t="s">
        <v>178</v>
      </c>
      <c r="W1020" s="2" t="s">
        <v>1482</v>
      </c>
      <c r="X1020" s="2" t="s">
        <v>507</v>
      </c>
    </row>
    <row r="1021" customFormat="false" ht="15" hidden="false" customHeight="false" outlineLevel="0" collapsed="false">
      <c r="A1021" s="2" t="n">
        <v>1150</v>
      </c>
      <c r="B1021" s="2" t="s">
        <v>5433</v>
      </c>
      <c r="C1021" s="2" t="s">
        <v>5468</v>
      </c>
      <c r="D1021" s="2" t="s">
        <v>351</v>
      </c>
      <c r="E1021" s="2" t="s">
        <v>5469</v>
      </c>
      <c r="F1021" s="2"/>
      <c r="G1021" s="2" t="s">
        <v>5464</v>
      </c>
      <c r="H1021" s="2" t="s">
        <v>5465</v>
      </c>
      <c r="I1021" s="2" t="s">
        <v>554</v>
      </c>
      <c r="J1021" s="2" t="n">
        <v>-2.99</v>
      </c>
      <c r="K1021" s="2" t="n">
        <v>129.17</v>
      </c>
      <c r="L1021" s="2" t="s">
        <v>84</v>
      </c>
      <c r="M1021" s="2" t="s">
        <v>60</v>
      </c>
      <c r="N1021" s="2"/>
      <c r="O1021" s="2" t="s">
        <v>5470</v>
      </c>
      <c r="P1021" s="2"/>
      <c r="Q1021" s="2" t="s">
        <v>62</v>
      </c>
      <c r="R1021" s="2" t="n">
        <v>0.6</v>
      </c>
      <c r="S1021" s="2" t="s">
        <v>5467</v>
      </c>
      <c r="T1021" s="2" t="s">
        <v>95</v>
      </c>
      <c r="U1021" s="2" t="s">
        <v>3126</v>
      </c>
      <c r="V1021" s="2" t="s">
        <v>178</v>
      </c>
      <c r="W1021" s="2" t="s">
        <v>1482</v>
      </c>
      <c r="X1021" s="2" t="s">
        <v>507</v>
      </c>
    </row>
    <row r="1022" customFormat="false" ht="15" hidden="false" customHeight="false" outlineLevel="0" collapsed="false">
      <c r="A1022" s="2" t="n">
        <v>1152</v>
      </c>
      <c r="B1022" s="2" t="s">
        <v>5433</v>
      </c>
      <c r="C1022" s="2" t="s">
        <v>5471</v>
      </c>
      <c r="D1022" s="2" t="s">
        <v>410</v>
      </c>
      <c r="E1022" s="2" t="s">
        <v>5437</v>
      </c>
      <c r="F1022" s="2"/>
      <c r="G1022" s="2"/>
      <c r="H1022" s="2" t="s">
        <v>5449</v>
      </c>
      <c r="I1022" s="2" t="s">
        <v>5437</v>
      </c>
      <c r="J1022" s="2" t="n">
        <v>-5.5</v>
      </c>
      <c r="K1022" s="2" t="n">
        <v>123.7</v>
      </c>
      <c r="L1022" s="2" t="s">
        <v>101</v>
      </c>
      <c r="M1022" s="2" t="s">
        <v>60</v>
      </c>
      <c r="N1022" s="2"/>
      <c r="O1022" s="2" t="s">
        <v>5472</v>
      </c>
      <c r="P1022" s="2" t="s">
        <v>1001</v>
      </c>
      <c r="Q1022" s="2" t="s">
        <v>62</v>
      </c>
      <c r="R1022" s="2" t="n">
        <v>0.6</v>
      </c>
      <c r="S1022" s="2" t="s">
        <v>5473</v>
      </c>
      <c r="T1022" s="2" t="s">
        <v>95</v>
      </c>
      <c r="U1022" s="2" t="s">
        <v>3141</v>
      </c>
      <c r="V1022" s="2" t="s">
        <v>3142</v>
      </c>
      <c r="W1022" s="2" t="s">
        <v>2234</v>
      </c>
      <c r="X1022" s="2" t="s">
        <v>507</v>
      </c>
    </row>
    <row r="1023" customFormat="false" ht="15" hidden="false" customHeight="false" outlineLevel="0" collapsed="false">
      <c r="A1023" s="2" t="n">
        <v>1152</v>
      </c>
      <c r="B1023" s="2" t="s">
        <v>5433</v>
      </c>
      <c r="C1023" s="2" t="s">
        <v>5474</v>
      </c>
      <c r="D1023" s="2" t="s">
        <v>410</v>
      </c>
      <c r="E1023" s="2" t="s">
        <v>554</v>
      </c>
      <c r="F1023" s="2"/>
      <c r="G1023" s="2" t="s">
        <v>5475</v>
      </c>
      <c r="H1023" s="2" t="s">
        <v>5465</v>
      </c>
      <c r="I1023" s="2" t="s">
        <v>554</v>
      </c>
      <c r="J1023" s="2" t="n">
        <v>-4.525</v>
      </c>
      <c r="K1023" s="2" t="n">
        <v>129.9</v>
      </c>
      <c r="L1023" s="2" t="s">
        <v>124</v>
      </c>
      <c r="M1023" s="2" t="s">
        <v>60</v>
      </c>
      <c r="N1023" s="2"/>
      <c r="O1023" s="2" t="s">
        <v>5476</v>
      </c>
      <c r="P1023" s="2" t="s">
        <v>1001</v>
      </c>
      <c r="Q1023" s="2" t="s">
        <v>62</v>
      </c>
      <c r="R1023" s="2" t="n">
        <v>0.65</v>
      </c>
      <c r="S1023" s="2" t="s">
        <v>5473</v>
      </c>
      <c r="T1023" s="2" t="s">
        <v>95</v>
      </c>
      <c r="U1023" s="2" t="s">
        <v>3141</v>
      </c>
      <c r="V1023" s="2" t="s">
        <v>3142</v>
      </c>
      <c r="W1023" s="2" t="s">
        <v>2234</v>
      </c>
      <c r="X1023" s="2" t="s">
        <v>507</v>
      </c>
    </row>
    <row r="1024" customFormat="false" ht="15" hidden="false" customHeight="false" outlineLevel="0" collapsed="false">
      <c r="A1024" s="2" t="n">
        <v>1152</v>
      </c>
      <c r="B1024" s="2" t="s">
        <v>5433</v>
      </c>
      <c r="C1024" s="2" t="s">
        <v>5477</v>
      </c>
      <c r="D1024" s="2" t="s">
        <v>410</v>
      </c>
      <c r="E1024" s="2" t="s">
        <v>5478</v>
      </c>
      <c r="F1024" s="2"/>
      <c r="G1024" s="2" t="s">
        <v>5475</v>
      </c>
      <c r="H1024" s="2" t="s">
        <v>5465</v>
      </c>
      <c r="I1024" s="2" t="s">
        <v>554</v>
      </c>
      <c r="J1024" s="2" t="n">
        <v>-4.55</v>
      </c>
      <c r="K1024" s="2" t="n">
        <v>129.95</v>
      </c>
      <c r="L1024" s="2" t="s">
        <v>84</v>
      </c>
      <c r="M1024" s="2" t="s">
        <v>60</v>
      </c>
      <c r="N1024" s="2"/>
      <c r="O1024" s="2" t="s">
        <v>5479</v>
      </c>
      <c r="P1024" s="2"/>
      <c r="Q1024" s="2" t="s">
        <v>62</v>
      </c>
      <c r="R1024" s="2" t="n">
        <v>0.55</v>
      </c>
      <c r="S1024" s="2" t="s">
        <v>5473</v>
      </c>
      <c r="T1024" s="2" t="s">
        <v>95</v>
      </c>
      <c r="U1024" s="2" t="s">
        <v>3141</v>
      </c>
      <c r="V1024" s="2" t="s">
        <v>3142</v>
      </c>
      <c r="W1024" s="2" t="s">
        <v>2234</v>
      </c>
      <c r="X1024" s="2" t="s">
        <v>507</v>
      </c>
    </row>
    <row r="1025" customFormat="false" ht="15" hidden="false" customHeight="false" outlineLevel="0" collapsed="false">
      <c r="A1025" s="2" t="n">
        <v>1152</v>
      </c>
      <c r="B1025" s="2" t="s">
        <v>5433</v>
      </c>
      <c r="C1025" s="2" t="s">
        <v>5480</v>
      </c>
      <c r="D1025" s="2" t="s">
        <v>410</v>
      </c>
      <c r="E1025" s="2" t="s">
        <v>5478</v>
      </c>
      <c r="F1025" s="2"/>
      <c r="G1025" s="2" t="s">
        <v>5475</v>
      </c>
      <c r="H1025" s="2" t="s">
        <v>5465</v>
      </c>
      <c r="I1025" s="2" t="s">
        <v>554</v>
      </c>
      <c r="J1025" s="2" t="n">
        <v>-4.55</v>
      </c>
      <c r="K1025" s="2" t="n">
        <v>129.95</v>
      </c>
      <c r="L1025" s="2" t="s">
        <v>84</v>
      </c>
      <c r="M1025" s="2" t="s">
        <v>60</v>
      </c>
      <c r="N1025" s="2"/>
      <c r="O1025" s="2" t="s">
        <v>5479</v>
      </c>
      <c r="P1025" s="2"/>
      <c r="Q1025" s="2" t="s">
        <v>62</v>
      </c>
      <c r="R1025" s="2" t="n">
        <v>0.55</v>
      </c>
      <c r="S1025" s="2" t="s">
        <v>5473</v>
      </c>
      <c r="T1025" s="2" t="s">
        <v>95</v>
      </c>
      <c r="U1025" s="2" t="s">
        <v>3141</v>
      </c>
      <c r="V1025" s="2" t="s">
        <v>3142</v>
      </c>
      <c r="W1025" s="2" t="s">
        <v>2234</v>
      </c>
      <c r="X1025" s="2" t="s">
        <v>507</v>
      </c>
    </row>
    <row r="1026" customFormat="false" ht="15" hidden="false" customHeight="false" outlineLevel="0" collapsed="false">
      <c r="A1026" s="2" t="n">
        <v>1154</v>
      </c>
      <c r="B1026" s="2" t="s">
        <v>5433</v>
      </c>
      <c r="C1026" s="2" t="s">
        <v>5481</v>
      </c>
      <c r="D1026" s="2" t="s">
        <v>351</v>
      </c>
      <c r="E1026" s="2" t="s">
        <v>5482</v>
      </c>
      <c r="F1026" s="2"/>
      <c r="G1026" s="2"/>
      <c r="H1026" s="2" t="s">
        <v>553</v>
      </c>
      <c r="I1026" s="2" t="s">
        <v>554</v>
      </c>
      <c r="J1026" s="2" t="n">
        <v>-3.695</v>
      </c>
      <c r="K1026" s="2" t="n">
        <v>128.18</v>
      </c>
      <c r="L1026" s="2" t="s">
        <v>101</v>
      </c>
      <c r="M1026" s="2" t="s">
        <v>340</v>
      </c>
      <c r="N1026" s="2"/>
      <c r="O1026" s="2" t="s">
        <v>5483</v>
      </c>
      <c r="P1026" s="2" t="s">
        <v>5484</v>
      </c>
      <c r="Q1026" s="2" t="s">
        <v>110</v>
      </c>
      <c r="R1026" s="2" t="n">
        <v>0.35</v>
      </c>
      <c r="S1026" s="2" t="s">
        <v>5485</v>
      </c>
      <c r="T1026" s="2" t="s">
        <v>803</v>
      </c>
      <c r="U1026" s="2" t="s">
        <v>5486</v>
      </c>
      <c r="V1026" s="2" t="s">
        <v>5487</v>
      </c>
      <c r="W1026" s="2" t="s">
        <v>3023</v>
      </c>
      <c r="X1026" s="2" t="s">
        <v>507</v>
      </c>
    </row>
    <row r="1027" customFormat="false" ht="15" hidden="false" customHeight="false" outlineLevel="0" collapsed="false">
      <c r="A1027" s="2" t="n">
        <v>1158</v>
      </c>
      <c r="B1027" s="2" t="s">
        <v>5433</v>
      </c>
      <c r="C1027" s="2" t="s">
        <v>5488</v>
      </c>
      <c r="D1027" s="2" t="s">
        <v>351</v>
      </c>
      <c r="E1027" s="2" t="s">
        <v>5489</v>
      </c>
      <c r="F1027" s="2" t="s">
        <v>5490</v>
      </c>
      <c r="G1027" s="2" t="s">
        <v>5491</v>
      </c>
      <c r="H1027" s="2" t="s">
        <v>553</v>
      </c>
      <c r="I1027" s="2" t="s">
        <v>554</v>
      </c>
      <c r="J1027" s="2" t="n">
        <v>-3.68</v>
      </c>
      <c r="K1027" s="2" t="n">
        <v>128.19</v>
      </c>
      <c r="L1027" s="2" t="s">
        <v>59</v>
      </c>
      <c r="M1027" s="2" t="s">
        <v>60</v>
      </c>
      <c r="N1027" s="2"/>
      <c r="O1027" s="2" t="s">
        <v>5492</v>
      </c>
      <c r="P1027" s="2" t="s">
        <v>1001</v>
      </c>
      <c r="Q1027" s="2" t="s">
        <v>110</v>
      </c>
      <c r="R1027" s="2" t="n">
        <v>0.35</v>
      </c>
      <c r="S1027" s="2" t="s">
        <v>5493</v>
      </c>
      <c r="T1027" s="2" t="s">
        <v>5494</v>
      </c>
      <c r="U1027" s="2" t="s">
        <v>5495</v>
      </c>
      <c r="V1027" s="2" t="s">
        <v>3185</v>
      </c>
      <c r="W1027" s="2" t="s">
        <v>3169</v>
      </c>
      <c r="X1027" s="2" t="s">
        <v>507</v>
      </c>
    </row>
    <row r="1028" customFormat="false" ht="15" hidden="false" customHeight="false" outlineLevel="0" collapsed="false">
      <c r="A1028" s="2" t="n">
        <v>1160</v>
      </c>
      <c r="B1028" s="2" t="s">
        <v>5433</v>
      </c>
      <c r="C1028" s="2" t="s">
        <v>5496</v>
      </c>
      <c r="D1028" s="2" t="s">
        <v>1130</v>
      </c>
      <c r="E1028" s="2" t="s">
        <v>5497</v>
      </c>
      <c r="F1028" s="2"/>
      <c r="G1028" s="2" t="s">
        <v>5498</v>
      </c>
      <c r="H1028" s="2" t="s">
        <v>5499</v>
      </c>
      <c r="I1028" s="2" t="s">
        <v>5500</v>
      </c>
      <c r="J1028" s="2" t="n">
        <v>0.79</v>
      </c>
      <c r="K1028" s="2" t="n">
        <v>127.385</v>
      </c>
      <c r="L1028" s="2" t="s">
        <v>84</v>
      </c>
      <c r="M1028" s="2" t="s">
        <v>60</v>
      </c>
      <c r="N1028" s="2"/>
      <c r="O1028" s="2" t="s">
        <v>5501</v>
      </c>
      <c r="P1028" s="2" t="s">
        <v>5502</v>
      </c>
      <c r="Q1028" s="2" t="s">
        <v>110</v>
      </c>
      <c r="R1028" s="2" t="n">
        <v>0.5</v>
      </c>
      <c r="S1028" s="2" t="s">
        <v>5503</v>
      </c>
      <c r="T1028" s="2" t="s">
        <v>3762</v>
      </c>
      <c r="U1028" s="2" t="s">
        <v>5504</v>
      </c>
      <c r="V1028" s="2" t="s">
        <v>3185</v>
      </c>
      <c r="W1028" s="2" t="s">
        <v>3744</v>
      </c>
      <c r="X1028" s="2" t="s">
        <v>507</v>
      </c>
    </row>
    <row r="1029" customFormat="false" ht="15" hidden="false" customHeight="false" outlineLevel="0" collapsed="false">
      <c r="A1029" s="2" t="n">
        <v>1161</v>
      </c>
      <c r="B1029" s="2" t="s">
        <v>5433</v>
      </c>
      <c r="C1029" s="2" t="s">
        <v>5505</v>
      </c>
      <c r="D1029" s="2" t="s">
        <v>121</v>
      </c>
      <c r="E1029" s="2" t="s">
        <v>5506</v>
      </c>
      <c r="F1029" s="2"/>
      <c r="G1029" s="2" t="s">
        <v>5507</v>
      </c>
      <c r="H1029" s="2" t="s">
        <v>5508</v>
      </c>
      <c r="I1029" s="2" t="s">
        <v>554</v>
      </c>
      <c r="J1029" s="2" t="n">
        <v>-3.25</v>
      </c>
      <c r="K1029" s="2" t="n">
        <v>127.09</v>
      </c>
      <c r="L1029" s="2" t="s">
        <v>84</v>
      </c>
      <c r="M1029" s="2" t="s">
        <v>60</v>
      </c>
      <c r="N1029" s="2"/>
      <c r="O1029" s="2" t="s">
        <v>5509</v>
      </c>
      <c r="P1029" s="2" t="s">
        <v>4369</v>
      </c>
      <c r="Q1029" s="2" t="s">
        <v>62</v>
      </c>
      <c r="R1029" s="2" t="n">
        <v>0.6</v>
      </c>
      <c r="S1029" s="2" t="s">
        <v>5510</v>
      </c>
      <c r="T1029" s="2" t="s">
        <v>2239</v>
      </c>
      <c r="U1029" s="2" t="s">
        <v>5511</v>
      </c>
      <c r="V1029" s="2" t="s">
        <v>1314</v>
      </c>
      <c r="W1029" s="2" t="s">
        <v>1397</v>
      </c>
      <c r="X1029" s="2" t="s">
        <v>507</v>
      </c>
    </row>
    <row r="1030" customFormat="false" ht="15" hidden="false" customHeight="false" outlineLevel="0" collapsed="false">
      <c r="A1030" s="2" t="n">
        <v>1165</v>
      </c>
      <c r="B1030" s="2" t="s">
        <v>5433</v>
      </c>
      <c r="C1030" s="2" t="s">
        <v>5512</v>
      </c>
      <c r="D1030" s="2" t="s">
        <v>410</v>
      </c>
      <c r="E1030" s="2" t="s">
        <v>5513</v>
      </c>
      <c r="F1030" s="2"/>
      <c r="G1030" s="2" t="s">
        <v>5514</v>
      </c>
      <c r="H1030" s="2" t="s">
        <v>5515</v>
      </c>
      <c r="I1030" s="2" t="s">
        <v>5500</v>
      </c>
      <c r="J1030" s="2" t="n">
        <v>1.73</v>
      </c>
      <c r="K1030" s="2" t="n">
        <v>128.01</v>
      </c>
      <c r="L1030" s="2" t="s">
        <v>84</v>
      </c>
      <c r="M1030" s="2" t="s">
        <v>60</v>
      </c>
      <c r="N1030" s="2"/>
      <c r="O1030" s="2" t="s">
        <v>5516</v>
      </c>
      <c r="P1030" s="2" t="s">
        <v>109</v>
      </c>
      <c r="Q1030" s="2" t="s">
        <v>62</v>
      </c>
      <c r="R1030" s="2" t="n">
        <v>0.8</v>
      </c>
      <c r="S1030" s="2" t="s">
        <v>5517</v>
      </c>
      <c r="T1030" s="2" t="s">
        <v>963</v>
      </c>
      <c r="U1030" s="2" t="s">
        <v>5518</v>
      </c>
      <c r="V1030" s="2" t="s">
        <v>594</v>
      </c>
      <c r="W1030" s="2" t="s">
        <v>5519</v>
      </c>
      <c r="X1030" s="2" t="s">
        <v>507</v>
      </c>
    </row>
    <row r="1031" customFormat="false" ht="15" hidden="false" customHeight="false" outlineLevel="0" collapsed="false">
      <c r="A1031" s="2" t="n">
        <v>1166</v>
      </c>
      <c r="B1031" s="2" t="s">
        <v>5433</v>
      </c>
      <c r="C1031" s="2" t="s">
        <v>5520</v>
      </c>
      <c r="D1031" s="2" t="s">
        <v>410</v>
      </c>
      <c r="E1031" s="2" t="s">
        <v>5521</v>
      </c>
      <c r="F1031" s="2"/>
      <c r="G1031" s="2" t="s">
        <v>5514</v>
      </c>
      <c r="H1031" s="2" t="s">
        <v>5515</v>
      </c>
      <c r="I1031" s="2" t="s">
        <v>5500</v>
      </c>
      <c r="J1031" s="2" t="n">
        <v>1.73</v>
      </c>
      <c r="K1031" s="2" t="n">
        <v>128.01</v>
      </c>
      <c r="L1031" s="2" t="s">
        <v>84</v>
      </c>
      <c r="M1031" s="2" t="s">
        <v>60</v>
      </c>
      <c r="N1031" s="2"/>
      <c r="O1031" s="2" t="s">
        <v>5522</v>
      </c>
      <c r="P1031" s="2" t="s">
        <v>5113</v>
      </c>
      <c r="Q1031" s="2" t="s">
        <v>62</v>
      </c>
      <c r="R1031" s="2" t="n">
        <v>0.65</v>
      </c>
      <c r="S1031" s="2" t="s">
        <v>5523</v>
      </c>
      <c r="T1031" s="2" t="s">
        <v>5524</v>
      </c>
      <c r="U1031" s="2" t="s">
        <v>5525</v>
      </c>
      <c r="V1031" s="2" t="s">
        <v>420</v>
      </c>
      <c r="W1031" s="2" t="s">
        <v>805</v>
      </c>
      <c r="X1031" s="2" t="s">
        <v>507</v>
      </c>
    </row>
    <row r="1032" customFormat="false" ht="15" hidden="false" customHeight="false" outlineLevel="0" collapsed="false">
      <c r="A1032" s="2" t="n">
        <v>1167</v>
      </c>
      <c r="B1032" s="2" t="s">
        <v>5433</v>
      </c>
      <c r="C1032" s="2" t="s">
        <v>5526</v>
      </c>
      <c r="D1032" s="2" t="s">
        <v>410</v>
      </c>
      <c r="E1032" s="2" t="s">
        <v>5527</v>
      </c>
      <c r="F1032" s="2"/>
      <c r="G1032" s="2" t="s">
        <v>5528</v>
      </c>
      <c r="H1032" s="2" t="s">
        <v>5529</v>
      </c>
      <c r="I1032" s="2" t="s">
        <v>5500</v>
      </c>
      <c r="J1032" s="2" t="n">
        <v>2.05</v>
      </c>
      <c r="K1032" s="2" t="n">
        <v>128.3</v>
      </c>
      <c r="L1032" s="2" t="s">
        <v>84</v>
      </c>
      <c r="M1032" s="2" t="s">
        <v>60</v>
      </c>
      <c r="N1032" s="2"/>
      <c r="O1032" s="2" t="s">
        <v>5530</v>
      </c>
      <c r="P1032" s="2" t="s">
        <v>2558</v>
      </c>
      <c r="Q1032" s="2" t="s">
        <v>62</v>
      </c>
      <c r="R1032" s="2" t="n">
        <v>0.7</v>
      </c>
      <c r="S1032" s="2" t="s">
        <v>5531</v>
      </c>
      <c r="T1032" s="2" t="s">
        <v>5532</v>
      </c>
      <c r="U1032" s="2" t="s">
        <v>5533</v>
      </c>
      <c r="V1032" s="2" t="s">
        <v>5534</v>
      </c>
      <c r="W1032" s="2" t="s">
        <v>3469</v>
      </c>
      <c r="X1032" s="2" t="s">
        <v>507</v>
      </c>
    </row>
    <row r="1033" customFormat="false" ht="15" hidden="false" customHeight="false" outlineLevel="0" collapsed="false">
      <c r="A1033" s="2" t="n">
        <v>1168</v>
      </c>
      <c r="B1033" s="2" t="s">
        <v>5433</v>
      </c>
      <c r="C1033" s="2" t="s">
        <v>5535</v>
      </c>
      <c r="D1033" s="2" t="s">
        <v>134</v>
      </c>
      <c r="E1033" s="2" t="s">
        <v>5536</v>
      </c>
      <c r="F1033" s="2" t="s">
        <v>861</v>
      </c>
      <c r="G1033" s="2" t="s">
        <v>3592</v>
      </c>
      <c r="H1033" s="2" t="s">
        <v>3593</v>
      </c>
      <c r="I1033" s="2" t="s">
        <v>172</v>
      </c>
      <c r="J1033" s="2" t="n">
        <v>-6.968</v>
      </c>
      <c r="K1033" s="2" t="n">
        <v>110.424</v>
      </c>
      <c r="L1033" s="2" t="s">
        <v>59</v>
      </c>
      <c r="M1033" s="2" t="s">
        <v>60</v>
      </c>
      <c r="N1033" s="2"/>
      <c r="O1033" s="2" t="s">
        <v>5537</v>
      </c>
      <c r="P1033" s="2" t="s">
        <v>2672</v>
      </c>
      <c r="Q1033" s="2" t="s">
        <v>110</v>
      </c>
      <c r="R1033" s="2" t="n">
        <v>0.75</v>
      </c>
      <c r="S1033" s="2" t="s">
        <v>5538</v>
      </c>
      <c r="T1033" s="2" t="s">
        <v>5539</v>
      </c>
      <c r="U1033" s="2" t="s">
        <v>5540</v>
      </c>
      <c r="V1033" s="2" t="s">
        <v>3185</v>
      </c>
      <c r="W1033" s="2" t="s">
        <v>1543</v>
      </c>
      <c r="X1033" s="2" t="s">
        <v>507</v>
      </c>
    </row>
    <row r="1034" customFormat="false" ht="15" hidden="false" customHeight="false" outlineLevel="0" collapsed="false">
      <c r="A1034" s="2" t="n">
        <v>1169</v>
      </c>
      <c r="B1034" s="2" t="s">
        <v>5433</v>
      </c>
      <c r="C1034" s="2" t="s">
        <v>5541</v>
      </c>
      <c r="D1034" s="2" t="s">
        <v>410</v>
      </c>
      <c r="E1034" s="2" t="s">
        <v>5542</v>
      </c>
      <c r="F1034" s="2"/>
      <c r="G1034" s="2"/>
      <c r="H1034" s="2" t="s">
        <v>5515</v>
      </c>
      <c r="I1034" s="2" t="s">
        <v>5500</v>
      </c>
      <c r="J1034" s="2" t="n">
        <v>1.693</v>
      </c>
      <c r="K1034" s="2" t="n">
        <v>127.894</v>
      </c>
      <c r="L1034" s="2" t="s">
        <v>124</v>
      </c>
      <c r="M1034" s="2" t="s">
        <v>340</v>
      </c>
      <c r="N1034" s="2"/>
      <c r="O1034" s="2" t="s">
        <v>5543</v>
      </c>
      <c r="P1034" s="2" t="s">
        <v>5544</v>
      </c>
      <c r="Q1034" s="2" t="s">
        <v>110</v>
      </c>
      <c r="R1034" s="2" t="n">
        <v>0.6</v>
      </c>
      <c r="S1034" s="2" t="s">
        <v>5545</v>
      </c>
      <c r="T1034" s="2" t="s">
        <v>5546</v>
      </c>
      <c r="U1034" s="2" t="s">
        <v>5547</v>
      </c>
      <c r="V1034" s="2" t="s">
        <v>5548</v>
      </c>
      <c r="W1034" s="2" t="s">
        <v>3169</v>
      </c>
      <c r="X1034" s="2" t="s">
        <v>507</v>
      </c>
    </row>
    <row r="1035" customFormat="false" ht="15" hidden="false" customHeight="false" outlineLevel="0" collapsed="false">
      <c r="A1035" s="2" t="n">
        <v>1174</v>
      </c>
      <c r="B1035" s="2" t="s">
        <v>5549</v>
      </c>
      <c r="C1035" s="2" t="s">
        <v>5550</v>
      </c>
      <c r="D1035" s="2" t="s">
        <v>121</v>
      </c>
      <c r="E1035" s="2" t="s">
        <v>5551</v>
      </c>
      <c r="F1035" s="2"/>
      <c r="G1035" s="2"/>
      <c r="H1035" s="2" t="s">
        <v>5552</v>
      </c>
      <c r="I1035" s="2" t="s">
        <v>5500</v>
      </c>
      <c r="J1035" s="2" t="n">
        <v>1.2</v>
      </c>
      <c r="K1035" s="2" t="n">
        <v>127.55</v>
      </c>
      <c r="L1035" s="2" t="s">
        <v>101</v>
      </c>
      <c r="M1035" s="2" t="s">
        <v>340</v>
      </c>
      <c r="N1035" s="2"/>
      <c r="O1035" s="2" t="s">
        <v>5553</v>
      </c>
      <c r="P1035" s="2" t="s">
        <v>5554</v>
      </c>
      <c r="Q1035" s="2" t="s">
        <v>62</v>
      </c>
      <c r="R1035" s="2" t="n">
        <v>0.8</v>
      </c>
      <c r="S1035" s="2" t="s">
        <v>5555</v>
      </c>
      <c r="T1035" s="2" t="s">
        <v>5524</v>
      </c>
      <c r="U1035" s="2" t="s">
        <v>5556</v>
      </c>
      <c r="V1035" s="2" t="s">
        <v>3185</v>
      </c>
      <c r="W1035" s="2" t="s">
        <v>5557</v>
      </c>
      <c r="X1035" s="2" t="s">
        <v>507</v>
      </c>
    </row>
    <row r="1036" customFormat="false" ht="15" hidden="false" customHeight="false" outlineLevel="0" collapsed="false">
      <c r="A1036" s="2" t="n">
        <v>1174</v>
      </c>
      <c r="B1036" s="2" t="s">
        <v>5549</v>
      </c>
      <c r="C1036" s="2" t="s">
        <v>5558</v>
      </c>
      <c r="D1036" s="2" t="s">
        <v>410</v>
      </c>
      <c r="E1036" s="2" t="s">
        <v>5559</v>
      </c>
      <c r="F1036" s="2" t="s">
        <v>5560</v>
      </c>
      <c r="G1036" s="2" t="s">
        <v>5561</v>
      </c>
      <c r="H1036" s="2" t="s">
        <v>5552</v>
      </c>
      <c r="I1036" s="2" t="s">
        <v>5500</v>
      </c>
      <c r="J1036" s="2" t="n">
        <v>1.15</v>
      </c>
      <c r="K1036" s="2" t="n">
        <v>127.48</v>
      </c>
      <c r="L1036" s="2" t="s">
        <v>84</v>
      </c>
      <c r="M1036" s="2" t="s">
        <v>60</v>
      </c>
      <c r="N1036" s="2"/>
      <c r="O1036" s="2" t="s">
        <v>5562</v>
      </c>
      <c r="P1036" s="2" t="s">
        <v>3182</v>
      </c>
      <c r="Q1036" s="2" t="s">
        <v>62</v>
      </c>
      <c r="R1036" s="2" t="n">
        <v>0.45</v>
      </c>
      <c r="S1036" s="2" t="s">
        <v>5555</v>
      </c>
      <c r="T1036" s="2" t="s">
        <v>5524</v>
      </c>
      <c r="U1036" s="2" t="s">
        <v>5556</v>
      </c>
      <c r="V1036" s="2" t="s">
        <v>3185</v>
      </c>
      <c r="W1036" s="2" t="s">
        <v>5557</v>
      </c>
      <c r="X1036" s="2" t="s">
        <v>507</v>
      </c>
    </row>
    <row r="1037" customFormat="false" ht="15" hidden="false" customHeight="false" outlineLevel="0" collapsed="false">
      <c r="A1037" s="2" t="n">
        <v>1176</v>
      </c>
      <c r="B1037" s="2" t="s">
        <v>5549</v>
      </c>
      <c r="C1037" s="2" t="s">
        <v>5563</v>
      </c>
      <c r="D1037" s="2" t="s">
        <v>1130</v>
      </c>
      <c r="E1037" s="2" t="s">
        <v>5564</v>
      </c>
      <c r="F1037" s="2"/>
      <c r="G1037" s="2" t="s">
        <v>5565</v>
      </c>
      <c r="H1037" s="2" t="s">
        <v>5566</v>
      </c>
      <c r="I1037" s="2" t="s">
        <v>5500</v>
      </c>
      <c r="J1037" s="2" t="n">
        <v>-2.06</v>
      </c>
      <c r="K1037" s="2" t="n">
        <v>125.98</v>
      </c>
      <c r="L1037" s="2" t="s">
        <v>84</v>
      </c>
      <c r="M1037" s="2" t="s">
        <v>60</v>
      </c>
      <c r="N1037" s="2"/>
      <c r="O1037" s="2" t="s">
        <v>5567</v>
      </c>
      <c r="P1037" s="2" t="s">
        <v>4150</v>
      </c>
      <c r="Q1037" s="2" t="s">
        <v>62</v>
      </c>
      <c r="R1037" s="2" t="n">
        <v>0.4</v>
      </c>
      <c r="S1037" s="2" t="s">
        <v>5568</v>
      </c>
      <c r="T1037" s="2" t="s">
        <v>5524</v>
      </c>
      <c r="U1037" s="2" t="s">
        <v>5569</v>
      </c>
      <c r="V1037" s="2" t="s">
        <v>3185</v>
      </c>
      <c r="W1037" s="2" t="s">
        <v>5570</v>
      </c>
      <c r="X1037" s="2" t="s">
        <v>507</v>
      </c>
    </row>
    <row r="1038" customFormat="false" ht="15" hidden="false" customHeight="false" outlineLevel="0" collapsed="false">
      <c r="A1038" s="2" t="n">
        <v>1179</v>
      </c>
      <c r="B1038" s="2" t="s">
        <v>5549</v>
      </c>
      <c r="C1038" s="2" t="s">
        <v>5571</v>
      </c>
      <c r="D1038" s="2" t="s">
        <v>121</v>
      </c>
      <c r="E1038" s="2" t="s">
        <v>5572</v>
      </c>
      <c r="F1038" s="2"/>
      <c r="G1038" s="2"/>
      <c r="H1038" s="2" t="s">
        <v>5572</v>
      </c>
      <c r="I1038" s="2" t="s">
        <v>5500</v>
      </c>
      <c r="J1038" s="2" t="n">
        <v>-0.8</v>
      </c>
      <c r="K1038" s="2" t="n">
        <v>127.7</v>
      </c>
      <c r="L1038" s="2" t="s">
        <v>101</v>
      </c>
      <c r="M1038" s="2" t="s">
        <v>60</v>
      </c>
      <c r="N1038" s="2"/>
      <c r="O1038" s="2" t="s">
        <v>5573</v>
      </c>
      <c r="P1038" s="2" t="s">
        <v>109</v>
      </c>
      <c r="Q1038" s="2" t="s">
        <v>62</v>
      </c>
      <c r="R1038" s="2" t="n">
        <v>0.45</v>
      </c>
      <c r="S1038" s="2" t="s">
        <v>5574</v>
      </c>
      <c r="T1038" s="2" t="s">
        <v>5575</v>
      </c>
      <c r="U1038" s="2" t="s">
        <v>3193</v>
      </c>
      <c r="V1038" s="2" t="s">
        <v>594</v>
      </c>
      <c r="W1038" s="2" t="s">
        <v>3194</v>
      </c>
      <c r="X1038" s="2" t="s">
        <v>507</v>
      </c>
    </row>
    <row r="1039" customFormat="false" ht="15" hidden="false" customHeight="false" outlineLevel="0" collapsed="false">
      <c r="A1039" s="2" t="n">
        <v>1180</v>
      </c>
      <c r="B1039" s="2" t="s">
        <v>5549</v>
      </c>
      <c r="C1039" s="2" t="s">
        <v>5576</v>
      </c>
      <c r="D1039" s="2" t="s">
        <v>53</v>
      </c>
      <c r="E1039" s="2" t="s">
        <v>5577</v>
      </c>
      <c r="F1039" s="2" t="s">
        <v>5578</v>
      </c>
      <c r="G1039" s="2" t="s">
        <v>5579</v>
      </c>
      <c r="H1039" s="2" t="s">
        <v>5580</v>
      </c>
      <c r="I1039" s="2" t="s">
        <v>1155</v>
      </c>
      <c r="J1039" s="2" t="n">
        <v>-2.62</v>
      </c>
      <c r="K1039" s="2" t="n">
        <v>140.79</v>
      </c>
      <c r="L1039" s="2" t="s">
        <v>59</v>
      </c>
      <c r="M1039" s="2" t="s">
        <v>60</v>
      </c>
      <c r="N1039" s="2"/>
      <c r="O1039" s="2" t="s">
        <v>5581</v>
      </c>
      <c r="P1039" s="2"/>
      <c r="Q1039" s="2" t="s">
        <v>62</v>
      </c>
      <c r="R1039" s="2" t="n">
        <v>0.8</v>
      </c>
      <c r="S1039" s="2" t="s">
        <v>5582</v>
      </c>
      <c r="T1039" s="2" t="s">
        <v>95</v>
      </c>
      <c r="U1039" s="2" t="s">
        <v>3205</v>
      </c>
      <c r="V1039" s="2" t="s">
        <v>3168</v>
      </c>
      <c r="W1039" s="2" t="s">
        <v>3206</v>
      </c>
      <c r="X1039" s="2" t="s">
        <v>507</v>
      </c>
    </row>
    <row r="1040" customFormat="false" ht="15" hidden="false" customHeight="false" outlineLevel="0" collapsed="false">
      <c r="A1040" s="2" t="n">
        <v>1184</v>
      </c>
      <c r="B1040" s="2" t="s">
        <v>5549</v>
      </c>
      <c r="C1040" s="2" t="s">
        <v>5583</v>
      </c>
      <c r="D1040" s="2" t="s">
        <v>410</v>
      </c>
      <c r="E1040" s="2" t="s">
        <v>5584</v>
      </c>
      <c r="F1040" s="2" t="s">
        <v>5585</v>
      </c>
      <c r="G1040" s="2" t="s">
        <v>5586</v>
      </c>
      <c r="H1040" s="2" t="s">
        <v>1154</v>
      </c>
      <c r="I1040" s="2" t="s">
        <v>1155</v>
      </c>
      <c r="J1040" s="2" t="n">
        <v>-2.47</v>
      </c>
      <c r="K1040" s="2" t="n">
        <v>140.38</v>
      </c>
      <c r="L1040" s="2" t="s">
        <v>84</v>
      </c>
      <c r="M1040" s="2" t="s">
        <v>60</v>
      </c>
      <c r="N1040" s="2"/>
      <c r="O1040" s="2" t="s">
        <v>5587</v>
      </c>
      <c r="P1040" s="2" t="s">
        <v>5588</v>
      </c>
      <c r="Q1040" s="2" t="s">
        <v>110</v>
      </c>
      <c r="R1040" s="2" t="n">
        <v>0.9</v>
      </c>
      <c r="S1040" s="2" t="s">
        <v>5589</v>
      </c>
      <c r="T1040" s="2" t="s">
        <v>5590</v>
      </c>
      <c r="U1040" s="2" t="s">
        <v>5591</v>
      </c>
      <c r="V1040" s="2" t="s">
        <v>420</v>
      </c>
      <c r="W1040" s="2" t="s">
        <v>1429</v>
      </c>
      <c r="X1040" s="2" t="s">
        <v>507</v>
      </c>
    </row>
    <row r="1041" customFormat="false" ht="15" hidden="false" customHeight="false" outlineLevel="0" collapsed="false">
      <c r="A1041" s="2" t="n">
        <v>1184</v>
      </c>
      <c r="B1041" s="2" t="s">
        <v>5549</v>
      </c>
      <c r="C1041" s="2" t="s">
        <v>5592</v>
      </c>
      <c r="D1041" s="2" t="s">
        <v>410</v>
      </c>
      <c r="E1041" s="2" t="s">
        <v>5593</v>
      </c>
      <c r="F1041" s="2"/>
      <c r="G1041" s="2" t="s">
        <v>5586</v>
      </c>
      <c r="H1041" s="2" t="s">
        <v>1154</v>
      </c>
      <c r="I1041" s="2" t="s">
        <v>1155</v>
      </c>
      <c r="J1041" s="2" t="n">
        <v>-2.47</v>
      </c>
      <c r="K1041" s="2" t="n">
        <v>140.38</v>
      </c>
      <c r="L1041" s="2" t="s">
        <v>84</v>
      </c>
      <c r="M1041" s="2" t="s">
        <v>60</v>
      </c>
      <c r="N1041" s="2"/>
      <c r="O1041" s="2" t="s">
        <v>5594</v>
      </c>
      <c r="P1041" s="2"/>
      <c r="Q1041" s="2" t="s">
        <v>62</v>
      </c>
      <c r="R1041" s="2" t="n">
        <v>0.6</v>
      </c>
      <c r="S1041" s="2" t="s">
        <v>5589</v>
      </c>
      <c r="T1041" s="2" t="s">
        <v>5590</v>
      </c>
      <c r="U1041" s="2" t="s">
        <v>5591</v>
      </c>
      <c r="V1041" s="2" t="s">
        <v>420</v>
      </c>
      <c r="W1041" s="2" t="s">
        <v>1429</v>
      </c>
      <c r="X1041" s="2" t="s">
        <v>507</v>
      </c>
    </row>
    <row r="1042" customFormat="false" ht="15" hidden="false" customHeight="false" outlineLevel="0" collapsed="false">
      <c r="A1042" s="2" t="n">
        <v>1184</v>
      </c>
      <c r="B1042" s="2" t="s">
        <v>5549</v>
      </c>
      <c r="C1042" s="2" t="s">
        <v>5595</v>
      </c>
      <c r="D1042" s="2" t="s">
        <v>410</v>
      </c>
      <c r="E1042" s="2" t="s">
        <v>5593</v>
      </c>
      <c r="F1042" s="2"/>
      <c r="G1042" s="2" t="s">
        <v>5586</v>
      </c>
      <c r="H1042" s="2" t="s">
        <v>1154</v>
      </c>
      <c r="I1042" s="2" t="s">
        <v>1155</v>
      </c>
      <c r="J1042" s="2" t="n">
        <v>-2.47</v>
      </c>
      <c r="K1042" s="2" t="n">
        <v>140.38</v>
      </c>
      <c r="L1042" s="2" t="s">
        <v>84</v>
      </c>
      <c r="M1042" s="2" t="s">
        <v>60</v>
      </c>
      <c r="N1042" s="2"/>
      <c r="O1042" s="2" t="s">
        <v>5596</v>
      </c>
      <c r="P1042" s="2"/>
      <c r="Q1042" s="2" t="s">
        <v>62</v>
      </c>
      <c r="R1042" s="2" t="n">
        <v>0.55</v>
      </c>
      <c r="S1042" s="2" t="s">
        <v>5589</v>
      </c>
      <c r="T1042" s="2" t="s">
        <v>5590</v>
      </c>
      <c r="U1042" s="2" t="s">
        <v>5591</v>
      </c>
      <c r="V1042" s="2" t="s">
        <v>420</v>
      </c>
      <c r="W1042" s="2" t="s">
        <v>1429</v>
      </c>
      <c r="X1042" s="2" t="s">
        <v>507</v>
      </c>
    </row>
    <row r="1043" customFormat="false" ht="15" hidden="false" customHeight="false" outlineLevel="0" collapsed="false">
      <c r="A1043" s="2" t="n">
        <v>1192</v>
      </c>
      <c r="B1043" s="2" t="s">
        <v>5549</v>
      </c>
      <c r="C1043" s="2" t="s">
        <v>5597</v>
      </c>
      <c r="D1043" s="2" t="s">
        <v>351</v>
      </c>
      <c r="E1043" s="2" t="s">
        <v>5598</v>
      </c>
      <c r="F1043" s="2" t="s">
        <v>424</v>
      </c>
      <c r="G1043" s="2" t="s">
        <v>425</v>
      </c>
      <c r="H1043" s="2" t="s">
        <v>426</v>
      </c>
      <c r="I1043" s="2" t="s">
        <v>74</v>
      </c>
      <c r="J1043" s="2" t="n">
        <v>-6.244</v>
      </c>
      <c r="K1043" s="2" t="n">
        <v>106.8</v>
      </c>
      <c r="L1043" s="2" t="s">
        <v>59</v>
      </c>
      <c r="M1043" s="2" t="s">
        <v>60</v>
      </c>
      <c r="N1043" s="2"/>
      <c r="O1043" s="2" t="s">
        <v>5599</v>
      </c>
      <c r="P1043" s="2" t="s">
        <v>692</v>
      </c>
      <c r="Q1043" s="2" t="s">
        <v>110</v>
      </c>
      <c r="R1043" s="2" t="n">
        <v>0.5</v>
      </c>
      <c r="S1043" s="2" t="s">
        <v>5600</v>
      </c>
      <c r="T1043" s="2" t="s">
        <v>3341</v>
      </c>
      <c r="U1043" s="2" t="s">
        <v>5601</v>
      </c>
      <c r="V1043" s="2" t="s">
        <v>603</v>
      </c>
      <c r="W1043" s="2" t="s">
        <v>370</v>
      </c>
      <c r="X1043" s="2" t="s">
        <v>507</v>
      </c>
    </row>
    <row r="1044" customFormat="false" ht="15" hidden="false" customHeight="false" outlineLevel="0" collapsed="false">
      <c r="A1044" s="2" t="n">
        <v>1196</v>
      </c>
      <c r="B1044" s="2" t="s">
        <v>5549</v>
      </c>
      <c r="C1044" s="2" t="s">
        <v>5602</v>
      </c>
      <c r="D1044" s="2" t="s">
        <v>121</v>
      </c>
      <c r="E1044" s="2" t="s">
        <v>5603</v>
      </c>
      <c r="F1044" s="2"/>
      <c r="G1044" s="2" t="s">
        <v>5604</v>
      </c>
      <c r="H1044" s="2" t="s">
        <v>5580</v>
      </c>
      <c r="I1044" s="2" t="s">
        <v>1155</v>
      </c>
      <c r="J1044" s="2" t="n">
        <v>-2.527</v>
      </c>
      <c r="K1044" s="2" t="n">
        <v>140.705</v>
      </c>
      <c r="L1044" s="2" t="s">
        <v>84</v>
      </c>
      <c r="M1044" s="2" t="s">
        <v>60</v>
      </c>
      <c r="N1044" s="2"/>
      <c r="O1044" s="2" t="s">
        <v>5605</v>
      </c>
      <c r="P1044" s="2" t="s">
        <v>1928</v>
      </c>
      <c r="Q1044" s="2" t="s">
        <v>62</v>
      </c>
      <c r="R1044" s="2" t="n">
        <v>0.5</v>
      </c>
      <c r="S1044" s="2" t="s">
        <v>5606</v>
      </c>
      <c r="T1044" s="2" t="s">
        <v>694</v>
      </c>
      <c r="U1044" s="2" t="s">
        <v>3329</v>
      </c>
      <c r="V1044" s="2" t="s">
        <v>3330</v>
      </c>
      <c r="W1044" s="2" t="s">
        <v>2158</v>
      </c>
      <c r="X1044" s="2" t="s">
        <v>507</v>
      </c>
    </row>
    <row r="1045" customFormat="false" ht="15" hidden="false" customHeight="false" outlineLevel="0" collapsed="false">
      <c r="A1045" s="2" t="n">
        <v>1202</v>
      </c>
      <c r="B1045" s="2" t="s">
        <v>5607</v>
      </c>
      <c r="C1045" s="2" t="s">
        <v>5608</v>
      </c>
      <c r="D1045" s="2" t="s">
        <v>121</v>
      </c>
      <c r="E1045" s="2" t="s">
        <v>5609</v>
      </c>
      <c r="F1045" s="2"/>
      <c r="G1045" s="2" t="s">
        <v>5610</v>
      </c>
      <c r="H1045" s="2" t="s">
        <v>5611</v>
      </c>
      <c r="I1045" s="2" t="s">
        <v>5612</v>
      </c>
      <c r="J1045" s="2" t="n">
        <v>-4.07</v>
      </c>
      <c r="K1045" s="2" t="n">
        <v>138.9</v>
      </c>
      <c r="L1045" s="2" t="s">
        <v>84</v>
      </c>
      <c r="M1045" s="2" t="s">
        <v>340</v>
      </c>
      <c r="N1045" s="2"/>
      <c r="O1045" s="2" t="s">
        <v>5613</v>
      </c>
      <c r="P1045" s="2" t="s">
        <v>5614</v>
      </c>
      <c r="Q1045" s="2" t="s">
        <v>62</v>
      </c>
      <c r="R1045" s="2" t="n">
        <v>0.7</v>
      </c>
      <c r="S1045" s="2" t="s">
        <v>5615</v>
      </c>
      <c r="T1045" s="2" t="s">
        <v>5616</v>
      </c>
      <c r="U1045" s="2" t="s">
        <v>5617</v>
      </c>
      <c r="V1045" s="2" t="s">
        <v>965</v>
      </c>
      <c r="W1045" s="2" t="s">
        <v>1543</v>
      </c>
      <c r="X1045" s="2" t="s">
        <v>507</v>
      </c>
    </row>
    <row r="1046" customFormat="false" ht="15" hidden="false" customHeight="false" outlineLevel="0" collapsed="false">
      <c r="A1046" s="2" t="n">
        <v>1203</v>
      </c>
      <c r="B1046" s="2" t="s">
        <v>5607</v>
      </c>
      <c r="C1046" s="2" t="s">
        <v>5618</v>
      </c>
      <c r="D1046" s="2" t="s">
        <v>410</v>
      </c>
      <c r="E1046" s="2" t="s">
        <v>5619</v>
      </c>
      <c r="F1046" s="2" t="s">
        <v>5378</v>
      </c>
      <c r="G1046" s="2" t="s">
        <v>5357</v>
      </c>
      <c r="H1046" s="2" t="s">
        <v>5358</v>
      </c>
      <c r="I1046" s="2" t="s">
        <v>403</v>
      </c>
      <c r="J1046" s="2" t="n">
        <v>-5.56</v>
      </c>
      <c r="K1046" s="2" t="n">
        <v>120.44</v>
      </c>
      <c r="L1046" s="2" t="s">
        <v>84</v>
      </c>
      <c r="M1046" s="2" t="s">
        <v>60</v>
      </c>
      <c r="N1046" s="2"/>
      <c r="O1046" s="2" t="s">
        <v>5620</v>
      </c>
      <c r="P1046" s="2"/>
      <c r="Q1046" s="2" t="s">
        <v>62</v>
      </c>
      <c r="R1046" s="2" t="n">
        <v>0.8</v>
      </c>
      <c r="S1046" s="2" t="s">
        <v>5621</v>
      </c>
      <c r="T1046" s="2" t="s">
        <v>95</v>
      </c>
      <c r="U1046" s="2" t="s">
        <v>3359</v>
      </c>
      <c r="V1046" s="2" t="s">
        <v>582</v>
      </c>
      <c r="W1046" s="2" t="s">
        <v>487</v>
      </c>
      <c r="X1046" s="2" t="s">
        <v>507</v>
      </c>
    </row>
    <row r="1047" customFormat="false" ht="15" hidden="false" customHeight="false" outlineLevel="0" collapsed="false">
      <c r="A1047" s="2" t="n">
        <v>1208</v>
      </c>
      <c r="B1047" s="2" t="s">
        <v>5607</v>
      </c>
      <c r="C1047" s="2" t="s">
        <v>5622</v>
      </c>
      <c r="D1047" s="2" t="s">
        <v>351</v>
      </c>
      <c r="E1047" s="2" t="s">
        <v>5623</v>
      </c>
      <c r="F1047" s="2" t="s">
        <v>5624</v>
      </c>
      <c r="G1047" s="2" t="s">
        <v>5625</v>
      </c>
      <c r="H1047" s="2" t="s">
        <v>5626</v>
      </c>
      <c r="I1047" s="2" t="s">
        <v>5627</v>
      </c>
      <c r="J1047" s="2" t="n">
        <v>-0.865</v>
      </c>
      <c r="K1047" s="2" t="n">
        <v>134.07</v>
      </c>
      <c r="L1047" s="2" t="s">
        <v>59</v>
      </c>
      <c r="M1047" s="2" t="s">
        <v>60</v>
      </c>
      <c r="N1047" s="2"/>
      <c r="O1047" s="2" t="s">
        <v>5628</v>
      </c>
      <c r="P1047" s="2" t="s">
        <v>5629</v>
      </c>
      <c r="Q1047" s="2" t="s">
        <v>110</v>
      </c>
      <c r="R1047" s="2" t="n">
        <v>0.5</v>
      </c>
      <c r="S1047" s="2" t="s">
        <v>5630</v>
      </c>
      <c r="T1047" s="2" t="s">
        <v>5631</v>
      </c>
      <c r="U1047" s="2" t="s">
        <v>3397</v>
      </c>
      <c r="V1047" s="2" t="s">
        <v>1146</v>
      </c>
      <c r="W1047" s="2" t="s">
        <v>3398</v>
      </c>
      <c r="X1047" s="2" t="s">
        <v>507</v>
      </c>
    </row>
    <row r="1048" customFormat="false" ht="15" hidden="false" customHeight="false" outlineLevel="0" collapsed="false">
      <c r="A1048" s="2" t="n">
        <v>1209</v>
      </c>
      <c r="B1048" s="2" t="s">
        <v>5607</v>
      </c>
      <c r="C1048" s="2" t="s">
        <v>5632</v>
      </c>
      <c r="D1048" s="2" t="s">
        <v>121</v>
      </c>
      <c r="E1048" s="2" t="s">
        <v>5633</v>
      </c>
      <c r="F1048" s="2"/>
      <c r="G1048" s="2" t="s">
        <v>5610</v>
      </c>
      <c r="H1048" s="2" t="s">
        <v>5611</v>
      </c>
      <c r="I1048" s="2" t="s">
        <v>5612</v>
      </c>
      <c r="J1048" s="2" t="n">
        <v>-4.07</v>
      </c>
      <c r="K1048" s="2" t="n">
        <v>138.9</v>
      </c>
      <c r="L1048" s="2" t="s">
        <v>84</v>
      </c>
      <c r="M1048" s="2" t="s">
        <v>60</v>
      </c>
      <c r="N1048" s="2"/>
      <c r="O1048" s="2" t="s">
        <v>5634</v>
      </c>
      <c r="P1048" s="2" t="s">
        <v>5635</v>
      </c>
      <c r="Q1048" s="2" t="s">
        <v>110</v>
      </c>
      <c r="R1048" s="2" t="n">
        <v>0.7</v>
      </c>
      <c r="S1048" s="2" t="s">
        <v>5636</v>
      </c>
      <c r="T1048" s="2" t="s">
        <v>5637</v>
      </c>
      <c r="U1048" s="2" t="s">
        <v>5638</v>
      </c>
      <c r="V1048" s="2" t="s">
        <v>3212</v>
      </c>
      <c r="W1048" s="2" t="s">
        <v>1147</v>
      </c>
      <c r="X1048" s="2" t="s">
        <v>507</v>
      </c>
    </row>
    <row r="1049" customFormat="false" ht="15" hidden="false" customHeight="false" outlineLevel="0" collapsed="false">
      <c r="A1049" s="2" t="n">
        <v>1213</v>
      </c>
      <c r="B1049" s="2" t="s">
        <v>5607</v>
      </c>
      <c r="C1049" s="2" t="s">
        <v>5639</v>
      </c>
      <c r="D1049" s="2" t="s">
        <v>1130</v>
      </c>
      <c r="E1049" s="2" t="s">
        <v>5640</v>
      </c>
      <c r="F1049" s="2"/>
      <c r="G1049" s="2" t="s">
        <v>5641</v>
      </c>
      <c r="H1049" s="2" t="s">
        <v>5642</v>
      </c>
      <c r="I1049" s="2" t="s">
        <v>5643</v>
      </c>
      <c r="J1049" s="2" t="n">
        <v>-5.543</v>
      </c>
      <c r="K1049" s="2" t="n">
        <v>138.13</v>
      </c>
      <c r="L1049" s="2" t="s">
        <v>84</v>
      </c>
      <c r="M1049" s="2" t="s">
        <v>340</v>
      </c>
      <c r="N1049" s="2"/>
      <c r="O1049" s="2" t="s">
        <v>5644</v>
      </c>
      <c r="P1049" s="2" t="s">
        <v>2019</v>
      </c>
      <c r="Q1049" s="2" t="s">
        <v>62</v>
      </c>
      <c r="R1049" s="2" t="n">
        <v>0.5</v>
      </c>
      <c r="S1049" s="2" t="s">
        <v>5645</v>
      </c>
      <c r="T1049" s="2" t="s">
        <v>5646</v>
      </c>
      <c r="U1049" s="2" t="s">
        <v>5647</v>
      </c>
      <c r="V1049" s="2" t="s">
        <v>5648</v>
      </c>
      <c r="W1049" s="2" t="s">
        <v>476</v>
      </c>
      <c r="X1049" s="2" t="s">
        <v>507</v>
      </c>
    </row>
    <row r="1050" customFormat="false" ht="15" hidden="false" customHeight="false" outlineLevel="0" collapsed="false">
      <c r="A1050" s="2" t="n">
        <v>1213</v>
      </c>
      <c r="B1050" s="2" t="s">
        <v>5607</v>
      </c>
      <c r="C1050" s="2" t="s">
        <v>5649</v>
      </c>
      <c r="D1050" s="2" t="s">
        <v>53</v>
      </c>
      <c r="E1050" s="2" t="s">
        <v>5650</v>
      </c>
      <c r="F1050" s="2"/>
      <c r="G1050" s="2" t="s">
        <v>5641</v>
      </c>
      <c r="H1050" s="2" t="s">
        <v>5642</v>
      </c>
      <c r="I1050" s="2" t="s">
        <v>5643</v>
      </c>
      <c r="J1050" s="2" t="n">
        <v>-5.543</v>
      </c>
      <c r="K1050" s="2" t="n">
        <v>138.13</v>
      </c>
      <c r="L1050" s="2" t="s">
        <v>84</v>
      </c>
      <c r="M1050" s="2" t="s">
        <v>60</v>
      </c>
      <c r="N1050" s="2"/>
      <c r="O1050" s="2" t="s">
        <v>5651</v>
      </c>
      <c r="P1050" s="2" t="s">
        <v>2019</v>
      </c>
      <c r="Q1050" s="2" t="s">
        <v>62</v>
      </c>
      <c r="R1050" s="2" t="n">
        <v>0.35</v>
      </c>
      <c r="S1050" s="2" t="s">
        <v>5645</v>
      </c>
      <c r="T1050" s="2" t="s">
        <v>5646</v>
      </c>
      <c r="U1050" s="2" t="s">
        <v>5647</v>
      </c>
      <c r="V1050" s="2" t="s">
        <v>5648</v>
      </c>
      <c r="W1050" s="2" t="s">
        <v>476</v>
      </c>
      <c r="X1050" s="2" t="s">
        <v>507</v>
      </c>
    </row>
    <row r="1051" customFormat="false" ht="15" hidden="false" customHeight="false" outlineLevel="0" collapsed="false">
      <c r="A1051" s="2" t="n">
        <v>1218</v>
      </c>
      <c r="B1051" s="2" t="s">
        <v>5607</v>
      </c>
      <c r="C1051" s="2" t="s">
        <v>5652</v>
      </c>
      <c r="D1051" s="2" t="s">
        <v>121</v>
      </c>
      <c r="E1051" s="2" t="s">
        <v>5653</v>
      </c>
      <c r="F1051" s="2"/>
      <c r="G1051" s="2" t="s">
        <v>1936</v>
      </c>
      <c r="H1051" s="2" t="s">
        <v>1937</v>
      </c>
      <c r="I1051" s="2" t="s">
        <v>385</v>
      </c>
      <c r="J1051" s="2" t="n">
        <v>2.61</v>
      </c>
      <c r="K1051" s="2" t="n">
        <v>98.7</v>
      </c>
      <c r="L1051" s="2" t="s">
        <v>84</v>
      </c>
      <c r="M1051" s="2" t="s">
        <v>60</v>
      </c>
      <c r="N1051" s="2"/>
      <c r="O1051" s="2" t="s">
        <v>5654</v>
      </c>
      <c r="P1051" s="2" t="s">
        <v>5655</v>
      </c>
      <c r="Q1051" s="2" t="s">
        <v>62</v>
      </c>
      <c r="R1051" s="2" t="n">
        <v>0.7</v>
      </c>
      <c r="S1051" s="2" t="s">
        <v>5656</v>
      </c>
      <c r="T1051" s="2" t="s">
        <v>2034</v>
      </c>
      <c r="U1051" s="2" t="s">
        <v>5657</v>
      </c>
      <c r="V1051" s="2" t="s">
        <v>646</v>
      </c>
      <c r="W1051" s="2" t="s">
        <v>2613</v>
      </c>
      <c r="X1051" s="2" t="s">
        <v>507</v>
      </c>
    </row>
    <row r="1052" customFormat="false" ht="15" hidden="false" customHeight="false" outlineLevel="0" collapsed="false">
      <c r="A1052" s="2" t="n">
        <v>1218</v>
      </c>
      <c r="B1052" s="2" t="s">
        <v>5607</v>
      </c>
      <c r="C1052" s="2" t="s">
        <v>5658</v>
      </c>
      <c r="D1052" s="2" t="s">
        <v>410</v>
      </c>
      <c r="E1052" s="2" t="s">
        <v>5659</v>
      </c>
      <c r="F1052" s="2"/>
      <c r="G1052" s="2" t="s">
        <v>1936</v>
      </c>
      <c r="H1052" s="2" t="s">
        <v>1937</v>
      </c>
      <c r="I1052" s="2" t="s">
        <v>385</v>
      </c>
      <c r="J1052" s="2" t="n">
        <v>2.61</v>
      </c>
      <c r="K1052" s="2" t="n">
        <v>98.7</v>
      </c>
      <c r="L1052" s="2" t="s">
        <v>84</v>
      </c>
      <c r="M1052" s="2" t="s">
        <v>60</v>
      </c>
      <c r="N1052" s="2"/>
      <c r="O1052" s="2" t="s">
        <v>5660</v>
      </c>
      <c r="P1052" s="2" t="s">
        <v>692</v>
      </c>
      <c r="Q1052" s="2" t="s">
        <v>62</v>
      </c>
      <c r="R1052" s="2" t="n">
        <v>0.55</v>
      </c>
      <c r="S1052" s="2" t="s">
        <v>5656</v>
      </c>
      <c r="T1052" s="2" t="s">
        <v>2034</v>
      </c>
      <c r="U1052" s="2" t="s">
        <v>5657</v>
      </c>
      <c r="V1052" s="2" t="s">
        <v>646</v>
      </c>
      <c r="W1052" s="2" t="s">
        <v>2613</v>
      </c>
      <c r="X1052" s="2" t="s">
        <v>507</v>
      </c>
    </row>
    <row r="1053" customFormat="false" ht="15" hidden="false" customHeight="false" outlineLevel="0" collapsed="false">
      <c r="A1053" s="2" t="n">
        <v>1220</v>
      </c>
      <c r="B1053" s="2" t="s">
        <v>5607</v>
      </c>
      <c r="C1053" s="2" t="s">
        <v>5661</v>
      </c>
      <c r="D1053" s="2" t="s">
        <v>410</v>
      </c>
      <c r="E1053" s="2" t="s">
        <v>5662</v>
      </c>
      <c r="F1053" s="2" t="s">
        <v>5663</v>
      </c>
      <c r="G1053" s="2" t="s">
        <v>5664</v>
      </c>
      <c r="H1053" s="2" t="s">
        <v>1154</v>
      </c>
      <c r="I1053" s="2" t="s">
        <v>1155</v>
      </c>
      <c r="J1053" s="2" t="n">
        <v>-2.57</v>
      </c>
      <c r="K1053" s="2" t="n">
        <v>140.5</v>
      </c>
      <c r="L1053" s="2" t="s">
        <v>84</v>
      </c>
      <c r="M1053" s="2" t="s">
        <v>60</v>
      </c>
      <c r="N1053" s="2"/>
      <c r="O1053" s="2" t="s">
        <v>5665</v>
      </c>
      <c r="P1053" s="2" t="s">
        <v>109</v>
      </c>
      <c r="Q1053" s="2" t="s">
        <v>62</v>
      </c>
      <c r="R1053" s="2" t="n">
        <v>0.7</v>
      </c>
      <c r="S1053" s="2" t="s">
        <v>5666</v>
      </c>
      <c r="T1053" s="2" t="s">
        <v>5667</v>
      </c>
      <c r="U1053" s="2" t="s">
        <v>5668</v>
      </c>
      <c r="V1053" s="2" t="s">
        <v>5669</v>
      </c>
      <c r="W1053" s="2" t="s">
        <v>2613</v>
      </c>
      <c r="X1053" s="2" t="s">
        <v>507</v>
      </c>
    </row>
    <row r="1054" customFormat="false" ht="15" hidden="false" customHeight="false" outlineLevel="0" collapsed="false">
      <c r="A1054" s="2" t="n">
        <v>1220</v>
      </c>
      <c r="B1054" s="2" t="s">
        <v>5607</v>
      </c>
      <c r="C1054" s="2" t="s">
        <v>5670</v>
      </c>
      <c r="D1054" s="2" t="s">
        <v>121</v>
      </c>
      <c r="E1054" s="2" t="s">
        <v>1154</v>
      </c>
      <c r="F1054" s="2"/>
      <c r="G1054" s="2"/>
      <c r="H1054" s="2" t="s">
        <v>1154</v>
      </c>
      <c r="I1054" s="2" t="s">
        <v>1155</v>
      </c>
      <c r="J1054" s="2" t="n">
        <v>-2.6</v>
      </c>
      <c r="K1054" s="2" t="n">
        <v>140</v>
      </c>
      <c r="L1054" s="2" t="s">
        <v>101</v>
      </c>
      <c r="M1054" s="2" t="s">
        <v>60</v>
      </c>
      <c r="N1054" s="2"/>
      <c r="O1054" s="2" t="s">
        <v>5671</v>
      </c>
      <c r="P1054" s="2"/>
      <c r="Q1054" s="2" t="s">
        <v>62</v>
      </c>
      <c r="R1054" s="2" t="n">
        <v>0.5</v>
      </c>
      <c r="S1054" s="2" t="s">
        <v>5666</v>
      </c>
      <c r="T1054" s="2" t="s">
        <v>5667</v>
      </c>
      <c r="U1054" s="2" t="s">
        <v>5668</v>
      </c>
      <c r="V1054" s="2" t="s">
        <v>5669</v>
      </c>
      <c r="W1054" s="2" t="s">
        <v>2613</v>
      </c>
      <c r="X1054" s="2" t="s">
        <v>507</v>
      </c>
    </row>
    <row r="1055" customFormat="false" ht="15" hidden="false" customHeight="false" outlineLevel="0" collapsed="false">
      <c r="A1055" s="2" t="n">
        <v>1221</v>
      </c>
      <c r="B1055" s="2" t="s">
        <v>5607</v>
      </c>
      <c r="C1055" s="2" t="s">
        <v>5672</v>
      </c>
      <c r="D1055" s="2" t="s">
        <v>351</v>
      </c>
      <c r="E1055" s="2" t="s">
        <v>5673</v>
      </c>
      <c r="F1055" s="2"/>
      <c r="G1055" s="2" t="s">
        <v>5674</v>
      </c>
      <c r="H1055" s="2" t="s">
        <v>5675</v>
      </c>
      <c r="I1055" s="2" t="s">
        <v>5627</v>
      </c>
      <c r="J1055" s="2" t="n">
        <v>-1.5</v>
      </c>
      <c r="K1055" s="2" t="n">
        <v>134.17</v>
      </c>
      <c r="L1055" s="2" t="s">
        <v>84</v>
      </c>
      <c r="M1055" s="2" t="s">
        <v>60</v>
      </c>
      <c r="N1055" s="2"/>
      <c r="O1055" s="2" t="s">
        <v>5676</v>
      </c>
      <c r="P1055" s="2" t="s">
        <v>5677</v>
      </c>
      <c r="Q1055" s="2" t="s">
        <v>62</v>
      </c>
      <c r="R1055" s="2" t="n">
        <v>0.4</v>
      </c>
      <c r="S1055" s="2" t="s">
        <v>5678</v>
      </c>
      <c r="T1055" s="2" t="s">
        <v>5679</v>
      </c>
      <c r="U1055" s="2" t="s">
        <v>5680</v>
      </c>
      <c r="V1055" s="2" t="s">
        <v>5681</v>
      </c>
      <c r="W1055" s="2" t="s">
        <v>2613</v>
      </c>
      <c r="X1055" s="2" t="s">
        <v>507</v>
      </c>
    </row>
    <row r="1056" customFormat="false" ht="15" hidden="false" customHeight="false" outlineLevel="0" collapsed="false">
      <c r="A1056" s="2" t="n">
        <v>1221</v>
      </c>
      <c r="B1056" s="2" t="s">
        <v>5607</v>
      </c>
      <c r="C1056" s="2" t="s">
        <v>5682</v>
      </c>
      <c r="D1056" s="2" t="s">
        <v>1130</v>
      </c>
      <c r="E1056" s="2" t="s">
        <v>5650</v>
      </c>
      <c r="F1056" s="2"/>
      <c r="G1056" s="2" t="s">
        <v>5641</v>
      </c>
      <c r="H1056" s="2" t="s">
        <v>5642</v>
      </c>
      <c r="I1056" s="2" t="s">
        <v>5643</v>
      </c>
      <c r="J1056" s="2" t="n">
        <v>-5.543</v>
      </c>
      <c r="K1056" s="2" t="n">
        <v>138.13</v>
      </c>
      <c r="L1056" s="2" t="s">
        <v>84</v>
      </c>
      <c r="M1056" s="2" t="s">
        <v>60</v>
      </c>
      <c r="N1056" s="2"/>
      <c r="O1056" s="2" t="s">
        <v>5683</v>
      </c>
      <c r="P1056" s="2" t="s">
        <v>2019</v>
      </c>
      <c r="Q1056" s="2" t="s">
        <v>62</v>
      </c>
      <c r="R1056" s="2" t="n">
        <v>0.5</v>
      </c>
      <c r="S1056" s="2" t="s">
        <v>5678</v>
      </c>
      <c r="T1056" s="2" t="s">
        <v>5679</v>
      </c>
      <c r="U1056" s="2" t="s">
        <v>5680</v>
      </c>
      <c r="V1056" s="2" t="s">
        <v>5681</v>
      </c>
      <c r="W1056" s="2" t="s">
        <v>2613</v>
      </c>
      <c r="X1056" s="2" t="s">
        <v>507</v>
      </c>
    </row>
    <row r="1057" customFormat="false" ht="15" hidden="false" customHeight="false" outlineLevel="0" collapsed="false">
      <c r="A1057" s="2" t="n">
        <v>1223</v>
      </c>
      <c r="B1057" s="2" t="s">
        <v>5607</v>
      </c>
      <c r="C1057" s="2" t="s">
        <v>5684</v>
      </c>
      <c r="D1057" s="2" t="s">
        <v>1140</v>
      </c>
      <c r="E1057" s="2" t="s">
        <v>5685</v>
      </c>
      <c r="F1057" s="2"/>
      <c r="G1057" s="2" t="s">
        <v>5686</v>
      </c>
      <c r="H1057" s="2" t="s">
        <v>5687</v>
      </c>
      <c r="I1057" s="2" t="s">
        <v>972</v>
      </c>
      <c r="J1057" s="2" t="n">
        <v>3.15</v>
      </c>
      <c r="K1057" s="2" t="n">
        <v>97.3</v>
      </c>
      <c r="L1057" s="2" t="s">
        <v>84</v>
      </c>
      <c r="M1057" s="2" t="s">
        <v>60</v>
      </c>
      <c r="N1057" s="2"/>
      <c r="O1057" s="2" t="s">
        <v>5688</v>
      </c>
      <c r="P1057" s="2" t="s">
        <v>5689</v>
      </c>
      <c r="Q1057" s="2" t="s">
        <v>62</v>
      </c>
      <c r="R1057" s="2" t="n">
        <v>0.3</v>
      </c>
      <c r="S1057" s="2" t="s">
        <v>5690</v>
      </c>
      <c r="T1057" s="2" t="s">
        <v>5691</v>
      </c>
      <c r="U1057" s="2" t="s">
        <v>5692</v>
      </c>
      <c r="V1057" s="2" t="s">
        <v>646</v>
      </c>
      <c r="W1057" s="2" t="s">
        <v>647</v>
      </c>
      <c r="X1057" s="2" t="s">
        <v>507</v>
      </c>
    </row>
    <row r="1058" customFormat="false" ht="15" hidden="false" customHeight="false" outlineLevel="0" collapsed="false">
      <c r="A1058" s="2" t="n">
        <v>1231</v>
      </c>
      <c r="B1058" s="2" t="s">
        <v>5693</v>
      </c>
      <c r="C1058" s="2" t="s">
        <v>5694</v>
      </c>
      <c r="D1058" s="2" t="s">
        <v>121</v>
      </c>
      <c r="E1058" s="2" t="s">
        <v>5695</v>
      </c>
      <c r="F1058" s="2"/>
      <c r="G1058" s="2"/>
      <c r="H1058" s="2" t="s">
        <v>1937</v>
      </c>
      <c r="I1058" s="2" t="s">
        <v>385</v>
      </c>
      <c r="J1058" s="2" t="n">
        <v>2.6</v>
      </c>
      <c r="K1058" s="2" t="n">
        <v>98.75</v>
      </c>
      <c r="L1058" s="2" t="s">
        <v>101</v>
      </c>
      <c r="M1058" s="2" t="s">
        <v>60</v>
      </c>
      <c r="N1058" s="2"/>
      <c r="O1058" s="2" t="s">
        <v>5696</v>
      </c>
      <c r="P1058" s="2" t="s">
        <v>5697</v>
      </c>
      <c r="Q1058" s="2" t="s">
        <v>62</v>
      </c>
      <c r="R1058" s="2" t="n">
        <v>0.6</v>
      </c>
      <c r="S1058" s="2" t="s">
        <v>5698</v>
      </c>
      <c r="T1058" s="2" t="s">
        <v>5699</v>
      </c>
      <c r="U1058" s="2" t="s">
        <v>5700</v>
      </c>
      <c r="V1058" s="2" t="s">
        <v>696</v>
      </c>
      <c r="W1058" s="2" t="s">
        <v>686</v>
      </c>
      <c r="X1058" s="2" t="s">
        <v>507</v>
      </c>
    </row>
    <row r="1059" customFormat="false" ht="15" hidden="false" customHeight="false" outlineLevel="0" collapsed="false">
      <c r="A1059" s="2" t="n">
        <v>1241</v>
      </c>
      <c r="B1059" s="2" t="s">
        <v>5693</v>
      </c>
      <c r="C1059" s="2" t="s">
        <v>5701</v>
      </c>
      <c r="D1059" s="2" t="s">
        <v>351</v>
      </c>
      <c r="E1059" s="2" t="s">
        <v>5702</v>
      </c>
      <c r="F1059" s="2"/>
      <c r="G1059" s="2"/>
      <c r="H1059" s="2" t="s">
        <v>5703</v>
      </c>
      <c r="I1059" s="2" t="s">
        <v>5704</v>
      </c>
      <c r="J1059" s="2" t="n">
        <v>-4.55</v>
      </c>
      <c r="K1059" s="2" t="n">
        <v>136.89</v>
      </c>
      <c r="L1059" s="2" t="s">
        <v>101</v>
      </c>
      <c r="M1059" s="2" t="s">
        <v>340</v>
      </c>
      <c r="N1059" s="2"/>
      <c r="O1059" s="2" t="s">
        <v>5705</v>
      </c>
      <c r="P1059" s="2" t="s">
        <v>5706</v>
      </c>
      <c r="Q1059" s="2" t="s">
        <v>62</v>
      </c>
      <c r="R1059" s="2" t="n">
        <v>0.4</v>
      </c>
      <c r="S1059" s="2" t="s">
        <v>5707</v>
      </c>
      <c r="T1059" s="2" t="s">
        <v>1158</v>
      </c>
      <c r="U1059" s="2" t="s">
        <v>5708</v>
      </c>
      <c r="V1059" s="2" t="s">
        <v>245</v>
      </c>
      <c r="W1059" s="2" t="s">
        <v>3023</v>
      </c>
      <c r="X1059" s="2" t="s">
        <v>507</v>
      </c>
    </row>
    <row r="1060" customFormat="false" ht="15" hidden="false" customHeight="false" outlineLevel="0" collapsed="false">
      <c r="A1060" s="2" t="n">
        <v>1244</v>
      </c>
      <c r="B1060" s="2" t="s">
        <v>5693</v>
      </c>
      <c r="C1060" s="2" t="s">
        <v>5709</v>
      </c>
      <c r="D1060" s="2" t="s">
        <v>351</v>
      </c>
      <c r="E1060" s="2" t="s">
        <v>5710</v>
      </c>
      <c r="F1060" s="2" t="s">
        <v>1886</v>
      </c>
      <c r="G1060" s="2" t="s">
        <v>3365</v>
      </c>
      <c r="H1060" s="2" t="s">
        <v>73</v>
      </c>
      <c r="I1060" s="2" t="s">
        <v>74</v>
      </c>
      <c r="J1060" s="2" t="n">
        <v>-6.163</v>
      </c>
      <c r="K1060" s="2" t="n">
        <v>106.834</v>
      </c>
      <c r="L1060" s="2" t="s">
        <v>59</v>
      </c>
      <c r="M1060" s="2" t="s">
        <v>60</v>
      </c>
      <c r="N1060" s="2"/>
      <c r="O1060" s="2" t="s">
        <v>5711</v>
      </c>
      <c r="P1060" s="2" t="s">
        <v>5712</v>
      </c>
      <c r="Q1060" s="2" t="s">
        <v>110</v>
      </c>
      <c r="R1060" s="2" t="n">
        <v>0.55</v>
      </c>
      <c r="S1060" s="2" t="s">
        <v>5713</v>
      </c>
      <c r="T1060" s="2" t="s">
        <v>1498</v>
      </c>
      <c r="U1060" s="2" t="s">
        <v>5714</v>
      </c>
      <c r="V1060" s="2" t="s">
        <v>5715</v>
      </c>
      <c r="W1060" s="2" t="s">
        <v>538</v>
      </c>
      <c r="X1060" s="2" t="s">
        <v>507</v>
      </c>
    </row>
    <row r="1061" customFormat="false" ht="15" hidden="false" customHeight="false" outlineLevel="0" collapsed="false">
      <c r="A1061" s="2" t="n">
        <v>1247</v>
      </c>
      <c r="B1061" s="2" t="s">
        <v>5693</v>
      </c>
      <c r="C1061" s="2" t="s">
        <v>5716</v>
      </c>
      <c r="D1061" s="2" t="s">
        <v>351</v>
      </c>
      <c r="E1061" s="2" t="s">
        <v>5717</v>
      </c>
      <c r="F1061" s="2"/>
      <c r="G1061" s="2" t="s">
        <v>5664</v>
      </c>
      <c r="H1061" s="2" t="s">
        <v>1154</v>
      </c>
      <c r="I1061" s="2" t="s">
        <v>1155</v>
      </c>
      <c r="J1061" s="2" t="n">
        <v>-2.57</v>
      </c>
      <c r="K1061" s="2" t="n">
        <v>140.51</v>
      </c>
      <c r="L1061" s="2" t="s">
        <v>84</v>
      </c>
      <c r="M1061" s="2" t="s">
        <v>60</v>
      </c>
      <c r="N1061" s="2"/>
      <c r="O1061" s="2" t="s">
        <v>5718</v>
      </c>
      <c r="P1061" s="2" t="s">
        <v>5719</v>
      </c>
      <c r="Q1061" s="2" t="s">
        <v>62</v>
      </c>
      <c r="R1061" s="2" t="n">
        <v>0.35</v>
      </c>
      <c r="S1061" s="2" t="s">
        <v>5720</v>
      </c>
      <c r="T1061" s="2" t="s">
        <v>1158</v>
      </c>
      <c r="U1061" s="2" t="s">
        <v>5721</v>
      </c>
      <c r="V1061" s="2" t="s">
        <v>66</v>
      </c>
      <c r="W1061" s="2" t="s">
        <v>4314</v>
      </c>
      <c r="X1061" s="2" t="s">
        <v>507</v>
      </c>
    </row>
    <row r="1062" customFormat="false" ht="15" hidden="false" customHeight="false" outlineLevel="0" collapsed="false">
      <c r="A1062" s="2" t="n">
        <v>1254</v>
      </c>
      <c r="B1062" s="2" t="s">
        <v>5693</v>
      </c>
      <c r="C1062" s="2" t="s">
        <v>5722</v>
      </c>
      <c r="D1062" s="2" t="s">
        <v>134</v>
      </c>
      <c r="E1062" s="2" t="s">
        <v>5723</v>
      </c>
      <c r="F1062" s="2"/>
      <c r="G1062" s="2" t="s">
        <v>5724</v>
      </c>
      <c r="H1062" s="2" t="s">
        <v>5703</v>
      </c>
      <c r="I1062" s="2" t="s">
        <v>5704</v>
      </c>
      <c r="J1062" s="2" t="n">
        <v>-4.55</v>
      </c>
      <c r="K1062" s="2" t="n">
        <v>136.89</v>
      </c>
      <c r="L1062" s="2" t="s">
        <v>84</v>
      </c>
      <c r="M1062" s="2" t="s">
        <v>60</v>
      </c>
      <c r="N1062" s="2"/>
      <c r="O1062" s="2" t="s">
        <v>5725</v>
      </c>
      <c r="P1062" s="2" t="s">
        <v>4697</v>
      </c>
      <c r="Q1062" s="2" t="s">
        <v>62</v>
      </c>
      <c r="R1062" s="2" t="n">
        <v>0.6</v>
      </c>
      <c r="S1062" s="2" t="s">
        <v>5726</v>
      </c>
      <c r="T1062" s="2" t="s">
        <v>5727</v>
      </c>
      <c r="U1062" s="2" t="s">
        <v>5728</v>
      </c>
      <c r="V1062" s="2" t="s">
        <v>5729</v>
      </c>
      <c r="W1062" s="2" t="s">
        <v>204</v>
      </c>
      <c r="X1062" s="2" t="s">
        <v>507</v>
      </c>
    </row>
    <row r="1063" customFormat="false" ht="15" hidden="false" customHeight="false" outlineLevel="0" collapsed="false">
      <c r="A1063" s="2" t="n">
        <v>1255</v>
      </c>
      <c r="B1063" s="2" t="s">
        <v>5693</v>
      </c>
      <c r="C1063" s="2" t="s">
        <v>5730</v>
      </c>
      <c r="D1063" s="2" t="s">
        <v>410</v>
      </c>
      <c r="E1063" s="2" t="s">
        <v>5731</v>
      </c>
      <c r="F1063" s="2" t="s">
        <v>5732</v>
      </c>
      <c r="G1063" s="2" t="s">
        <v>5733</v>
      </c>
      <c r="H1063" s="2" t="s">
        <v>5734</v>
      </c>
      <c r="I1063" s="2" t="s">
        <v>58</v>
      </c>
      <c r="J1063" s="2" t="n">
        <v>-6.83</v>
      </c>
      <c r="K1063" s="2" t="n">
        <v>107.39</v>
      </c>
      <c r="L1063" s="2" t="s">
        <v>84</v>
      </c>
      <c r="M1063" s="2" t="s">
        <v>60</v>
      </c>
      <c r="N1063" s="2"/>
      <c r="O1063" s="2" t="s">
        <v>5735</v>
      </c>
      <c r="P1063" s="2" t="s">
        <v>692</v>
      </c>
      <c r="Q1063" s="2" t="s">
        <v>110</v>
      </c>
      <c r="R1063" s="2" t="n">
        <v>0.45</v>
      </c>
      <c r="S1063" s="2" t="s">
        <v>5736</v>
      </c>
      <c r="T1063" s="2" t="s">
        <v>4036</v>
      </c>
      <c r="U1063" s="2" t="s">
        <v>5737</v>
      </c>
      <c r="V1063" s="2" t="s">
        <v>745</v>
      </c>
      <c r="W1063" s="2" t="s">
        <v>1332</v>
      </c>
      <c r="X1063" s="2" t="s">
        <v>507</v>
      </c>
    </row>
    <row r="1064" customFormat="false" ht="15" hidden="false" customHeight="false" outlineLevel="0" collapsed="false">
      <c r="A1064" s="2" t="n">
        <v>1257</v>
      </c>
      <c r="B1064" s="2" t="s">
        <v>5693</v>
      </c>
      <c r="C1064" s="2" t="s">
        <v>5738</v>
      </c>
      <c r="D1064" s="2" t="s">
        <v>410</v>
      </c>
      <c r="E1064" s="2" t="s">
        <v>5739</v>
      </c>
      <c r="F1064" s="2"/>
      <c r="G1064" s="2"/>
      <c r="H1064" s="2" t="s">
        <v>1062</v>
      </c>
      <c r="I1064" s="2" t="s">
        <v>172</v>
      </c>
      <c r="J1064" s="2" t="n">
        <v>-7.18</v>
      </c>
      <c r="K1064" s="2" t="n">
        <v>110.35</v>
      </c>
      <c r="L1064" s="2" t="s">
        <v>124</v>
      </c>
      <c r="M1064" s="2" t="s">
        <v>60</v>
      </c>
      <c r="N1064" s="2" t="s">
        <v>5740</v>
      </c>
      <c r="O1064" s="2" t="s">
        <v>5741</v>
      </c>
      <c r="P1064" s="2" t="s">
        <v>3200</v>
      </c>
      <c r="Q1064" s="2" t="s">
        <v>110</v>
      </c>
      <c r="R1064" s="2" t="n">
        <v>0.55</v>
      </c>
      <c r="S1064" s="2" t="s">
        <v>5742</v>
      </c>
      <c r="T1064" s="2" t="s">
        <v>4078</v>
      </c>
      <c r="U1064" s="2" t="s">
        <v>5743</v>
      </c>
      <c r="V1064" s="2" t="s">
        <v>745</v>
      </c>
      <c r="W1064" s="2" t="s">
        <v>5744</v>
      </c>
      <c r="X1064" s="2" t="s">
        <v>507</v>
      </c>
    </row>
    <row r="1065" customFormat="false" ht="15" hidden="false" customHeight="false" outlineLevel="0" collapsed="false">
      <c r="A1065" s="2" t="n">
        <v>1258</v>
      </c>
      <c r="B1065" s="2" t="s">
        <v>5693</v>
      </c>
      <c r="C1065" s="2" t="s">
        <v>5745</v>
      </c>
      <c r="D1065" s="2" t="s">
        <v>121</v>
      </c>
      <c r="E1065" s="2" t="s">
        <v>5746</v>
      </c>
      <c r="F1065" s="2"/>
      <c r="G1065" s="2"/>
      <c r="H1065" s="2" t="s">
        <v>5703</v>
      </c>
      <c r="I1065" s="2" t="s">
        <v>5704</v>
      </c>
      <c r="J1065" s="2" t="n">
        <v>-4.55</v>
      </c>
      <c r="K1065" s="2" t="n">
        <v>136.89</v>
      </c>
      <c r="L1065" s="2" t="s">
        <v>101</v>
      </c>
      <c r="M1065" s="2" t="s">
        <v>60</v>
      </c>
      <c r="N1065" s="2"/>
      <c r="O1065" s="2" t="s">
        <v>5747</v>
      </c>
      <c r="P1065" s="2" t="s">
        <v>5697</v>
      </c>
      <c r="Q1065" s="2" t="s">
        <v>62</v>
      </c>
      <c r="R1065" s="2" t="n">
        <v>0.75</v>
      </c>
      <c r="S1065" s="2" t="s">
        <v>5748</v>
      </c>
      <c r="T1065" s="2" t="s">
        <v>1158</v>
      </c>
      <c r="U1065" s="2" t="s">
        <v>5749</v>
      </c>
      <c r="V1065" s="2" t="s">
        <v>5750</v>
      </c>
      <c r="W1065" s="2" t="s">
        <v>987</v>
      </c>
      <c r="X1065" s="2" t="s">
        <v>507</v>
      </c>
    </row>
    <row r="1066" customFormat="false" ht="15" hidden="false" customHeight="false" outlineLevel="0" collapsed="false">
      <c r="A1066" s="2" t="n">
        <v>1262</v>
      </c>
      <c r="B1066" s="2" t="s">
        <v>5751</v>
      </c>
      <c r="C1066" s="2" t="s">
        <v>5752</v>
      </c>
      <c r="D1066" s="2" t="s">
        <v>410</v>
      </c>
      <c r="E1066" s="2" t="s">
        <v>5753</v>
      </c>
      <c r="F1066" s="2"/>
      <c r="G1066" s="2" t="s">
        <v>5754</v>
      </c>
      <c r="H1066" s="2" t="s">
        <v>5611</v>
      </c>
      <c r="I1066" s="2" t="s">
        <v>5612</v>
      </c>
      <c r="J1066" s="2" t="n">
        <v>-4.1</v>
      </c>
      <c r="K1066" s="2" t="n">
        <v>138.94</v>
      </c>
      <c r="L1066" s="2" t="s">
        <v>84</v>
      </c>
      <c r="M1066" s="2" t="s">
        <v>60</v>
      </c>
      <c r="N1066" s="2"/>
      <c r="O1066" s="2" t="s">
        <v>5755</v>
      </c>
      <c r="P1066" s="2"/>
      <c r="Q1066" s="2" t="s">
        <v>62</v>
      </c>
      <c r="R1066" s="2" t="n">
        <v>0.8</v>
      </c>
      <c r="S1066" s="2" t="s">
        <v>5756</v>
      </c>
      <c r="T1066" s="2" t="s">
        <v>5166</v>
      </c>
      <c r="U1066" s="2" t="s">
        <v>5757</v>
      </c>
      <c r="V1066" s="2" t="s">
        <v>917</v>
      </c>
      <c r="W1066" s="2" t="s">
        <v>918</v>
      </c>
      <c r="X1066" s="2" t="s">
        <v>507</v>
      </c>
    </row>
    <row r="1067" customFormat="false" ht="15" hidden="false" customHeight="false" outlineLevel="0" collapsed="false">
      <c r="A1067" s="2" t="n">
        <v>1262</v>
      </c>
      <c r="B1067" s="2" t="s">
        <v>5751</v>
      </c>
      <c r="C1067" s="2" t="s">
        <v>5758</v>
      </c>
      <c r="D1067" s="2" t="s">
        <v>410</v>
      </c>
      <c r="E1067" s="2" t="s">
        <v>5759</v>
      </c>
      <c r="F1067" s="2"/>
      <c r="G1067" s="2"/>
      <c r="H1067" s="2" t="s">
        <v>5611</v>
      </c>
      <c r="I1067" s="2" t="s">
        <v>5612</v>
      </c>
      <c r="J1067" s="2" t="n">
        <v>-4</v>
      </c>
      <c r="K1067" s="2" t="n">
        <v>138.9</v>
      </c>
      <c r="L1067" s="2" t="s">
        <v>101</v>
      </c>
      <c r="M1067" s="2" t="s">
        <v>340</v>
      </c>
      <c r="N1067" s="2" t="s">
        <v>5760</v>
      </c>
      <c r="O1067" s="2" t="s">
        <v>5761</v>
      </c>
      <c r="P1067" s="2"/>
      <c r="Q1067" s="2" t="s">
        <v>62</v>
      </c>
      <c r="R1067" s="2" t="n">
        <v>0.75</v>
      </c>
      <c r="S1067" s="2" t="s">
        <v>5756</v>
      </c>
      <c r="T1067" s="2" t="s">
        <v>5166</v>
      </c>
      <c r="U1067" s="2" t="s">
        <v>5757</v>
      </c>
      <c r="V1067" s="2" t="s">
        <v>917</v>
      </c>
      <c r="W1067" s="2" t="s">
        <v>918</v>
      </c>
      <c r="X1067" s="2" t="s">
        <v>507</v>
      </c>
    </row>
    <row r="1068" customFormat="false" ht="15" hidden="false" customHeight="false" outlineLevel="0" collapsed="false">
      <c r="A1068" s="2" t="n">
        <v>1263</v>
      </c>
      <c r="B1068" s="2" t="s">
        <v>5751</v>
      </c>
      <c r="C1068" s="2" t="s">
        <v>1107</v>
      </c>
      <c r="D1068" s="2" t="s">
        <v>410</v>
      </c>
      <c r="E1068" s="2" t="s">
        <v>1108</v>
      </c>
      <c r="F1068" s="2"/>
      <c r="G1068" s="2"/>
      <c r="H1068" s="2" t="s">
        <v>1109</v>
      </c>
      <c r="I1068" s="2" t="s">
        <v>1108</v>
      </c>
      <c r="J1068" s="2" t="n">
        <v>-0.52</v>
      </c>
      <c r="K1068" s="2" t="n">
        <v>130.5</v>
      </c>
      <c r="L1068" s="2" t="s">
        <v>101</v>
      </c>
      <c r="M1068" s="2" t="s">
        <v>60</v>
      </c>
      <c r="N1068" s="2"/>
      <c r="O1068" s="2" t="s">
        <v>5762</v>
      </c>
      <c r="P1068" s="2"/>
      <c r="Q1068" s="2" t="s">
        <v>62</v>
      </c>
      <c r="R1068" s="2" t="n">
        <v>0.8</v>
      </c>
      <c r="S1068" s="2" t="s">
        <v>5763</v>
      </c>
      <c r="T1068" s="2" t="s">
        <v>5166</v>
      </c>
      <c r="U1068" s="2" t="s">
        <v>5764</v>
      </c>
      <c r="V1068" s="2" t="s">
        <v>420</v>
      </c>
      <c r="W1068" s="2" t="s">
        <v>1932</v>
      </c>
      <c r="X1068" s="2" t="s">
        <v>507</v>
      </c>
    </row>
    <row r="1069" customFormat="false" ht="15" hidden="false" customHeight="false" outlineLevel="0" collapsed="false">
      <c r="A1069" s="2" t="n">
        <v>1263</v>
      </c>
      <c r="B1069" s="2" t="s">
        <v>5751</v>
      </c>
      <c r="C1069" s="2" t="s">
        <v>5765</v>
      </c>
      <c r="D1069" s="2" t="s">
        <v>410</v>
      </c>
      <c r="E1069" s="2" t="s">
        <v>5766</v>
      </c>
      <c r="F1069" s="2"/>
      <c r="G1069" s="2" t="s">
        <v>5767</v>
      </c>
      <c r="H1069" s="2" t="s">
        <v>1109</v>
      </c>
      <c r="I1069" s="2" t="s">
        <v>1108</v>
      </c>
      <c r="J1069" s="2" t="n">
        <v>-0.565</v>
      </c>
      <c r="K1069" s="2" t="n">
        <v>130.27</v>
      </c>
      <c r="L1069" s="2" t="s">
        <v>124</v>
      </c>
      <c r="M1069" s="2" t="s">
        <v>60</v>
      </c>
      <c r="N1069" s="2"/>
      <c r="O1069" s="2" t="s">
        <v>5768</v>
      </c>
      <c r="P1069" s="2"/>
      <c r="Q1069" s="2" t="s">
        <v>62</v>
      </c>
      <c r="R1069" s="2" t="n">
        <v>0.7</v>
      </c>
      <c r="S1069" s="2" t="s">
        <v>5763</v>
      </c>
      <c r="T1069" s="2" t="s">
        <v>5166</v>
      </c>
      <c r="U1069" s="2" t="s">
        <v>5764</v>
      </c>
      <c r="V1069" s="2" t="s">
        <v>420</v>
      </c>
      <c r="W1069" s="2" t="s">
        <v>1932</v>
      </c>
      <c r="X1069" s="2" t="s">
        <v>507</v>
      </c>
    </row>
    <row r="1070" customFormat="false" ht="15" hidden="false" customHeight="false" outlineLevel="0" collapsed="false">
      <c r="A1070" s="2" t="n">
        <v>1263</v>
      </c>
      <c r="B1070" s="2" t="s">
        <v>5751</v>
      </c>
      <c r="C1070" s="2" t="s">
        <v>5769</v>
      </c>
      <c r="D1070" s="2" t="s">
        <v>410</v>
      </c>
      <c r="E1070" s="2" t="s">
        <v>5766</v>
      </c>
      <c r="F1070" s="2" t="s">
        <v>5770</v>
      </c>
      <c r="G1070" s="2" t="s">
        <v>5771</v>
      </c>
      <c r="H1070" s="2" t="s">
        <v>1109</v>
      </c>
      <c r="I1070" s="2" t="s">
        <v>1108</v>
      </c>
      <c r="J1070" s="2" t="n">
        <v>-0.567</v>
      </c>
      <c r="K1070" s="2" t="n">
        <v>130.52</v>
      </c>
      <c r="L1070" s="2" t="s">
        <v>59</v>
      </c>
      <c r="M1070" s="2" t="s">
        <v>60</v>
      </c>
      <c r="N1070" s="2"/>
      <c r="O1070" s="2" t="s">
        <v>5772</v>
      </c>
      <c r="P1070" s="2"/>
      <c r="Q1070" s="2" t="s">
        <v>62</v>
      </c>
      <c r="R1070" s="2" t="n">
        <v>0.55</v>
      </c>
      <c r="S1070" s="2" t="s">
        <v>5763</v>
      </c>
      <c r="T1070" s="2" t="s">
        <v>5166</v>
      </c>
      <c r="U1070" s="2" t="s">
        <v>5764</v>
      </c>
      <c r="V1070" s="2" t="s">
        <v>420</v>
      </c>
      <c r="W1070" s="2" t="s">
        <v>1932</v>
      </c>
      <c r="X1070" s="2" t="s">
        <v>507</v>
      </c>
    </row>
    <row r="1071" customFormat="false" ht="15" hidden="false" customHeight="false" outlineLevel="0" collapsed="false">
      <c r="A1071" s="2" t="n">
        <v>1263</v>
      </c>
      <c r="B1071" s="2" t="s">
        <v>5751</v>
      </c>
      <c r="C1071" s="2" t="s">
        <v>5773</v>
      </c>
      <c r="D1071" s="2" t="s">
        <v>410</v>
      </c>
      <c r="E1071" s="2" t="s">
        <v>1155</v>
      </c>
      <c r="F1071" s="2"/>
      <c r="G1071" s="2"/>
      <c r="H1071" s="2"/>
      <c r="I1071" s="2"/>
      <c r="J1071" s="2" t="n">
        <v>-4.75</v>
      </c>
      <c r="K1071" s="2" t="n">
        <v>137.85</v>
      </c>
      <c r="L1071" s="2" t="s">
        <v>124</v>
      </c>
      <c r="M1071" s="2" t="s">
        <v>340</v>
      </c>
      <c r="N1071" s="2" t="s">
        <v>5774</v>
      </c>
      <c r="O1071" s="2" t="s">
        <v>5775</v>
      </c>
      <c r="P1071" s="2"/>
      <c r="Q1071" s="2" t="s">
        <v>62</v>
      </c>
      <c r="R1071" s="2" t="n">
        <v>0.65</v>
      </c>
      <c r="S1071" s="2" t="s">
        <v>5763</v>
      </c>
      <c r="T1071" s="2" t="s">
        <v>5166</v>
      </c>
      <c r="U1071" s="2" t="s">
        <v>5764</v>
      </c>
      <c r="V1071" s="2" t="s">
        <v>420</v>
      </c>
      <c r="W1071" s="2" t="s">
        <v>1932</v>
      </c>
      <c r="X1071" s="2" t="s">
        <v>507</v>
      </c>
    </row>
    <row r="1072" customFormat="false" ht="15" hidden="false" customHeight="false" outlineLevel="0" collapsed="false">
      <c r="A1072" s="2" t="n">
        <v>1265</v>
      </c>
      <c r="B1072" s="2" t="s">
        <v>5751</v>
      </c>
      <c r="C1072" s="2" t="s">
        <v>5776</v>
      </c>
      <c r="D1072" s="2" t="s">
        <v>410</v>
      </c>
      <c r="E1072" s="2" t="s">
        <v>5777</v>
      </c>
      <c r="F1072" s="2" t="s">
        <v>5778</v>
      </c>
      <c r="G1072" s="2" t="s">
        <v>5779</v>
      </c>
      <c r="H1072" s="2" t="s">
        <v>5780</v>
      </c>
      <c r="I1072" s="2" t="s">
        <v>5627</v>
      </c>
      <c r="J1072" s="2" t="n">
        <v>-1.35</v>
      </c>
      <c r="K1072" s="2" t="n">
        <v>133.9</v>
      </c>
      <c r="L1072" s="2" t="s">
        <v>84</v>
      </c>
      <c r="M1072" s="2" t="s">
        <v>60</v>
      </c>
      <c r="N1072" s="2"/>
      <c r="O1072" s="2" t="s">
        <v>5781</v>
      </c>
      <c r="P1072" s="2" t="s">
        <v>5782</v>
      </c>
      <c r="Q1072" s="2" t="s">
        <v>62</v>
      </c>
      <c r="R1072" s="2" t="n">
        <v>0.45</v>
      </c>
      <c r="S1072" s="2" t="s">
        <v>5783</v>
      </c>
      <c r="T1072" s="2" t="s">
        <v>803</v>
      </c>
      <c r="U1072" s="2" t="s">
        <v>5784</v>
      </c>
      <c r="V1072" s="2" t="s">
        <v>420</v>
      </c>
      <c r="W1072" s="2" t="s">
        <v>2901</v>
      </c>
      <c r="X1072" s="2" t="s">
        <v>507</v>
      </c>
    </row>
    <row r="1073" customFormat="false" ht="15" hidden="false" customHeight="false" outlineLevel="0" collapsed="false">
      <c r="A1073" s="2" t="n">
        <v>1266</v>
      </c>
      <c r="B1073" s="2" t="s">
        <v>5751</v>
      </c>
      <c r="C1073" s="2" t="s">
        <v>5776</v>
      </c>
      <c r="D1073" s="2" t="s">
        <v>410</v>
      </c>
      <c r="E1073" s="2" t="s">
        <v>5785</v>
      </c>
      <c r="F1073" s="2"/>
      <c r="G1073" s="2" t="s">
        <v>5779</v>
      </c>
      <c r="H1073" s="2" t="s">
        <v>5780</v>
      </c>
      <c r="I1073" s="2" t="s">
        <v>5627</v>
      </c>
      <c r="J1073" s="2" t="n">
        <v>-1.35</v>
      </c>
      <c r="K1073" s="2" t="n">
        <v>133.9</v>
      </c>
      <c r="L1073" s="2" t="s">
        <v>84</v>
      </c>
      <c r="M1073" s="2" t="s">
        <v>60</v>
      </c>
      <c r="N1073" s="2"/>
      <c r="O1073" s="2" t="s">
        <v>5786</v>
      </c>
      <c r="P1073" s="2" t="s">
        <v>5689</v>
      </c>
      <c r="Q1073" s="2" t="s">
        <v>62</v>
      </c>
      <c r="R1073" s="2" t="n">
        <v>0.45</v>
      </c>
      <c r="S1073" s="2" t="s">
        <v>5787</v>
      </c>
      <c r="T1073" s="2" t="s">
        <v>5788</v>
      </c>
      <c r="U1073" s="2" t="s">
        <v>5789</v>
      </c>
      <c r="V1073" s="2" t="s">
        <v>5790</v>
      </c>
      <c r="W1073" s="2" t="s">
        <v>538</v>
      </c>
      <c r="X1073" s="2" t="s">
        <v>507</v>
      </c>
    </row>
    <row r="1074" customFormat="false" ht="15" hidden="false" customHeight="false" outlineLevel="0" collapsed="false">
      <c r="A1074" s="2" t="n">
        <v>1287</v>
      </c>
      <c r="B1074" s="2" t="s">
        <v>5751</v>
      </c>
      <c r="C1074" s="2" t="s">
        <v>5608</v>
      </c>
      <c r="D1074" s="2" t="s">
        <v>121</v>
      </c>
      <c r="E1074" s="2" t="s">
        <v>5791</v>
      </c>
      <c r="F1074" s="2"/>
      <c r="G1074" s="2" t="s">
        <v>5610</v>
      </c>
      <c r="H1074" s="2" t="s">
        <v>5611</v>
      </c>
      <c r="I1074" s="2" t="s">
        <v>5612</v>
      </c>
      <c r="J1074" s="2" t="n">
        <v>-4.07</v>
      </c>
      <c r="K1074" s="2" t="n">
        <v>138.9</v>
      </c>
      <c r="L1074" s="2" t="s">
        <v>84</v>
      </c>
      <c r="M1074" s="2" t="s">
        <v>340</v>
      </c>
      <c r="N1074" s="2" t="s">
        <v>5792</v>
      </c>
      <c r="O1074" s="2" t="s">
        <v>5793</v>
      </c>
      <c r="P1074" s="2" t="s">
        <v>5614</v>
      </c>
      <c r="Q1074" s="2" t="s">
        <v>110</v>
      </c>
      <c r="R1074" s="2" t="n">
        <v>0.7</v>
      </c>
      <c r="S1074" s="2" t="s">
        <v>5794</v>
      </c>
      <c r="T1074" s="2" t="s">
        <v>743</v>
      </c>
      <c r="U1074" s="2" t="s">
        <v>3536</v>
      </c>
      <c r="V1074" s="2" t="s">
        <v>3537</v>
      </c>
      <c r="W1074" s="2" t="s">
        <v>1875</v>
      </c>
      <c r="X1074" s="2" t="s">
        <v>507</v>
      </c>
    </row>
    <row r="1075" customFormat="false" ht="15" hidden="false" customHeight="false" outlineLevel="0" collapsed="false">
      <c r="A1075" s="2" t="n">
        <v>1290</v>
      </c>
      <c r="B1075" s="2" t="s">
        <v>5795</v>
      </c>
      <c r="C1075" s="2" t="s">
        <v>5796</v>
      </c>
      <c r="D1075" s="2" t="s">
        <v>410</v>
      </c>
      <c r="E1075" s="2" t="s">
        <v>5797</v>
      </c>
      <c r="F1075" s="2"/>
      <c r="G1075" s="2" t="s">
        <v>5767</v>
      </c>
      <c r="H1075" s="2" t="s">
        <v>1109</v>
      </c>
      <c r="I1075" s="2" t="s">
        <v>1108</v>
      </c>
      <c r="J1075" s="2" t="n">
        <v>-0.565</v>
      </c>
      <c r="K1075" s="2" t="n">
        <v>130.27</v>
      </c>
      <c r="L1075" s="2" t="s">
        <v>124</v>
      </c>
      <c r="M1075" s="2" t="s">
        <v>60</v>
      </c>
      <c r="N1075" s="2"/>
      <c r="O1075" s="2" t="s">
        <v>5798</v>
      </c>
      <c r="P1075" s="2" t="s">
        <v>5799</v>
      </c>
      <c r="Q1075" s="2" t="s">
        <v>62</v>
      </c>
      <c r="R1075" s="2" t="n">
        <v>0.5</v>
      </c>
      <c r="S1075" s="2" t="s">
        <v>5800</v>
      </c>
      <c r="T1075" s="2" t="s">
        <v>1563</v>
      </c>
      <c r="U1075" s="2" t="s">
        <v>5801</v>
      </c>
      <c r="V1075" s="2" t="s">
        <v>3434</v>
      </c>
      <c r="W1075" s="2" t="s">
        <v>5802</v>
      </c>
      <c r="X1075" s="2" t="s">
        <v>507</v>
      </c>
    </row>
    <row r="1076" customFormat="false" ht="15" hidden="false" customHeight="false" outlineLevel="0" collapsed="false">
      <c r="A1076" s="2" t="n">
        <v>1292</v>
      </c>
      <c r="B1076" s="2" t="s">
        <v>5795</v>
      </c>
      <c r="C1076" s="2" t="s">
        <v>5803</v>
      </c>
      <c r="D1076" s="2" t="s">
        <v>134</v>
      </c>
      <c r="E1076" s="2" t="s">
        <v>5804</v>
      </c>
      <c r="F1076" s="2" t="s">
        <v>861</v>
      </c>
      <c r="G1076" s="2" t="s">
        <v>3619</v>
      </c>
      <c r="H1076" s="2" t="s">
        <v>1233</v>
      </c>
      <c r="I1076" s="2" t="s">
        <v>172</v>
      </c>
      <c r="J1076" s="2" t="n">
        <v>-7.573</v>
      </c>
      <c r="K1076" s="2" t="n">
        <v>110.827</v>
      </c>
      <c r="L1076" s="2" t="s">
        <v>59</v>
      </c>
      <c r="M1076" s="2" t="s">
        <v>60</v>
      </c>
      <c r="N1076" s="2"/>
      <c r="O1076" s="2" t="s">
        <v>5805</v>
      </c>
      <c r="P1076" s="2"/>
      <c r="Q1076" s="2" t="s">
        <v>62</v>
      </c>
      <c r="R1076" s="2" t="n">
        <v>0.75</v>
      </c>
      <c r="S1076" s="2" t="s">
        <v>5806</v>
      </c>
      <c r="T1076" s="2" t="s">
        <v>5807</v>
      </c>
      <c r="U1076" s="2" t="s">
        <v>5808</v>
      </c>
      <c r="V1076" s="2" t="s">
        <v>696</v>
      </c>
      <c r="W1076" s="2" t="s">
        <v>3088</v>
      </c>
      <c r="X1076" s="2" t="s">
        <v>507</v>
      </c>
    </row>
    <row r="1077" customFormat="false" ht="15" hidden="false" customHeight="false" outlineLevel="0" collapsed="false">
      <c r="A1077" s="2" t="n">
        <v>1292</v>
      </c>
      <c r="B1077" s="2" t="s">
        <v>5795</v>
      </c>
      <c r="C1077" s="2" t="s">
        <v>5809</v>
      </c>
      <c r="D1077" s="2" t="s">
        <v>134</v>
      </c>
      <c r="E1077" s="2" t="s">
        <v>5810</v>
      </c>
      <c r="F1077" s="2" t="s">
        <v>1408</v>
      </c>
      <c r="G1077" s="2" t="s">
        <v>1409</v>
      </c>
      <c r="H1077" s="2" t="s">
        <v>1233</v>
      </c>
      <c r="I1077" s="2" t="s">
        <v>172</v>
      </c>
      <c r="J1077" s="2" t="n">
        <v>-7.564</v>
      </c>
      <c r="K1077" s="2" t="n">
        <v>110.823</v>
      </c>
      <c r="L1077" s="2" t="s">
        <v>59</v>
      </c>
      <c r="M1077" s="2" t="s">
        <v>60</v>
      </c>
      <c r="N1077" s="2"/>
      <c r="O1077" s="2" t="s">
        <v>5811</v>
      </c>
      <c r="P1077" s="2"/>
      <c r="Q1077" s="2" t="s">
        <v>62</v>
      </c>
      <c r="R1077" s="2" t="n">
        <v>0.75</v>
      </c>
      <c r="S1077" s="2" t="s">
        <v>5806</v>
      </c>
      <c r="T1077" s="2" t="s">
        <v>5807</v>
      </c>
      <c r="U1077" s="2" t="s">
        <v>5808</v>
      </c>
      <c r="V1077" s="2" t="s">
        <v>696</v>
      </c>
      <c r="W1077" s="2" t="s">
        <v>3088</v>
      </c>
      <c r="X1077" s="2" t="s">
        <v>507</v>
      </c>
    </row>
    <row r="1078" customFormat="false" ht="15" hidden="false" customHeight="false" outlineLevel="0" collapsed="false">
      <c r="A1078" s="2" t="n">
        <v>1295</v>
      </c>
      <c r="B1078" s="2" t="s">
        <v>5795</v>
      </c>
      <c r="C1078" s="2" t="s">
        <v>5812</v>
      </c>
      <c r="D1078" s="2" t="s">
        <v>410</v>
      </c>
      <c r="E1078" s="2" t="s">
        <v>5813</v>
      </c>
      <c r="F1078" s="2"/>
      <c r="G1078" s="2" t="s">
        <v>5767</v>
      </c>
      <c r="H1078" s="2" t="s">
        <v>1109</v>
      </c>
      <c r="I1078" s="2" t="s">
        <v>1108</v>
      </c>
      <c r="J1078" s="2" t="n">
        <v>-0.6</v>
      </c>
      <c r="K1078" s="2" t="n">
        <v>130.3</v>
      </c>
      <c r="L1078" s="2" t="s">
        <v>84</v>
      </c>
      <c r="M1078" s="2" t="s">
        <v>60</v>
      </c>
      <c r="N1078" s="2"/>
      <c r="O1078" s="2" t="s">
        <v>5814</v>
      </c>
      <c r="P1078" s="2"/>
      <c r="Q1078" s="2" t="s">
        <v>62</v>
      </c>
      <c r="R1078" s="2" t="n">
        <v>0.5</v>
      </c>
      <c r="S1078" s="2" t="s">
        <v>5815</v>
      </c>
      <c r="T1078" s="2" t="s">
        <v>963</v>
      </c>
      <c r="U1078" s="2" t="s">
        <v>5816</v>
      </c>
      <c r="V1078" s="2" t="s">
        <v>3434</v>
      </c>
      <c r="W1078" s="2" t="s">
        <v>3088</v>
      </c>
      <c r="X1078" s="2" t="s">
        <v>507</v>
      </c>
    </row>
    <row r="1079" customFormat="false" ht="15" hidden="false" customHeight="false" outlineLevel="0" collapsed="false">
      <c r="A1079" s="2" t="n">
        <v>1307</v>
      </c>
      <c r="B1079" s="2" t="s">
        <v>5795</v>
      </c>
      <c r="C1079" s="2" t="s">
        <v>5817</v>
      </c>
      <c r="D1079" s="2" t="s">
        <v>121</v>
      </c>
      <c r="E1079" s="2" t="s">
        <v>5818</v>
      </c>
      <c r="F1079" s="2"/>
      <c r="G1079" s="2"/>
      <c r="H1079" s="2"/>
      <c r="I1079" s="2"/>
      <c r="J1079" s="2" t="n">
        <v>22.282</v>
      </c>
      <c r="K1079" s="2" t="n">
        <v>114.188</v>
      </c>
      <c r="L1079" s="2" t="s">
        <v>124</v>
      </c>
      <c r="M1079" s="2" t="s">
        <v>340</v>
      </c>
      <c r="N1079" s="2" t="s">
        <v>5819</v>
      </c>
      <c r="O1079" s="2" t="s">
        <v>5820</v>
      </c>
      <c r="P1079" s="2" t="s">
        <v>5821</v>
      </c>
      <c r="Q1079" s="2" t="s">
        <v>62</v>
      </c>
      <c r="R1079" s="2" t="n">
        <v>0.7</v>
      </c>
      <c r="S1079" s="2" t="s">
        <v>5822</v>
      </c>
      <c r="T1079" s="2" t="s">
        <v>3341</v>
      </c>
      <c r="U1079" s="2" t="s">
        <v>3607</v>
      </c>
      <c r="V1079" s="2" t="s">
        <v>158</v>
      </c>
      <c r="W1079" s="2" t="s">
        <v>1429</v>
      </c>
      <c r="X1079" s="2" t="s">
        <v>507</v>
      </c>
    </row>
    <row r="1080" customFormat="false" ht="15" hidden="false" customHeight="false" outlineLevel="0" collapsed="false">
      <c r="A1080" s="2" t="n">
        <v>1313</v>
      </c>
      <c r="B1080" s="2" t="s">
        <v>5795</v>
      </c>
      <c r="C1080" s="2" t="s">
        <v>5823</v>
      </c>
      <c r="D1080" s="2" t="s">
        <v>53</v>
      </c>
      <c r="E1080" s="2" t="s">
        <v>5824</v>
      </c>
      <c r="F1080" s="2"/>
      <c r="G1080" s="2" t="s">
        <v>1666</v>
      </c>
      <c r="H1080" s="2" t="s">
        <v>426</v>
      </c>
      <c r="I1080" s="2" t="s">
        <v>74</v>
      </c>
      <c r="J1080" s="2" t="n">
        <v>-6.285</v>
      </c>
      <c r="K1080" s="2" t="n">
        <v>106.845</v>
      </c>
      <c r="L1080" s="2" t="s">
        <v>84</v>
      </c>
      <c r="M1080" s="2" t="s">
        <v>60</v>
      </c>
      <c r="N1080" s="2"/>
      <c r="O1080" s="2" t="s">
        <v>5825</v>
      </c>
      <c r="P1080" s="2"/>
      <c r="Q1080" s="2" t="s">
        <v>62</v>
      </c>
      <c r="R1080" s="2" t="n">
        <v>0.7</v>
      </c>
      <c r="S1080" s="2" t="s">
        <v>5826</v>
      </c>
      <c r="T1080" s="2" t="s">
        <v>64</v>
      </c>
      <c r="U1080" s="2" t="s">
        <v>3656</v>
      </c>
      <c r="V1080" s="2" t="s">
        <v>745</v>
      </c>
      <c r="W1080" s="2" t="s">
        <v>945</v>
      </c>
      <c r="X1080" s="2" t="s">
        <v>160</v>
      </c>
    </row>
    <row r="1081" customFormat="false" ht="15" hidden="false" customHeight="false" outlineLevel="0" collapsed="false">
      <c r="A1081" s="2" t="n">
        <v>1313</v>
      </c>
      <c r="B1081" s="2" t="s">
        <v>5795</v>
      </c>
      <c r="C1081" s="2" t="s">
        <v>5827</v>
      </c>
      <c r="D1081" s="2" t="s">
        <v>53</v>
      </c>
      <c r="E1081" s="2" t="s">
        <v>5824</v>
      </c>
      <c r="F1081" s="2"/>
      <c r="G1081" s="2" t="s">
        <v>1666</v>
      </c>
      <c r="H1081" s="2" t="s">
        <v>426</v>
      </c>
      <c r="I1081" s="2" t="s">
        <v>74</v>
      </c>
      <c r="J1081" s="2" t="n">
        <v>-6.285</v>
      </c>
      <c r="K1081" s="2" t="n">
        <v>106.845</v>
      </c>
      <c r="L1081" s="2" t="s">
        <v>84</v>
      </c>
      <c r="M1081" s="2" t="s">
        <v>60</v>
      </c>
      <c r="N1081" s="2"/>
      <c r="O1081" s="2" t="s">
        <v>5828</v>
      </c>
      <c r="P1081" s="2"/>
      <c r="Q1081" s="2" t="s">
        <v>62</v>
      </c>
      <c r="R1081" s="2" t="n">
        <v>0.7</v>
      </c>
      <c r="S1081" s="2" t="s">
        <v>5826</v>
      </c>
      <c r="T1081" s="2" t="s">
        <v>64</v>
      </c>
      <c r="U1081" s="2" t="s">
        <v>3656</v>
      </c>
      <c r="V1081" s="2" t="s">
        <v>745</v>
      </c>
      <c r="W1081" s="2" t="s">
        <v>945</v>
      </c>
      <c r="X1081" s="2" t="s">
        <v>160</v>
      </c>
    </row>
    <row r="1082" customFormat="false" ht="15" hidden="false" customHeight="false" outlineLevel="0" collapsed="false">
      <c r="A1082" s="2" t="n">
        <v>1314</v>
      </c>
      <c r="B1082" s="2" t="s">
        <v>5795</v>
      </c>
      <c r="C1082" s="2" t="s">
        <v>5829</v>
      </c>
      <c r="D1082" s="2" t="s">
        <v>53</v>
      </c>
      <c r="E1082" s="2" t="s">
        <v>5830</v>
      </c>
      <c r="F1082" s="2"/>
      <c r="G1082" s="2"/>
      <c r="H1082" s="2"/>
      <c r="I1082" s="2" t="s">
        <v>74</v>
      </c>
      <c r="J1082" s="2" t="n">
        <v>-6.2</v>
      </c>
      <c r="K1082" s="2" t="n">
        <v>106.845</v>
      </c>
      <c r="L1082" s="2" t="s">
        <v>239</v>
      </c>
      <c r="M1082" s="2" t="s">
        <v>340</v>
      </c>
      <c r="N1082" s="2" t="s">
        <v>5831</v>
      </c>
      <c r="O1082" s="2" t="s">
        <v>5832</v>
      </c>
      <c r="P1082" s="2"/>
      <c r="Q1082" s="2" t="s">
        <v>62</v>
      </c>
      <c r="R1082" s="2" t="n">
        <v>0.7</v>
      </c>
      <c r="S1082" s="2" t="s">
        <v>5833</v>
      </c>
      <c r="T1082" s="2" t="s">
        <v>1168</v>
      </c>
      <c r="U1082" s="2" t="s">
        <v>3671</v>
      </c>
      <c r="V1082" s="2" t="s">
        <v>66</v>
      </c>
      <c r="W1082" s="2" t="s">
        <v>283</v>
      </c>
      <c r="X1082" s="2" t="s">
        <v>68</v>
      </c>
    </row>
    <row r="1083" customFormat="false" ht="15" hidden="false" customHeight="false" outlineLevel="0" collapsed="false">
      <c r="A1083" s="2" t="n">
        <v>1314</v>
      </c>
      <c r="B1083" s="2" t="s">
        <v>5795</v>
      </c>
      <c r="C1083" s="2" t="s">
        <v>5834</v>
      </c>
      <c r="D1083" s="2" t="s">
        <v>53</v>
      </c>
      <c r="E1083" s="2" t="s">
        <v>5830</v>
      </c>
      <c r="F1083" s="2"/>
      <c r="G1083" s="2"/>
      <c r="H1083" s="2"/>
      <c r="I1083" s="2" t="s">
        <v>74</v>
      </c>
      <c r="J1083" s="2" t="n">
        <v>-6.2</v>
      </c>
      <c r="K1083" s="2" t="n">
        <v>106.845</v>
      </c>
      <c r="L1083" s="2" t="s">
        <v>239</v>
      </c>
      <c r="M1083" s="2" t="s">
        <v>340</v>
      </c>
      <c r="N1083" s="2" t="s">
        <v>5831</v>
      </c>
      <c r="O1083" s="2" t="s">
        <v>5835</v>
      </c>
      <c r="P1083" s="2"/>
      <c r="Q1083" s="2" t="s">
        <v>62</v>
      </c>
      <c r="R1083" s="2" t="n">
        <v>0.7</v>
      </c>
      <c r="S1083" s="2" t="s">
        <v>5833</v>
      </c>
      <c r="T1083" s="2" t="s">
        <v>1168</v>
      </c>
      <c r="U1083" s="2" t="s">
        <v>3671</v>
      </c>
      <c r="V1083" s="2" t="s">
        <v>66</v>
      </c>
      <c r="W1083" s="2" t="s">
        <v>283</v>
      </c>
      <c r="X1083" s="2" t="s">
        <v>68</v>
      </c>
    </row>
    <row r="1084" customFormat="false" ht="15" hidden="false" customHeight="false" outlineLevel="0" collapsed="false">
      <c r="A1084" s="2" t="n">
        <v>1314</v>
      </c>
      <c r="B1084" s="2" t="s">
        <v>5795</v>
      </c>
      <c r="C1084" s="2" t="s">
        <v>5836</v>
      </c>
      <c r="D1084" s="2" t="s">
        <v>53</v>
      </c>
      <c r="E1084" s="2" t="s">
        <v>5830</v>
      </c>
      <c r="F1084" s="2"/>
      <c r="G1084" s="2"/>
      <c r="H1084" s="2"/>
      <c r="I1084" s="2" t="s">
        <v>74</v>
      </c>
      <c r="J1084" s="2" t="n">
        <v>-6.2</v>
      </c>
      <c r="K1084" s="2" t="n">
        <v>106.845</v>
      </c>
      <c r="L1084" s="2" t="s">
        <v>239</v>
      </c>
      <c r="M1084" s="2" t="s">
        <v>340</v>
      </c>
      <c r="N1084" s="2" t="s">
        <v>5831</v>
      </c>
      <c r="O1084" s="2" t="s">
        <v>5837</v>
      </c>
      <c r="P1084" s="2"/>
      <c r="Q1084" s="2" t="s">
        <v>62</v>
      </c>
      <c r="R1084" s="2" t="n">
        <v>0.7</v>
      </c>
      <c r="S1084" s="2" t="s">
        <v>5833</v>
      </c>
      <c r="T1084" s="2" t="s">
        <v>1168</v>
      </c>
      <c r="U1084" s="2" t="s">
        <v>3671</v>
      </c>
      <c r="V1084" s="2" t="s">
        <v>66</v>
      </c>
      <c r="W1084" s="2" t="s">
        <v>283</v>
      </c>
      <c r="X1084" s="2" t="s">
        <v>68</v>
      </c>
    </row>
    <row r="1085" customFormat="false" ht="15" hidden="false" customHeight="false" outlineLevel="0" collapsed="false">
      <c r="A1085" s="2" t="n">
        <v>1315</v>
      </c>
      <c r="B1085" s="2" t="s">
        <v>5795</v>
      </c>
      <c r="C1085" s="2" t="s">
        <v>5838</v>
      </c>
      <c r="D1085" s="2" t="s">
        <v>53</v>
      </c>
      <c r="E1085" s="2" t="s">
        <v>5839</v>
      </c>
      <c r="F1085" s="2" t="s">
        <v>5840</v>
      </c>
      <c r="G1085" s="2" t="s">
        <v>425</v>
      </c>
      <c r="H1085" s="2" t="s">
        <v>426</v>
      </c>
      <c r="I1085" s="2" t="s">
        <v>74</v>
      </c>
      <c r="J1085" s="2" t="n">
        <v>-6.227</v>
      </c>
      <c r="K1085" s="2" t="n">
        <v>106.805</v>
      </c>
      <c r="L1085" s="2" t="s">
        <v>59</v>
      </c>
      <c r="M1085" s="2" t="s">
        <v>60</v>
      </c>
      <c r="N1085" s="2"/>
      <c r="O1085" s="2" t="s">
        <v>5841</v>
      </c>
      <c r="P1085" s="2" t="s">
        <v>1001</v>
      </c>
      <c r="Q1085" s="2" t="s">
        <v>62</v>
      </c>
      <c r="R1085" s="2" t="n">
        <v>0.75</v>
      </c>
      <c r="S1085" s="2" t="s">
        <v>5842</v>
      </c>
      <c r="T1085" s="2" t="s">
        <v>112</v>
      </c>
      <c r="U1085" s="2" t="s">
        <v>3679</v>
      </c>
      <c r="V1085" s="2" t="s">
        <v>158</v>
      </c>
      <c r="W1085" s="2" t="s">
        <v>3506</v>
      </c>
      <c r="X1085" s="2" t="s">
        <v>507</v>
      </c>
    </row>
    <row r="1086" customFormat="false" ht="15" hidden="false" customHeight="false" outlineLevel="0" collapsed="false">
      <c r="A1086" s="2" t="n">
        <v>1315</v>
      </c>
      <c r="B1086" s="2" t="s">
        <v>5795</v>
      </c>
      <c r="C1086" s="2" t="s">
        <v>5843</v>
      </c>
      <c r="D1086" s="2" t="s">
        <v>53</v>
      </c>
      <c r="E1086" s="2" t="s">
        <v>5844</v>
      </c>
      <c r="F1086" s="2"/>
      <c r="G1086" s="2" t="s">
        <v>80</v>
      </c>
      <c r="H1086" s="2" t="s">
        <v>73</v>
      </c>
      <c r="I1086" s="2" t="s">
        <v>74</v>
      </c>
      <c r="J1086" s="2" t="n">
        <v>-6.196</v>
      </c>
      <c r="K1086" s="2" t="n">
        <v>106.838</v>
      </c>
      <c r="L1086" s="2" t="s">
        <v>84</v>
      </c>
      <c r="M1086" s="2" t="s">
        <v>60</v>
      </c>
      <c r="N1086" s="2"/>
      <c r="O1086" s="2" t="s">
        <v>5845</v>
      </c>
      <c r="P1086" s="2" t="s">
        <v>1001</v>
      </c>
      <c r="Q1086" s="2" t="s">
        <v>62</v>
      </c>
      <c r="R1086" s="2" t="n">
        <v>0.7</v>
      </c>
      <c r="S1086" s="2" t="s">
        <v>5842</v>
      </c>
      <c r="T1086" s="2" t="s">
        <v>112</v>
      </c>
      <c r="U1086" s="2" t="s">
        <v>3679</v>
      </c>
      <c r="V1086" s="2" t="s">
        <v>158</v>
      </c>
      <c r="W1086" s="2" t="s">
        <v>3506</v>
      </c>
      <c r="X1086" s="2" t="s">
        <v>507</v>
      </c>
    </row>
    <row r="1087" customFormat="false" ht="15" hidden="false" customHeight="false" outlineLevel="0" collapsed="false">
      <c r="A1087" s="2" t="n">
        <v>1316</v>
      </c>
      <c r="B1087" s="2" t="s">
        <v>5795</v>
      </c>
      <c r="C1087" s="2" t="s">
        <v>5846</v>
      </c>
      <c r="D1087" s="2" t="s">
        <v>53</v>
      </c>
      <c r="E1087" s="2" t="s">
        <v>423</v>
      </c>
      <c r="F1087" s="2" t="s">
        <v>424</v>
      </c>
      <c r="G1087" s="2" t="s">
        <v>425</v>
      </c>
      <c r="H1087" s="2" t="s">
        <v>426</v>
      </c>
      <c r="I1087" s="2" t="s">
        <v>74</v>
      </c>
      <c r="J1087" s="2" t="n">
        <v>-6.244</v>
      </c>
      <c r="K1087" s="2" t="n">
        <v>106.8</v>
      </c>
      <c r="L1087" s="2" t="s">
        <v>59</v>
      </c>
      <c r="M1087" s="2" t="s">
        <v>60</v>
      </c>
      <c r="N1087" s="2"/>
      <c r="O1087" s="2" t="s">
        <v>5847</v>
      </c>
      <c r="P1087" s="2"/>
      <c r="Q1087" s="2" t="s">
        <v>62</v>
      </c>
      <c r="R1087" s="2" t="n">
        <v>0.7</v>
      </c>
      <c r="S1087" s="2" t="s">
        <v>5848</v>
      </c>
      <c r="T1087" s="2" t="s">
        <v>5210</v>
      </c>
      <c r="U1087" s="2" t="s">
        <v>3688</v>
      </c>
      <c r="V1087" s="2" t="s">
        <v>66</v>
      </c>
      <c r="W1087" s="2" t="s">
        <v>1768</v>
      </c>
      <c r="X1087" s="2" t="s">
        <v>507</v>
      </c>
    </row>
    <row r="1088" customFormat="false" ht="15" hidden="false" customHeight="false" outlineLevel="0" collapsed="false">
      <c r="A1088" s="2" t="n">
        <v>1316</v>
      </c>
      <c r="B1088" s="2" t="s">
        <v>5795</v>
      </c>
      <c r="C1088" s="2" t="s">
        <v>5849</v>
      </c>
      <c r="D1088" s="2" t="s">
        <v>53</v>
      </c>
      <c r="E1088" s="2" t="s">
        <v>1638</v>
      </c>
      <c r="F1088" s="2" t="s">
        <v>4490</v>
      </c>
      <c r="G1088" s="2" t="s">
        <v>1639</v>
      </c>
      <c r="H1088" s="2" t="s">
        <v>426</v>
      </c>
      <c r="I1088" s="2" t="s">
        <v>74</v>
      </c>
      <c r="J1088" s="2" t="n">
        <v>-6.262</v>
      </c>
      <c r="K1088" s="2" t="n">
        <v>106.815</v>
      </c>
      <c r="L1088" s="2" t="s">
        <v>59</v>
      </c>
      <c r="M1088" s="2" t="s">
        <v>60</v>
      </c>
      <c r="N1088" s="2"/>
      <c r="O1088" s="2" t="s">
        <v>5850</v>
      </c>
      <c r="P1088" s="2"/>
      <c r="Q1088" s="2" t="s">
        <v>62</v>
      </c>
      <c r="R1088" s="2" t="n">
        <v>0.7</v>
      </c>
      <c r="S1088" s="2" t="s">
        <v>5848</v>
      </c>
      <c r="T1088" s="2" t="s">
        <v>5210</v>
      </c>
      <c r="U1088" s="2" t="s">
        <v>3688</v>
      </c>
      <c r="V1088" s="2" t="s">
        <v>66</v>
      </c>
      <c r="W1088" s="2" t="s">
        <v>1768</v>
      </c>
      <c r="X1088" s="2" t="s">
        <v>507</v>
      </c>
    </row>
    <row r="1089" customFormat="false" ht="15" hidden="false" customHeight="false" outlineLevel="0" collapsed="false">
      <c r="A1089" s="2" t="n">
        <v>1317</v>
      </c>
      <c r="B1089" s="2" t="s">
        <v>5795</v>
      </c>
      <c r="C1089" s="2" t="s">
        <v>5851</v>
      </c>
      <c r="D1089" s="2" t="s">
        <v>53</v>
      </c>
      <c r="E1089" s="2" t="s">
        <v>5852</v>
      </c>
      <c r="F1089" s="2"/>
      <c r="G1089" s="2" t="s">
        <v>5853</v>
      </c>
      <c r="H1089" s="2" t="s">
        <v>426</v>
      </c>
      <c r="I1089" s="2" t="s">
        <v>74</v>
      </c>
      <c r="J1089" s="2" t="n">
        <v>-6.215</v>
      </c>
      <c r="K1089" s="2" t="n">
        <v>106.83</v>
      </c>
      <c r="L1089" s="2" t="s">
        <v>84</v>
      </c>
      <c r="M1089" s="2" t="s">
        <v>60</v>
      </c>
      <c r="N1089" s="2"/>
      <c r="O1089" s="2" t="s">
        <v>5854</v>
      </c>
      <c r="P1089" s="2"/>
      <c r="Q1089" s="2" t="s">
        <v>62</v>
      </c>
      <c r="R1089" s="2" t="n">
        <v>0.75</v>
      </c>
      <c r="S1089" s="2" t="s">
        <v>5855</v>
      </c>
      <c r="T1089" s="2" t="s">
        <v>243</v>
      </c>
      <c r="U1089" s="2" t="s">
        <v>3698</v>
      </c>
      <c r="V1089" s="2" t="s">
        <v>158</v>
      </c>
      <c r="W1089" s="2" t="s">
        <v>1700</v>
      </c>
      <c r="X1089" s="2" t="s">
        <v>507</v>
      </c>
    </row>
    <row r="1090" customFormat="false" ht="15" hidden="false" customHeight="false" outlineLevel="0" collapsed="false">
      <c r="A1090" s="2" t="n">
        <v>1317</v>
      </c>
      <c r="B1090" s="2" t="s">
        <v>5795</v>
      </c>
      <c r="C1090" s="2" t="s">
        <v>5856</v>
      </c>
      <c r="D1090" s="2" t="s">
        <v>53</v>
      </c>
      <c r="E1090" s="2" t="s">
        <v>5857</v>
      </c>
      <c r="F1090" s="2" t="s">
        <v>5858</v>
      </c>
      <c r="G1090" s="2" t="s">
        <v>1666</v>
      </c>
      <c r="H1090" s="2" t="s">
        <v>426</v>
      </c>
      <c r="I1090" s="2" t="s">
        <v>74</v>
      </c>
      <c r="J1090" s="2" t="n">
        <v>-6.275</v>
      </c>
      <c r="K1090" s="2" t="n">
        <v>106.85</v>
      </c>
      <c r="L1090" s="2" t="s">
        <v>59</v>
      </c>
      <c r="M1090" s="2" t="s">
        <v>60</v>
      </c>
      <c r="N1090" s="2"/>
      <c r="O1090" s="2" t="s">
        <v>5859</v>
      </c>
      <c r="P1090" s="2"/>
      <c r="Q1090" s="2" t="s">
        <v>62</v>
      </c>
      <c r="R1090" s="2" t="n">
        <v>0.75</v>
      </c>
      <c r="S1090" s="2" t="s">
        <v>5855</v>
      </c>
      <c r="T1090" s="2" t="s">
        <v>243</v>
      </c>
      <c r="U1090" s="2" t="s">
        <v>3698</v>
      </c>
      <c r="V1090" s="2" t="s">
        <v>158</v>
      </c>
      <c r="W1090" s="2" t="s">
        <v>1700</v>
      </c>
      <c r="X1090" s="2" t="s">
        <v>507</v>
      </c>
    </row>
    <row r="1091" customFormat="false" ht="15" hidden="false" customHeight="false" outlineLevel="0" collapsed="false">
      <c r="A1091" s="2" t="n">
        <v>1317</v>
      </c>
      <c r="B1091" s="2" t="s">
        <v>5795</v>
      </c>
      <c r="C1091" s="2" t="s">
        <v>5860</v>
      </c>
      <c r="D1091" s="2" t="s">
        <v>53</v>
      </c>
      <c r="E1091" s="2" t="s">
        <v>3288</v>
      </c>
      <c r="F1091" s="2"/>
      <c r="G1091" s="2"/>
      <c r="H1091" s="2" t="s">
        <v>426</v>
      </c>
      <c r="I1091" s="2" t="s">
        <v>74</v>
      </c>
      <c r="J1091" s="2" t="n">
        <v>-6.261</v>
      </c>
      <c r="K1091" s="2" t="n">
        <v>106.81</v>
      </c>
      <c r="L1091" s="2" t="s">
        <v>101</v>
      </c>
      <c r="M1091" s="2" t="s">
        <v>60</v>
      </c>
      <c r="N1091" s="2"/>
      <c r="O1091" s="2" t="s">
        <v>5861</v>
      </c>
      <c r="P1091" s="2"/>
      <c r="Q1091" s="2" t="s">
        <v>62</v>
      </c>
      <c r="R1091" s="2" t="n">
        <v>0.7</v>
      </c>
      <c r="S1091" s="2" t="s">
        <v>5855</v>
      </c>
      <c r="T1091" s="2" t="s">
        <v>243</v>
      </c>
      <c r="U1091" s="2" t="s">
        <v>3698</v>
      </c>
      <c r="V1091" s="2" t="s">
        <v>158</v>
      </c>
      <c r="W1091" s="2" t="s">
        <v>1700</v>
      </c>
      <c r="X1091" s="2" t="s">
        <v>507</v>
      </c>
    </row>
    <row r="1092" customFormat="false" ht="15" hidden="false" customHeight="false" outlineLevel="0" collapsed="false">
      <c r="A1092" s="2" t="n">
        <v>1318</v>
      </c>
      <c r="B1092" s="2" t="s">
        <v>5795</v>
      </c>
      <c r="C1092" s="2" t="s">
        <v>5862</v>
      </c>
      <c r="D1092" s="2" t="s">
        <v>53</v>
      </c>
      <c r="E1092" s="2" t="s">
        <v>5863</v>
      </c>
      <c r="F1092" s="2" t="s">
        <v>1886</v>
      </c>
      <c r="G1092" s="2" t="s">
        <v>3365</v>
      </c>
      <c r="H1092" s="2" t="s">
        <v>73</v>
      </c>
      <c r="I1092" s="2" t="s">
        <v>74</v>
      </c>
      <c r="J1092" s="2" t="n">
        <v>-6.163</v>
      </c>
      <c r="K1092" s="2" t="n">
        <v>106.834</v>
      </c>
      <c r="L1092" s="2" t="s">
        <v>59</v>
      </c>
      <c r="M1092" s="2" t="s">
        <v>60</v>
      </c>
      <c r="N1092" s="2"/>
      <c r="O1092" s="2" t="s">
        <v>5864</v>
      </c>
      <c r="P1092" s="2"/>
      <c r="Q1092" s="2" t="s">
        <v>62</v>
      </c>
      <c r="R1092" s="2" t="n">
        <v>0.65</v>
      </c>
      <c r="S1092" s="2" t="s">
        <v>5865</v>
      </c>
      <c r="T1092" s="2" t="s">
        <v>1498</v>
      </c>
      <c r="U1092" s="2" t="s">
        <v>3708</v>
      </c>
      <c r="V1092" s="2" t="s">
        <v>745</v>
      </c>
      <c r="W1092" s="2" t="s">
        <v>2431</v>
      </c>
      <c r="X1092" s="2" t="s">
        <v>507</v>
      </c>
    </row>
    <row r="1093" customFormat="false" ht="15" hidden="false" customHeight="false" outlineLevel="0" collapsed="false">
      <c r="A1093" s="2" t="n">
        <v>1318</v>
      </c>
      <c r="B1093" s="2" t="s">
        <v>5795</v>
      </c>
      <c r="C1093" s="2" t="s">
        <v>5866</v>
      </c>
      <c r="D1093" s="2" t="s">
        <v>53</v>
      </c>
      <c r="E1093" s="2" t="s">
        <v>5863</v>
      </c>
      <c r="F1093" s="2" t="s">
        <v>1886</v>
      </c>
      <c r="G1093" s="2" t="s">
        <v>3365</v>
      </c>
      <c r="H1093" s="2" t="s">
        <v>73</v>
      </c>
      <c r="I1093" s="2" t="s">
        <v>74</v>
      </c>
      <c r="J1093" s="2" t="n">
        <v>-6.163</v>
      </c>
      <c r="K1093" s="2" t="n">
        <v>106.834</v>
      </c>
      <c r="L1093" s="2" t="s">
        <v>59</v>
      </c>
      <c r="M1093" s="2" t="s">
        <v>60</v>
      </c>
      <c r="N1093" s="2"/>
      <c r="O1093" s="2" t="s">
        <v>5864</v>
      </c>
      <c r="P1093" s="2"/>
      <c r="Q1093" s="2" t="s">
        <v>62</v>
      </c>
      <c r="R1093" s="2" t="n">
        <v>0.65</v>
      </c>
      <c r="S1093" s="2" t="s">
        <v>5865</v>
      </c>
      <c r="T1093" s="2" t="s">
        <v>1498</v>
      </c>
      <c r="U1093" s="2" t="s">
        <v>3708</v>
      </c>
      <c r="V1093" s="2" t="s">
        <v>745</v>
      </c>
      <c r="W1093" s="2" t="s">
        <v>2431</v>
      </c>
      <c r="X1093" s="2" t="s">
        <v>507</v>
      </c>
    </row>
    <row r="1094" customFormat="false" ht="15" hidden="false" customHeight="false" outlineLevel="0" collapsed="false">
      <c r="A1094" s="2" t="n">
        <v>1320</v>
      </c>
      <c r="B1094" s="2" t="s">
        <v>5867</v>
      </c>
      <c r="C1094" s="2" t="s">
        <v>5868</v>
      </c>
      <c r="D1094" s="2" t="s">
        <v>53</v>
      </c>
      <c r="E1094" s="2" t="s">
        <v>5869</v>
      </c>
      <c r="F1094" s="2" t="s">
        <v>5870</v>
      </c>
      <c r="G1094" s="2" t="s">
        <v>425</v>
      </c>
      <c r="H1094" s="2" t="s">
        <v>426</v>
      </c>
      <c r="I1094" s="2" t="s">
        <v>74</v>
      </c>
      <c r="J1094" s="2" t="n">
        <v>-6.24</v>
      </c>
      <c r="K1094" s="2" t="n">
        <v>106.807</v>
      </c>
      <c r="L1094" s="2" t="s">
        <v>59</v>
      </c>
      <c r="M1094" s="2" t="s">
        <v>60</v>
      </c>
      <c r="N1094" s="2"/>
      <c r="O1094" s="2" t="s">
        <v>5871</v>
      </c>
      <c r="P1094" s="2"/>
      <c r="Q1094" s="2" t="s">
        <v>62</v>
      </c>
      <c r="R1094" s="2" t="n">
        <v>0.75</v>
      </c>
      <c r="S1094" s="2" t="s">
        <v>5872</v>
      </c>
      <c r="T1094" s="2" t="s">
        <v>64</v>
      </c>
      <c r="U1094" s="2" t="s">
        <v>3721</v>
      </c>
      <c r="V1094" s="2" t="s">
        <v>965</v>
      </c>
      <c r="W1094" s="2" t="s">
        <v>1138</v>
      </c>
      <c r="X1094" s="2" t="s">
        <v>507</v>
      </c>
    </row>
    <row r="1095" customFormat="false" ht="15" hidden="false" customHeight="false" outlineLevel="0" collapsed="false">
      <c r="A1095" s="2" t="n">
        <v>1322</v>
      </c>
      <c r="B1095" s="2" t="s">
        <v>5867</v>
      </c>
      <c r="C1095" s="2" t="s">
        <v>5827</v>
      </c>
      <c r="D1095" s="2" t="s">
        <v>53</v>
      </c>
      <c r="E1095" s="2" t="s">
        <v>5873</v>
      </c>
      <c r="F1095" s="2" t="s">
        <v>5874</v>
      </c>
      <c r="G1095" s="2" t="s">
        <v>1666</v>
      </c>
      <c r="H1095" s="2" t="s">
        <v>426</v>
      </c>
      <c r="I1095" s="2" t="s">
        <v>74</v>
      </c>
      <c r="J1095" s="2" t="n">
        <v>-6.278</v>
      </c>
      <c r="K1095" s="2" t="n">
        <v>106.832</v>
      </c>
      <c r="L1095" s="2" t="s">
        <v>59</v>
      </c>
      <c r="M1095" s="2" t="s">
        <v>60</v>
      </c>
      <c r="N1095" s="2"/>
      <c r="O1095" s="2" t="s">
        <v>5875</v>
      </c>
      <c r="P1095" s="2"/>
      <c r="Q1095" s="2" t="s">
        <v>110</v>
      </c>
      <c r="R1095" s="2" t="n">
        <v>0.85</v>
      </c>
      <c r="S1095" s="2" t="s">
        <v>5876</v>
      </c>
      <c r="T1095" s="2" t="s">
        <v>64</v>
      </c>
      <c r="U1095" s="2" t="s">
        <v>5877</v>
      </c>
      <c r="V1095" s="2" t="s">
        <v>420</v>
      </c>
      <c r="W1095" s="2" t="s">
        <v>5388</v>
      </c>
      <c r="X1095" s="2" t="s">
        <v>507</v>
      </c>
    </row>
    <row r="1096" customFormat="false" ht="15" hidden="false" customHeight="false" outlineLevel="0" collapsed="false">
      <c r="A1096" s="2" t="n">
        <v>1322</v>
      </c>
      <c r="B1096" s="2" t="s">
        <v>5867</v>
      </c>
      <c r="C1096" s="2" t="s">
        <v>5878</v>
      </c>
      <c r="D1096" s="2" t="s">
        <v>53</v>
      </c>
      <c r="E1096" s="2" t="s">
        <v>5879</v>
      </c>
      <c r="F1096" s="2"/>
      <c r="G1096" s="2"/>
      <c r="H1096" s="2" t="s">
        <v>426</v>
      </c>
      <c r="I1096" s="2" t="s">
        <v>74</v>
      </c>
      <c r="J1096" s="2" t="n">
        <v>-6.261</v>
      </c>
      <c r="K1096" s="2" t="n">
        <v>106.81</v>
      </c>
      <c r="L1096" s="2" t="s">
        <v>101</v>
      </c>
      <c r="M1096" s="2" t="s">
        <v>60</v>
      </c>
      <c r="N1096" s="2" t="s">
        <v>5880</v>
      </c>
      <c r="O1096" s="2" t="s">
        <v>5881</v>
      </c>
      <c r="P1096" s="2"/>
      <c r="Q1096" s="2" t="s">
        <v>110</v>
      </c>
      <c r="R1096" s="2" t="n">
        <v>0.8</v>
      </c>
      <c r="S1096" s="2" t="s">
        <v>5876</v>
      </c>
      <c r="T1096" s="2" t="s">
        <v>64</v>
      </c>
      <c r="U1096" s="2" t="s">
        <v>5877</v>
      </c>
      <c r="V1096" s="2" t="s">
        <v>420</v>
      </c>
      <c r="W1096" s="2" t="s">
        <v>5388</v>
      </c>
      <c r="X1096" s="2" t="s">
        <v>507</v>
      </c>
    </row>
    <row r="1097" customFormat="false" ht="15" hidden="false" customHeight="false" outlineLevel="0" collapsed="false">
      <c r="A1097" s="2" t="n">
        <v>1323</v>
      </c>
      <c r="B1097" s="2" t="s">
        <v>5867</v>
      </c>
      <c r="C1097" s="2" t="s">
        <v>161</v>
      </c>
      <c r="D1097" s="2" t="s">
        <v>53</v>
      </c>
      <c r="E1097" s="2" t="s">
        <v>5882</v>
      </c>
      <c r="F1097" s="2"/>
      <c r="G1097" s="2" t="s">
        <v>1644</v>
      </c>
      <c r="H1097" s="2" t="s">
        <v>426</v>
      </c>
      <c r="I1097" s="2" t="s">
        <v>74</v>
      </c>
      <c r="J1097" s="2" t="n">
        <v>-6.235</v>
      </c>
      <c r="K1097" s="2" t="n">
        <v>106.855</v>
      </c>
      <c r="L1097" s="2" t="s">
        <v>84</v>
      </c>
      <c r="M1097" s="2" t="s">
        <v>60</v>
      </c>
      <c r="N1097" s="2"/>
      <c r="O1097" s="2" t="s">
        <v>5883</v>
      </c>
      <c r="P1097" s="2"/>
      <c r="Q1097" s="2" t="s">
        <v>62</v>
      </c>
      <c r="R1097" s="2" t="n">
        <v>0.7</v>
      </c>
      <c r="S1097" s="2" t="s">
        <v>5884</v>
      </c>
      <c r="T1097" s="2" t="s">
        <v>64</v>
      </c>
      <c r="U1097" s="2" t="s">
        <v>3743</v>
      </c>
      <c r="V1097" s="2" t="s">
        <v>178</v>
      </c>
      <c r="W1097" s="2" t="s">
        <v>3744</v>
      </c>
      <c r="X1097" s="2" t="s">
        <v>507</v>
      </c>
    </row>
    <row r="1098" customFormat="false" ht="15" hidden="false" customHeight="false" outlineLevel="0" collapsed="false">
      <c r="A1098" s="2" t="n">
        <v>1324</v>
      </c>
      <c r="B1098" s="2" t="s">
        <v>5867</v>
      </c>
      <c r="C1098" s="2" t="s">
        <v>5885</v>
      </c>
      <c r="D1098" s="2" t="s">
        <v>53</v>
      </c>
      <c r="E1098" s="2" t="s">
        <v>5886</v>
      </c>
      <c r="F1098" s="2"/>
      <c r="G1098" s="2" t="s">
        <v>5853</v>
      </c>
      <c r="H1098" s="2" t="s">
        <v>426</v>
      </c>
      <c r="I1098" s="2" t="s">
        <v>74</v>
      </c>
      <c r="J1098" s="2" t="n">
        <v>-6.215</v>
      </c>
      <c r="K1098" s="2" t="n">
        <v>106.83</v>
      </c>
      <c r="L1098" s="2" t="s">
        <v>84</v>
      </c>
      <c r="M1098" s="2" t="s">
        <v>60</v>
      </c>
      <c r="N1098" s="2"/>
      <c r="O1098" s="2" t="s">
        <v>5887</v>
      </c>
      <c r="P1098" s="2" t="s">
        <v>298</v>
      </c>
      <c r="Q1098" s="2" t="s">
        <v>62</v>
      </c>
      <c r="R1098" s="2" t="n">
        <v>0.75</v>
      </c>
      <c r="S1098" s="2" t="s">
        <v>5888</v>
      </c>
      <c r="T1098" s="2" t="s">
        <v>112</v>
      </c>
      <c r="U1098" s="2" t="s">
        <v>3749</v>
      </c>
      <c r="V1098" s="2" t="s">
        <v>1170</v>
      </c>
      <c r="W1098" s="2" t="s">
        <v>2241</v>
      </c>
      <c r="X1098" s="2" t="s">
        <v>507</v>
      </c>
    </row>
    <row r="1099" customFormat="false" ht="15" hidden="false" customHeight="false" outlineLevel="0" collapsed="false">
      <c r="A1099" s="2" t="n">
        <v>1324</v>
      </c>
      <c r="B1099" s="2" t="s">
        <v>5867</v>
      </c>
      <c r="C1099" s="2" t="s">
        <v>5889</v>
      </c>
      <c r="D1099" s="2" t="s">
        <v>53</v>
      </c>
      <c r="E1099" s="2" t="s">
        <v>5890</v>
      </c>
      <c r="F1099" s="2" t="s">
        <v>79</v>
      </c>
      <c r="G1099" s="2" t="s">
        <v>80</v>
      </c>
      <c r="H1099" s="2" t="s">
        <v>73</v>
      </c>
      <c r="I1099" s="2" t="s">
        <v>74</v>
      </c>
      <c r="J1099" s="2" t="n">
        <v>-6.1934</v>
      </c>
      <c r="K1099" s="2" t="n">
        <v>106.8219</v>
      </c>
      <c r="L1099" s="2" t="s">
        <v>124</v>
      </c>
      <c r="M1099" s="2" t="s">
        <v>60</v>
      </c>
      <c r="N1099" s="2"/>
      <c r="O1099" s="2" t="s">
        <v>5891</v>
      </c>
      <c r="P1099" s="2" t="s">
        <v>298</v>
      </c>
      <c r="Q1099" s="2" t="s">
        <v>62</v>
      </c>
      <c r="R1099" s="2" t="n">
        <v>0.7</v>
      </c>
      <c r="S1099" s="2" t="s">
        <v>5888</v>
      </c>
      <c r="T1099" s="2" t="s">
        <v>112</v>
      </c>
      <c r="U1099" s="2" t="s">
        <v>3749</v>
      </c>
      <c r="V1099" s="2" t="s">
        <v>1170</v>
      </c>
      <c r="W1099" s="2" t="s">
        <v>2241</v>
      </c>
      <c r="X1099" s="2" t="s">
        <v>507</v>
      </c>
    </row>
    <row r="1100" customFormat="false" ht="15" hidden="false" customHeight="false" outlineLevel="0" collapsed="false">
      <c r="A1100" s="2" t="n">
        <v>1328</v>
      </c>
      <c r="B1100" s="2" t="s">
        <v>5867</v>
      </c>
      <c r="C1100" s="2" t="s">
        <v>5892</v>
      </c>
      <c r="D1100" s="2" t="s">
        <v>134</v>
      </c>
      <c r="E1100" s="2" t="s">
        <v>5893</v>
      </c>
      <c r="F1100" s="2" t="s">
        <v>424</v>
      </c>
      <c r="G1100" s="2" t="s">
        <v>425</v>
      </c>
      <c r="H1100" s="2" t="s">
        <v>426</v>
      </c>
      <c r="I1100" s="2" t="s">
        <v>74</v>
      </c>
      <c r="J1100" s="2" t="n">
        <v>-6.244</v>
      </c>
      <c r="K1100" s="2" t="n">
        <v>106.8</v>
      </c>
      <c r="L1100" s="2" t="s">
        <v>59</v>
      </c>
      <c r="M1100" s="2" t="s">
        <v>60</v>
      </c>
      <c r="N1100" s="2"/>
      <c r="O1100" s="2" t="s">
        <v>5894</v>
      </c>
      <c r="P1100" s="2"/>
      <c r="Q1100" s="2" t="s">
        <v>62</v>
      </c>
      <c r="R1100" s="2" t="n">
        <v>0.8</v>
      </c>
      <c r="S1100" s="2" t="s">
        <v>5895</v>
      </c>
      <c r="T1100" s="2" t="s">
        <v>112</v>
      </c>
      <c r="U1100" s="2" t="s">
        <v>5896</v>
      </c>
      <c r="V1100" s="2" t="s">
        <v>1170</v>
      </c>
      <c r="W1100" s="2" t="s">
        <v>3321</v>
      </c>
      <c r="X1100" s="2" t="s">
        <v>507</v>
      </c>
    </row>
    <row r="1101" customFormat="false" ht="15" hidden="false" customHeight="false" outlineLevel="0" collapsed="false">
      <c r="A1101" s="2" t="n">
        <v>1328</v>
      </c>
      <c r="B1101" s="2" t="s">
        <v>5867</v>
      </c>
      <c r="C1101" s="2" t="s">
        <v>5897</v>
      </c>
      <c r="D1101" s="2" t="s">
        <v>134</v>
      </c>
      <c r="E1101" s="2" t="s">
        <v>5898</v>
      </c>
      <c r="F1101" s="2"/>
      <c r="G1101" s="2" t="s">
        <v>316</v>
      </c>
      <c r="H1101" s="2" t="s">
        <v>317</v>
      </c>
      <c r="I1101" s="2" t="s">
        <v>74</v>
      </c>
      <c r="J1101" s="2" t="n">
        <v>-6.16</v>
      </c>
      <c r="K1101" s="2" t="n">
        <v>106.905</v>
      </c>
      <c r="L1101" s="2" t="s">
        <v>84</v>
      </c>
      <c r="M1101" s="2" t="s">
        <v>60</v>
      </c>
      <c r="N1101" s="2"/>
      <c r="O1101" s="2" t="s">
        <v>5899</v>
      </c>
      <c r="P1101" s="2"/>
      <c r="Q1101" s="2" t="s">
        <v>62</v>
      </c>
      <c r="R1101" s="2" t="n">
        <v>0.7</v>
      </c>
      <c r="S1101" s="2" t="s">
        <v>5895</v>
      </c>
      <c r="T1101" s="2" t="s">
        <v>112</v>
      </c>
      <c r="U1101" s="2" t="s">
        <v>5896</v>
      </c>
      <c r="V1101" s="2" t="s">
        <v>1170</v>
      </c>
      <c r="W1101" s="2" t="s">
        <v>3321</v>
      </c>
      <c r="X1101" s="2" t="s">
        <v>507</v>
      </c>
    </row>
    <row r="1102" customFormat="false" ht="15" hidden="false" customHeight="false" outlineLevel="0" collapsed="false">
      <c r="A1102" s="2" t="n">
        <v>1329</v>
      </c>
      <c r="B1102" s="2" t="s">
        <v>5867</v>
      </c>
      <c r="C1102" s="2" t="s">
        <v>5892</v>
      </c>
      <c r="D1102" s="2" t="s">
        <v>134</v>
      </c>
      <c r="E1102" s="2" t="s">
        <v>423</v>
      </c>
      <c r="F1102" s="2" t="s">
        <v>424</v>
      </c>
      <c r="G1102" s="2" t="s">
        <v>425</v>
      </c>
      <c r="H1102" s="2" t="s">
        <v>426</v>
      </c>
      <c r="I1102" s="2" t="s">
        <v>74</v>
      </c>
      <c r="J1102" s="2" t="n">
        <v>-6.244</v>
      </c>
      <c r="K1102" s="2" t="n">
        <v>106.8</v>
      </c>
      <c r="L1102" s="2" t="s">
        <v>59</v>
      </c>
      <c r="M1102" s="2" t="s">
        <v>60</v>
      </c>
      <c r="N1102" s="2"/>
      <c r="O1102" s="2" t="s">
        <v>5900</v>
      </c>
      <c r="P1102" s="2"/>
      <c r="Q1102" s="2" t="s">
        <v>110</v>
      </c>
      <c r="R1102" s="2" t="n">
        <v>0.8</v>
      </c>
      <c r="S1102" s="2" t="s">
        <v>5901</v>
      </c>
      <c r="T1102" s="2" t="s">
        <v>5902</v>
      </c>
      <c r="U1102" s="2" t="s">
        <v>3786</v>
      </c>
      <c r="V1102" s="2" t="s">
        <v>745</v>
      </c>
      <c r="W1102" s="2" t="s">
        <v>3787</v>
      </c>
      <c r="X1102" s="2" t="s">
        <v>507</v>
      </c>
    </row>
    <row r="1103" customFormat="false" ht="15" hidden="false" customHeight="false" outlineLevel="0" collapsed="false">
      <c r="A1103" s="2" t="n">
        <v>1329</v>
      </c>
      <c r="B1103" s="2" t="s">
        <v>5867</v>
      </c>
      <c r="C1103" s="2" t="s">
        <v>5903</v>
      </c>
      <c r="D1103" s="2" t="s">
        <v>134</v>
      </c>
      <c r="E1103" s="2" t="s">
        <v>830</v>
      </c>
      <c r="F1103" s="2"/>
      <c r="G1103" s="2"/>
      <c r="H1103" s="2"/>
      <c r="I1103" s="2" t="s">
        <v>74</v>
      </c>
      <c r="J1103" s="2" t="n">
        <v>-6.2</v>
      </c>
      <c r="K1103" s="2" t="n">
        <v>106.845</v>
      </c>
      <c r="L1103" s="2" t="s">
        <v>239</v>
      </c>
      <c r="M1103" s="2" t="s">
        <v>340</v>
      </c>
      <c r="N1103" s="2"/>
      <c r="O1103" s="2" t="s">
        <v>5904</v>
      </c>
      <c r="P1103" s="2"/>
      <c r="Q1103" s="2" t="s">
        <v>110</v>
      </c>
      <c r="R1103" s="2" t="n">
        <v>0.7</v>
      </c>
      <c r="S1103" s="2" t="s">
        <v>5901</v>
      </c>
      <c r="T1103" s="2" t="s">
        <v>5902</v>
      </c>
      <c r="U1103" s="2" t="s">
        <v>3786</v>
      </c>
      <c r="V1103" s="2" t="s">
        <v>745</v>
      </c>
      <c r="W1103" s="2" t="s">
        <v>3787</v>
      </c>
      <c r="X1103" s="2" t="s">
        <v>507</v>
      </c>
    </row>
    <row r="1104" customFormat="false" ht="15" hidden="false" customHeight="false" outlineLevel="0" collapsed="false">
      <c r="A1104" s="2" t="n">
        <v>1329</v>
      </c>
      <c r="B1104" s="2" t="s">
        <v>5867</v>
      </c>
      <c r="C1104" s="2" t="s">
        <v>5905</v>
      </c>
      <c r="D1104" s="2" t="s">
        <v>134</v>
      </c>
      <c r="E1104" s="2" t="s">
        <v>830</v>
      </c>
      <c r="F1104" s="2"/>
      <c r="G1104" s="2"/>
      <c r="H1104" s="2"/>
      <c r="I1104" s="2" t="s">
        <v>74</v>
      </c>
      <c r="J1104" s="2" t="n">
        <v>-6.2</v>
      </c>
      <c r="K1104" s="2" t="n">
        <v>106.845</v>
      </c>
      <c r="L1104" s="2" t="s">
        <v>239</v>
      </c>
      <c r="M1104" s="2" t="s">
        <v>340</v>
      </c>
      <c r="N1104" s="2"/>
      <c r="O1104" s="2" t="s">
        <v>5906</v>
      </c>
      <c r="P1104" s="2"/>
      <c r="Q1104" s="2" t="s">
        <v>110</v>
      </c>
      <c r="R1104" s="2" t="n">
        <v>0.7</v>
      </c>
      <c r="S1104" s="2" t="s">
        <v>5901</v>
      </c>
      <c r="T1104" s="2" t="s">
        <v>5902</v>
      </c>
      <c r="U1104" s="2" t="s">
        <v>3786</v>
      </c>
      <c r="V1104" s="2" t="s">
        <v>745</v>
      </c>
      <c r="W1104" s="2" t="s">
        <v>3787</v>
      </c>
      <c r="X1104" s="2" t="s">
        <v>507</v>
      </c>
    </row>
    <row r="1105" customFormat="false" ht="15" hidden="false" customHeight="false" outlineLevel="0" collapsed="false">
      <c r="A1105" s="2" t="n">
        <v>1330</v>
      </c>
      <c r="B1105" s="2" t="s">
        <v>5867</v>
      </c>
      <c r="C1105" s="2" t="s">
        <v>5892</v>
      </c>
      <c r="D1105" s="2" t="s">
        <v>134</v>
      </c>
      <c r="E1105" s="2" t="s">
        <v>423</v>
      </c>
      <c r="F1105" s="2" t="s">
        <v>424</v>
      </c>
      <c r="G1105" s="2" t="s">
        <v>425</v>
      </c>
      <c r="H1105" s="2" t="s">
        <v>426</v>
      </c>
      <c r="I1105" s="2" t="s">
        <v>74</v>
      </c>
      <c r="J1105" s="2" t="n">
        <v>-6.244</v>
      </c>
      <c r="K1105" s="2" t="n">
        <v>106.8</v>
      </c>
      <c r="L1105" s="2" t="s">
        <v>59</v>
      </c>
      <c r="M1105" s="2" t="s">
        <v>60</v>
      </c>
      <c r="N1105" s="2"/>
      <c r="O1105" s="2" t="s">
        <v>5907</v>
      </c>
      <c r="P1105" s="2"/>
      <c r="Q1105" s="2" t="s">
        <v>62</v>
      </c>
      <c r="R1105" s="2" t="n">
        <v>0.75</v>
      </c>
      <c r="S1105" s="2" t="s">
        <v>5908</v>
      </c>
      <c r="T1105" s="2" t="s">
        <v>5902</v>
      </c>
      <c r="U1105" s="2" t="s">
        <v>3792</v>
      </c>
      <c r="V1105" s="2" t="s">
        <v>3793</v>
      </c>
      <c r="W1105" s="2" t="s">
        <v>776</v>
      </c>
      <c r="X1105" s="2" t="s">
        <v>507</v>
      </c>
    </row>
    <row r="1106" customFormat="false" ht="15" hidden="false" customHeight="false" outlineLevel="0" collapsed="false">
      <c r="A1106" s="2" t="n">
        <v>1330</v>
      </c>
      <c r="B1106" s="2" t="s">
        <v>5867</v>
      </c>
      <c r="C1106" s="2" t="s">
        <v>5909</v>
      </c>
      <c r="D1106" s="2" t="s">
        <v>134</v>
      </c>
      <c r="E1106" s="2" t="s">
        <v>423</v>
      </c>
      <c r="F1106" s="2" t="s">
        <v>424</v>
      </c>
      <c r="G1106" s="2" t="s">
        <v>425</v>
      </c>
      <c r="H1106" s="2" t="s">
        <v>426</v>
      </c>
      <c r="I1106" s="2" t="s">
        <v>74</v>
      </c>
      <c r="J1106" s="2" t="n">
        <v>-6.244</v>
      </c>
      <c r="K1106" s="2" t="n">
        <v>106.8</v>
      </c>
      <c r="L1106" s="2" t="s">
        <v>59</v>
      </c>
      <c r="M1106" s="2" t="s">
        <v>60</v>
      </c>
      <c r="N1106" s="2"/>
      <c r="O1106" s="2" t="s">
        <v>5910</v>
      </c>
      <c r="P1106" s="2"/>
      <c r="Q1106" s="2" t="s">
        <v>62</v>
      </c>
      <c r="R1106" s="2" t="n">
        <v>0.7</v>
      </c>
      <c r="S1106" s="2" t="s">
        <v>5908</v>
      </c>
      <c r="T1106" s="2" t="s">
        <v>5902</v>
      </c>
      <c r="U1106" s="2" t="s">
        <v>3792</v>
      </c>
      <c r="V1106" s="2" t="s">
        <v>3793</v>
      </c>
      <c r="W1106" s="2" t="s">
        <v>776</v>
      </c>
      <c r="X1106" s="2" t="s">
        <v>507</v>
      </c>
    </row>
    <row r="1107" customFormat="false" ht="15" hidden="false" customHeight="false" outlineLevel="0" collapsed="false">
      <c r="A1107" s="2" t="n">
        <v>1330</v>
      </c>
      <c r="B1107" s="2" t="s">
        <v>5867</v>
      </c>
      <c r="C1107" s="2" t="s">
        <v>5911</v>
      </c>
      <c r="D1107" s="2" t="s">
        <v>134</v>
      </c>
      <c r="E1107" s="2" t="s">
        <v>5912</v>
      </c>
      <c r="F1107" s="2" t="s">
        <v>424</v>
      </c>
      <c r="G1107" s="2" t="s">
        <v>425</v>
      </c>
      <c r="H1107" s="2" t="s">
        <v>426</v>
      </c>
      <c r="I1107" s="2" t="s">
        <v>74</v>
      </c>
      <c r="J1107" s="2" t="n">
        <v>-6.2443</v>
      </c>
      <c r="K1107" s="2" t="n">
        <v>106.7982</v>
      </c>
      <c r="L1107" s="2" t="s">
        <v>124</v>
      </c>
      <c r="M1107" s="2" t="s">
        <v>60</v>
      </c>
      <c r="N1107" s="2"/>
      <c r="O1107" s="2" t="s">
        <v>5913</v>
      </c>
      <c r="P1107" s="2"/>
      <c r="Q1107" s="2" t="s">
        <v>62</v>
      </c>
      <c r="R1107" s="2" t="n">
        <v>0.7</v>
      </c>
      <c r="S1107" s="2" t="s">
        <v>5908</v>
      </c>
      <c r="T1107" s="2" t="s">
        <v>5902</v>
      </c>
      <c r="U1107" s="2" t="s">
        <v>3792</v>
      </c>
      <c r="V1107" s="2" t="s">
        <v>3793</v>
      </c>
      <c r="W1107" s="2" t="s">
        <v>776</v>
      </c>
      <c r="X1107" s="2" t="s">
        <v>507</v>
      </c>
    </row>
    <row r="1108" customFormat="false" ht="15" hidden="false" customHeight="false" outlineLevel="0" collapsed="false">
      <c r="A1108" s="2" t="n">
        <v>1334</v>
      </c>
      <c r="B1108" s="2" t="s">
        <v>5867</v>
      </c>
      <c r="C1108" s="2" t="s">
        <v>5914</v>
      </c>
      <c r="D1108" s="2" t="s">
        <v>351</v>
      </c>
      <c r="E1108" s="2" t="s">
        <v>5915</v>
      </c>
      <c r="F1108" s="2" t="s">
        <v>5916</v>
      </c>
      <c r="G1108" s="2" t="s">
        <v>5853</v>
      </c>
      <c r="H1108" s="2" t="s">
        <v>426</v>
      </c>
      <c r="I1108" s="2" t="s">
        <v>74</v>
      </c>
      <c r="J1108" s="2" t="n">
        <v>-6.209</v>
      </c>
      <c r="K1108" s="2" t="n">
        <v>106.842</v>
      </c>
      <c r="L1108" s="2" t="s">
        <v>59</v>
      </c>
      <c r="M1108" s="2" t="s">
        <v>60</v>
      </c>
      <c r="N1108" s="2"/>
      <c r="O1108" s="2" t="s">
        <v>5917</v>
      </c>
      <c r="P1108" s="2"/>
      <c r="Q1108" s="2" t="s">
        <v>62</v>
      </c>
      <c r="R1108" s="2" t="n">
        <v>0.6</v>
      </c>
      <c r="S1108" s="2" t="s">
        <v>5918</v>
      </c>
      <c r="T1108" s="2" t="s">
        <v>1421</v>
      </c>
      <c r="U1108" s="2" t="s">
        <v>3822</v>
      </c>
      <c r="V1108" s="2" t="s">
        <v>745</v>
      </c>
      <c r="W1108" s="2" t="s">
        <v>3823</v>
      </c>
      <c r="X1108" s="2" t="s">
        <v>507</v>
      </c>
    </row>
    <row r="1109" customFormat="false" ht="15" hidden="false" customHeight="false" outlineLevel="0" collapsed="false">
      <c r="A1109" s="2" t="n">
        <v>1345</v>
      </c>
      <c r="B1109" s="2" t="s">
        <v>5867</v>
      </c>
      <c r="C1109" s="2" t="s">
        <v>5919</v>
      </c>
      <c r="D1109" s="2" t="s">
        <v>53</v>
      </c>
      <c r="E1109" s="2" t="s">
        <v>830</v>
      </c>
      <c r="F1109" s="2"/>
      <c r="G1109" s="2"/>
      <c r="H1109" s="2"/>
      <c r="I1109" s="2" t="s">
        <v>74</v>
      </c>
      <c r="J1109" s="2" t="n">
        <v>-6.2</v>
      </c>
      <c r="K1109" s="2" t="n">
        <v>106.845</v>
      </c>
      <c r="L1109" s="2" t="s">
        <v>239</v>
      </c>
      <c r="M1109" s="2" t="s">
        <v>340</v>
      </c>
      <c r="N1109" s="2"/>
      <c r="O1109" s="2" t="s">
        <v>5920</v>
      </c>
      <c r="P1109" s="2"/>
      <c r="Q1109" s="2" t="s">
        <v>62</v>
      </c>
      <c r="R1109" s="2" t="n">
        <v>0.7</v>
      </c>
      <c r="S1109" s="2" t="s">
        <v>5921</v>
      </c>
      <c r="T1109" s="2" t="s">
        <v>176</v>
      </c>
      <c r="U1109" s="2" t="s">
        <v>3957</v>
      </c>
      <c r="V1109" s="2" t="s">
        <v>158</v>
      </c>
      <c r="W1109" s="2" t="s">
        <v>3194</v>
      </c>
      <c r="X1109" s="2" t="s">
        <v>68</v>
      </c>
    </row>
    <row r="1110" customFormat="false" ht="15" hidden="false" customHeight="false" outlineLevel="0" collapsed="false">
      <c r="A1110" s="2" t="n">
        <v>1347</v>
      </c>
      <c r="B1110" s="2" t="s">
        <v>5867</v>
      </c>
      <c r="C1110" s="2" t="s">
        <v>5922</v>
      </c>
      <c r="D1110" s="2" t="s">
        <v>53</v>
      </c>
      <c r="E1110" s="2" t="s">
        <v>5923</v>
      </c>
      <c r="F1110" s="2" t="s">
        <v>526</v>
      </c>
      <c r="G1110" s="2" t="s">
        <v>80</v>
      </c>
      <c r="H1110" s="2" t="s">
        <v>73</v>
      </c>
      <c r="I1110" s="2" t="s">
        <v>74</v>
      </c>
      <c r="J1110" s="2" t="n">
        <v>-6.185</v>
      </c>
      <c r="K1110" s="2" t="n">
        <v>106.826</v>
      </c>
      <c r="L1110" s="2" t="s">
        <v>59</v>
      </c>
      <c r="M1110" s="2" t="s">
        <v>60</v>
      </c>
      <c r="N1110" s="2"/>
      <c r="O1110" s="2" t="s">
        <v>5924</v>
      </c>
      <c r="P1110" s="2"/>
      <c r="Q1110" s="2" t="s">
        <v>62</v>
      </c>
      <c r="R1110" s="2" t="n">
        <v>0.7</v>
      </c>
      <c r="S1110" s="2" t="s">
        <v>5925</v>
      </c>
      <c r="T1110" s="2" t="s">
        <v>1168</v>
      </c>
      <c r="U1110" s="2" t="s">
        <v>3974</v>
      </c>
      <c r="V1110" s="2" t="s">
        <v>178</v>
      </c>
      <c r="W1110" s="2" t="s">
        <v>190</v>
      </c>
      <c r="X1110" s="2" t="s">
        <v>507</v>
      </c>
    </row>
    <row r="1111" customFormat="false" ht="15" hidden="false" customHeight="false" outlineLevel="0" collapsed="false">
      <c r="A1111" s="2" t="n">
        <v>1347</v>
      </c>
      <c r="B1111" s="2" t="s">
        <v>5867</v>
      </c>
      <c r="C1111" s="2" t="s">
        <v>5926</v>
      </c>
      <c r="D1111" s="2" t="s">
        <v>53</v>
      </c>
      <c r="E1111" s="2" t="s">
        <v>5927</v>
      </c>
      <c r="F1111" s="2"/>
      <c r="G1111" s="2" t="s">
        <v>80</v>
      </c>
      <c r="H1111" s="2" t="s">
        <v>73</v>
      </c>
      <c r="I1111" s="2" t="s">
        <v>74</v>
      </c>
      <c r="J1111" s="2" t="n">
        <v>-6.196</v>
      </c>
      <c r="K1111" s="2" t="n">
        <v>106.838</v>
      </c>
      <c r="L1111" s="2" t="s">
        <v>84</v>
      </c>
      <c r="M1111" s="2" t="s">
        <v>60</v>
      </c>
      <c r="N1111" s="2"/>
      <c r="O1111" s="2" t="s">
        <v>5928</v>
      </c>
      <c r="P1111" s="2"/>
      <c r="Q1111" s="2" t="s">
        <v>62</v>
      </c>
      <c r="R1111" s="2" t="n">
        <v>0.7</v>
      </c>
      <c r="S1111" s="2" t="s">
        <v>5925</v>
      </c>
      <c r="T1111" s="2" t="s">
        <v>1168</v>
      </c>
      <c r="U1111" s="2" t="s">
        <v>3974</v>
      </c>
      <c r="V1111" s="2" t="s">
        <v>178</v>
      </c>
      <c r="W1111" s="2" t="s">
        <v>190</v>
      </c>
      <c r="X1111" s="2" t="s">
        <v>507</v>
      </c>
    </row>
    <row r="1112" customFormat="false" ht="15" hidden="false" customHeight="false" outlineLevel="0" collapsed="false">
      <c r="A1112" s="2" t="n">
        <v>1347</v>
      </c>
      <c r="B1112" s="2" t="s">
        <v>5867</v>
      </c>
      <c r="C1112" s="2" t="s">
        <v>5929</v>
      </c>
      <c r="D1112" s="2" t="s">
        <v>53</v>
      </c>
      <c r="E1112" s="2" t="s">
        <v>5927</v>
      </c>
      <c r="F1112" s="2"/>
      <c r="G1112" s="2" t="s">
        <v>80</v>
      </c>
      <c r="H1112" s="2" t="s">
        <v>73</v>
      </c>
      <c r="I1112" s="2" t="s">
        <v>74</v>
      </c>
      <c r="J1112" s="2" t="n">
        <v>-6.196</v>
      </c>
      <c r="K1112" s="2" t="n">
        <v>106.838</v>
      </c>
      <c r="L1112" s="2" t="s">
        <v>84</v>
      </c>
      <c r="M1112" s="2" t="s">
        <v>60</v>
      </c>
      <c r="N1112" s="2"/>
      <c r="O1112" s="2" t="s">
        <v>5930</v>
      </c>
      <c r="P1112" s="2"/>
      <c r="Q1112" s="2" t="s">
        <v>62</v>
      </c>
      <c r="R1112" s="2" t="n">
        <v>0.7</v>
      </c>
      <c r="S1112" s="2" t="s">
        <v>5925</v>
      </c>
      <c r="T1112" s="2" t="s">
        <v>1168</v>
      </c>
      <c r="U1112" s="2" t="s">
        <v>3974</v>
      </c>
      <c r="V1112" s="2" t="s">
        <v>178</v>
      </c>
      <c r="W1112" s="2" t="s">
        <v>190</v>
      </c>
      <c r="X1112" s="2" t="s">
        <v>507</v>
      </c>
    </row>
    <row r="1113" customFormat="false" ht="15" hidden="false" customHeight="false" outlineLevel="0" collapsed="false">
      <c r="A1113" s="2" t="n">
        <v>1348</v>
      </c>
      <c r="B1113" s="2" t="s">
        <v>5867</v>
      </c>
      <c r="C1113" s="2" t="s">
        <v>5931</v>
      </c>
      <c r="D1113" s="2" t="s">
        <v>53</v>
      </c>
      <c r="E1113" s="2" t="s">
        <v>5932</v>
      </c>
      <c r="F1113" s="2" t="s">
        <v>526</v>
      </c>
      <c r="G1113" s="2" t="s">
        <v>80</v>
      </c>
      <c r="H1113" s="2" t="s">
        <v>73</v>
      </c>
      <c r="I1113" s="2" t="s">
        <v>74</v>
      </c>
      <c r="J1113" s="2" t="n">
        <v>-6.185</v>
      </c>
      <c r="K1113" s="2" t="n">
        <v>106.826</v>
      </c>
      <c r="L1113" s="2" t="s">
        <v>59</v>
      </c>
      <c r="M1113" s="2" t="s">
        <v>60</v>
      </c>
      <c r="N1113" s="2"/>
      <c r="O1113" s="2" t="s">
        <v>5933</v>
      </c>
      <c r="P1113" s="2"/>
      <c r="Q1113" s="2" t="s">
        <v>62</v>
      </c>
      <c r="R1113" s="2" t="n">
        <v>0.8</v>
      </c>
      <c r="S1113" s="2" t="s">
        <v>5934</v>
      </c>
      <c r="T1113" s="2" t="s">
        <v>64</v>
      </c>
      <c r="U1113" s="2" t="s">
        <v>3979</v>
      </c>
      <c r="V1113" s="2" t="s">
        <v>158</v>
      </c>
      <c r="W1113" s="2" t="s">
        <v>2037</v>
      </c>
      <c r="X1113" s="2" t="s">
        <v>507</v>
      </c>
    </row>
    <row r="1114" customFormat="false" ht="15" hidden="false" customHeight="false" outlineLevel="0" collapsed="false">
      <c r="A1114" s="2" t="n">
        <v>1348</v>
      </c>
      <c r="B1114" s="2" t="s">
        <v>5867</v>
      </c>
      <c r="C1114" s="2" t="s">
        <v>5935</v>
      </c>
      <c r="D1114" s="2" t="s">
        <v>53</v>
      </c>
      <c r="E1114" s="2" t="s">
        <v>5936</v>
      </c>
      <c r="F1114" s="2" t="s">
        <v>526</v>
      </c>
      <c r="G1114" s="2" t="s">
        <v>80</v>
      </c>
      <c r="H1114" s="2" t="s">
        <v>73</v>
      </c>
      <c r="I1114" s="2" t="s">
        <v>74</v>
      </c>
      <c r="J1114" s="2" t="n">
        <v>-6.185</v>
      </c>
      <c r="K1114" s="2" t="n">
        <v>106.826</v>
      </c>
      <c r="L1114" s="2" t="s">
        <v>59</v>
      </c>
      <c r="M1114" s="2" t="s">
        <v>60</v>
      </c>
      <c r="N1114" s="2"/>
      <c r="O1114" s="2" t="s">
        <v>5937</v>
      </c>
      <c r="P1114" s="2"/>
      <c r="Q1114" s="2" t="s">
        <v>62</v>
      </c>
      <c r="R1114" s="2" t="n">
        <v>0.75</v>
      </c>
      <c r="S1114" s="2" t="s">
        <v>5934</v>
      </c>
      <c r="T1114" s="2" t="s">
        <v>64</v>
      </c>
      <c r="U1114" s="2" t="s">
        <v>3979</v>
      </c>
      <c r="V1114" s="2" t="s">
        <v>158</v>
      </c>
      <c r="W1114" s="2" t="s">
        <v>2037</v>
      </c>
      <c r="X1114" s="2" t="s">
        <v>507</v>
      </c>
    </row>
    <row r="1115" customFormat="false" ht="15" hidden="false" customHeight="false" outlineLevel="0" collapsed="false">
      <c r="A1115" s="2" t="n">
        <v>1349</v>
      </c>
      <c r="B1115" s="2" t="s">
        <v>5867</v>
      </c>
      <c r="C1115" s="2" t="s">
        <v>5938</v>
      </c>
      <c r="D1115" s="2" t="s">
        <v>53</v>
      </c>
      <c r="E1115" s="2" t="s">
        <v>3288</v>
      </c>
      <c r="F1115" s="2"/>
      <c r="G1115" s="2"/>
      <c r="H1115" s="2" t="s">
        <v>426</v>
      </c>
      <c r="I1115" s="2" t="s">
        <v>74</v>
      </c>
      <c r="J1115" s="2" t="n">
        <v>-6.261</v>
      </c>
      <c r="K1115" s="2" t="n">
        <v>106.81</v>
      </c>
      <c r="L1115" s="2" t="s">
        <v>101</v>
      </c>
      <c r="M1115" s="2" t="s">
        <v>60</v>
      </c>
      <c r="N1115" s="2"/>
      <c r="O1115" s="2" t="s">
        <v>5939</v>
      </c>
      <c r="P1115" s="2"/>
      <c r="Q1115" s="2" t="s">
        <v>62</v>
      </c>
      <c r="R1115" s="2" t="n">
        <v>0.7</v>
      </c>
      <c r="S1115" s="2" t="s">
        <v>5940</v>
      </c>
      <c r="T1115" s="2" t="s">
        <v>176</v>
      </c>
      <c r="U1115" s="2" t="s">
        <v>3988</v>
      </c>
      <c r="V1115" s="2" t="s">
        <v>178</v>
      </c>
      <c r="W1115" s="2" t="s">
        <v>512</v>
      </c>
      <c r="X1115" s="2" t="s">
        <v>160</v>
      </c>
    </row>
    <row r="1116" customFormat="false" ht="15" hidden="false" customHeight="false" outlineLevel="0" collapsed="false">
      <c r="A1116" s="2" t="n">
        <v>1349</v>
      </c>
      <c r="B1116" s="2" t="s">
        <v>5867</v>
      </c>
      <c r="C1116" s="2" t="s">
        <v>5941</v>
      </c>
      <c r="D1116" s="2" t="s">
        <v>53</v>
      </c>
      <c r="E1116" s="2" t="s">
        <v>3288</v>
      </c>
      <c r="F1116" s="2"/>
      <c r="G1116" s="2"/>
      <c r="H1116" s="2" t="s">
        <v>426</v>
      </c>
      <c r="I1116" s="2" t="s">
        <v>74</v>
      </c>
      <c r="J1116" s="2" t="n">
        <v>-6.261</v>
      </c>
      <c r="K1116" s="2" t="n">
        <v>106.81</v>
      </c>
      <c r="L1116" s="2" t="s">
        <v>101</v>
      </c>
      <c r="M1116" s="2" t="s">
        <v>60</v>
      </c>
      <c r="N1116" s="2"/>
      <c r="O1116" s="2" t="s">
        <v>5942</v>
      </c>
      <c r="P1116" s="2"/>
      <c r="Q1116" s="2" t="s">
        <v>62</v>
      </c>
      <c r="R1116" s="2" t="n">
        <v>0.7</v>
      </c>
      <c r="S1116" s="2" t="s">
        <v>5940</v>
      </c>
      <c r="T1116" s="2" t="s">
        <v>176</v>
      </c>
      <c r="U1116" s="2" t="s">
        <v>3988</v>
      </c>
      <c r="V1116" s="2" t="s">
        <v>178</v>
      </c>
      <c r="W1116" s="2" t="s">
        <v>512</v>
      </c>
      <c r="X1116" s="2" t="s">
        <v>160</v>
      </c>
    </row>
    <row r="1117" customFormat="false" ht="15" hidden="false" customHeight="false" outlineLevel="0" collapsed="false">
      <c r="A1117" s="2" t="n">
        <v>1350</v>
      </c>
      <c r="B1117" s="2" t="s">
        <v>5943</v>
      </c>
      <c r="C1117" s="2" t="s">
        <v>5944</v>
      </c>
      <c r="D1117" s="2" t="s">
        <v>53</v>
      </c>
      <c r="E1117" s="2" t="s">
        <v>5945</v>
      </c>
      <c r="F1117" s="2" t="s">
        <v>79</v>
      </c>
      <c r="G1117" s="2" t="s">
        <v>80</v>
      </c>
      <c r="H1117" s="2" t="s">
        <v>73</v>
      </c>
      <c r="I1117" s="2" t="s">
        <v>74</v>
      </c>
      <c r="J1117" s="2" t="n">
        <v>-6.1934</v>
      </c>
      <c r="K1117" s="2" t="n">
        <v>106.8219</v>
      </c>
      <c r="L1117" s="2" t="s">
        <v>124</v>
      </c>
      <c r="M1117" s="2" t="s">
        <v>60</v>
      </c>
      <c r="N1117" s="2"/>
      <c r="O1117" s="2" t="s">
        <v>5946</v>
      </c>
      <c r="P1117" s="2"/>
      <c r="Q1117" s="2" t="s">
        <v>62</v>
      </c>
      <c r="R1117" s="2" t="n">
        <v>0.75</v>
      </c>
      <c r="S1117" s="2" t="s">
        <v>5947</v>
      </c>
      <c r="T1117" s="2" t="s">
        <v>176</v>
      </c>
      <c r="U1117" s="2" t="s">
        <v>3997</v>
      </c>
      <c r="V1117" s="2" t="s">
        <v>1137</v>
      </c>
      <c r="W1117" s="2" t="s">
        <v>3469</v>
      </c>
      <c r="X1117" s="2" t="s">
        <v>160</v>
      </c>
    </row>
    <row r="1118" customFormat="false" ht="15" hidden="false" customHeight="false" outlineLevel="0" collapsed="false">
      <c r="A1118" s="2" t="n">
        <v>1350</v>
      </c>
      <c r="B1118" s="2" t="s">
        <v>5943</v>
      </c>
      <c r="C1118" s="2" t="s">
        <v>5948</v>
      </c>
      <c r="D1118" s="2" t="s">
        <v>53</v>
      </c>
      <c r="E1118" s="2" t="s">
        <v>5949</v>
      </c>
      <c r="F1118" s="2" t="s">
        <v>5950</v>
      </c>
      <c r="G1118" s="2" t="s">
        <v>5853</v>
      </c>
      <c r="H1118" s="2" t="s">
        <v>426</v>
      </c>
      <c r="I1118" s="2" t="s">
        <v>74</v>
      </c>
      <c r="J1118" s="2" t="n">
        <v>-6.23</v>
      </c>
      <c r="K1118" s="2" t="n">
        <v>106.828</v>
      </c>
      <c r="L1118" s="2" t="s">
        <v>59</v>
      </c>
      <c r="M1118" s="2" t="s">
        <v>60</v>
      </c>
      <c r="N1118" s="2"/>
      <c r="O1118" s="2" t="s">
        <v>5951</v>
      </c>
      <c r="P1118" s="2"/>
      <c r="Q1118" s="2" t="s">
        <v>62</v>
      </c>
      <c r="R1118" s="2" t="n">
        <v>0.7</v>
      </c>
      <c r="S1118" s="2" t="s">
        <v>5947</v>
      </c>
      <c r="T1118" s="2" t="s">
        <v>176</v>
      </c>
      <c r="U1118" s="2" t="s">
        <v>3997</v>
      </c>
      <c r="V1118" s="2" t="s">
        <v>1137</v>
      </c>
      <c r="W1118" s="2" t="s">
        <v>3469</v>
      </c>
      <c r="X1118" s="2" t="s">
        <v>160</v>
      </c>
    </row>
    <row r="1119" customFormat="false" ht="15" hidden="false" customHeight="false" outlineLevel="0" collapsed="false">
      <c r="A1119" s="2" t="n">
        <v>1350</v>
      </c>
      <c r="B1119" s="2" t="s">
        <v>5943</v>
      </c>
      <c r="C1119" s="2" t="s">
        <v>5952</v>
      </c>
      <c r="D1119" s="2" t="s">
        <v>53</v>
      </c>
      <c r="E1119" s="2" t="s">
        <v>830</v>
      </c>
      <c r="F1119" s="2"/>
      <c r="G1119" s="2"/>
      <c r="H1119" s="2"/>
      <c r="I1119" s="2" t="s">
        <v>74</v>
      </c>
      <c r="J1119" s="2" t="n">
        <v>-6.2</v>
      </c>
      <c r="K1119" s="2" t="n">
        <v>106.845</v>
      </c>
      <c r="L1119" s="2" t="s">
        <v>239</v>
      </c>
      <c r="M1119" s="2" t="s">
        <v>340</v>
      </c>
      <c r="N1119" s="2"/>
      <c r="O1119" s="2" t="s">
        <v>5953</v>
      </c>
      <c r="P1119" s="2"/>
      <c r="Q1119" s="2" t="s">
        <v>62</v>
      </c>
      <c r="R1119" s="2" t="n">
        <v>0.6</v>
      </c>
      <c r="S1119" s="2" t="s">
        <v>5947</v>
      </c>
      <c r="T1119" s="2" t="s">
        <v>176</v>
      </c>
      <c r="U1119" s="2" t="s">
        <v>3997</v>
      </c>
      <c r="V1119" s="2" t="s">
        <v>1137</v>
      </c>
      <c r="W1119" s="2" t="s">
        <v>3469</v>
      </c>
      <c r="X1119" s="2" t="s">
        <v>160</v>
      </c>
    </row>
    <row r="1120" customFormat="false" ht="15" hidden="false" customHeight="false" outlineLevel="0" collapsed="false">
      <c r="A1120" s="2" t="n">
        <v>1351</v>
      </c>
      <c r="B1120" s="2" t="s">
        <v>5943</v>
      </c>
      <c r="C1120" s="2" t="s">
        <v>5954</v>
      </c>
      <c r="D1120" s="2" t="s">
        <v>53</v>
      </c>
      <c r="E1120" s="2" t="s">
        <v>5955</v>
      </c>
      <c r="F1120" s="2" t="s">
        <v>3362</v>
      </c>
      <c r="G1120" s="2" t="s">
        <v>80</v>
      </c>
      <c r="H1120" s="2" t="s">
        <v>73</v>
      </c>
      <c r="I1120" s="2" t="s">
        <v>74</v>
      </c>
      <c r="J1120" s="2" t="n">
        <v>-6.195</v>
      </c>
      <c r="K1120" s="2" t="n">
        <v>106.841</v>
      </c>
      <c r="L1120" s="2" t="s">
        <v>59</v>
      </c>
      <c r="M1120" s="2" t="s">
        <v>60</v>
      </c>
      <c r="N1120" s="2"/>
      <c r="O1120" s="2" t="s">
        <v>5956</v>
      </c>
      <c r="P1120" s="2"/>
      <c r="Q1120" s="2" t="s">
        <v>62</v>
      </c>
      <c r="R1120" s="2" t="n">
        <v>0.8</v>
      </c>
      <c r="S1120" s="2" t="s">
        <v>5957</v>
      </c>
      <c r="T1120" s="2" t="s">
        <v>64</v>
      </c>
      <c r="U1120" s="2" t="s">
        <v>4009</v>
      </c>
      <c r="V1120" s="2" t="s">
        <v>812</v>
      </c>
      <c r="W1120" s="2" t="s">
        <v>1324</v>
      </c>
      <c r="X1120" s="2" t="s">
        <v>507</v>
      </c>
    </row>
    <row r="1121" customFormat="false" ht="15" hidden="false" customHeight="false" outlineLevel="0" collapsed="false">
      <c r="A1121" s="2" t="n">
        <v>1351</v>
      </c>
      <c r="B1121" s="2" t="s">
        <v>5943</v>
      </c>
      <c r="C1121" s="2" t="s">
        <v>5958</v>
      </c>
      <c r="D1121" s="2" t="s">
        <v>53</v>
      </c>
      <c r="E1121" s="2" t="s">
        <v>3361</v>
      </c>
      <c r="F1121" s="2" t="s">
        <v>3362</v>
      </c>
      <c r="G1121" s="2" t="s">
        <v>80</v>
      </c>
      <c r="H1121" s="2" t="s">
        <v>73</v>
      </c>
      <c r="I1121" s="2" t="s">
        <v>74</v>
      </c>
      <c r="J1121" s="2" t="n">
        <v>-6.195</v>
      </c>
      <c r="K1121" s="2" t="n">
        <v>106.841</v>
      </c>
      <c r="L1121" s="2" t="s">
        <v>59</v>
      </c>
      <c r="M1121" s="2" t="s">
        <v>60</v>
      </c>
      <c r="N1121" s="2"/>
      <c r="O1121" s="2" t="s">
        <v>5959</v>
      </c>
      <c r="P1121" s="2"/>
      <c r="Q1121" s="2" t="s">
        <v>62</v>
      </c>
      <c r="R1121" s="2" t="n">
        <v>0.7</v>
      </c>
      <c r="S1121" s="2" t="s">
        <v>5957</v>
      </c>
      <c r="T1121" s="2" t="s">
        <v>64</v>
      </c>
      <c r="U1121" s="2" t="s">
        <v>4009</v>
      </c>
      <c r="V1121" s="2" t="s">
        <v>812</v>
      </c>
      <c r="W1121" s="2" t="s">
        <v>1324</v>
      </c>
      <c r="X1121" s="2" t="s">
        <v>507</v>
      </c>
    </row>
    <row r="1122" customFormat="false" ht="15" hidden="false" customHeight="false" outlineLevel="0" collapsed="false">
      <c r="A1122" s="2" t="n">
        <v>1352</v>
      </c>
      <c r="B1122" s="2" t="s">
        <v>5943</v>
      </c>
      <c r="C1122" s="2" t="s">
        <v>5958</v>
      </c>
      <c r="D1122" s="2" t="s">
        <v>53</v>
      </c>
      <c r="E1122" s="2" t="s">
        <v>1606</v>
      </c>
      <c r="F1122" s="2"/>
      <c r="G1122" s="2" t="s">
        <v>80</v>
      </c>
      <c r="H1122" s="2" t="s">
        <v>73</v>
      </c>
      <c r="I1122" s="2" t="s">
        <v>74</v>
      </c>
      <c r="J1122" s="2" t="n">
        <v>-6.196</v>
      </c>
      <c r="K1122" s="2" t="n">
        <v>106.838</v>
      </c>
      <c r="L1122" s="2" t="s">
        <v>84</v>
      </c>
      <c r="M1122" s="2" t="s">
        <v>60</v>
      </c>
      <c r="N1122" s="2"/>
      <c r="O1122" s="2" t="s">
        <v>5960</v>
      </c>
      <c r="P1122" s="2"/>
      <c r="Q1122" s="2" t="s">
        <v>62</v>
      </c>
      <c r="R1122" s="2" t="n">
        <v>0.8</v>
      </c>
      <c r="S1122" s="2" t="s">
        <v>5961</v>
      </c>
      <c r="T1122" s="2" t="s">
        <v>64</v>
      </c>
      <c r="U1122" s="2" t="s">
        <v>4013</v>
      </c>
      <c r="V1122" s="2" t="s">
        <v>4014</v>
      </c>
      <c r="W1122" s="2" t="s">
        <v>331</v>
      </c>
      <c r="X1122" s="2" t="s">
        <v>507</v>
      </c>
    </row>
    <row r="1123" customFormat="false" ht="15" hidden="false" customHeight="false" outlineLevel="0" collapsed="false">
      <c r="A1123" s="2" t="n">
        <v>1352</v>
      </c>
      <c r="B1123" s="2" t="s">
        <v>5943</v>
      </c>
      <c r="C1123" s="2" t="s">
        <v>5962</v>
      </c>
      <c r="D1123" s="2" t="s">
        <v>53</v>
      </c>
      <c r="E1123" s="2" t="s">
        <v>1539</v>
      </c>
      <c r="F1123" s="2"/>
      <c r="G1123" s="2"/>
      <c r="H1123" s="2" t="s">
        <v>73</v>
      </c>
      <c r="I1123" s="2" t="s">
        <v>74</v>
      </c>
      <c r="J1123" s="2" t="n">
        <v>-6.182</v>
      </c>
      <c r="K1123" s="2" t="n">
        <v>106.834</v>
      </c>
      <c r="L1123" s="2" t="s">
        <v>101</v>
      </c>
      <c r="M1123" s="2" t="s">
        <v>60</v>
      </c>
      <c r="N1123" s="2"/>
      <c r="O1123" s="2" t="s">
        <v>5963</v>
      </c>
      <c r="P1123" s="2"/>
      <c r="Q1123" s="2" t="s">
        <v>62</v>
      </c>
      <c r="R1123" s="2" t="n">
        <v>0.75</v>
      </c>
      <c r="S1123" s="2" t="s">
        <v>5961</v>
      </c>
      <c r="T1123" s="2" t="s">
        <v>64</v>
      </c>
      <c r="U1123" s="2" t="s">
        <v>4013</v>
      </c>
      <c r="V1123" s="2" t="s">
        <v>4014</v>
      </c>
      <c r="W1123" s="2" t="s">
        <v>331</v>
      </c>
      <c r="X1123" s="2" t="s">
        <v>507</v>
      </c>
    </row>
    <row r="1124" customFormat="false" ht="15" hidden="false" customHeight="false" outlineLevel="0" collapsed="false">
      <c r="A1124" s="2" t="n">
        <v>1352</v>
      </c>
      <c r="B1124" s="2" t="s">
        <v>5943</v>
      </c>
      <c r="C1124" s="2" t="s">
        <v>5964</v>
      </c>
      <c r="D1124" s="2" t="s">
        <v>53</v>
      </c>
      <c r="E1124" s="2" t="s">
        <v>5965</v>
      </c>
      <c r="F1124" s="2"/>
      <c r="G1124" s="2" t="s">
        <v>1417</v>
      </c>
      <c r="H1124" s="2" t="s">
        <v>716</v>
      </c>
      <c r="I1124" s="2" t="s">
        <v>74</v>
      </c>
      <c r="J1124" s="2" t="n">
        <v>-6.14</v>
      </c>
      <c r="K1124" s="2" t="n">
        <v>106.808</v>
      </c>
      <c r="L1124" s="2" t="s">
        <v>84</v>
      </c>
      <c r="M1124" s="2" t="s">
        <v>60</v>
      </c>
      <c r="N1124" s="2"/>
      <c r="O1124" s="2" t="s">
        <v>5966</v>
      </c>
      <c r="P1124" s="2"/>
      <c r="Q1124" s="2" t="s">
        <v>62</v>
      </c>
      <c r="R1124" s="2" t="n">
        <v>0.7</v>
      </c>
      <c r="S1124" s="2" t="s">
        <v>5961</v>
      </c>
      <c r="T1124" s="2" t="s">
        <v>64</v>
      </c>
      <c r="U1124" s="2" t="s">
        <v>4013</v>
      </c>
      <c r="V1124" s="2" t="s">
        <v>4014</v>
      </c>
      <c r="W1124" s="2" t="s">
        <v>331</v>
      </c>
      <c r="X1124" s="2" t="s">
        <v>507</v>
      </c>
    </row>
    <row r="1125" customFormat="false" ht="15" hidden="false" customHeight="false" outlineLevel="0" collapsed="false">
      <c r="A1125" s="2" t="n">
        <v>1353</v>
      </c>
      <c r="B1125" s="2" t="s">
        <v>5943</v>
      </c>
      <c r="C1125" s="2" t="s">
        <v>5967</v>
      </c>
      <c r="D1125" s="2" t="s">
        <v>53</v>
      </c>
      <c r="E1125" s="2" t="s">
        <v>5968</v>
      </c>
      <c r="F1125" s="2"/>
      <c r="G1125" s="2" t="s">
        <v>3295</v>
      </c>
      <c r="H1125" s="2" t="s">
        <v>73</v>
      </c>
      <c r="I1125" s="2" t="s">
        <v>74</v>
      </c>
      <c r="J1125" s="2" t="n">
        <v>-6.175</v>
      </c>
      <c r="K1125" s="2" t="n">
        <v>106.818</v>
      </c>
      <c r="L1125" s="2" t="s">
        <v>84</v>
      </c>
      <c r="M1125" s="2" t="s">
        <v>60</v>
      </c>
      <c r="N1125" s="2"/>
      <c r="O1125" s="2" t="s">
        <v>5969</v>
      </c>
      <c r="P1125" s="2"/>
      <c r="Q1125" s="2" t="s">
        <v>62</v>
      </c>
      <c r="R1125" s="2" t="n">
        <v>0.75</v>
      </c>
      <c r="S1125" s="2" t="s">
        <v>5970</v>
      </c>
      <c r="T1125" s="2" t="s">
        <v>64</v>
      </c>
      <c r="U1125" s="2" t="s">
        <v>4021</v>
      </c>
      <c r="V1125" s="2" t="s">
        <v>4022</v>
      </c>
      <c r="W1125" s="2" t="s">
        <v>2939</v>
      </c>
      <c r="X1125" s="2" t="s">
        <v>507</v>
      </c>
    </row>
    <row r="1126" customFormat="false" ht="15" hidden="false" customHeight="false" outlineLevel="0" collapsed="false">
      <c r="A1126" s="2" t="n">
        <v>1353</v>
      </c>
      <c r="B1126" s="2" t="s">
        <v>5943</v>
      </c>
      <c r="C1126" s="2" t="s">
        <v>5971</v>
      </c>
      <c r="D1126" s="2" t="s">
        <v>53</v>
      </c>
      <c r="E1126" s="2" t="s">
        <v>649</v>
      </c>
      <c r="F1126" s="2"/>
      <c r="G1126" s="2" t="s">
        <v>640</v>
      </c>
      <c r="H1126" s="2" t="s">
        <v>317</v>
      </c>
      <c r="I1126" s="2" t="s">
        <v>74</v>
      </c>
      <c r="J1126" s="2" t="n">
        <v>-6.125</v>
      </c>
      <c r="K1126" s="2" t="n">
        <v>106.78</v>
      </c>
      <c r="L1126" s="2" t="s">
        <v>84</v>
      </c>
      <c r="M1126" s="2" t="s">
        <v>60</v>
      </c>
      <c r="N1126" s="2" t="s">
        <v>5972</v>
      </c>
      <c r="O1126" s="2" t="s">
        <v>5973</v>
      </c>
      <c r="P1126" s="2"/>
      <c r="Q1126" s="2" t="s">
        <v>62</v>
      </c>
      <c r="R1126" s="2" t="n">
        <v>0.7</v>
      </c>
      <c r="S1126" s="2" t="s">
        <v>5970</v>
      </c>
      <c r="T1126" s="2" t="s">
        <v>64</v>
      </c>
      <c r="U1126" s="2" t="s">
        <v>4021</v>
      </c>
      <c r="V1126" s="2" t="s">
        <v>4022</v>
      </c>
      <c r="W1126" s="2" t="s">
        <v>2939</v>
      </c>
      <c r="X1126" s="2" t="s">
        <v>507</v>
      </c>
    </row>
    <row r="1127" customFormat="false" ht="15" hidden="false" customHeight="false" outlineLevel="0" collapsed="false">
      <c r="A1127" s="2" t="n">
        <v>1353</v>
      </c>
      <c r="B1127" s="2" t="s">
        <v>5943</v>
      </c>
      <c r="C1127" s="2" t="s">
        <v>5974</v>
      </c>
      <c r="D1127" s="2" t="s">
        <v>53</v>
      </c>
      <c r="E1127" s="2" t="s">
        <v>290</v>
      </c>
      <c r="F1127" s="2"/>
      <c r="G1127" s="2"/>
      <c r="H1127" s="2" t="s">
        <v>279</v>
      </c>
      <c r="I1127" s="2" t="s">
        <v>58</v>
      </c>
      <c r="J1127" s="2" t="n">
        <v>-6.402</v>
      </c>
      <c r="K1127" s="2" t="n">
        <v>106.794</v>
      </c>
      <c r="L1127" s="2" t="s">
        <v>101</v>
      </c>
      <c r="M1127" s="2" t="s">
        <v>60</v>
      </c>
      <c r="N1127" s="2"/>
      <c r="O1127" s="2" t="s">
        <v>5975</v>
      </c>
      <c r="P1127" s="2"/>
      <c r="Q1127" s="2" t="s">
        <v>62</v>
      </c>
      <c r="R1127" s="2" t="n">
        <v>0.7</v>
      </c>
      <c r="S1127" s="2" t="s">
        <v>5970</v>
      </c>
      <c r="T1127" s="2" t="s">
        <v>64</v>
      </c>
      <c r="U1127" s="2" t="s">
        <v>4021</v>
      </c>
      <c r="V1127" s="2" t="s">
        <v>4022</v>
      </c>
      <c r="W1127" s="2" t="s">
        <v>2939</v>
      </c>
      <c r="X1127" s="2" t="s">
        <v>507</v>
      </c>
    </row>
    <row r="1128" customFormat="false" ht="15" hidden="false" customHeight="false" outlineLevel="0" collapsed="false">
      <c r="A1128" s="2" t="n">
        <v>1354</v>
      </c>
      <c r="B1128" s="2" t="s">
        <v>5943</v>
      </c>
      <c r="C1128" s="2" t="s">
        <v>5931</v>
      </c>
      <c r="D1128" s="2" t="s">
        <v>53</v>
      </c>
      <c r="E1128" s="2" t="s">
        <v>5976</v>
      </c>
      <c r="F1128" s="2" t="s">
        <v>526</v>
      </c>
      <c r="G1128" s="2" t="s">
        <v>80</v>
      </c>
      <c r="H1128" s="2" t="s">
        <v>73</v>
      </c>
      <c r="I1128" s="2" t="s">
        <v>74</v>
      </c>
      <c r="J1128" s="2" t="n">
        <v>-6.185</v>
      </c>
      <c r="K1128" s="2" t="n">
        <v>106.826</v>
      </c>
      <c r="L1128" s="2" t="s">
        <v>59</v>
      </c>
      <c r="M1128" s="2" t="s">
        <v>60</v>
      </c>
      <c r="N1128" s="2"/>
      <c r="O1128" s="2" t="s">
        <v>5977</v>
      </c>
      <c r="P1128" s="2"/>
      <c r="Q1128" s="2" t="s">
        <v>62</v>
      </c>
      <c r="R1128" s="2" t="n">
        <v>0.8</v>
      </c>
      <c r="S1128" s="2" t="s">
        <v>5978</v>
      </c>
      <c r="T1128" s="2" t="s">
        <v>64</v>
      </c>
      <c r="U1128" s="2" t="s">
        <v>4037</v>
      </c>
      <c r="V1128" s="2" t="s">
        <v>178</v>
      </c>
      <c r="W1128" s="2" t="s">
        <v>1774</v>
      </c>
      <c r="X1128" s="2" t="s">
        <v>507</v>
      </c>
    </row>
    <row r="1129" customFormat="false" ht="15" hidden="false" customHeight="false" outlineLevel="0" collapsed="false">
      <c r="A1129" s="2" t="n">
        <v>1354</v>
      </c>
      <c r="B1129" s="2" t="s">
        <v>5943</v>
      </c>
      <c r="C1129" s="2" t="s">
        <v>5979</v>
      </c>
      <c r="D1129" s="2" t="s">
        <v>53</v>
      </c>
      <c r="E1129" s="2" t="s">
        <v>5980</v>
      </c>
      <c r="F1129" s="2" t="s">
        <v>71</v>
      </c>
      <c r="G1129" s="2" t="s">
        <v>72</v>
      </c>
      <c r="H1129" s="2" t="s">
        <v>73</v>
      </c>
      <c r="I1129" s="2" t="s">
        <v>74</v>
      </c>
      <c r="J1129" s="2" t="n">
        <v>-6.211</v>
      </c>
      <c r="K1129" s="2" t="n">
        <v>106.812</v>
      </c>
      <c r="L1129" s="2" t="s">
        <v>59</v>
      </c>
      <c r="M1129" s="2" t="s">
        <v>60</v>
      </c>
      <c r="N1129" s="2"/>
      <c r="O1129" s="2" t="s">
        <v>5981</v>
      </c>
      <c r="P1129" s="2"/>
      <c r="Q1129" s="2" t="s">
        <v>62</v>
      </c>
      <c r="R1129" s="2" t="n">
        <v>0.8</v>
      </c>
      <c r="S1129" s="2" t="s">
        <v>5978</v>
      </c>
      <c r="T1129" s="2" t="s">
        <v>64</v>
      </c>
      <c r="U1129" s="2" t="s">
        <v>4037</v>
      </c>
      <c r="V1129" s="2" t="s">
        <v>178</v>
      </c>
      <c r="W1129" s="2" t="s">
        <v>1774</v>
      </c>
      <c r="X1129" s="2" t="s">
        <v>507</v>
      </c>
    </row>
    <row r="1130" customFormat="false" ht="15" hidden="false" customHeight="false" outlineLevel="0" collapsed="false">
      <c r="A1130" s="2" t="n">
        <v>1354</v>
      </c>
      <c r="B1130" s="2" t="s">
        <v>5943</v>
      </c>
      <c r="C1130" s="2" t="s">
        <v>5982</v>
      </c>
      <c r="D1130" s="2" t="s">
        <v>53</v>
      </c>
      <c r="E1130" s="2" t="s">
        <v>830</v>
      </c>
      <c r="F1130" s="2"/>
      <c r="G1130" s="2"/>
      <c r="H1130" s="2"/>
      <c r="I1130" s="2" t="s">
        <v>74</v>
      </c>
      <c r="J1130" s="2" t="n">
        <v>-6.2</v>
      </c>
      <c r="K1130" s="2" t="n">
        <v>106.845</v>
      </c>
      <c r="L1130" s="2" t="s">
        <v>239</v>
      </c>
      <c r="M1130" s="2" t="s">
        <v>340</v>
      </c>
      <c r="N1130" s="2"/>
      <c r="O1130" s="2" t="s">
        <v>5983</v>
      </c>
      <c r="P1130" s="2"/>
      <c r="Q1130" s="2" t="s">
        <v>62</v>
      </c>
      <c r="R1130" s="2" t="n">
        <v>0.7</v>
      </c>
      <c r="S1130" s="2" t="s">
        <v>5978</v>
      </c>
      <c r="T1130" s="2" t="s">
        <v>64</v>
      </c>
      <c r="U1130" s="2" t="s">
        <v>4037</v>
      </c>
      <c r="V1130" s="2" t="s">
        <v>178</v>
      </c>
      <c r="W1130" s="2" t="s">
        <v>1774</v>
      </c>
      <c r="X1130" s="2" t="s">
        <v>507</v>
      </c>
    </row>
    <row r="1131" customFormat="false" ht="15" hidden="false" customHeight="false" outlineLevel="0" collapsed="false">
      <c r="A1131" s="2" t="n">
        <v>1355</v>
      </c>
      <c r="B1131" s="2" t="s">
        <v>5943</v>
      </c>
      <c r="C1131" s="2" t="s">
        <v>5984</v>
      </c>
      <c r="D1131" s="2" t="s">
        <v>53</v>
      </c>
      <c r="E1131" s="2" t="s">
        <v>5985</v>
      </c>
      <c r="F1131" s="2" t="s">
        <v>5986</v>
      </c>
      <c r="G1131" s="2" t="s">
        <v>425</v>
      </c>
      <c r="H1131" s="2" t="s">
        <v>426</v>
      </c>
      <c r="I1131" s="2" t="s">
        <v>74</v>
      </c>
      <c r="J1131" s="2" t="n">
        <v>-6.24</v>
      </c>
      <c r="K1131" s="2" t="n">
        <v>106.79</v>
      </c>
      <c r="L1131" s="2" t="s">
        <v>59</v>
      </c>
      <c r="M1131" s="2" t="s">
        <v>60</v>
      </c>
      <c r="N1131" s="2"/>
      <c r="O1131" s="2" t="s">
        <v>5987</v>
      </c>
      <c r="P1131" s="2"/>
      <c r="Q1131" s="2" t="s">
        <v>62</v>
      </c>
      <c r="R1131" s="2" t="n">
        <v>0.75</v>
      </c>
      <c r="S1131" s="2" t="s">
        <v>5988</v>
      </c>
      <c r="T1131" s="2" t="s">
        <v>64</v>
      </c>
      <c r="U1131" s="2" t="s">
        <v>4047</v>
      </c>
      <c r="V1131" s="2" t="s">
        <v>4048</v>
      </c>
      <c r="W1131" s="2" t="s">
        <v>604</v>
      </c>
      <c r="X1131" s="2" t="s">
        <v>507</v>
      </c>
    </row>
    <row r="1132" customFormat="false" ht="15" hidden="false" customHeight="false" outlineLevel="0" collapsed="false">
      <c r="A1132" s="2" t="n">
        <v>1355</v>
      </c>
      <c r="B1132" s="2" t="s">
        <v>5943</v>
      </c>
      <c r="C1132" s="2" t="s">
        <v>5989</v>
      </c>
      <c r="D1132" s="2" t="s">
        <v>53</v>
      </c>
      <c r="E1132" s="2" t="s">
        <v>5059</v>
      </c>
      <c r="F1132" s="2"/>
      <c r="G1132" s="2" t="s">
        <v>316</v>
      </c>
      <c r="H1132" s="2" t="s">
        <v>317</v>
      </c>
      <c r="I1132" s="2" t="s">
        <v>74</v>
      </c>
      <c r="J1132" s="2" t="n">
        <v>-6.16</v>
      </c>
      <c r="K1132" s="2" t="n">
        <v>106.905</v>
      </c>
      <c r="L1132" s="2" t="s">
        <v>84</v>
      </c>
      <c r="M1132" s="2" t="s">
        <v>60</v>
      </c>
      <c r="N1132" s="2"/>
      <c r="O1132" s="2" t="s">
        <v>5990</v>
      </c>
      <c r="P1132" s="2"/>
      <c r="Q1132" s="2" t="s">
        <v>62</v>
      </c>
      <c r="R1132" s="2" t="n">
        <v>0.7</v>
      </c>
      <c r="S1132" s="2" t="s">
        <v>5988</v>
      </c>
      <c r="T1132" s="2" t="s">
        <v>64</v>
      </c>
      <c r="U1132" s="2" t="s">
        <v>4047</v>
      </c>
      <c r="V1132" s="2" t="s">
        <v>4048</v>
      </c>
      <c r="W1132" s="2" t="s">
        <v>604</v>
      </c>
      <c r="X1132" s="2" t="s">
        <v>507</v>
      </c>
    </row>
    <row r="1133" customFormat="false" ht="15" hidden="false" customHeight="false" outlineLevel="0" collapsed="false">
      <c r="A1133" s="2" t="n">
        <v>1356</v>
      </c>
      <c r="B1133" s="2" t="s">
        <v>5943</v>
      </c>
      <c r="C1133" s="2" t="s">
        <v>5991</v>
      </c>
      <c r="D1133" s="2" t="s">
        <v>53</v>
      </c>
      <c r="E1133" s="2" t="s">
        <v>5992</v>
      </c>
      <c r="F1133" s="2" t="s">
        <v>3295</v>
      </c>
      <c r="G1133" s="2" t="s">
        <v>3295</v>
      </c>
      <c r="H1133" s="2" t="s">
        <v>73</v>
      </c>
      <c r="I1133" s="2" t="s">
        <v>74</v>
      </c>
      <c r="J1133" s="2" t="n">
        <v>-6.172</v>
      </c>
      <c r="K1133" s="2" t="n">
        <v>106.828</v>
      </c>
      <c r="L1133" s="2" t="s">
        <v>59</v>
      </c>
      <c r="M1133" s="2" t="s">
        <v>60</v>
      </c>
      <c r="N1133" s="2"/>
      <c r="O1133" s="2" t="s">
        <v>5993</v>
      </c>
      <c r="P1133" s="2"/>
      <c r="Q1133" s="2" t="s">
        <v>110</v>
      </c>
      <c r="R1133" s="2" t="n">
        <v>0.7</v>
      </c>
      <c r="S1133" s="2" t="s">
        <v>5994</v>
      </c>
      <c r="T1133" s="2" t="s">
        <v>492</v>
      </c>
      <c r="U1133" s="2" t="s">
        <v>4052</v>
      </c>
      <c r="V1133" s="2" t="s">
        <v>582</v>
      </c>
      <c r="W1133" s="2" t="s">
        <v>2158</v>
      </c>
      <c r="X1133" s="2" t="s">
        <v>507</v>
      </c>
    </row>
    <row r="1134" customFormat="false" ht="15" hidden="false" customHeight="false" outlineLevel="0" collapsed="false">
      <c r="A1134" s="2" t="n">
        <v>1356</v>
      </c>
      <c r="B1134" s="2" t="s">
        <v>5943</v>
      </c>
      <c r="C1134" s="2" t="s">
        <v>5995</v>
      </c>
      <c r="D1134" s="2" t="s">
        <v>53</v>
      </c>
      <c r="E1134" s="2" t="s">
        <v>5996</v>
      </c>
      <c r="F1134" s="2"/>
      <c r="G1134" s="2" t="s">
        <v>3295</v>
      </c>
      <c r="H1134" s="2" t="s">
        <v>73</v>
      </c>
      <c r="I1134" s="2" t="s">
        <v>74</v>
      </c>
      <c r="J1134" s="2" t="n">
        <v>-6.175</v>
      </c>
      <c r="K1134" s="2" t="n">
        <v>106.818</v>
      </c>
      <c r="L1134" s="2" t="s">
        <v>84</v>
      </c>
      <c r="M1134" s="2" t="s">
        <v>60</v>
      </c>
      <c r="N1134" s="2"/>
      <c r="O1134" s="2" t="s">
        <v>5997</v>
      </c>
      <c r="P1134" s="2"/>
      <c r="Q1134" s="2" t="s">
        <v>110</v>
      </c>
      <c r="R1134" s="2" t="n">
        <v>0.6</v>
      </c>
      <c r="S1134" s="2" t="s">
        <v>5994</v>
      </c>
      <c r="T1134" s="2" t="s">
        <v>492</v>
      </c>
      <c r="U1134" s="2" t="s">
        <v>4052</v>
      </c>
      <c r="V1134" s="2" t="s">
        <v>582</v>
      </c>
      <c r="W1134" s="2" t="s">
        <v>2158</v>
      </c>
      <c r="X1134" s="2" t="s">
        <v>507</v>
      </c>
    </row>
    <row r="1135" customFormat="false" ht="15" hidden="false" customHeight="false" outlineLevel="0" collapsed="false">
      <c r="A1135" s="2" t="n">
        <v>1357</v>
      </c>
      <c r="B1135" s="2" t="s">
        <v>5943</v>
      </c>
      <c r="C1135" s="2" t="s">
        <v>5998</v>
      </c>
      <c r="D1135" s="2" t="s">
        <v>351</v>
      </c>
      <c r="E1135" s="2" t="s">
        <v>5999</v>
      </c>
      <c r="F1135" s="2"/>
      <c r="G1135" s="2" t="s">
        <v>80</v>
      </c>
      <c r="H1135" s="2" t="s">
        <v>73</v>
      </c>
      <c r="I1135" s="2" t="s">
        <v>74</v>
      </c>
      <c r="J1135" s="2" t="n">
        <v>-6.196</v>
      </c>
      <c r="K1135" s="2" t="n">
        <v>106.838</v>
      </c>
      <c r="L1135" s="2" t="s">
        <v>84</v>
      </c>
      <c r="M1135" s="2" t="s">
        <v>60</v>
      </c>
      <c r="N1135" s="2"/>
      <c r="O1135" s="2" t="s">
        <v>6000</v>
      </c>
      <c r="P1135" s="2" t="s">
        <v>6001</v>
      </c>
      <c r="Q1135" s="2" t="s">
        <v>62</v>
      </c>
      <c r="R1135" s="2" t="n">
        <v>0.6</v>
      </c>
      <c r="S1135" s="2" t="s">
        <v>6002</v>
      </c>
      <c r="T1135" s="2" t="s">
        <v>1563</v>
      </c>
      <c r="U1135" s="2" t="s">
        <v>6003</v>
      </c>
      <c r="V1135" s="2" t="s">
        <v>812</v>
      </c>
      <c r="W1135" s="2" t="s">
        <v>2037</v>
      </c>
      <c r="X1135" s="2" t="s">
        <v>507</v>
      </c>
    </row>
    <row r="1136" customFormat="false" ht="15" hidden="false" customHeight="false" outlineLevel="0" collapsed="false">
      <c r="A1136" s="2" t="n">
        <v>1358</v>
      </c>
      <c r="B1136" s="2" t="s">
        <v>5943</v>
      </c>
      <c r="C1136" s="2" t="s">
        <v>6004</v>
      </c>
      <c r="D1136" s="2" t="s">
        <v>351</v>
      </c>
      <c r="E1136" s="2" t="s">
        <v>6005</v>
      </c>
      <c r="F1136" s="2" t="s">
        <v>6006</v>
      </c>
      <c r="G1136" s="2" t="s">
        <v>6007</v>
      </c>
      <c r="H1136" s="2" t="s">
        <v>73</v>
      </c>
      <c r="I1136" s="2" t="s">
        <v>74</v>
      </c>
      <c r="J1136" s="2" t="n">
        <v>-6.16</v>
      </c>
      <c r="K1136" s="2" t="n">
        <v>106.863</v>
      </c>
      <c r="L1136" s="2" t="s">
        <v>59</v>
      </c>
      <c r="M1136" s="2" t="s">
        <v>60</v>
      </c>
      <c r="N1136" s="2"/>
      <c r="O1136" s="2" t="s">
        <v>6008</v>
      </c>
      <c r="P1136" s="2" t="s">
        <v>6009</v>
      </c>
      <c r="Q1136" s="2" t="s">
        <v>110</v>
      </c>
      <c r="R1136" s="2" t="n">
        <v>0.4</v>
      </c>
      <c r="S1136" s="2" t="s">
        <v>6010</v>
      </c>
      <c r="T1136" s="2" t="s">
        <v>3313</v>
      </c>
      <c r="U1136" s="2" t="s">
        <v>4059</v>
      </c>
      <c r="V1136" s="2" t="s">
        <v>965</v>
      </c>
      <c r="W1136" s="2" t="s">
        <v>2013</v>
      </c>
      <c r="X1136" s="2" t="s">
        <v>507</v>
      </c>
    </row>
    <row r="1137" customFormat="false" ht="15" hidden="false" customHeight="false" outlineLevel="0" collapsed="false">
      <c r="A1137" s="2" t="n">
        <v>1363</v>
      </c>
      <c r="B1137" s="2" t="s">
        <v>5943</v>
      </c>
      <c r="C1137" s="2" t="s">
        <v>6011</v>
      </c>
      <c r="D1137" s="2" t="s">
        <v>351</v>
      </c>
      <c r="E1137" s="2" t="s">
        <v>6012</v>
      </c>
      <c r="F1137" s="2" t="s">
        <v>424</v>
      </c>
      <c r="G1137" s="2" t="s">
        <v>425</v>
      </c>
      <c r="H1137" s="2" t="s">
        <v>426</v>
      </c>
      <c r="I1137" s="2" t="s">
        <v>74</v>
      </c>
      <c r="J1137" s="2" t="n">
        <v>-6.244</v>
      </c>
      <c r="K1137" s="2" t="n">
        <v>106.8</v>
      </c>
      <c r="L1137" s="2" t="s">
        <v>59</v>
      </c>
      <c r="M1137" s="2" t="s">
        <v>60</v>
      </c>
      <c r="N1137" s="2"/>
      <c r="O1137" s="2" t="s">
        <v>6013</v>
      </c>
      <c r="P1137" s="2"/>
      <c r="Q1137" s="2" t="s">
        <v>62</v>
      </c>
      <c r="R1137" s="2" t="n">
        <v>0.55</v>
      </c>
      <c r="S1137" s="2" t="s">
        <v>6014</v>
      </c>
      <c r="T1137" s="2" t="s">
        <v>1498</v>
      </c>
      <c r="U1137" s="2" t="s">
        <v>4079</v>
      </c>
      <c r="V1137" s="2" t="s">
        <v>178</v>
      </c>
      <c r="W1137" s="2" t="s">
        <v>2379</v>
      </c>
      <c r="X1137" s="2" t="s">
        <v>507</v>
      </c>
    </row>
    <row r="1138" customFormat="false" ht="15" hidden="false" customHeight="false" outlineLevel="0" collapsed="false">
      <c r="A1138" s="2" t="n">
        <v>1364</v>
      </c>
      <c r="B1138" s="2" t="s">
        <v>5943</v>
      </c>
      <c r="C1138" s="2" t="s">
        <v>1886</v>
      </c>
      <c r="D1138" s="2" t="s">
        <v>351</v>
      </c>
      <c r="E1138" s="2" t="s">
        <v>6015</v>
      </c>
      <c r="F1138" s="2" t="s">
        <v>1886</v>
      </c>
      <c r="G1138" s="2" t="s">
        <v>3365</v>
      </c>
      <c r="H1138" s="2" t="s">
        <v>73</v>
      </c>
      <c r="I1138" s="2" t="s">
        <v>74</v>
      </c>
      <c r="J1138" s="2" t="n">
        <v>-6.163</v>
      </c>
      <c r="K1138" s="2" t="n">
        <v>106.834</v>
      </c>
      <c r="L1138" s="2" t="s">
        <v>59</v>
      </c>
      <c r="M1138" s="2" t="s">
        <v>60</v>
      </c>
      <c r="N1138" s="2"/>
      <c r="O1138" s="2" t="s">
        <v>6016</v>
      </c>
      <c r="P1138" s="2" t="s">
        <v>5712</v>
      </c>
      <c r="Q1138" s="2" t="s">
        <v>110</v>
      </c>
      <c r="R1138" s="2" t="n">
        <v>0.45</v>
      </c>
      <c r="S1138" s="2" t="s">
        <v>6017</v>
      </c>
      <c r="T1138" s="2" t="s">
        <v>2239</v>
      </c>
      <c r="U1138" s="2" t="s">
        <v>4087</v>
      </c>
      <c r="V1138" s="2" t="s">
        <v>745</v>
      </c>
      <c r="W1138" s="2" t="s">
        <v>3435</v>
      </c>
      <c r="X1138" s="2" t="s">
        <v>507</v>
      </c>
    </row>
    <row r="1139" customFormat="false" ht="15" hidden="false" customHeight="false" outlineLevel="0" collapsed="false">
      <c r="A1139" s="2" t="n">
        <v>1365</v>
      </c>
      <c r="B1139" s="2" t="s">
        <v>5943</v>
      </c>
      <c r="C1139" s="2" t="s">
        <v>1886</v>
      </c>
      <c r="D1139" s="2" t="s">
        <v>351</v>
      </c>
      <c r="E1139" s="2" t="s">
        <v>6018</v>
      </c>
      <c r="F1139" s="2" t="s">
        <v>1886</v>
      </c>
      <c r="G1139" s="2" t="s">
        <v>3365</v>
      </c>
      <c r="H1139" s="2" t="s">
        <v>73</v>
      </c>
      <c r="I1139" s="2" t="s">
        <v>74</v>
      </c>
      <c r="J1139" s="2" t="n">
        <v>-6.163</v>
      </c>
      <c r="K1139" s="2" t="n">
        <v>106.834</v>
      </c>
      <c r="L1139" s="2" t="s">
        <v>59</v>
      </c>
      <c r="M1139" s="2" t="s">
        <v>60</v>
      </c>
      <c r="N1139" s="2"/>
      <c r="O1139" s="2" t="s">
        <v>6019</v>
      </c>
      <c r="P1139" s="2" t="s">
        <v>5712</v>
      </c>
      <c r="Q1139" s="2" t="s">
        <v>62</v>
      </c>
      <c r="R1139" s="2" t="n">
        <v>0.4</v>
      </c>
      <c r="S1139" s="2" t="s">
        <v>6020</v>
      </c>
      <c r="T1139" s="2" t="s">
        <v>1144</v>
      </c>
      <c r="U1139" s="2" t="s">
        <v>4095</v>
      </c>
      <c r="V1139" s="2" t="s">
        <v>158</v>
      </c>
      <c r="W1139" s="2" t="s">
        <v>4096</v>
      </c>
      <c r="X1139" s="2" t="s">
        <v>507</v>
      </c>
    </row>
    <row r="1140" customFormat="false" ht="15" hidden="false" customHeight="false" outlineLevel="0" collapsed="false">
      <c r="A1140" s="2" t="n">
        <v>1366</v>
      </c>
      <c r="B1140" s="2" t="s">
        <v>5943</v>
      </c>
      <c r="C1140" s="2" t="s">
        <v>1886</v>
      </c>
      <c r="D1140" s="2" t="s">
        <v>351</v>
      </c>
      <c r="E1140" s="2" t="s">
        <v>6015</v>
      </c>
      <c r="F1140" s="2" t="s">
        <v>1886</v>
      </c>
      <c r="G1140" s="2" t="s">
        <v>3365</v>
      </c>
      <c r="H1140" s="2" t="s">
        <v>73</v>
      </c>
      <c r="I1140" s="2" t="s">
        <v>74</v>
      </c>
      <c r="J1140" s="2" t="n">
        <v>-6.163</v>
      </c>
      <c r="K1140" s="2" t="n">
        <v>106.834</v>
      </c>
      <c r="L1140" s="2" t="s">
        <v>59</v>
      </c>
      <c r="M1140" s="2" t="s">
        <v>60</v>
      </c>
      <c r="N1140" s="2"/>
      <c r="O1140" s="2" t="s">
        <v>6021</v>
      </c>
      <c r="P1140" s="2" t="s">
        <v>5712</v>
      </c>
      <c r="Q1140" s="2" t="s">
        <v>62</v>
      </c>
      <c r="R1140" s="2" t="n">
        <v>0.4</v>
      </c>
      <c r="S1140" s="2" t="s">
        <v>6022</v>
      </c>
      <c r="T1140" s="2" t="s">
        <v>6023</v>
      </c>
      <c r="U1140" s="2" t="s">
        <v>4102</v>
      </c>
      <c r="V1140" s="2" t="s">
        <v>917</v>
      </c>
      <c r="W1140" s="2" t="s">
        <v>2005</v>
      </c>
      <c r="X1140" s="2" t="s">
        <v>507</v>
      </c>
    </row>
    <row r="1141" customFormat="false" ht="15" hidden="false" customHeight="false" outlineLevel="0" collapsed="false">
      <c r="A1141" s="2" t="n">
        <v>1367</v>
      </c>
      <c r="B1141" s="2" t="s">
        <v>5943</v>
      </c>
      <c r="C1141" s="2" t="s">
        <v>1886</v>
      </c>
      <c r="D1141" s="2" t="s">
        <v>351</v>
      </c>
      <c r="E1141" s="2" t="s">
        <v>5863</v>
      </c>
      <c r="F1141" s="2" t="s">
        <v>1886</v>
      </c>
      <c r="G1141" s="2" t="s">
        <v>3365</v>
      </c>
      <c r="H1141" s="2" t="s">
        <v>73</v>
      </c>
      <c r="I1141" s="2" t="s">
        <v>74</v>
      </c>
      <c r="J1141" s="2" t="n">
        <v>-6.163</v>
      </c>
      <c r="K1141" s="2" t="n">
        <v>106.834</v>
      </c>
      <c r="L1141" s="2" t="s">
        <v>59</v>
      </c>
      <c r="M1141" s="2" t="s">
        <v>60</v>
      </c>
      <c r="N1141" s="2"/>
      <c r="O1141" s="2" t="s">
        <v>6024</v>
      </c>
      <c r="P1141" s="2" t="s">
        <v>5712</v>
      </c>
      <c r="Q1141" s="2" t="s">
        <v>110</v>
      </c>
      <c r="R1141" s="2" t="n">
        <v>0.45</v>
      </c>
      <c r="S1141" s="2" t="s">
        <v>6025</v>
      </c>
      <c r="T1141" s="2" t="s">
        <v>6026</v>
      </c>
      <c r="U1141" s="2" t="s">
        <v>4115</v>
      </c>
      <c r="V1141" s="2" t="s">
        <v>97</v>
      </c>
      <c r="W1141" s="2" t="s">
        <v>2489</v>
      </c>
      <c r="X1141" s="2" t="s">
        <v>507</v>
      </c>
    </row>
    <row r="1142" customFormat="false" ht="15" hidden="false" customHeight="false" outlineLevel="0" collapsed="false">
      <c r="A1142" s="2" t="n">
        <v>1368</v>
      </c>
      <c r="B1142" s="2" t="s">
        <v>5943</v>
      </c>
      <c r="C1142" s="2" t="s">
        <v>6027</v>
      </c>
      <c r="D1142" s="2" t="s">
        <v>351</v>
      </c>
      <c r="E1142" s="2" t="s">
        <v>6028</v>
      </c>
      <c r="F1142" s="2" t="s">
        <v>6029</v>
      </c>
      <c r="G1142" s="2" t="s">
        <v>72</v>
      </c>
      <c r="H1142" s="2" t="s">
        <v>73</v>
      </c>
      <c r="I1142" s="2" t="s">
        <v>74</v>
      </c>
      <c r="J1142" s="2" t="n">
        <v>-6.187</v>
      </c>
      <c r="K1142" s="2" t="n">
        <v>106.815</v>
      </c>
      <c r="L1142" s="2" t="s">
        <v>59</v>
      </c>
      <c r="M1142" s="2" t="s">
        <v>60</v>
      </c>
      <c r="N1142" s="2"/>
      <c r="O1142" s="2" t="s">
        <v>6030</v>
      </c>
      <c r="P1142" s="2" t="s">
        <v>6031</v>
      </c>
      <c r="Q1142" s="2" t="s">
        <v>110</v>
      </c>
      <c r="R1142" s="2" t="n">
        <v>0.4</v>
      </c>
      <c r="S1142" s="2" t="s">
        <v>6032</v>
      </c>
      <c r="T1142" s="2" t="s">
        <v>6033</v>
      </c>
      <c r="U1142" s="2" t="s">
        <v>4128</v>
      </c>
      <c r="V1142" s="2" t="s">
        <v>4066</v>
      </c>
      <c r="W1142" s="2" t="s">
        <v>495</v>
      </c>
      <c r="X1142" s="2" t="s">
        <v>507</v>
      </c>
    </row>
    <row r="1143" customFormat="false" ht="15" hidden="false" customHeight="false" outlineLevel="0" collapsed="false">
      <c r="A1143" s="2" t="n">
        <v>1369</v>
      </c>
      <c r="B1143" s="2" t="s">
        <v>5943</v>
      </c>
      <c r="C1143" s="2" t="s">
        <v>6034</v>
      </c>
      <c r="D1143" s="2" t="s">
        <v>53</v>
      </c>
      <c r="E1143" s="2" t="s">
        <v>6035</v>
      </c>
      <c r="F1143" s="2"/>
      <c r="G1143" s="2" t="s">
        <v>640</v>
      </c>
      <c r="H1143" s="2" t="s">
        <v>317</v>
      </c>
      <c r="I1143" s="2" t="s">
        <v>74</v>
      </c>
      <c r="J1143" s="2" t="n">
        <v>-6.125</v>
      </c>
      <c r="K1143" s="2" t="n">
        <v>106.78</v>
      </c>
      <c r="L1143" s="2" t="s">
        <v>84</v>
      </c>
      <c r="M1143" s="2" t="s">
        <v>60</v>
      </c>
      <c r="N1143" s="2" t="s">
        <v>5972</v>
      </c>
      <c r="O1143" s="2" t="s">
        <v>6036</v>
      </c>
      <c r="P1143" s="2"/>
      <c r="Q1143" s="2" t="s">
        <v>62</v>
      </c>
      <c r="R1143" s="2" t="n">
        <v>0.65</v>
      </c>
      <c r="S1143" s="2" t="s">
        <v>6037</v>
      </c>
      <c r="T1143" s="2" t="s">
        <v>64</v>
      </c>
      <c r="U1143" s="2" t="s">
        <v>4134</v>
      </c>
      <c r="V1143" s="2" t="s">
        <v>745</v>
      </c>
      <c r="W1143" s="2" t="s">
        <v>1875</v>
      </c>
      <c r="X1143" s="2" t="s">
        <v>68</v>
      </c>
    </row>
    <row r="1144" customFormat="false" ht="15" hidden="false" customHeight="false" outlineLevel="0" collapsed="false">
      <c r="A1144" s="2" t="n">
        <v>1369</v>
      </c>
      <c r="B1144" s="2" t="s">
        <v>5943</v>
      </c>
      <c r="C1144" s="2" t="s">
        <v>6038</v>
      </c>
      <c r="D1144" s="2" t="s">
        <v>351</v>
      </c>
      <c r="E1144" s="2" t="s">
        <v>6035</v>
      </c>
      <c r="F1144" s="2"/>
      <c r="G1144" s="2" t="s">
        <v>640</v>
      </c>
      <c r="H1144" s="2" t="s">
        <v>317</v>
      </c>
      <c r="I1144" s="2" t="s">
        <v>74</v>
      </c>
      <c r="J1144" s="2" t="n">
        <v>-6.125</v>
      </c>
      <c r="K1144" s="2" t="n">
        <v>106.78</v>
      </c>
      <c r="L1144" s="2" t="s">
        <v>84</v>
      </c>
      <c r="M1144" s="2" t="s">
        <v>60</v>
      </c>
      <c r="N1144" s="2" t="s">
        <v>5972</v>
      </c>
      <c r="O1144" s="2" t="s">
        <v>6039</v>
      </c>
      <c r="P1144" s="2"/>
      <c r="Q1144" s="2" t="s">
        <v>62</v>
      </c>
      <c r="R1144" s="2" t="n">
        <v>0.55</v>
      </c>
      <c r="S1144" s="2" t="s">
        <v>6037</v>
      </c>
      <c r="T1144" s="2" t="s">
        <v>64</v>
      </c>
      <c r="U1144" s="2" t="s">
        <v>4134</v>
      </c>
      <c r="V1144" s="2" t="s">
        <v>745</v>
      </c>
      <c r="W1144" s="2" t="s">
        <v>1875</v>
      </c>
      <c r="X1144" s="2" t="s">
        <v>68</v>
      </c>
    </row>
    <row r="1145" customFormat="false" ht="15" hidden="false" customHeight="false" outlineLevel="0" collapsed="false">
      <c r="A1145" s="2" t="n">
        <v>1369</v>
      </c>
      <c r="B1145" s="2" t="s">
        <v>5943</v>
      </c>
      <c r="C1145" s="2" t="s">
        <v>6040</v>
      </c>
      <c r="D1145" s="2" t="s">
        <v>134</v>
      </c>
      <c r="E1145" s="2" t="s">
        <v>830</v>
      </c>
      <c r="F1145" s="2"/>
      <c r="G1145" s="2"/>
      <c r="H1145" s="2"/>
      <c r="I1145" s="2" t="s">
        <v>74</v>
      </c>
      <c r="J1145" s="2" t="n">
        <v>-6.2</v>
      </c>
      <c r="K1145" s="2" t="n">
        <v>106.845</v>
      </c>
      <c r="L1145" s="2" t="s">
        <v>239</v>
      </c>
      <c r="M1145" s="2" t="s">
        <v>340</v>
      </c>
      <c r="N1145" s="2"/>
      <c r="O1145" s="2" t="s">
        <v>6041</v>
      </c>
      <c r="P1145" s="2"/>
      <c r="Q1145" s="2" t="s">
        <v>110</v>
      </c>
      <c r="R1145" s="2" t="n">
        <v>0.7</v>
      </c>
      <c r="S1145" s="2" t="s">
        <v>6037</v>
      </c>
      <c r="T1145" s="2" t="s">
        <v>64</v>
      </c>
      <c r="U1145" s="2" t="s">
        <v>4134</v>
      </c>
      <c r="V1145" s="2" t="s">
        <v>745</v>
      </c>
      <c r="W1145" s="2" t="s">
        <v>1875</v>
      </c>
      <c r="X1145" s="2" t="s">
        <v>68</v>
      </c>
    </row>
    <row r="1146" customFormat="false" ht="15" hidden="false" customHeight="false" outlineLevel="0" collapsed="false">
      <c r="A1146" s="2" t="n">
        <v>1370</v>
      </c>
      <c r="B1146" s="2" t="s">
        <v>5943</v>
      </c>
      <c r="C1146" s="2" t="s">
        <v>6027</v>
      </c>
      <c r="D1146" s="2" t="s">
        <v>351</v>
      </c>
      <c r="E1146" s="2" t="s">
        <v>6042</v>
      </c>
      <c r="F1146" s="2" t="s">
        <v>6029</v>
      </c>
      <c r="G1146" s="2" t="s">
        <v>72</v>
      </c>
      <c r="H1146" s="2" t="s">
        <v>73</v>
      </c>
      <c r="I1146" s="2" t="s">
        <v>74</v>
      </c>
      <c r="J1146" s="2" t="n">
        <v>-6.187</v>
      </c>
      <c r="K1146" s="2" t="n">
        <v>106.815</v>
      </c>
      <c r="L1146" s="2" t="s">
        <v>59</v>
      </c>
      <c r="M1146" s="2" t="s">
        <v>60</v>
      </c>
      <c r="N1146" s="2"/>
      <c r="O1146" s="2" t="s">
        <v>6043</v>
      </c>
      <c r="P1146" s="2" t="s">
        <v>6031</v>
      </c>
      <c r="Q1146" s="2" t="s">
        <v>110</v>
      </c>
      <c r="R1146" s="2" t="n">
        <v>0.4</v>
      </c>
      <c r="S1146" s="2" t="s">
        <v>6044</v>
      </c>
      <c r="T1146" s="2" t="s">
        <v>1498</v>
      </c>
      <c r="U1146" s="2" t="s">
        <v>4138</v>
      </c>
      <c r="V1146" s="2" t="s">
        <v>4139</v>
      </c>
      <c r="W1146" s="2" t="s">
        <v>1365</v>
      </c>
      <c r="X1146" s="2" t="s">
        <v>507</v>
      </c>
    </row>
    <row r="1147" customFormat="false" ht="15" hidden="false" customHeight="false" outlineLevel="0" collapsed="false">
      <c r="A1147" s="2" t="n">
        <v>1371</v>
      </c>
      <c r="B1147" s="2" t="s">
        <v>5943</v>
      </c>
      <c r="C1147" s="2" t="s">
        <v>6045</v>
      </c>
      <c r="D1147" s="2" t="s">
        <v>121</v>
      </c>
      <c r="E1147" s="2" t="s">
        <v>6046</v>
      </c>
      <c r="F1147" s="2" t="s">
        <v>123</v>
      </c>
      <c r="G1147" s="2" t="s">
        <v>72</v>
      </c>
      <c r="H1147" s="2" t="s">
        <v>73</v>
      </c>
      <c r="I1147" s="2" t="s">
        <v>74</v>
      </c>
      <c r="J1147" s="2" t="n">
        <v>-6.218</v>
      </c>
      <c r="K1147" s="2" t="n">
        <v>106.803</v>
      </c>
      <c r="L1147" s="2" t="s">
        <v>59</v>
      </c>
      <c r="M1147" s="2" t="s">
        <v>60</v>
      </c>
      <c r="N1147" s="2"/>
      <c r="O1147" s="2" t="s">
        <v>6047</v>
      </c>
      <c r="P1147" s="2" t="s">
        <v>6048</v>
      </c>
      <c r="Q1147" s="2" t="s">
        <v>62</v>
      </c>
      <c r="R1147" s="2" t="n">
        <v>0.8</v>
      </c>
      <c r="S1147" s="2" t="s">
        <v>6049</v>
      </c>
      <c r="T1147" s="2" t="s">
        <v>6050</v>
      </c>
      <c r="U1147" s="2" t="s">
        <v>6051</v>
      </c>
      <c r="V1147" s="2" t="s">
        <v>158</v>
      </c>
      <c r="W1147" s="2" t="s">
        <v>1482</v>
      </c>
      <c r="X1147" s="2" t="s">
        <v>507</v>
      </c>
    </row>
    <row r="1148" customFormat="false" ht="15" hidden="false" customHeight="false" outlineLevel="0" collapsed="false">
      <c r="A1148" s="2" t="n">
        <v>1374</v>
      </c>
      <c r="B1148" s="2" t="s">
        <v>5943</v>
      </c>
      <c r="C1148" s="2" t="s">
        <v>6045</v>
      </c>
      <c r="D1148" s="2" t="s">
        <v>121</v>
      </c>
      <c r="E1148" s="2" t="s">
        <v>6046</v>
      </c>
      <c r="F1148" s="2" t="s">
        <v>123</v>
      </c>
      <c r="G1148" s="2" t="s">
        <v>72</v>
      </c>
      <c r="H1148" s="2" t="s">
        <v>73</v>
      </c>
      <c r="I1148" s="2" t="s">
        <v>74</v>
      </c>
      <c r="J1148" s="2" t="n">
        <v>-6.218</v>
      </c>
      <c r="K1148" s="2" t="n">
        <v>106.803</v>
      </c>
      <c r="L1148" s="2" t="s">
        <v>59</v>
      </c>
      <c r="M1148" s="2" t="s">
        <v>60</v>
      </c>
      <c r="N1148" s="2"/>
      <c r="O1148" s="2" t="s">
        <v>6052</v>
      </c>
      <c r="P1148" s="2" t="s">
        <v>6048</v>
      </c>
      <c r="Q1148" s="2" t="s">
        <v>62</v>
      </c>
      <c r="R1148" s="2" t="n">
        <v>0.8</v>
      </c>
      <c r="S1148" s="2" t="s">
        <v>6053</v>
      </c>
      <c r="T1148" s="2" t="s">
        <v>6054</v>
      </c>
      <c r="U1148" s="2" t="s">
        <v>6055</v>
      </c>
      <c r="V1148" s="2" t="s">
        <v>6056</v>
      </c>
      <c r="W1148" s="2" t="s">
        <v>2013</v>
      </c>
      <c r="X1148" s="2" t="s">
        <v>507</v>
      </c>
    </row>
    <row r="1149" customFormat="false" ht="15" hidden="false" customHeight="false" outlineLevel="0" collapsed="false">
      <c r="A1149" s="2" t="n">
        <v>1375</v>
      </c>
      <c r="B1149" s="2" t="s">
        <v>5943</v>
      </c>
      <c r="C1149" s="2" t="s">
        <v>6045</v>
      </c>
      <c r="D1149" s="2" t="s">
        <v>121</v>
      </c>
      <c r="E1149" s="2" t="s">
        <v>6046</v>
      </c>
      <c r="F1149" s="2" t="s">
        <v>123</v>
      </c>
      <c r="G1149" s="2" t="s">
        <v>72</v>
      </c>
      <c r="H1149" s="2" t="s">
        <v>73</v>
      </c>
      <c r="I1149" s="2" t="s">
        <v>74</v>
      </c>
      <c r="J1149" s="2" t="n">
        <v>-6.218</v>
      </c>
      <c r="K1149" s="2" t="n">
        <v>106.803</v>
      </c>
      <c r="L1149" s="2" t="s">
        <v>59</v>
      </c>
      <c r="M1149" s="2" t="s">
        <v>60</v>
      </c>
      <c r="N1149" s="2"/>
      <c r="O1149" s="2" t="s">
        <v>6057</v>
      </c>
      <c r="P1149" s="2" t="s">
        <v>6048</v>
      </c>
      <c r="Q1149" s="2" t="s">
        <v>62</v>
      </c>
      <c r="R1149" s="2" t="n">
        <v>0.8</v>
      </c>
      <c r="S1149" s="2" t="s">
        <v>6058</v>
      </c>
      <c r="T1149" s="2" t="s">
        <v>418</v>
      </c>
      <c r="U1149" s="2" t="s">
        <v>6059</v>
      </c>
      <c r="V1149" s="2" t="s">
        <v>6060</v>
      </c>
      <c r="W1149" s="2" t="s">
        <v>3744</v>
      </c>
      <c r="X1149" s="2" t="s">
        <v>507</v>
      </c>
    </row>
    <row r="1150" customFormat="false" ht="15" hidden="false" customHeight="false" outlineLevel="0" collapsed="false">
      <c r="A1150" s="2" t="n">
        <v>1376</v>
      </c>
      <c r="B1150" s="2" t="s">
        <v>5943</v>
      </c>
      <c r="C1150" s="2" t="s">
        <v>6061</v>
      </c>
      <c r="D1150" s="2" t="s">
        <v>121</v>
      </c>
      <c r="E1150" s="2" t="s">
        <v>6062</v>
      </c>
      <c r="F1150" s="2"/>
      <c r="G1150" s="2"/>
      <c r="H1150" s="2" t="s">
        <v>73</v>
      </c>
      <c r="I1150" s="2" t="s">
        <v>74</v>
      </c>
      <c r="J1150" s="2" t="n">
        <v>-6.182</v>
      </c>
      <c r="K1150" s="2" t="n">
        <v>106.834</v>
      </c>
      <c r="L1150" s="2" t="s">
        <v>101</v>
      </c>
      <c r="M1150" s="2" t="s">
        <v>60</v>
      </c>
      <c r="N1150" s="2"/>
      <c r="O1150" s="2" t="s">
        <v>6063</v>
      </c>
      <c r="P1150" s="2" t="s">
        <v>6064</v>
      </c>
      <c r="Q1150" s="2" t="s">
        <v>62</v>
      </c>
      <c r="R1150" s="2" t="n">
        <v>0.7</v>
      </c>
      <c r="S1150" s="2" t="s">
        <v>6065</v>
      </c>
      <c r="T1150" s="2" t="s">
        <v>6066</v>
      </c>
      <c r="U1150" s="2" t="s">
        <v>6067</v>
      </c>
      <c r="V1150" s="2" t="s">
        <v>4139</v>
      </c>
      <c r="W1150" s="2" t="s">
        <v>1648</v>
      </c>
      <c r="X1150" s="2" t="s">
        <v>507</v>
      </c>
    </row>
    <row r="1151" customFormat="false" ht="15" hidden="false" customHeight="false" outlineLevel="0" collapsed="false">
      <c r="A1151" s="2" t="n">
        <v>1377</v>
      </c>
      <c r="B1151" s="2" t="s">
        <v>5943</v>
      </c>
      <c r="C1151" s="2" t="s">
        <v>6068</v>
      </c>
      <c r="D1151" s="2" t="s">
        <v>121</v>
      </c>
      <c r="E1151" s="2" t="s">
        <v>6069</v>
      </c>
      <c r="F1151" s="2"/>
      <c r="G1151" s="2"/>
      <c r="H1151" s="2" t="s">
        <v>2299</v>
      </c>
      <c r="I1151" s="2" t="s">
        <v>2246</v>
      </c>
      <c r="J1151" s="2" t="n">
        <v>0.507</v>
      </c>
      <c r="K1151" s="2" t="n">
        <v>101.448</v>
      </c>
      <c r="L1151" s="2" t="s">
        <v>101</v>
      </c>
      <c r="M1151" s="2" t="s">
        <v>340</v>
      </c>
      <c r="N1151" s="2"/>
      <c r="O1151" s="2" t="s">
        <v>6070</v>
      </c>
      <c r="P1151" s="2" t="s">
        <v>2374</v>
      </c>
      <c r="Q1151" s="2" t="s">
        <v>62</v>
      </c>
      <c r="R1151" s="2" t="n">
        <v>0.75</v>
      </c>
      <c r="S1151" s="2" t="s">
        <v>6071</v>
      </c>
      <c r="T1151" s="2" t="s">
        <v>2332</v>
      </c>
      <c r="U1151" s="2" t="s">
        <v>4153</v>
      </c>
      <c r="V1151" s="2" t="s">
        <v>1500</v>
      </c>
      <c r="W1151" s="2" t="s">
        <v>2013</v>
      </c>
      <c r="X1151" s="2" t="s">
        <v>507</v>
      </c>
    </row>
    <row r="1152" customFormat="false" ht="15" hidden="false" customHeight="false" outlineLevel="0" collapsed="false">
      <c r="A1152" s="2" t="n">
        <v>1378</v>
      </c>
      <c r="B1152" s="2" t="s">
        <v>5943</v>
      </c>
      <c r="C1152" s="2" t="s">
        <v>6072</v>
      </c>
      <c r="D1152" s="2" t="s">
        <v>121</v>
      </c>
      <c r="E1152" s="2" t="s">
        <v>6073</v>
      </c>
      <c r="F1152" s="2" t="s">
        <v>3362</v>
      </c>
      <c r="G1152" s="2" t="s">
        <v>80</v>
      </c>
      <c r="H1152" s="2" t="s">
        <v>73</v>
      </c>
      <c r="I1152" s="2" t="s">
        <v>74</v>
      </c>
      <c r="J1152" s="2" t="n">
        <v>-6.195</v>
      </c>
      <c r="K1152" s="2" t="n">
        <v>106.841</v>
      </c>
      <c r="L1152" s="2" t="s">
        <v>59</v>
      </c>
      <c r="M1152" s="2" t="s">
        <v>60</v>
      </c>
      <c r="N1152" s="2"/>
      <c r="O1152" s="2" t="s">
        <v>6074</v>
      </c>
      <c r="P1152" s="2"/>
      <c r="Q1152" s="2" t="s">
        <v>62</v>
      </c>
      <c r="R1152" s="2" t="n">
        <v>0.7</v>
      </c>
      <c r="S1152" s="2" t="s">
        <v>6075</v>
      </c>
      <c r="T1152" s="2" t="s">
        <v>2239</v>
      </c>
      <c r="U1152" s="2" t="s">
        <v>6076</v>
      </c>
      <c r="V1152" s="2" t="s">
        <v>1991</v>
      </c>
      <c r="W1152" s="2" t="s">
        <v>2013</v>
      </c>
      <c r="X1152" s="2" t="s">
        <v>507</v>
      </c>
    </row>
    <row r="1153" customFormat="false" ht="15" hidden="false" customHeight="false" outlineLevel="0" collapsed="false">
      <c r="A1153" s="2" t="n">
        <v>1379</v>
      </c>
      <c r="B1153" s="2" t="s">
        <v>5943</v>
      </c>
      <c r="C1153" s="2" t="s">
        <v>6077</v>
      </c>
      <c r="D1153" s="2" t="s">
        <v>53</v>
      </c>
      <c r="E1153" s="2" t="s">
        <v>3310</v>
      </c>
      <c r="F1153" s="2"/>
      <c r="G1153" s="2"/>
      <c r="H1153" s="2" t="s">
        <v>716</v>
      </c>
      <c r="I1153" s="2" t="s">
        <v>74</v>
      </c>
      <c r="J1153" s="2" t="n">
        <v>-6.168</v>
      </c>
      <c r="K1153" s="2" t="n">
        <v>106.759</v>
      </c>
      <c r="L1153" s="2" t="s">
        <v>101</v>
      </c>
      <c r="M1153" s="2" t="s">
        <v>60</v>
      </c>
      <c r="N1153" s="2"/>
      <c r="O1153" s="2" t="s">
        <v>6078</v>
      </c>
      <c r="P1153" s="2"/>
      <c r="Q1153" s="2" t="s">
        <v>62</v>
      </c>
      <c r="R1153" s="2" t="n">
        <v>0.7</v>
      </c>
      <c r="S1153" s="2" t="s">
        <v>6079</v>
      </c>
      <c r="T1153" s="2" t="s">
        <v>64</v>
      </c>
      <c r="U1153" s="2" t="s">
        <v>6080</v>
      </c>
      <c r="V1153" s="2" t="s">
        <v>6081</v>
      </c>
      <c r="W1153" s="2" t="s">
        <v>604</v>
      </c>
      <c r="X1153" s="2" t="s">
        <v>507</v>
      </c>
    </row>
    <row r="1154" customFormat="false" ht="15" hidden="false" customHeight="false" outlineLevel="0" collapsed="false">
      <c r="A1154" s="2" t="n">
        <v>1379</v>
      </c>
      <c r="B1154" s="2" t="s">
        <v>5943</v>
      </c>
      <c r="C1154" s="2" t="s">
        <v>6082</v>
      </c>
      <c r="D1154" s="2" t="s">
        <v>53</v>
      </c>
      <c r="E1154" s="2" t="s">
        <v>2189</v>
      </c>
      <c r="F1154" s="2"/>
      <c r="G1154" s="2" t="s">
        <v>2191</v>
      </c>
      <c r="H1154" s="2" t="s">
        <v>716</v>
      </c>
      <c r="I1154" s="2" t="s">
        <v>74</v>
      </c>
      <c r="J1154" s="2" t="n">
        <v>-6.192</v>
      </c>
      <c r="K1154" s="2" t="n">
        <v>106.77</v>
      </c>
      <c r="L1154" s="2" t="s">
        <v>84</v>
      </c>
      <c r="M1154" s="2" t="s">
        <v>60</v>
      </c>
      <c r="N1154" s="2"/>
      <c r="O1154" s="2" t="s">
        <v>6083</v>
      </c>
      <c r="P1154" s="2"/>
      <c r="Q1154" s="2" t="s">
        <v>62</v>
      </c>
      <c r="R1154" s="2" t="n">
        <v>0.7</v>
      </c>
      <c r="S1154" s="2" t="s">
        <v>6079</v>
      </c>
      <c r="T1154" s="2" t="s">
        <v>64</v>
      </c>
      <c r="U1154" s="2" t="s">
        <v>6080</v>
      </c>
      <c r="V1154" s="2" t="s">
        <v>6081</v>
      </c>
      <c r="W1154" s="2" t="s">
        <v>604</v>
      </c>
      <c r="X1154" s="2" t="s">
        <v>507</v>
      </c>
    </row>
    <row r="1155" customFormat="false" ht="15" hidden="false" customHeight="false" outlineLevel="0" collapsed="false">
      <c r="A1155" s="2" t="n">
        <v>1380</v>
      </c>
      <c r="B1155" s="2" t="s">
        <v>6084</v>
      </c>
      <c r="C1155" s="2" t="s">
        <v>6085</v>
      </c>
      <c r="D1155" s="2" t="s">
        <v>53</v>
      </c>
      <c r="E1155" s="2" t="s">
        <v>6086</v>
      </c>
      <c r="F1155" s="2" t="s">
        <v>2338</v>
      </c>
      <c r="G1155" s="2" t="s">
        <v>2339</v>
      </c>
      <c r="H1155" s="2" t="s">
        <v>716</v>
      </c>
      <c r="I1155" s="2" t="s">
        <v>74</v>
      </c>
      <c r="J1155" s="2" t="n">
        <v>-6.14</v>
      </c>
      <c r="K1155" s="2" t="n">
        <v>106.816</v>
      </c>
      <c r="L1155" s="2" t="s">
        <v>59</v>
      </c>
      <c r="M1155" s="2" t="s">
        <v>60</v>
      </c>
      <c r="N1155" s="2"/>
      <c r="O1155" s="2" t="s">
        <v>6087</v>
      </c>
      <c r="P1155" s="2"/>
      <c r="Q1155" s="2" t="s">
        <v>62</v>
      </c>
      <c r="R1155" s="2" t="n">
        <v>0.75</v>
      </c>
      <c r="S1155" s="2" t="s">
        <v>6088</v>
      </c>
      <c r="T1155" s="2" t="s">
        <v>418</v>
      </c>
      <c r="U1155" s="2" t="s">
        <v>6089</v>
      </c>
      <c r="V1155" s="2" t="s">
        <v>420</v>
      </c>
      <c r="W1155" s="2" t="s">
        <v>604</v>
      </c>
      <c r="X1155" s="2" t="s">
        <v>507</v>
      </c>
    </row>
    <row r="1156" customFormat="false" ht="15" hidden="false" customHeight="false" outlineLevel="0" collapsed="false">
      <c r="A1156" s="2" t="n">
        <v>1380</v>
      </c>
      <c r="B1156" s="2" t="s">
        <v>6084</v>
      </c>
      <c r="C1156" s="2" t="s">
        <v>6090</v>
      </c>
      <c r="D1156" s="2" t="s">
        <v>53</v>
      </c>
      <c r="E1156" s="2" t="s">
        <v>6091</v>
      </c>
      <c r="F1156" s="2"/>
      <c r="G1156" s="2" t="s">
        <v>6092</v>
      </c>
      <c r="H1156" s="2" t="s">
        <v>716</v>
      </c>
      <c r="I1156" s="2" t="s">
        <v>74</v>
      </c>
      <c r="J1156" s="2" t="n">
        <v>-6.195</v>
      </c>
      <c r="K1156" s="2" t="n">
        <v>106.795</v>
      </c>
      <c r="L1156" s="2" t="s">
        <v>84</v>
      </c>
      <c r="M1156" s="2" t="s">
        <v>60</v>
      </c>
      <c r="N1156" s="2"/>
      <c r="O1156" s="2" t="s">
        <v>6093</v>
      </c>
      <c r="P1156" s="2"/>
      <c r="Q1156" s="2" t="s">
        <v>62</v>
      </c>
      <c r="R1156" s="2" t="n">
        <v>0.75</v>
      </c>
      <c r="S1156" s="2" t="s">
        <v>6088</v>
      </c>
      <c r="T1156" s="2" t="s">
        <v>418</v>
      </c>
      <c r="U1156" s="2" t="s">
        <v>6089</v>
      </c>
      <c r="V1156" s="2" t="s">
        <v>420</v>
      </c>
      <c r="W1156" s="2" t="s">
        <v>604</v>
      </c>
      <c r="X1156" s="2" t="s">
        <v>507</v>
      </c>
    </row>
    <row r="1157" customFormat="false" ht="15" hidden="false" customHeight="false" outlineLevel="0" collapsed="false">
      <c r="A1157" s="2" t="n">
        <v>1380</v>
      </c>
      <c r="B1157" s="2" t="s">
        <v>6084</v>
      </c>
      <c r="C1157" s="2" t="s">
        <v>6094</v>
      </c>
      <c r="D1157" s="2" t="s">
        <v>53</v>
      </c>
      <c r="E1157" s="2" t="s">
        <v>6095</v>
      </c>
      <c r="F1157" s="2" t="s">
        <v>6096</v>
      </c>
      <c r="G1157" s="2" t="s">
        <v>2339</v>
      </c>
      <c r="H1157" s="2" t="s">
        <v>716</v>
      </c>
      <c r="I1157" s="2" t="s">
        <v>74</v>
      </c>
      <c r="J1157" s="2" t="n">
        <v>-6.148</v>
      </c>
      <c r="K1157" s="2" t="n">
        <v>106.823</v>
      </c>
      <c r="L1157" s="2" t="s">
        <v>59</v>
      </c>
      <c r="M1157" s="2" t="s">
        <v>60</v>
      </c>
      <c r="N1157" s="2"/>
      <c r="O1157" s="2" t="s">
        <v>6097</v>
      </c>
      <c r="P1157" s="2"/>
      <c r="Q1157" s="2" t="s">
        <v>62</v>
      </c>
      <c r="R1157" s="2" t="n">
        <v>0.7</v>
      </c>
      <c r="S1157" s="2" t="s">
        <v>6088</v>
      </c>
      <c r="T1157" s="2" t="s">
        <v>418</v>
      </c>
      <c r="U1157" s="2" t="s">
        <v>6089</v>
      </c>
      <c r="V1157" s="2" t="s">
        <v>420</v>
      </c>
      <c r="W1157" s="2" t="s">
        <v>604</v>
      </c>
      <c r="X1157" s="2" t="s">
        <v>507</v>
      </c>
    </row>
    <row r="1158" customFormat="false" ht="15" hidden="false" customHeight="false" outlineLevel="0" collapsed="false">
      <c r="A1158" s="2" t="n">
        <v>1381</v>
      </c>
      <c r="B1158" s="2" t="s">
        <v>6084</v>
      </c>
      <c r="C1158" s="2" t="s">
        <v>6098</v>
      </c>
      <c r="D1158" s="2" t="s">
        <v>134</v>
      </c>
      <c r="E1158" s="2" t="s">
        <v>6099</v>
      </c>
      <c r="F1158" s="2" t="s">
        <v>6100</v>
      </c>
      <c r="G1158" s="2" t="s">
        <v>2339</v>
      </c>
      <c r="H1158" s="2" t="s">
        <v>716</v>
      </c>
      <c r="I1158" s="2" t="s">
        <v>74</v>
      </c>
      <c r="J1158" s="2" t="n">
        <v>-6.144</v>
      </c>
      <c r="K1158" s="2" t="n">
        <v>106.812</v>
      </c>
      <c r="L1158" s="2" t="s">
        <v>59</v>
      </c>
      <c r="M1158" s="2" t="s">
        <v>60</v>
      </c>
      <c r="N1158" s="2"/>
      <c r="O1158" s="2" t="s">
        <v>6101</v>
      </c>
      <c r="P1158" s="2"/>
      <c r="Q1158" s="2" t="s">
        <v>62</v>
      </c>
      <c r="R1158" s="2" t="n">
        <v>0.8</v>
      </c>
      <c r="S1158" s="2" t="s">
        <v>6102</v>
      </c>
      <c r="T1158" s="2" t="s">
        <v>5342</v>
      </c>
      <c r="U1158" s="2" t="s">
        <v>6103</v>
      </c>
      <c r="V1158" s="2" t="s">
        <v>420</v>
      </c>
      <c r="W1158" s="2" t="s">
        <v>2013</v>
      </c>
      <c r="X1158" s="2" t="s">
        <v>507</v>
      </c>
    </row>
    <row r="1159" customFormat="false" ht="15" hidden="false" customHeight="false" outlineLevel="0" collapsed="false">
      <c r="A1159" s="2" t="n">
        <v>1382</v>
      </c>
      <c r="B1159" s="2" t="s">
        <v>6084</v>
      </c>
      <c r="C1159" s="2" t="s">
        <v>6104</v>
      </c>
      <c r="D1159" s="2" t="s">
        <v>53</v>
      </c>
      <c r="E1159" s="2" t="s">
        <v>6105</v>
      </c>
      <c r="F1159" s="2"/>
      <c r="G1159" s="2" t="s">
        <v>2339</v>
      </c>
      <c r="H1159" s="2" t="s">
        <v>716</v>
      </c>
      <c r="I1159" s="2" t="s">
        <v>74</v>
      </c>
      <c r="J1159" s="2" t="n">
        <v>-6.148</v>
      </c>
      <c r="K1159" s="2" t="n">
        <v>106.818</v>
      </c>
      <c r="L1159" s="2" t="s">
        <v>84</v>
      </c>
      <c r="M1159" s="2" t="s">
        <v>60</v>
      </c>
      <c r="N1159" s="2"/>
      <c r="O1159" s="2" t="s">
        <v>6106</v>
      </c>
      <c r="P1159" s="2"/>
      <c r="Q1159" s="2" t="s">
        <v>62</v>
      </c>
      <c r="R1159" s="2" t="n">
        <v>0.8</v>
      </c>
      <c r="S1159" s="2" t="s">
        <v>6107</v>
      </c>
      <c r="T1159" s="2" t="s">
        <v>64</v>
      </c>
      <c r="U1159" s="2" t="s">
        <v>6108</v>
      </c>
      <c r="V1159" s="2" t="s">
        <v>178</v>
      </c>
      <c r="W1159" s="2" t="s">
        <v>6109</v>
      </c>
      <c r="X1159" s="2" t="s">
        <v>507</v>
      </c>
    </row>
    <row r="1160" customFormat="false" ht="15" hidden="false" customHeight="false" outlineLevel="0" collapsed="false">
      <c r="A1160" s="2" t="n">
        <v>1382</v>
      </c>
      <c r="B1160" s="2" t="s">
        <v>6084</v>
      </c>
      <c r="C1160" s="2" t="s">
        <v>6110</v>
      </c>
      <c r="D1160" s="2" t="s">
        <v>53</v>
      </c>
      <c r="E1160" s="2" t="s">
        <v>830</v>
      </c>
      <c r="F1160" s="2"/>
      <c r="G1160" s="2"/>
      <c r="H1160" s="2"/>
      <c r="I1160" s="2" t="s">
        <v>74</v>
      </c>
      <c r="J1160" s="2" t="n">
        <v>-6.2</v>
      </c>
      <c r="K1160" s="2" t="n">
        <v>106.845</v>
      </c>
      <c r="L1160" s="2" t="s">
        <v>239</v>
      </c>
      <c r="M1160" s="2" t="s">
        <v>340</v>
      </c>
      <c r="N1160" s="2"/>
      <c r="O1160" s="2" t="s">
        <v>6111</v>
      </c>
      <c r="P1160" s="2"/>
      <c r="Q1160" s="2" t="s">
        <v>62</v>
      </c>
      <c r="R1160" s="2" t="n">
        <v>0.7</v>
      </c>
      <c r="S1160" s="2" t="s">
        <v>6107</v>
      </c>
      <c r="T1160" s="2" t="s">
        <v>64</v>
      </c>
      <c r="U1160" s="2" t="s">
        <v>6108</v>
      </c>
      <c r="V1160" s="2" t="s">
        <v>178</v>
      </c>
      <c r="W1160" s="2" t="s">
        <v>6109</v>
      </c>
      <c r="X1160" s="2" t="s">
        <v>507</v>
      </c>
    </row>
    <row r="1161" customFormat="false" ht="15" hidden="false" customHeight="false" outlineLevel="0" collapsed="false">
      <c r="A1161" s="2" t="n">
        <v>1383</v>
      </c>
      <c r="B1161" s="2" t="s">
        <v>6084</v>
      </c>
      <c r="C1161" s="2" t="s">
        <v>6112</v>
      </c>
      <c r="D1161" s="2" t="s">
        <v>53</v>
      </c>
      <c r="E1161" s="2" t="s">
        <v>6113</v>
      </c>
      <c r="F1161" s="2" t="s">
        <v>6100</v>
      </c>
      <c r="G1161" s="2" t="s">
        <v>2339</v>
      </c>
      <c r="H1161" s="2" t="s">
        <v>716</v>
      </c>
      <c r="I1161" s="2" t="s">
        <v>74</v>
      </c>
      <c r="J1161" s="2" t="n">
        <v>-6.144</v>
      </c>
      <c r="K1161" s="2" t="n">
        <v>106.812</v>
      </c>
      <c r="L1161" s="2" t="s">
        <v>59</v>
      </c>
      <c r="M1161" s="2" t="s">
        <v>60</v>
      </c>
      <c r="N1161" s="2"/>
      <c r="O1161" s="2" t="s">
        <v>6114</v>
      </c>
      <c r="P1161" s="2"/>
      <c r="Q1161" s="2" t="s">
        <v>62</v>
      </c>
      <c r="R1161" s="2" t="n">
        <v>0.8</v>
      </c>
      <c r="S1161" s="2" t="s">
        <v>6115</v>
      </c>
      <c r="T1161" s="2" t="s">
        <v>64</v>
      </c>
      <c r="U1161" s="2" t="s">
        <v>4157</v>
      </c>
      <c r="V1161" s="2" t="s">
        <v>420</v>
      </c>
      <c r="W1161" s="2" t="s">
        <v>604</v>
      </c>
      <c r="X1161" s="2" t="s">
        <v>507</v>
      </c>
    </row>
    <row r="1162" customFormat="false" ht="15" hidden="false" customHeight="false" outlineLevel="0" collapsed="false">
      <c r="A1162" s="2" t="n">
        <v>1383</v>
      </c>
      <c r="B1162" s="2" t="s">
        <v>6084</v>
      </c>
      <c r="C1162" s="2" t="s">
        <v>6116</v>
      </c>
      <c r="D1162" s="2" t="s">
        <v>53</v>
      </c>
      <c r="E1162" s="2" t="s">
        <v>3288</v>
      </c>
      <c r="F1162" s="2"/>
      <c r="G1162" s="2"/>
      <c r="H1162" s="2" t="s">
        <v>426</v>
      </c>
      <c r="I1162" s="2" t="s">
        <v>74</v>
      </c>
      <c r="J1162" s="2" t="n">
        <v>-6.261</v>
      </c>
      <c r="K1162" s="2" t="n">
        <v>106.81</v>
      </c>
      <c r="L1162" s="2" t="s">
        <v>101</v>
      </c>
      <c r="M1162" s="2" t="s">
        <v>60</v>
      </c>
      <c r="N1162" s="2"/>
      <c r="O1162" s="2" t="s">
        <v>6117</v>
      </c>
      <c r="P1162" s="2"/>
      <c r="Q1162" s="2" t="s">
        <v>62</v>
      </c>
      <c r="R1162" s="2" t="n">
        <v>0.65</v>
      </c>
      <c r="S1162" s="2" t="s">
        <v>6115</v>
      </c>
      <c r="T1162" s="2" t="s">
        <v>64</v>
      </c>
      <c r="U1162" s="2" t="s">
        <v>4157</v>
      </c>
      <c r="V1162" s="2" t="s">
        <v>420</v>
      </c>
      <c r="W1162" s="2" t="s">
        <v>604</v>
      </c>
      <c r="X1162" s="2" t="s">
        <v>507</v>
      </c>
    </row>
    <row r="1163" customFormat="false" ht="15" hidden="false" customHeight="false" outlineLevel="0" collapsed="false">
      <c r="A1163" s="2" t="n">
        <v>1390</v>
      </c>
      <c r="B1163" s="2" t="s">
        <v>6084</v>
      </c>
      <c r="C1163" s="2" t="s">
        <v>1886</v>
      </c>
      <c r="D1163" s="2" t="s">
        <v>351</v>
      </c>
      <c r="E1163" s="2" t="s">
        <v>6015</v>
      </c>
      <c r="F1163" s="2" t="s">
        <v>1886</v>
      </c>
      <c r="G1163" s="2" t="s">
        <v>3365</v>
      </c>
      <c r="H1163" s="2" t="s">
        <v>73</v>
      </c>
      <c r="I1163" s="2" t="s">
        <v>74</v>
      </c>
      <c r="J1163" s="2" t="n">
        <v>-6.163</v>
      </c>
      <c r="K1163" s="2" t="n">
        <v>106.834</v>
      </c>
      <c r="L1163" s="2" t="s">
        <v>59</v>
      </c>
      <c r="M1163" s="2" t="s">
        <v>60</v>
      </c>
      <c r="N1163" s="2"/>
      <c r="O1163" s="2" t="s">
        <v>6118</v>
      </c>
      <c r="P1163" s="2" t="s">
        <v>5712</v>
      </c>
      <c r="Q1163" s="2" t="s">
        <v>110</v>
      </c>
      <c r="R1163" s="2" t="n">
        <v>0.45</v>
      </c>
      <c r="S1163" s="2" t="s">
        <v>6119</v>
      </c>
      <c r="T1163" s="2" t="s">
        <v>453</v>
      </c>
      <c r="U1163" s="2" t="s">
        <v>4192</v>
      </c>
      <c r="V1163" s="2" t="s">
        <v>841</v>
      </c>
      <c r="W1163" s="2" t="s">
        <v>344</v>
      </c>
      <c r="X1163" s="2" t="s">
        <v>507</v>
      </c>
    </row>
    <row r="1164" customFormat="false" ht="15" hidden="false" customHeight="false" outlineLevel="0" collapsed="false">
      <c r="A1164" s="2" t="n">
        <v>1391</v>
      </c>
      <c r="B1164" s="2" t="s">
        <v>6084</v>
      </c>
      <c r="C1164" s="2" t="s">
        <v>6120</v>
      </c>
      <c r="D1164" s="2" t="s">
        <v>134</v>
      </c>
      <c r="E1164" s="2" t="s">
        <v>6121</v>
      </c>
      <c r="F1164" s="2" t="s">
        <v>6122</v>
      </c>
      <c r="G1164" s="2" t="s">
        <v>2191</v>
      </c>
      <c r="H1164" s="2" t="s">
        <v>716</v>
      </c>
      <c r="I1164" s="2" t="s">
        <v>74</v>
      </c>
      <c r="J1164" s="2" t="n">
        <v>-6.18</v>
      </c>
      <c r="K1164" s="2" t="n">
        <v>106.77</v>
      </c>
      <c r="L1164" s="2" t="s">
        <v>59</v>
      </c>
      <c r="M1164" s="2" t="s">
        <v>60</v>
      </c>
      <c r="N1164" s="2"/>
      <c r="O1164" s="2" t="s">
        <v>6123</v>
      </c>
      <c r="P1164" s="2"/>
      <c r="Q1164" s="2" t="s">
        <v>110</v>
      </c>
      <c r="R1164" s="2" t="n">
        <v>0.7</v>
      </c>
      <c r="S1164" s="2" t="s">
        <v>6124</v>
      </c>
      <c r="T1164" s="2" t="s">
        <v>64</v>
      </c>
      <c r="U1164" s="2" t="s">
        <v>6125</v>
      </c>
      <c r="V1164" s="2" t="s">
        <v>6126</v>
      </c>
      <c r="W1164" s="2" t="s">
        <v>538</v>
      </c>
      <c r="X1164" s="2" t="s">
        <v>507</v>
      </c>
    </row>
    <row r="1165" customFormat="false" ht="15" hidden="false" customHeight="false" outlineLevel="0" collapsed="false">
      <c r="A1165" s="2" t="n">
        <v>1391</v>
      </c>
      <c r="B1165" s="2" t="s">
        <v>6084</v>
      </c>
      <c r="C1165" s="2" t="s">
        <v>6127</v>
      </c>
      <c r="D1165" s="2" t="s">
        <v>134</v>
      </c>
      <c r="E1165" s="2" t="s">
        <v>6128</v>
      </c>
      <c r="F1165" s="2" t="s">
        <v>6129</v>
      </c>
      <c r="G1165" s="2" t="s">
        <v>4175</v>
      </c>
      <c r="H1165" s="2" t="s">
        <v>426</v>
      </c>
      <c r="I1165" s="2" t="s">
        <v>74</v>
      </c>
      <c r="J1165" s="2" t="n">
        <v>-6.2442</v>
      </c>
      <c r="K1165" s="2" t="n">
        <v>106.7835</v>
      </c>
      <c r="L1165" s="2" t="s">
        <v>124</v>
      </c>
      <c r="M1165" s="2" t="s">
        <v>60</v>
      </c>
      <c r="N1165" s="2"/>
      <c r="O1165" s="2" t="s">
        <v>6130</v>
      </c>
      <c r="P1165" s="2"/>
      <c r="Q1165" s="2" t="s">
        <v>110</v>
      </c>
      <c r="R1165" s="2" t="n">
        <v>0.7</v>
      </c>
      <c r="S1165" s="2" t="s">
        <v>6124</v>
      </c>
      <c r="T1165" s="2" t="s">
        <v>64</v>
      </c>
      <c r="U1165" s="2" t="s">
        <v>6125</v>
      </c>
      <c r="V1165" s="2" t="s">
        <v>6126</v>
      </c>
      <c r="W1165" s="2" t="s">
        <v>538</v>
      </c>
      <c r="X1165" s="2" t="s">
        <v>507</v>
      </c>
    </row>
    <row r="1166" customFormat="false" ht="15" hidden="false" customHeight="false" outlineLevel="0" collapsed="false">
      <c r="A1166" s="2" t="n">
        <v>1391</v>
      </c>
      <c r="B1166" s="2" t="s">
        <v>6084</v>
      </c>
      <c r="C1166" s="2" t="s">
        <v>6131</v>
      </c>
      <c r="D1166" s="2" t="s">
        <v>134</v>
      </c>
      <c r="E1166" s="2" t="s">
        <v>830</v>
      </c>
      <c r="F1166" s="2"/>
      <c r="G1166" s="2"/>
      <c r="H1166" s="2"/>
      <c r="I1166" s="2" t="s">
        <v>74</v>
      </c>
      <c r="J1166" s="2" t="n">
        <v>-6.2</v>
      </c>
      <c r="K1166" s="2" t="n">
        <v>106.845</v>
      </c>
      <c r="L1166" s="2" t="s">
        <v>239</v>
      </c>
      <c r="M1166" s="2" t="s">
        <v>340</v>
      </c>
      <c r="N1166" s="2"/>
      <c r="O1166" s="2" t="s">
        <v>6132</v>
      </c>
      <c r="P1166" s="2"/>
      <c r="Q1166" s="2" t="s">
        <v>110</v>
      </c>
      <c r="R1166" s="2" t="n">
        <v>0.6</v>
      </c>
      <c r="S1166" s="2" t="s">
        <v>6124</v>
      </c>
      <c r="T1166" s="2" t="s">
        <v>64</v>
      </c>
      <c r="U1166" s="2" t="s">
        <v>6125</v>
      </c>
      <c r="V1166" s="2" t="s">
        <v>6126</v>
      </c>
      <c r="W1166" s="2" t="s">
        <v>538</v>
      </c>
      <c r="X1166" s="2" t="s">
        <v>507</v>
      </c>
    </row>
    <row r="1167" customFormat="false" ht="15" hidden="false" customHeight="false" outlineLevel="0" collapsed="false">
      <c r="A1167" s="2" t="n">
        <v>1392</v>
      </c>
      <c r="B1167" s="2" t="s">
        <v>6084</v>
      </c>
      <c r="C1167" s="2" t="s">
        <v>6133</v>
      </c>
      <c r="D1167" s="2" t="s">
        <v>351</v>
      </c>
      <c r="E1167" s="2" t="s">
        <v>6134</v>
      </c>
      <c r="F1167" s="2" t="s">
        <v>714</v>
      </c>
      <c r="G1167" s="2" t="s">
        <v>715</v>
      </c>
      <c r="H1167" s="2" t="s">
        <v>716</v>
      </c>
      <c r="I1167" s="2" t="s">
        <v>74</v>
      </c>
      <c r="J1167" s="2" t="n">
        <v>-6.176</v>
      </c>
      <c r="K1167" s="2" t="n">
        <v>106.785</v>
      </c>
      <c r="L1167" s="2" t="s">
        <v>59</v>
      </c>
      <c r="M1167" s="2" t="s">
        <v>60</v>
      </c>
      <c r="N1167" s="2"/>
      <c r="O1167" s="2" t="s">
        <v>6135</v>
      </c>
      <c r="P1167" s="2"/>
      <c r="Q1167" s="2" t="s">
        <v>110</v>
      </c>
      <c r="R1167" s="2" t="n">
        <v>0.4</v>
      </c>
      <c r="S1167" s="2" t="s">
        <v>6136</v>
      </c>
      <c r="T1167" s="2" t="s">
        <v>2239</v>
      </c>
      <c r="U1167" s="2" t="s">
        <v>4199</v>
      </c>
      <c r="V1167" s="2" t="s">
        <v>158</v>
      </c>
      <c r="W1167" s="2" t="s">
        <v>1768</v>
      </c>
      <c r="X1167" s="2" t="s">
        <v>160</v>
      </c>
    </row>
    <row r="1168" customFormat="false" ht="15" hidden="false" customHeight="false" outlineLevel="0" collapsed="false">
      <c r="A1168" s="2" t="n">
        <v>1393</v>
      </c>
      <c r="B1168" s="2" t="s">
        <v>6084</v>
      </c>
      <c r="C1168" s="2" t="s">
        <v>6133</v>
      </c>
      <c r="D1168" s="2" t="s">
        <v>351</v>
      </c>
      <c r="E1168" s="2" t="s">
        <v>6137</v>
      </c>
      <c r="F1168" s="2" t="s">
        <v>714</v>
      </c>
      <c r="G1168" s="2" t="s">
        <v>715</v>
      </c>
      <c r="H1168" s="2" t="s">
        <v>716</v>
      </c>
      <c r="I1168" s="2" t="s">
        <v>74</v>
      </c>
      <c r="J1168" s="2" t="n">
        <v>-6.176</v>
      </c>
      <c r="K1168" s="2" t="n">
        <v>106.785</v>
      </c>
      <c r="L1168" s="2" t="s">
        <v>59</v>
      </c>
      <c r="M1168" s="2" t="s">
        <v>60</v>
      </c>
      <c r="N1168" s="2"/>
      <c r="O1168" s="2" t="s">
        <v>6138</v>
      </c>
      <c r="P1168" s="2" t="s">
        <v>6139</v>
      </c>
      <c r="Q1168" s="2" t="s">
        <v>110</v>
      </c>
      <c r="R1168" s="2" t="n">
        <v>0.4</v>
      </c>
      <c r="S1168" s="2" t="s">
        <v>6140</v>
      </c>
      <c r="T1168" s="2" t="s">
        <v>6141</v>
      </c>
      <c r="U1168" s="2" t="s">
        <v>4205</v>
      </c>
      <c r="V1168" s="2" t="s">
        <v>245</v>
      </c>
      <c r="W1168" s="2" t="s">
        <v>4206</v>
      </c>
      <c r="X1168" s="2" t="s">
        <v>507</v>
      </c>
    </row>
    <row r="1169" customFormat="false" ht="15" hidden="false" customHeight="false" outlineLevel="0" collapsed="false">
      <c r="A1169" s="2" t="n">
        <v>1396</v>
      </c>
      <c r="B1169" s="2" t="s">
        <v>6084</v>
      </c>
      <c r="C1169" s="2" t="s">
        <v>6142</v>
      </c>
      <c r="D1169" s="2" t="s">
        <v>121</v>
      </c>
      <c r="E1169" s="2" t="s">
        <v>6143</v>
      </c>
      <c r="F1169" s="2" t="s">
        <v>6100</v>
      </c>
      <c r="G1169" s="2" t="s">
        <v>2339</v>
      </c>
      <c r="H1169" s="2" t="s">
        <v>716</v>
      </c>
      <c r="I1169" s="2" t="s">
        <v>74</v>
      </c>
      <c r="J1169" s="2" t="n">
        <v>-6.144</v>
      </c>
      <c r="K1169" s="2" t="n">
        <v>106.812</v>
      </c>
      <c r="L1169" s="2" t="s">
        <v>59</v>
      </c>
      <c r="M1169" s="2" t="s">
        <v>60</v>
      </c>
      <c r="N1169" s="2"/>
      <c r="O1169" s="2" t="s">
        <v>6144</v>
      </c>
      <c r="P1169" s="2" t="s">
        <v>5677</v>
      </c>
      <c r="Q1169" s="2" t="s">
        <v>62</v>
      </c>
      <c r="R1169" s="2" t="n">
        <v>0.8</v>
      </c>
      <c r="S1169" s="2" t="s">
        <v>6145</v>
      </c>
      <c r="T1169" s="2" t="s">
        <v>1498</v>
      </c>
      <c r="U1169" s="2" t="s">
        <v>6146</v>
      </c>
      <c r="V1169" s="2" t="s">
        <v>245</v>
      </c>
      <c r="W1169" s="2" t="s">
        <v>2162</v>
      </c>
      <c r="X1169" s="2" t="s">
        <v>507</v>
      </c>
    </row>
    <row r="1170" customFormat="false" ht="15" hidden="false" customHeight="false" outlineLevel="0" collapsed="false">
      <c r="A1170" s="2" t="n">
        <v>1397</v>
      </c>
      <c r="B1170" s="2" t="s">
        <v>6084</v>
      </c>
      <c r="C1170" s="2" t="s">
        <v>6147</v>
      </c>
      <c r="D1170" s="2" t="s">
        <v>121</v>
      </c>
      <c r="E1170" s="2" t="s">
        <v>6148</v>
      </c>
      <c r="F1170" s="2" t="s">
        <v>714</v>
      </c>
      <c r="G1170" s="2" t="s">
        <v>715</v>
      </c>
      <c r="H1170" s="2" t="s">
        <v>716</v>
      </c>
      <c r="I1170" s="2" t="s">
        <v>74</v>
      </c>
      <c r="J1170" s="2" t="n">
        <v>-6.1771</v>
      </c>
      <c r="K1170" s="2" t="n">
        <v>106.7907</v>
      </c>
      <c r="L1170" s="2" t="s">
        <v>124</v>
      </c>
      <c r="M1170" s="2" t="s">
        <v>60</v>
      </c>
      <c r="N1170" s="2" t="s">
        <v>6149</v>
      </c>
      <c r="O1170" s="2" t="s">
        <v>6150</v>
      </c>
      <c r="P1170" s="2" t="s">
        <v>6151</v>
      </c>
      <c r="Q1170" s="2" t="s">
        <v>62</v>
      </c>
      <c r="R1170" s="2" t="n">
        <v>0.6</v>
      </c>
      <c r="S1170" s="2" t="s">
        <v>6152</v>
      </c>
      <c r="T1170" s="2" t="s">
        <v>6153</v>
      </c>
      <c r="U1170" s="2" t="s">
        <v>4239</v>
      </c>
      <c r="V1170" s="2" t="s">
        <v>1170</v>
      </c>
      <c r="W1170" s="2" t="s">
        <v>246</v>
      </c>
      <c r="X1170" s="2" t="s">
        <v>507</v>
      </c>
    </row>
    <row r="1171" customFormat="false" ht="15" hidden="false" customHeight="false" outlineLevel="0" collapsed="false">
      <c r="A1171" s="2" t="n">
        <v>1398</v>
      </c>
      <c r="B1171" s="2" t="s">
        <v>6084</v>
      </c>
      <c r="C1171" s="2" t="s">
        <v>6154</v>
      </c>
      <c r="D1171" s="2" t="s">
        <v>121</v>
      </c>
      <c r="E1171" s="2" t="s">
        <v>6155</v>
      </c>
      <c r="F1171" s="2" t="s">
        <v>123</v>
      </c>
      <c r="G1171" s="2" t="s">
        <v>72</v>
      </c>
      <c r="H1171" s="2" t="s">
        <v>73</v>
      </c>
      <c r="I1171" s="2" t="s">
        <v>74</v>
      </c>
      <c r="J1171" s="2" t="n">
        <v>-6.218</v>
      </c>
      <c r="K1171" s="2" t="n">
        <v>106.803</v>
      </c>
      <c r="L1171" s="2" t="s">
        <v>59</v>
      </c>
      <c r="M1171" s="2" t="s">
        <v>60</v>
      </c>
      <c r="N1171" s="2"/>
      <c r="O1171" s="2" t="s">
        <v>6156</v>
      </c>
      <c r="P1171" s="2" t="s">
        <v>6157</v>
      </c>
      <c r="Q1171" s="2" t="s">
        <v>62</v>
      </c>
      <c r="R1171" s="2" t="n">
        <v>0.7</v>
      </c>
      <c r="S1171" s="2" t="s">
        <v>6158</v>
      </c>
      <c r="T1171" s="2" t="s">
        <v>6159</v>
      </c>
      <c r="U1171" s="2" t="s">
        <v>4244</v>
      </c>
      <c r="V1171" s="2" t="s">
        <v>189</v>
      </c>
      <c r="W1171" s="2" t="s">
        <v>1810</v>
      </c>
      <c r="X1171" s="2" t="s">
        <v>507</v>
      </c>
    </row>
    <row r="1172" customFormat="false" ht="15" hidden="false" customHeight="false" outlineLevel="0" collapsed="false">
      <c r="A1172" s="2" t="n">
        <v>1400</v>
      </c>
      <c r="B1172" s="2" t="s">
        <v>6084</v>
      </c>
      <c r="C1172" s="2" t="s">
        <v>6160</v>
      </c>
      <c r="D1172" s="2" t="s">
        <v>53</v>
      </c>
      <c r="E1172" s="2" t="s">
        <v>6161</v>
      </c>
      <c r="F1172" s="2" t="s">
        <v>6162</v>
      </c>
      <c r="G1172" s="2" t="s">
        <v>197</v>
      </c>
      <c r="H1172" s="2" t="s">
        <v>198</v>
      </c>
      <c r="I1172" s="2" t="s">
        <v>74</v>
      </c>
      <c r="J1172" s="2" t="n">
        <v>-6.195</v>
      </c>
      <c r="K1172" s="2" t="n">
        <v>106.89</v>
      </c>
      <c r="L1172" s="2" t="s">
        <v>59</v>
      </c>
      <c r="M1172" s="2" t="s">
        <v>60</v>
      </c>
      <c r="N1172" s="2"/>
      <c r="O1172" s="2" t="s">
        <v>6163</v>
      </c>
      <c r="P1172" s="2"/>
      <c r="Q1172" s="2" t="s">
        <v>62</v>
      </c>
      <c r="R1172" s="2" t="n">
        <v>0.7</v>
      </c>
      <c r="S1172" s="2" t="s">
        <v>6164</v>
      </c>
      <c r="T1172" s="2" t="s">
        <v>64</v>
      </c>
      <c r="U1172" s="2" t="s">
        <v>4256</v>
      </c>
      <c r="V1172" s="2" t="s">
        <v>1500</v>
      </c>
      <c r="W1172" s="2" t="s">
        <v>3469</v>
      </c>
      <c r="X1172" s="2" t="s">
        <v>507</v>
      </c>
    </row>
    <row r="1173" customFormat="false" ht="15" hidden="false" customHeight="false" outlineLevel="0" collapsed="false">
      <c r="A1173" s="2" t="n">
        <v>1400</v>
      </c>
      <c r="B1173" s="2" t="s">
        <v>6084</v>
      </c>
      <c r="C1173" s="2" t="s">
        <v>6165</v>
      </c>
      <c r="D1173" s="2" t="s">
        <v>53</v>
      </c>
      <c r="E1173" s="2" t="s">
        <v>6166</v>
      </c>
      <c r="F1173" s="2" t="s">
        <v>196</v>
      </c>
      <c r="G1173" s="2" t="s">
        <v>197</v>
      </c>
      <c r="H1173" s="2" t="s">
        <v>198</v>
      </c>
      <c r="I1173" s="2" t="s">
        <v>74</v>
      </c>
      <c r="J1173" s="2" t="n">
        <v>-6.198</v>
      </c>
      <c r="K1173" s="2" t="n">
        <v>106.884</v>
      </c>
      <c r="L1173" s="2" t="s">
        <v>59</v>
      </c>
      <c r="M1173" s="2" t="s">
        <v>60</v>
      </c>
      <c r="N1173" s="2"/>
      <c r="O1173" s="2" t="s">
        <v>6167</v>
      </c>
      <c r="P1173" s="2"/>
      <c r="Q1173" s="2" t="s">
        <v>62</v>
      </c>
      <c r="R1173" s="2" t="n">
        <v>0.7</v>
      </c>
      <c r="S1173" s="2" t="s">
        <v>6164</v>
      </c>
      <c r="T1173" s="2" t="s">
        <v>64</v>
      </c>
      <c r="U1173" s="2" t="s">
        <v>4256</v>
      </c>
      <c r="V1173" s="2" t="s">
        <v>1500</v>
      </c>
      <c r="W1173" s="2" t="s">
        <v>3469</v>
      </c>
      <c r="X1173" s="2" t="s">
        <v>507</v>
      </c>
    </row>
    <row r="1174" customFormat="false" ht="15" hidden="false" customHeight="false" outlineLevel="0" collapsed="false">
      <c r="A1174" s="2" t="n">
        <v>1401</v>
      </c>
      <c r="B1174" s="2" t="s">
        <v>6084</v>
      </c>
      <c r="C1174" s="2" t="s">
        <v>6168</v>
      </c>
      <c r="D1174" s="2" t="s">
        <v>53</v>
      </c>
      <c r="E1174" s="2" t="s">
        <v>6169</v>
      </c>
      <c r="F1174" s="2" t="s">
        <v>196</v>
      </c>
      <c r="G1174" s="2" t="s">
        <v>197</v>
      </c>
      <c r="H1174" s="2" t="s">
        <v>198</v>
      </c>
      <c r="I1174" s="2" t="s">
        <v>74</v>
      </c>
      <c r="J1174" s="2" t="n">
        <v>-6.198</v>
      </c>
      <c r="K1174" s="2" t="n">
        <v>106.884</v>
      </c>
      <c r="L1174" s="2" t="s">
        <v>59</v>
      </c>
      <c r="M1174" s="2" t="s">
        <v>60</v>
      </c>
      <c r="N1174" s="2"/>
      <c r="O1174" s="2" t="s">
        <v>6170</v>
      </c>
      <c r="P1174" s="2"/>
      <c r="Q1174" s="2" t="s">
        <v>62</v>
      </c>
      <c r="R1174" s="2" t="n">
        <v>0.65</v>
      </c>
      <c r="S1174" s="2" t="s">
        <v>6171</v>
      </c>
      <c r="T1174" s="2" t="s">
        <v>418</v>
      </c>
      <c r="U1174" s="2" t="s">
        <v>6172</v>
      </c>
      <c r="V1174" s="2" t="s">
        <v>745</v>
      </c>
      <c r="W1174" s="2" t="s">
        <v>3787</v>
      </c>
      <c r="X1174" s="2" t="s">
        <v>507</v>
      </c>
    </row>
    <row r="1175" customFormat="false" ht="15" hidden="false" customHeight="false" outlineLevel="0" collapsed="false">
      <c r="A1175" s="2" t="n">
        <v>1401</v>
      </c>
      <c r="B1175" s="2" t="s">
        <v>6084</v>
      </c>
      <c r="C1175" s="2" t="s">
        <v>6173</v>
      </c>
      <c r="D1175" s="2" t="s">
        <v>53</v>
      </c>
      <c r="E1175" s="2" t="s">
        <v>6174</v>
      </c>
      <c r="F1175" s="2" t="s">
        <v>196</v>
      </c>
      <c r="G1175" s="2" t="s">
        <v>197</v>
      </c>
      <c r="H1175" s="2" t="s">
        <v>198</v>
      </c>
      <c r="I1175" s="2" t="s">
        <v>74</v>
      </c>
      <c r="J1175" s="2" t="n">
        <v>-6.198</v>
      </c>
      <c r="K1175" s="2" t="n">
        <v>106.884</v>
      </c>
      <c r="L1175" s="2" t="s">
        <v>59</v>
      </c>
      <c r="M1175" s="2" t="s">
        <v>60</v>
      </c>
      <c r="N1175" s="2"/>
      <c r="O1175" s="2" t="s">
        <v>6175</v>
      </c>
      <c r="P1175" s="2"/>
      <c r="Q1175" s="2" t="s">
        <v>62</v>
      </c>
      <c r="R1175" s="2" t="n">
        <v>0.75</v>
      </c>
      <c r="S1175" s="2" t="s">
        <v>6171</v>
      </c>
      <c r="T1175" s="2" t="s">
        <v>418</v>
      </c>
      <c r="U1175" s="2" t="s">
        <v>6172</v>
      </c>
      <c r="V1175" s="2" t="s">
        <v>745</v>
      </c>
      <c r="W1175" s="2" t="s">
        <v>3787</v>
      </c>
      <c r="X1175" s="2" t="s">
        <v>507</v>
      </c>
    </row>
    <row r="1176" customFormat="false" ht="15" hidden="false" customHeight="false" outlineLevel="0" collapsed="false">
      <c r="A1176" s="2" t="n">
        <v>1401</v>
      </c>
      <c r="B1176" s="2" t="s">
        <v>6084</v>
      </c>
      <c r="C1176" s="2" t="s">
        <v>6176</v>
      </c>
      <c r="D1176" s="2" t="s">
        <v>53</v>
      </c>
      <c r="E1176" s="2" t="s">
        <v>6166</v>
      </c>
      <c r="F1176" s="2" t="s">
        <v>196</v>
      </c>
      <c r="G1176" s="2" t="s">
        <v>197</v>
      </c>
      <c r="H1176" s="2" t="s">
        <v>198</v>
      </c>
      <c r="I1176" s="2" t="s">
        <v>74</v>
      </c>
      <c r="J1176" s="2" t="n">
        <v>-6.198</v>
      </c>
      <c r="K1176" s="2" t="n">
        <v>106.884</v>
      </c>
      <c r="L1176" s="2" t="s">
        <v>59</v>
      </c>
      <c r="M1176" s="2" t="s">
        <v>60</v>
      </c>
      <c r="N1176" s="2"/>
      <c r="O1176" s="2" t="s">
        <v>6177</v>
      </c>
      <c r="P1176" s="2"/>
      <c r="Q1176" s="2" t="s">
        <v>62</v>
      </c>
      <c r="R1176" s="2" t="n">
        <v>0.65</v>
      </c>
      <c r="S1176" s="2" t="s">
        <v>6171</v>
      </c>
      <c r="T1176" s="2" t="s">
        <v>418</v>
      </c>
      <c r="U1176" s="2" t="s">
        <v>6172</v>
      </c>
      <c r="V1176" s="2" t="s">
        <v>745</v>
      </c>
      <c r="W1176" s="2" t="s">
        <v>3787</v>
      </c>
      <c r="X1176" s="2" t="s">
        <v>507</v>
      </c>
    </row>
    <row r="1177" customFormat="false" ht="15" hidden="false" customHeight="false" outlineLevel="0" collapsed="false">
      <c r="A1177" s="2" t="n">
        <v>1402</v>
      </c>
      <c r="B1177" s="2" t="s">
        <v>6084</v>
      </c>
      <c r="C1177" s="2" t="s">
        <v>6178</v>
      </c>
      <c r="D1177" s="2" t="s">
        <v>53</v>
      </c>
      <c r="E1177" s="2" t="s">
        <v>6179</v>
      </c>
      <c r="F1177" s="2" t="s">
        <v>6180</v>
      </c>
      <c r="G1177" s="2" t="s">
        <v>6181</v>
      </c>
      <c r="H1177" s="2" t="s">
        <v>198</v>
      </c>
      <c r="I1177" s="2" t="s">
        <v>74</v>
      </c>
      <c r="J1177" s="2" t="n">
        <v>-6.21</v>
      </c>
      <c r="K1177" s="2" t="n">
        <v>106.95</v>
      </c>
      <c r="L1177" s="2" t="s">
        <v>59</v>
      </c>
      <c r="M1177" s="2" t="s">
        <v>60</v>
      </c>
      <c r="N1177" s="2"/>
      <c r="O1177" s="2" t="s">
        <v>6182</v>
      </c>
      <c r="P1177" s="2"/>
      <c r="Q1177" s="2" t="s">
        <v>62</v>
      </c>
      <c r="R1177" s="2" t="n">
        <v>0.7</v>
      </c>
      <c r="S1177" s="2" t="s">
        <v>6183</v>
      </c>
      <c r="T1177" s="2" t="s">
        <v>1135</v>
      </c>
      <c r="U1177" s="2" t="s">
        <v>4265</v>
      </c>
      <c r="V1177" s="2" t="s">
        <v>97</v>
      </c>
      <c r="W1177" s="2" t="s">
        <v>1266</v>
      </c>
      <c r="X1177" s="2" t="s">
        <v>507</v>
      </c>
    </row>
    <row r="1178" customFormat="false" ht="15" hidden="false" customHeight="false" outlineLevel="0" collapsed="false">
      <c r="A1178" s="2" t="n">
        <v>1403</v>
      </c>
      <c r="B1178" s="2" t="s">
        <v>6084</v>
      </c>
      <c r="C1178" s="2" t="s">
        <v>6184</v>
      </c>
      <c r="D1178" s="2" t="s">
        <v>53</v>
      </c>
      <c r="E1178" s="2" t="s">
        <v>6185</v>
      </c>
      <c r="F1178" s="2"/>
      <c r="G1178" s="2" t="s">
        <v>208</v>
      </c>
      <c r="H1178" s="2" t="s">
        <v>198</v>
      </c>
      <c r="I1178" s="2" t="s">
        <v>74</v>
      </c>
      <c r="J1178" s="2" t="n">
        <v>-6.22</v>
      </c>
      <c r="K1178" s="2" t="n">
        <v>106.87</v>
      </c>
      <c r="L1178" s="2" t="s">
        <v>84</v>
      </c>
      <c r="M1178" s="2" t="s">
        <v>60</v>
      </c>
      <c r="N1178" s="2"/>
      <c r="O1178" s="2" t="s">
        <v>6186</v>
      </c>
      <c r="P1178" s="2"/>
      <c r="Q1178" s="2" t="s">
        <v>62</v>
      </c>
      <c r="R1178" s="2" t="n">
        <v>0.75</v>
      </c>
      <c r="S1178" s="2" t="s">
        <v>6187</v>
      </c>
      <c r="T1178" s="2" t="s">
        <v>64</v>
      </c>
      <c r="U1178" s="2" t="s">
        <v>6188</v>
      </c>
      <c r="V1178" s="2" t="s">
        <v>494</v>
      </c>
      <c r="W1178" s="2" t="s">
        <v>2037</v>
      </c>
      <c r="X1178" s="2" t="s">
        <v>160</v>
      </c>
    </row>
    <row r="1179" customFormat="false" ht="15" hidden="false" customHeight="false" outlineLevel="0" collapsed="false">
      <c r="A1179" s="2" t="n">
        <v>1403</v>
      </c>
      <c r="B1179" s="2" t="s">
        <v>6084</v>
      </c>
      <c r="C1179" s="2" t="s">
        <v>6189</v>
      </c>
      <c r="D1179" s="2" t="s">
        <v>53</v>
      </c>
      <c r="E1179" s="2" t="s">
        <v>6190</v>
      </c>
      <c r="F1179" s="2"/>
      <c r="G1179" s="2" t="s">
        <v>208</v>
      </c>
      <c r="H1179" s="2" t="s">
        <v>198</v>
      </c>
      <c r="I1179" s="2" t="s">
        <v>74</v>
      </c>
      <c r="J1179" s="2" t="n">
        <v>-6.22</v>
      </c>
      <c r="K1179" s="2" t="n">
        <v>106.87</v>
      </c>
      <c r="L1179" s="2" t="s">
        <v>84</v>
      </c>
      <c r="M1179" s="2" t="s">
        <v>60</v>
      </c>
      <c r="N1179" s="2"/>
      <c r="O1179" s="2" t="s">
        <v>6191</v>
      </c>
      <c r="P1179" s="2"/>
      <c r="Q1179" s="2" t="s">
        <v>62</v>
      </c>
      <c r="R1179" s="2" t="n">
        <v>0.75</v>
      </c>
      <c r="S1179" s="2" t="s">
        <v>6187</v>
      </c>
      <c r="T1179" s="2" t="s">
        <v>64</v>
      </c>
      <c r="U1179" s="2" t="s">
        <v>6188</v>
      </c>
      <c r="V1179" s="2" t="s">
        <v>494</v>
      </c>
      <c r="W1179" s="2" t="s">
        <v>2037</v>
      </c>
      <c r="X1179" s="2" t="s">
        <v>160</v>
      </c>
    </row>
    <row r="1180" customFormat="false" ht="15" hidden="false" customHeight="false" outlineLevel="0" collapsed="false">
      <c r="A1180" s="2" t="n">
        <v>1404</v>
      </c>
      <c r="B1180" s="2" t="s">
        <v>6084</v>
      </c>
      <c r="C1180" s="2" t="s">
        <v>6192</v>
      </c>
      <c r="D1180" s="2" t="s">
        <v>53</v>
      </c>
      <c r="E1180" s="2" t="s">
        <v>6193</v>
      </c>
      <c r="F1180" s="2"/>
      <c r="G1180" s="2"/>
      <c r="H1180" s="2" t="s">
        <v>198</v>
      </c>
      <c r="I1180" s="2" t="s">
        <v>74</v>
      </c>
      <c r="J1180" s="2" t="n">
        <v>-6.225</v>
      </c>
      <c r="K1180" s="2" t="n">
        <v>106.9</v>
      </c>
      <c r="L1180" s="2" t="s">
        <v>101</v>
      </c>
      <c r="M1180" s="2" t="s">
        <v>60</v>
      </c>
      <c r="N1180" s="2"/>
      <c r="O1180" s="2" t="s">
        <v>6194</v>
      </c>
      <c r="P1180" s="2"/>
      <c r="Q1180" s="2" t="s">
        <v>62</v>
      </c>
      <c r="R1180" s="2" t="n">
        <v>0.8</v>
      </c>
      <c r="S1180" s="2" t="s">
        <v>6195</v>
      </c>
      <c r="T1180" s="2" t="s">
        <v>64</v>
      </c>
      <c r="U1180" s="2" t="s">
        <v>4274</v>
      </c>
      <c r="V1180" s="2" t="s">
        <v>4275</v>
      </c>
      <c r="W1180" s="2" t="s">
        <v>4276</v>
      </c>
      <c r="X1180" s="2" t="s">
        <v>507</v>
      </c>
    </row>
    <row r="1181" customFormat="false" ht="15" hidden="false" customHeight="false" outlineLevel="0" collapsed="false">
      <c r="A1181" s="2" t="n">
        <v>1405</v>
      </c>
      <c r="B1181" s="2" t="s">
        <v>6084</v>
      </c>
      <c r="C1181" s="2" t="s">
        <v>6192</v>
      </c>
      <c r="D1181" s="2" t="s">
        <v>53</v>
      </c>
      <c r="E1181" s="2" t="s">
        <v>6196</v>
      </c>
      <c r="F1181" s="2"/>
      <c r="G1181" s="2"/>
      <c r="H1181" s="2" t="s">
        <v>198</v>
      </c>
      <c r="I1181" s="2" t="s">
        <v>74</v>
      </c>
      <c r="J1181" s="2" t="n">
        <v>-6.225</v>
      </c>
      <c r="K1181" s="2" t="n">
        <v>106.9</v>
      </c>
      <c r="L1181" s="2" t="s">
        <v>101</v>
      </c>
      <c r="M1181" s="2" t="s">
        <v>60</v>
      </c>
      <c r="N1181" s="2"/>
      <c r="O1181" s="2" t="s">
        <v>6197</v>
      </c>
      <c r="P1181" s="2" t="s">
        <v>6198</v>
      </c>
      <c r="Q1181" s="2" t="s">
        <v>110</v>
      </c>
      <c r="R1181" s="2" t="n">
        <v>0.8</v>
      </c>
      <c r="S1181" s="2" t="s">
        <v>6199</v>
      </c>
      <c r="T1181" s="2" t="s">
        <v>64</v>
      </c>
      <c r="U1181" s="2" t="s">
        <v>4281</v>
      </c>
      <c r="V1181" s="2" t="s">
        <v>158</v>
      </c>
      <c r="W1181" s="2" t="s">
        <v>1700</v>
      </c>
      <c r="X1181" s="2" t="s">
        <v>507</v>
      </c>
    </row>
    <row r="1182" customFormat="false" ht="15" hidden="false" customHeight="false" outlineLevel="0" collapsed="false">
      <c r="A1182" s="2" t="n">
        <v>1406</v>
      </c>
      <c r="B1182" s="2" t="s">
        <v>6084</v>
      </c>
      <c r="C1182" s="2" t="s">
        <v>6200</v>
      </c>
      <c r="D1182" s="2" t="s">
        <v>121</v>
      </c>
      <c r="E1182" s="2" t="s">
        <v>3304</v>
      </c>
      <c r="F1182" s="2"/>
      <c r="G1182" s="2"/>
      <c r="H1182" s="2" t="s">
        <v>198</v>
      </c>
      <c r="I1182" s="2" t="s">
        <v>74</v>
      </c>
      <c r="J1182" s="2" t="n">
        <v>-6.225</v>
      </c>
      <c r="K1182" s="2" t="n">
        <v>106.9</v>
      </c>
      <c r="L1182" s="2" t="s">
        <v>101</v>
      </c>
      <c r="M1182" s="2" t="s">
        <v>60</v>
      </c>
      <c r="N1182" s="2"/>
      <c r="O1182" s="2" t="s">
        <v>6201</v>
      </c>
      <c r="P1182" s="2"/>
      <c r="Q1182" s="2" t="s">
        <v>62</v>
      </c>
      <c r="R1182" s="2" t="n">
        <v>0.6</v>
      </c>
      <c r="S1182" s="2" t="s">
        <v>6202</v>
      </c>
      <c r="T1182" s="2" t="s">
        <v>2239</v>
      </c>
      <c r="U1182" s="2" t="s">
        <v>4288</v>
      </c>
      <c r="V1182" s="2" t="s">
        <v>4289</v>
      </c>
      <c r="W1182" s="2" t="s">
        <v>4290</v>
      </c>
      <c r="X1182" s="2" t="s">
        <v>507</v>
      </c>
    </row>
    <row r="1183" customFormat="false" ht="15" hidden="false" customHeight="false" outlineLevel="0" collapsed="false">
      <c r="A1183" s="2" t="n">
        <v>1407</v>
      </c>
      <c r="B1183" s="2" t="s">
        <v>6084</v>
      </c>
      <c r="C1183" s="2" t="s">
        <v>6203</v>
      </c>
      <c r="D1183" s="2" t="s">
        <v>134</v>
      </c>
      <c r="E1183" s="2" t="s">
        <v>6204</v>
      </c>
      <c r="F1183" s="2"/>
      <c r="G1183" s="2"/>
      <c r="H1183" s="2" t="s">
        <v>198</v>
      </c>
      <c r="I1183" s="2" t="s">
        <v>74</v>
      </c>
      <c r="J1183" s="2" t="n">
        <v>-6.225</v>
      </c>
      <c r="K1183" s="2" t="n">
        <v>106.9</v>
      </c>
      <c r="L1183" s="2" t="s">
        <v>101</v>
      </c>
      <c r="M1183" s="2" t="s">
        <v>60</v>
      </c>
      <c r="N1183" s="2" t="s">
        <v>6205</v>
      </c>
      <c r="O1183" s="2" t="s">
        <v>6206</v>
      </c>
      <c r="P1183" s="2"/>
      <c r="Q1183" s="2" t="s">
        <v>62</v>
      </c>
      <c r="R1183" s="2" t="n">
        <v>0.75</v>
      </c>
      <c r="S1183" s="2" t="s">
        <v>6207</v>
      </c>
      <c r="T1183" s="2" t="s">
        <v>112</v>
      </c>
      <c r="U1183" s="2" t="s">
        <v>4298</v>
      </c>
      <c r="V1183" s="2" t="s">
        <v>4299</v>
      </c>
      <c r="W1183" s="2" t="s">
        <v>604</v>
      </c>
      <c r="X1183" s="2" t="s">
        <v>507</v>
      </c>
    </row>
    <row r="1184" customFormat="false" ht="15" hidden="false" customHeight="false" outlineLevel="0" collapsed="false">
      <c r="A1184" s="2" t="n">
        <v>1407</v>
      </c>
      <c r="B1184" s="2" t="s">
        <v>6084</v>
      </c>
      <c r="C1184" s="2" t="s">
        <v>6208</v>
      </c>
      <c r="D1184" s="2" t="s">
        <v>53</v>
      </c>
      <c r="E1184" s="2" t="s">
        <v>6209</v>
      </c>
      <c r="F1184" s="2" t="s">
        <v>6162</v>
      </c>
      <c r="G1184" s="2" t="s">
        <v>197</v>
      </c>
      <c r="H1184" s="2" t="s">
        <v>198</v>
      </c>
      <c r="I1184" s="2" t="s">
        <v>74</v>
      </c>
      <c r="J1184" s="2" t="n">
        <v>-6.195</v>
      </c>
      <c r="K1184" s="2" t="n">
        <v>106.886</v>
      </c>
      <c r="L1184" s="2" t="s">
        <v>59</v>
      </c>
      <c r="M1184" s="2" t="s">
        <v>60</v>
      </c>
      <c r="N1184" s="2"/>
      <c r="O1184" s="2" t="s">
        <v>6210</v>
      </c>
      <c r="P1184" s="2"/>
      <c r="Q1184" s="2" t="s">
        <v>62</v>
      </c>
      <c r="R1184" s="2" t="n">
        <v>0.7</v>
      </c>
      <c r="S1184" s="2" t="s">
        <v>6207</v>
      </c>
      <c r="T1184" s="2" t="s">
        <v>112</v>
      </c>
      <c r="U1184" s="2" t="s">
        <v>4298</v>
      </c>
      <c r="V1184" s="2" t="s">
        <v>4299</v>
      </c>
      <c r="W1184" s="2" t="s">
        <v>604</v>
      </c>
      <c r="X1184" s="2" t="s">
        <v>507</v>
      </c>
    </row>
    <row r="1185" customFormat="false" ht="15" hidden="false" customHeight="false" outlineLevel="0" collapsed="false">
      <c r="A1185" s="2" t="n">
        <v>1407</v>
      </c>
      <c r="B1185" s="2" t="s">
        <v>6084</v>
      </c>
      <c r="C1185" s="2" t="s">
        <v>6211</v>
      </c>
      <c r="D1185" s="2" t="s">
        <v>53</v>
      </c>
      <c r="E1185" s="2" t="s">
        <v>6212</v>
      </c>
      <c r="F1185" s="2"/>
      <c r="G1185" s="2"/>
      <c r="H1185" s="2" t="s">
        <v>198</v>
      </c>
      <c r="I1185" s="2" t="s">
        <v>74</v>
      </c>
      <c r="J1185" s="2" t="n">
        <v>-6.225</v>
      </c>
      <c r="K1185" s="2" t="n">
        <v>106.9</v>
      </c>
      <c r="L1185" s="2" t="s">
        <v>101</v>
      </c>
      <c r="M1185" s="2" t="s">
        <v>60</v>
      </c>
      <c r="N1185" s="2" t="s">
        <v>6213</v>
      </c>
      <c r="O1185" s="2" t="s">
        <v>6214</v>
      </c>
      <c r="P1185" s="2"/>
      <c r="Q1185" s="2" t="s">
        <v>62</v>
      </c>
      <c r="R1185" s="2" t="n">
        <v>0.55</v>
      </c>
      <c r="S1185" s="2" t="s">
        <v>6207</v>
      </c>
      <c r="T1185" s="2" t="s">
        <v>112</v>
      </c>
      <c r="U1185" s="2" t="s">
        <v>4298</v>
      </c>
      <c r="V1185" s="2" t="s">
        <v>4299</v>
      </c>
      <c r="W1185" s="2" t="s">
        <v>604</v>
      </c>
      <c r="X1185" s="2" t="s">
        <v>507</v>
      </c>
    </row>
    <row r="1186" customFormat="false" ht="15" hidden="false" customHeight="false" outlineLevel="0" collapsed="false">
      <c r="A1186" s="2" t="n">
        <v>1413</v>
      </c>
      <c r="B1186" s="2" t="s">
        <v>6215</v>
      </c>
      <c r="C1186" s="2" t="s">
        <v>6216</v>
      </c>
      <c r="D1186" s="2" t="s">
        <v>351</v>
      </c>
      <c r="E1186" s="2" t="s">
        <v>6217</v>
      </c>
      <c r="F1186" s="2" t="s">
        <v>6218</v>
      </c>
      <c r="G1186" s="2" t="s">
        <v>6219</v>
      </c>
      <c r="H1186" s="2" t="s">
        <v>198</v>
      </c>
      <c r="I1186" s="2" t="s">
        <v>74</v>
      </c>
      <c r="J1186" s="2" t="n">
        <v>-6.2767</v>
      </c>
      <c r="K1186" s="2" t="n">
        <v>106.867</v>
      </c>
      <c r="L1186" s="2" t="s">
        <v>124</v>
      </c>
      <c r="M1186" s="2" t="s">
        <v>60</v>
      </c>
      <c r="N1186" s="2"/>
      <c r="O1186" s="2" t="s">
        <v>6220</v>
      </c>
      <c r="P1186" s="2" t="s">
        <v>6221</v>
      </c>
      <c r="Q1186" s="2" t="s">
        <v>110</v>
      </c>
      <c r="R1186" s="2" t="n">
        <v>0.4</v>
      </c>
      <c r="S1186" s="2" t="s">
        <v>6222</v>
      </c>
      <c r="T1186" s="2" t="s">
        <v>3313</v>
      </c>
      <c r="U1186" s="2" t="s">
        <v>6223</v>
      </c>
      <c r="V1186" s="2" t="s">
        <v>696</v>
      </c>
      <c r="W1186" s="2" t="s">
        <v>3469</v>
      </c>
      <c r="X1186" s="2" t="s">
        <v>507</v>
      </c>
    </row>
    <row r="1187" customFormat="false" ht="15" hidden="false" customHeight="false" outlineLevel="0" collapsed="false">
      <c r="A1187" s="2" t="n">
        <v>1415</v>
      </c>
      <c r="B1187" s="2" t="s">
        <v>6215</v>
      </c>
      <c r="C1187" s="2" t="s">
        <v>6216</v>
      </c>
      <c r="D1187" s="2" t="s">
        <v>351</v>
      </c>
      <c r="E1187" s="2" t="s">
        <v>6217</v>
      </c>
      <c r="F1187" s="2" t="s">
        <v>6218</v>
      </c>
      <c r="G1187" s="2" t="s">
        <v>6219</v>
      </c>
      <c r="H1187" s="2" t="s">
        <v>198</v>
      </c>
      <c r="I1187" s="2" t="s">
        <v>74</v>
      </c>
      <c r="J1187" s="2" t="n">
        <v>-6.2767</v>
      </c>
      <c r="K1187" s="2" t="n">
        <v>106.867</v>
      </c>
      <c r="L1187" s="2" t="s">
        <v>124</v>
      </c>
      <c r="M1187" s="2" t="s">
        <v>60</v>
      </c>
      <c r="N1187" s="2"/>
      <c r="O1187" s="2" t="s">
        <v>6224</v>
      </c>
      <c r="P1187" s="2" t="s">
        <v>6221</v>
      </c>
      <c r="Q1187" s="2" t="s">
        <v>110</v>
      </c>
      <c r="R1187" s="2" t="n">
        <v>0.4</v>
      </c>
      <c r="S1187" s="2" t="s">
        <v>6225</v>
      </c>
      <c r="T1187" s="2" t="s">
        <v>6226</v>
      </c>
      <c r="U1187" s="2" t="s">
        <v>4312</v>
      </c>
      <c r="V1187" s="2" t="s">
        <v>4313</v>
      </c>
      <c r="W1187" s="2" t="s">
        <v>4314</v>
      </c>
      <c r="X1187" s="2" t="s">
        <v>507</v>
      </c>
    </row>
    <row r="1188" customFormat="false" ht="15" hidden="false" customHeight="false" outlineLevel="0" collapsed="false">
      <c r="A1188" s="2" t="n">
        <v>1418</v>
      </c>
      <c r="B1188" s="2" t="s">
        <v>6215</v>
      </c>
      <c r="C1188" s="2" t="s">
        <v>6216</v>
      </c>
      <c r="D1188" s="2" t="s">
        <v>351</v>
      </c>
      <c r="E1188" s="2" t="s">
        <v>6217</v>
      </c>
      <c r="F1188" s="2" t="s">
        <v>6218</v>
      </c>
      <c r="G1188" s="2" t="s">
        <v>6219</v>
      </c>
      <c r="H1188" s="2" t="s">
        <v>198</v>
      </c>
      <c r="I1188" s="2" t="s">
        <v>74</v>
      </c>
      <c r="J1188" s="2" t="n">
        <v>-6.2767</v>
      </c>
      <c r="K1188" s="2" t="n">
        <v>106.867</v>
      </c>
      <c r="L1188" s="2" t="s">
        <v>124</v>
      </c>
      <c r="M1188" s="2" t="s">
        <v>60</v>
      </c>
      <c r="N1188" s="2"/>
      <c r="O1188" s="2" t="s">
        <v>6227</v>
      </c>
      <c r="P1188" s="2" t="s">
        <v>2558</v>
      </c>
      <c r="Q1188" s="2" t="s">
        <v>110</v>
      </c>
      <c r="R1188" s="2" t="n">
        <v>0.4</v>
      </c>
      <c r="S1188" s="2" t="s">
        <v>6228</v>
      </c>
      <c r="T1188" s="2" t="s">
        <v>6229</v>
      </c>
      <c r="U1188" s="2" t="s">
        <v>6230</v>
      </c>
      <c r="V1188" s="2" t="s">
        <v>4339</v>
      </c>
      <c r="W1188" s="2" t="s">
        <v>1147</v>
      </c>
      <c r="X1188" s="2" t="s">
        <v>507</v>
      </c>
    </row>
    <row r="1189" customFormat="false" ht="15" hidden="false" customHeight="false" outlineLevel="0" collapsed="false">
      <c r="A1189" s="2" t="n">
        <v>1427</v>
      </c>
      <c r="B1189" s="2" t="s">
        <v>6215</v>
      </c>
      <c r="C1189" s="2" t="s">
        <v>6200</v>
      </c>
      <c r="D1189" s="2" t="s">
        <v>121</v>
      </c>
      <c r="E1189" s="2" t="s">
        <v>6231</v>
      </c>
      <c r="F1189" s="2" t="s">
        <v>6232</v>
      </c>
      <c r="G1189" s="2" t="s">
        <v>6181</v>
      </c>
      <c r="H1189" s="2" t="s">
        <v>198</v>
      </c>
      <c r="I1189" s="2" t="s">
        <v>74</v>
      </c>
      <c r="J1189" s="2" t="n">
        <v>-6.2125</v>
      </c>
      <c r="K1189" s="2" t="n">
        <v>106.942</v>
      </c>
      <c r="L1189" s="2" t="s">
        <v>124</v>
      </c>
      <c r="M1189" s="2" t="s">
        <v>1822</v>
      </c>
      <c r="N1189" s="2" t="s">
        <v>6233</v>
      </c>
      <c r="O1189" s="2" t="s">
        <v>6234</v>
      </c>
      <c r="P1189" s="2" t="s">
        <v>439</v>
      </c>
      <c r="Q1189" s="2" t="s">
        <v>62</v>
      </c>
      <c r="R1189" s="2" t="n">
        <v>0.7</v>
      </c>
      <c r="S1189" s="2" t="s">
        <v>6235</v>
      </c>
      <c r="T1189" s="2" t="s">
        <v>3313</v>
      </c>
      <c r="U1189" s="2" t="s">
        <v>6236</v>
      </c>
      <c r="V1189" s="2" t="s">
        <v>2979</v>
      </c>
      <c r="W1189" s="2" t="s">
        <v>3787</v>
      </c>
      <c r="X1189" s="2" t="s">
        <v>507</v>
      </c>
    </row>
    <row r="1190" customFormat="false" ht="15" hidden="false" customHeight="false" outlineLevel="0" collapsed="false">
      <c r="A1190" s="2" t="n">
        <v>1428</v>
      </c>
      <c r="B1190" s="2" t="s">
        <v>6215</v>
      </c>
      <c r="C1190" s="2" t="s">
        <v>6200</v>
      </c>
      <c r="D1190" s="2" t="s">
        <v>121</v>
      </c>
      <c r="E1190" s="2" t="s">
        <v>6231</v>
      </c>
      <c r="F1190" s="2" t="s">
        <v>6232</v>
      </c>
      <c r="G1190" s="2" t="s">
        <v>6181</v>
      </c>
      <c r="H1190" s="2" t="s">
        <v>198</v>
      </c>
      <c r="I1190" s="2" t="s">
        <v>74</v>
      </c>
      <c r="J1190" s="2" t="n">
        <v>-6.2125</v>
      </c>
      <c r="K1190" s="2" t="n">
        <v>106.942</v>
      </c>
      <c r="L1190" s="2" t="s">
        <v>124</v>
      </c>
      <c r="M1190" s="2" t="s">
        <v>1822</v>
      </c>
      <c r="N1190" s="2" t="s">
        <v>6233</v>
      </c>
      <c r="O1190" s="2" t="s">
        <v>6237</v>
      </c>
      <c r="P1190" s="2" t="s">
        <v>439</v>
      </c>
      <c r="Q1190" s="2" t="s">
        <v>62</v>
      </c>
      <c r="R1190" s="2" t="n">
        <v>0.7</v>
      </c>
      <c r="S1190" s="2" t="s">
        <v>6238</v>
      </c>
      <c r="T1190" s="2" t="s">
        <v>6239</v>
      </c>
      <c r="U1190" s="2" t="s">
        <v>6240</v>
      </c>
      <c r="V1190" s="2" t="s">
        <v>1043</v>
      </c>
      <c r="W1190" s="2" t="s">
        <v>1147</v>
      </c>
      <c r="X1190" s="2" t="s">
        <v>160</v>
      </c>
    </row>
    <row r="1191" customFormat="false" ht="15" hidden="false" customHeight="false" outlineLevel="0" collapsed="false">
      <c r="A1191" s="2" t="n">
        <v>1433</v>
      </c>
      <c r="B1191" s="2" t="s">
        <v>6215</v>
      </c>
      <c r="C1191" s="2" t="s">
        <v>6241</v>
      </c>
      <c r="D1191" s="2" t="s">
        <v>121</v>
      </c>
      <c r="E1191" s="2" t="s">
        <v>6242</v>
      </c>
      <c r="F1191" s="2"/>
      <c r="G1191" s="2"/>
      <c r="H1191" s="2"/>
      <c r="I1191" s="2"/>
      <c r="J1191" s="2"/>
      <c r="K1191" s="2"/>
      <c r="L1191" s="2"/>
      <c r="M1191" s="2" t="s">
        <v>340</v>
      </c>
      <c r="N1191" s="2" t="s">
        <v>6243</v>
      </c>
      <c r="O1191" s="2" t="s">
        <v>6244</v>
      </c>
      <c r="P1191" s="2" t="s">
        <v>6245</v>
      </c>
      <c r="Q1191" s="2" t="s">
        <v>62</v>
      </c>
      <c r="R1191" s="2" t="n">
        <v>0.65</v>
      </c>
      <c r="S1191" s="2" t="s">
        <v>6246</v>
      </c>
      <c r="T1191" s="2" t="s">
        <v>6247</v>
      </c>
      <c r="U1191" s="2" t="s">
        <v>6248</v>
      </c>
      <c r="V1191" s="2" t="s">
        <v>178</v>
      </c>
      <c r="W1191" s="2" t="s">
        <v>67</v>
      </c>
      <c r="X1191" s="2" t="s">
        <v>507</v>
      </c>
    </row>
    <row r="1192" customFormat="false" ht="15" hidden="false" customHeight="false" outlineLevel="0" collapsed="false">
      <c r="A1192" s="2" t="n">
        <v>1433</v>
      </c>
      <c r="B1192" s="2" t="s">
        <v>6215</v>
      </c>
      <c r="C1192" s="2" t="s">
        <v>6249</v>
      </c>
      <c r="D1192" s="2" t="s">
        <v>121</v>
      </c>
      <c r="E1192" s="2" t="s">
        <v>6242</v>
      </c>
      <c r="F1192" s="2"/>
      <c r="G1192" s="2"/>
      <c r="H1192" s="2"/>
      <c r="I1192" s="2"/>
      <c r="J1192" s="2"/>
      <c r="K1192" s="2"/>
      <c r="L1192" s="2"/>
      <c r="M1192" s="2" t="s">
        <v>340</v>
      </c>
      <c r="N1192" s="2" t="s">
        <v>6243</v>
      </c>
      <c r="O1192" s="2" t="s">
        <v>6250</v>
      </c>
      <c r="P1192" s="2" t="s">
        <v>6245</v>
      </c>
      <c r="Q1192" s="2" t="s">
        <v>62</v>
      </c>
      <c r="R1192" s="2" t="n">
        <v>0.6</v>
      </c>
      <c r="S1192" s="2" t="s">
        <v>6246</v>
      </c>
      <c r="T1192" s="2" t="s">
        <v>6247</v>
      </c>
      <c r="U1192" s="2" t="s">
        <v>6248</v>
      </c>
      <c r="V1192" s="2" t="s">
        <v>178</v>
      </c>
      <c r="W1192" s="2" t="s">
        <v>67</v>
      </c>
      <c r="X1192" s="2" t="s">
        <v>507</v>
      </c>
    </row>
    <row r="1193" customFormat="false" ht="15" hidden="false" customHeight="false" outlineLevel="0" collapsed="false">
      <c r="A1193" s="2" t="n">
        <v>1434</v>
      </c>
      <c r="B1193" s="2" t="s">
        <v>6215</v>
      </c>
      <c r="C1193" s="2" t="s">
        <v>6251</v>
      </c>
      <c r="D1193" s="2" t="s">
        <v>53</v>
      </c>
      <c r="E1193" s="2" t="s">
        <v>6252</v>
      </c>
      <c r="F1193" s="2"/>
      <c r="G1193" s="2"/>
      <c r="H1193" s="2" t="s">
        <v>426</v>
      </c>
      <c r="I1193" s="2" t="s">
        <v>74</v>
      </c>
      <c r="J1193" s="2" t="n">
        <v>-6.266</v>
      </c>
      <c r="K1193" s="2" t="n">
        <v>106.81</v>
      </c>
      <c r="L1193" s="2" t="s">
        <v>101</v>
      </c>
      <c r="M1193" s="2" t="s">
        <v>60</v>
      </c>
      <c r="N1193" s="2" t="s">
        <v>6253</v>
      </c>
      <c r="O1193" s="2" t="s">
        <v>6254</v>
      </c>
      <c r="P1193" s="2"/>
      <c r="Q1193" s="2" t="s">
        <v>62</v>
      </c>
      <c r="R1193" s="2" t="n">
        <v>0.7</v>
      </c>
      <c r="S1193" s="2" t="s">
        <v>6255</v>
      </c>
      <c r="T1193" s="2" t="s">
        <v>64</v>
      </c>
      <c r="U1193" s="2" t="s">
        <v>4436</v>
      </c>
      <c r="V1193" s="2" t="s">
        <v>114</v>
      </c>
      <c r="W1193" s="2" t="s">
        <v>1397</v>
      </c>
      <c r="X1193" s="2" t="s">
        <v>507</v>
      </c>
    </row>
    <row r="1194" customFormat="false" ht="15" hidden="false" customHeight="false" outlineLevel="0" collapsed="false">
      <c r="A1194" s="2" t="n">
        <v>1434</v>
      </c>
      <c r="B1194" s="2" t="s">
        <v>6215</v>
      </c>
      <c r="C1194" s="2" t="s">
        <v>6256</v>
      </c>
      <c r="D1194" s="2" t="s">
        <v>53</v>
      </c>
      <c r="E1194" s="2" t="s">
        <v>6257</v>
      </c>
      <c r="F1194" s="2" t="s">
        <v>6258</v>
      </c>
      <c r="G1194" s="2" t="s">
        <v>6259</v>
      </c>
      <c r="H1194" s="2" t="s">
        <v>426</v>
      </c>
      <c r="I1194" s="2" t="s">
        <v>74</v>
      </c>
      <c r="J1194" s="2" t="n">
        <v>-6.2574</v>
      </c>
      <c r="K1194" s="2" t="n">
        <v>106.8532</v>
      </c>
      <c r="L1194" s="2" t="s">
        <v>124</v>
      </c>
      <c r="M1194" s="2" t="s">
        <v>60</v>
      </c>
      <c r="N1194" s="2" t="s">
        <v>6260</v>
      </c>
      <c r="O1194" s="2" t="s">
        <v>6261</v>
      </c>
      <c r="P1194" s="2"/>
      <c r="Q1194" s="2" t="s">
        <v>62</v>
      </c>
      <c r="R1194" s="2" t="n">
        <v>0.7</v>
      </c>
      <c r="S1194" s="2" t="s">
        <v>6255</v>
      </c>
      <c r="T1194" s="2" t="s">
        <v>64</v>
      </c>
      <c r="U1194" s="2" t="s">
        <v>4436</v>
      </c>
      <c r="V1194" s="2" t="s">
        <v>114</v>
      </c>
      <c r="W1194" s="2" t="s">
        <v>1397</v>
      </c>
      <c r="X1194" s="2" t="s">
        <v>507</v>
      </c>
    </row>
    <row r="1195" customFormat="false" ht="15" hidden="false" customHeight="false" outlineLevel="0" collapsed="false">
      <c r="A1195" s="2" t="n">
        <v>1434</v>
      </c>
      <c r="B1195" s="2" t="s">
        <v>6215</v>
      </c>
      <c r="C1195" s="2" t="s">
        <v>6262</v>
      </c>
      <c r="D1195" s="2" t="s">
        <v>53</v>
      </c>
      <c r="E1195" s="2" t="s">
        <v>6263</v>
      </c>
      <c r="F1195" s="2"/>
      <c r="G1195" s="2" t="s">
        <v>1644</v>
      </c>
      <c r="H1195" s="2" t="s">
        <v>426</v>
      </c>
      <c r="I1195" s="2" t="s">
        <v>74</v>
      </c>
      <c r="J1195" s="2" t="n">
        <v>-6.232</v>
      </c>
      <c r="K1195" s="2" t="n">
        <v>106.852</v>
      </c>
      <c r="L1195" s="2" t="s">
        <v>84</v>
      </c>
      <c r="M1195" s="2" t="s">
        <v>60</v>
      </c>
      <c r="N1195" s="2" t="s">
        <v>6264</v>
      </c>
      <c r="O1195" s="2" t="s">
        <v>6265</v>
      </c>
      <c r="P1195" s="2"/>
      <c r="Q1195" s="2" t="s">
        <v>62</v>
      </c>
      <c r="R1195" s="2" t="n">
        <v>0.65</v>
      </c>
      <c r="S1195" s="2" t="s">
        <v>6255</v>
      </c>
      <c r="T1195" s="2" t="s">
        <v>64</v>
      </c>
      <c r="U1195" s="2" t="s">
        <v>4436</v>
      </c>
      <c r="V1195" s="2" t="s">
        <v>114</v>
      </c>
      <c r="W1195" s="2" t="s">
        <v>1397</v>
      </c>
      <c r="X1195" s="2" t="s">
        <v>507</v>
      </c>
    </row>
    <row r="1196" customFormat="false" ht="15" hidden="false" customHeight="false" outlineLevel="0" collapsed="false">
      <c r="A1196" s="2" t="n">
        <v>1435</v>
      </c>
      <c r="B1196" s="2" t="s">
        <v>6215</v>
      </c>
      <c r="C1196" s="2" t="s">
        <v>1661</v>
      </c>
      <c r="D1196" s="2" t="s">
        <v>53</v>
      </c>
      <c r="E1196" s="2" t="s">
        <v>6266</v>
      </c>
      <c r="F1196" s="2" t="s">
        <v>526</v>
      </c>
      <c r="G1196" s="2" t="s">
        <v>80</v>
      </c>
      <c r="H1196" s="2" t="s">
        <v>73</v>
      </c>
      <c r="I1196" s="2" t="s">
        <v>74</v>
      </c>
      <c r="J1196" s="2" t="n">
        <v>-6.184</v>
      </c>
      <c r="K1196" s="2" t="n">
        <v>106.828</v>
      </c>
      <c r="L1196" s="2" t="s">
        <v>59</v>
      </c>
      <c r="M1196" s="2" t="s">
        <v>60</v>
      </c>
      <c r="N1196" s="2"/>
      <c r="O1196" s="2" t="s">
        <v>6267</v>
      </c>
      <c r="P1196" s="2"/>
      <c r="Q1196" s="2" t="s">
        <v>62</v>
      </c>
      <c r="R1196" s="2" t="n">
        <v>0.7</v>
      </c>
      <c r="S1196" s="2" t="s">
        <v>6268</v>
      </c>
      <c r="T1196" s="2" t="s">
        <v>418</v>
      </c>
      <c r="U1196" s="2" t="s">
        <v>4457</v>
      </c>
      <c r="V1196" s="2" t="s">
        <v>158</v>
      </c>
      <c r="W1196" s="2" t="s">
        <v>1543</v>
      </c>
      <c r="X1196" s="2" t="s">
        <v>507</v>
      </c>
    </row>
    <row r="1197" customFormat="false" ht="15" hidden="false" customHeight="false" outlineLevel="0" collapsed="false">
      <c r="A1197" s="2" t="n">
        <v>1435</v>
      </c>
      <c r="B1197" s="2" t="s">
        <v>6215</v>
      </c>
      <c r="C1197" s="2" t="s">
        <v>5931</v>
      </c>
      <c r="D1197" s="2" t="s">
        <v>53</v>
      </c>
      <c r="E1197" s="2" t="s">
        <v>6269</v>
      </c>
      <c r="F1197" s="2" t="s">
        <v>526</v>
      </c>
      <c r="G1197" s="2" t="s">
        <v>80</v>
      </c>
      <c r="H1197" s="2" t="s">
        <v>73</v>
      </c>
      <c r="I1197" s="2" t="s">
        <v>74</v>
      </c>
      <c r="J1197" s="2" t="n">
        <v>-6.184</v>
      </c>
      <c r="K1197" s="2" t="n">
        <v>106.828</v>
      </c>
      <c r="L1197" s="2" t="s">
        <v>59</v>
      </c>
      <c r="M1197" s="2" t="s">
        <v>60</v>
      </c>
      <c r="N1197" s="2"/>
      <c r="O1197" s="2" t="s">
        <v>6270</v>
      </c>
      <c r="P1197" s="2"/>
      <c r="Q1197" s="2" t="s">
        <v>62</v>
      </c>
      <c r="R1197" s="2" t="n">
        <v>0.7</v>
      </c>
      <c r="S1197" s="2" t="s">
        <v>6268</v>
      </c>
      <c r="T1197" s="2" t="s">
        <v>418</v>
      </c>
      <c r="U1197" s="2" t="s">
        <v>4457</v>
      </c>
      <c r="V1197" s="2" t="s">
        <v>158</v>
      </c>
      <c r="W1197" s="2" t="s">
        <v>1543</v>
      </c>
      <c r="X1197" s="2" t="s">
        <v>507</v>
      </c>
    </row>
    <row r="1198" customFormat="false" ht="15" hidden="false" customHeight="false" outlineLevel="0" collapsed="false">
      <c r="A1198" s="2" t="n">
        <v>1436</v>
      </c>
      <c r="B1198" s="2" t="s">
        <v>6215</v>
      </c>
      <c r="C1198" s="2" t="s">
        <v>6271</v>
      </c>
      <c r="D1198" s="2" t="s">
        <v>53</v>
      </c>
      <c r="E1198" s="2" t="s">
        <v>6272</v>
      </c>
      <c r="F1198" s="2" t="s">
        <v>6273</v>
      </c>
      <c r="G1198" s="2" t="s">
        <v>425</v>
      </c>
      <c r="H1198" s="2" t="s">
        <v>426</v>
      </c>
      <c r="I1198" s="2" t="s">
        <v>74</v>
      </c>
      <c r="J1198" s="2" t="n">
        <v>-6.243</v>
      </c>
      <c r="K1198" s="2" t="n">
        <v>106.801</v>
      </c>
      <c r="L1198" s="2" t="s">
        <v>59</v>
      </c>
      <c r="M1198" s="2" t="s">
        <v>60</v>
      </c>
      <c r="N1198" s="2"/>
      <c r="O1198" s="2" t="s">
        <v>6274</v>
      </c>
      <c r="P1198" s="2"/>
      <c r="Q1198" s="2" t="s">
        <v>62</v>
      </c>
      <c r="R1198" s="2" t="n">
        <v>0.7</v>
      </c>
      <c r="S1198" s="2" t="s">
        <v>6275</v>
      </c>
      <c r="T1198" s="2" t="s">
        <v>64</v>
      </c>
      <c r="U1198" s="2" t="s">
        <v>4468</v>
      </c>
      <c r="V1198" s="2" t="s">
        <v>114</v>
      </c>
      <c r="W1198" s="2" t="s">
        <v>1188</v>
      </c>
      <c r="X1198" s="2" t="s">
        <v>160</v>
      </c>
    </row>
    <row r="1199" customFormat="false" ht="15" hidden="false" customHeight="false" outlineLevel="0" collapsed="false">
      <c r="A1199" s="2" t="n">
        <v>1436</v>
      </c>
      <c r="B1199" s="2" t="s">
        <v>6215</v>
      </c>
      <c r="C1199" s="2" t="s">
        <v>6276</v>
      </c>
      <c r="D1199" s="2" t="s">
        <v>53</v>
      </c>
      <c r="E1199" s="2" t="s">
        <v>6277</v>
      </c>
      <c r="F1199" s="2"/>
      <c r="G1199" s="2"/>
      <c r="H1199" s="2" t="s">
        <v>426</v>
      </c>
      <c r="I1199" s="2" t="s">
        <v>74</v>
      </c>
      <c r="J1199" s="2" t="n">
        <v>-6.266</v>
      </c>
      <c r="K1199" s="2" t="n">
        <v>106.81</v>
      </c>
      <c r="L1199" s="2" t="s">
        <v>101</v>
      </c>
      <c r="M1199" s="2" t="s">
        <v>60</v>
      </c>
      <c r="N1199" s="2" t="s">
        <v>6278</v>
      </c>
      <c r="O1199" s="2" t="s">
        <v>6279</v>
      </c>
      <c r="P1199" s="2"/>
      <c r="Q1199" s="2" t="s">
        <v>62</v>
      </c>
      <c r="R1199" s="2" t="n">
        <v>0.7</v>
      </c>
      <c r="S1199" s="2" t="s">
        <v>6275</v>
      </c>
      <c r="T1199" s="2" t="s">
        <v>64</v>
      </c>
      <c r="U1199" s="2" t="s">
        <v>4468</v>
      </c>
      <c r="V1199" s="2" t="s">
        <v>114</v>
      </c>
      <c r="W1199" s="2" t="s">
        <v>1188</v>
      </c>
      <c r="X1199" s="2" t="s">
        <v>160</v>
      </c>
    </row>
    <row r="1200" customFormat="false" ht="15" hidden="false" customHeight="false" outlineLevel="0" collapsed="false">
      <c r="A1200" s="2" t="n">
        <v>1437</v>
      </c>
      <c r="B1200" s="2" t="s">
        <v>6215</v>
      </c>
      <c r="C1200" s="2" t="s">
        <v>5967</v>
      </c>
      <c r="D1200" s="2" t="s">
        <v>53</v>
      </c>
      <c r="E1200" s="2" t="s">
        <v>6280</v>
      </c>
      <c r="F1200" s="2" t="s">
        <v>6281</v>
      </c>
      <c r="G1200" s="2" t="s">
        <v>3295</v>
      </c>
      <c r="H1200" s="2" t="s">
        <v>73</v>
      </c>
      <c r="I1200" s="2" t="s">
        <v>74</v>
      </c>
      <c r="J1200" s="2" t="n">
        <v>-6.166</v>
      </c>
      <c r="K1200" s="2" t="n">
        <v>106.814</v>
      </c>
      <c r="L1200" s="2" t="s">
        <v>59</v>
      </c>
      <c r="M1200" s="2" t="s">
        <v>60</v>
      </c>
      <c r="N1200" s="2"/>
      <c r="O1200" s="2" t="s">
        <v>6282</v>
      </c>
      <c r="P1200" s="2"/>
      <c r="Q1200" s="2" t="s">
        <v>62</v>
      </c>
      <c r="R1200" s="2" t="n">
        <v>0.75</v>
      </c>
      <c r="S1200" s="2" t="s">
        <v>6283</v>
      </c>
      <c r="T1200" s="2" t="s">
        <v>64</v>
      </c>
      <c r="U1200" s="2" t="s">
        <v>4478</v>
      </c>
      <c r="V1200" s="2" t="s">
        <v>158</v>
      </c>
      <c r="W1200" s="2" t="s">
        <v>2168</v>
      </c>
      <c r="X1200" s="2" t="s">
        <v>160</v>
      </c>
    </row>
    <row r="1201" customFormat="false" ht="15" hidden="false" customHeight="false" outlineLevel="0" collapsed="false">
      <c r="A1201" s="2" t="n">
        <v>1437</v>
      </c>
      <c r="B1201" s="2" t="s">
        <v>6215</v>
      </c>
      <c r="C1201" s="2" t="s">
        <v>5982</v>
      </c>
      <c r="D1201" s="2" t="s">
        <v>53</v>
      </c>
      <c r="E1201" s="2" t="s">
        <v>6284</v>
      </c>
      <c r="F1201" s="2" t="s">
        <v>424</v>
      </c>
      <c r="G1201" s="2" t="s">
        <v>425</v>
      </c>
      <c r="H1201" s="2" t="s">
        <v>426</v>
      </c>
      <c r="I1201" s="2" t="s">
        <v>74</v>
      </c>
      <c r="J1201" s="2" t="n">
        <v>-6.244</v>
      </c>
      <c r="K1201" s="2" t="n">
        <v>106.8</v>
      </c>
      <c r="L1201" s="2" t="s">
        <v>59</v>
      </c>
      <c r="M1201" s="2" t="s">
        <v>60</v>
      </c>
      <c r="N1201" s="2"/>
      <c r="O1201" s="2" t="s">
        <v>6285</v>
      </c>
      <c r="P1201" s="2"/>
      <c r="Q1201" s="2" t="s">
        <v>62</v>
      </c>
      <c r="R1201" s="2" t="n">
        <v>0.75</v>
      </c>
      <c r="S1201" s="2" t="s">
        <v>6283</v>
      </c>
      <c r="T1201" s="2" t="s">
        <v>64</v>
      </c>
      <c r="U1201" s="2" t="s">
        <v>4478</v>
      </c>
      <c r="V1201" s="2" t="s">
        <v>158</v>
      </c>
      <c r="W1201" s="2" t="s">
        <v>2168</v>
      </c>
      <c r="X1201" s="2" t="s">
        <v>160</v>
      </c>
    </row>
    <row r="1202" customFormat="false" ht="15" hidden="false" customHeight="false" outlineLevel="0" collapsed="false">
      <c r="A1202" s="2" t="n">
        <v>1437</v>
      </c>
      <c r="B1202" s="2" t="s">
        <v>6215</v>
      </c>
      <c r="C1202" s="2" t="s">
        <v>6286</v>
      </c>
      <c r="D1202" s="2" t="s">
        <v>53</v>
      </c>
      <c r="E1202" s="2" t="s">
        <v>6287</v>
      </c>
      <c r="F1202" s="2" t="s">
        <v>3362</v>
      </c>
      <c r="G1202" s="2" t="s">
        <v>80</v>
      </c>
      <c r="H1202" s="2" t="s">
        <v>73</v>
      </c>
      <c r="I1202" s="2" t="s">
        <v>74</v>
      </c>
      <c r="J1202" s="2" t="n">
        <v>-6.192</v>
      </c>
      <c r="K1202" s="2" t="n">
        <v>106.84</v>
      </c>
      <c r="L1202" s="2" t="s">
        <v>59</v>
      </c>
      <c r="M1202" s="2" t="s">
        <v>60</v>
      </c>
      <c r="N1202" s="2"/>
      <c r="O1202" s="2" t="s">
        <v>6288</v>
      </c>
      <c r="P1202" s="2"/>
      <c r="Q1202" s="2" t="s">
        <v>62</v>
      </c>
      <c r="R1202" s="2" t="n">
        <v>0.75</v>
      </c>
      <c r="S1202" s="2" t="s">
        <v>6283</v>
      </c>
      <c r="T1202" s="2" t="s">
        <v>64</v>
      </c>
      <c r="U1202" s="2" t="s">
        <v>4478</v>
      </c>
      <c r="V1202" s="2" t="s">
        <v>158</v>
      </c>
      <c r="W1202" s="2" t="s">
        <v>2168</v>
      </c>
      <c r="X1202" s="2" t="s">
        <v>160</v>
      </c>
    </row>
    <row r="1203" customFormat="false" ht="15" hidden="false" customHeight="false" outlineLevel="0" collapsed="false">
      <c r="A1203" s="2" t="n">
        <v>1437</v>
      </c>
      <c r="B1203" s="2" t="s">
        <v>6215</v>
      </c>
      <c r="C1203" s="2" t="s">
        <v>6289</v>
      </c>
      <c r="D1203" s="2" t="s">
        <v>53</v>
      </c>
      <c r="E1203" s="2" t="s">
        <v>6290</v>
      </c>
      <c r="F1203" s="2" t="s">
        <v>79</v>
      </c>
      <c r="G1203" s="2" t="s">
        <v>80</v>
      </c>
      <c r="H1203" s="2" t="s">
        <v>73</v>
      </c>
      <c r="I1203" s="2" t="s">
        <v>74</v>
      </c>
      <c r="J1203" s="2" t="n">
        <v>-6.188</v>
      </c>
      <c r="K1203" s="2" t="n">
        <v>106.832</v>
      </c>
      <c r="L1203" s="2" t="s">
        <v>59</v>
      </c>
      <c r="M1203" s="2" t="s">
        <v>60</v>
      </c>
      <c r="N1203" s="2"/>
      <c r="O1203" s="2" t="s">
        <v>6291</v>
      </c>
      <c r="P1203" s="2"/>
      <c r="Q1203" s="2" t="s">
        <v>62</v>
      </c>
      <c r="R1203" s="2" t="n">
        <v>0.75</v>
      </c>
      <c r="S1203" s="2" t="s">
        <v>6283</v>
      </c>
      <c r="T1203" s="2" t="s">
        <v>64</v>
      </c>
      <c r="U1203" s="2" t="s">
        <v>4478</v>
      </c>
      <c r="V1203" s="2" t="s">
        <v>158</v>
      </c>
      <c r="W1203" s="2" t="s">
        <v>2168</v>
      </c>
      <c r="X1203" s="2" t="s">
        <v>160</v>
      </c>
    </row>
    <row r="1204" customFormat="false" ht="15" hidden="false" customHeight="false" outlineLevel="0" collapsed="false">
      <c r="A1204" s="2" t="n">
        <v>1437</v>
      </c>
      <c r="B1204" s="2" t="s">
        <v>6215</v>
      </c>
      <c r="C1204" s="2" t="s">
        <v>6292</v>
      </c>
      <c r="D1204" s="2" t="s">
        <v>53</v>
      </c>
      <c r="E1204" s="2" t="s">
        <v>830</v>
      </c>
      <c r="F1204" s="2"/>
      <c r="G1204" s="2"/>
      <c r="H1204" s="2"/>
      <c r="I1204" s="2" t="s">
        <v>74</v>
      </c>
      <c r="J1204" s="2" t="n">
        <v>-6.2</v>
      </c>
      <c r="K1204" s="2" t="n">
        <v>106.845</v>
      </c>
      <c r="L1204" s="2" t="s">
        <v>239</v>
      </c>
      <c r="M1204" s="2" t="s">
        <v>340</v>
      </c>
      <c r="N1204" s="2"/>
      <c r="O1204" s="2" t="s">
        <v>6293</v>
      </c>
      <c r="P1204" s="2"/>
      <c r="Q1204" s="2" t="s">
        <v>62</v>
      </c>
      <c r="R1204" s="2" t="n">
        <v>0.6</v>
      </c>
      <c r="S1204" s="2" t="s">
        <v>6283</v>
      </c>
      <c r="T1204" s="2" t="s">
        <v>64</v>
      </c>
      <c r="U1204" s="2" t="s">
        <v>4478</v>
      </c>
      <c r="V1204" s="2" t="s">
        <v>158</v>
      </c>
      <c r="W1204" s="2" t="s">
        <v>2168</v>
      </c>
      <c r="X1204" s="2" t="s">
        <v>160</v>
      </c>
    </row>
    <row r="1205" customFormat="false" ht="15" hidden="false" customHeight="false" outlineLevel="0" collapsed="false">
      <c r="A1205" s="2" t="n">
        <v>1439</v>
      </c>
      <c r="B1205" s="2" t="s">
        <v>6215</v>
      </c>
      <c r="C1205" s="2" t="s">
        <v>6294</v>
      </c>
      <c r="D1205" s="2" t="s">
        <v>53</v>
      </c>
      <c r="E1205" s="2" t="s">
        <v>6295</v>
      </c>
      <c r="F1205" s="2" t="s">
        <v>424</v>
      </c>
      <c r="G1205" s="2" t="s">
        <v>425</v>
      </c>
      <c r="H1205" s="2" t="s">
        <v>426</v>
      </c>
      <c r="I1205" s="2" t="s">
        <v>74</v>
      </c>
      <c r="J1205" s="2" t="n">
        <v>-6.244</v>
      </c>
      <c r="K1205" s="2" t="n">
        <v>106.8</v>
      </c>
      <c r="L1205" s="2" t="s">
        <v>59</v>
      </c>
      <c r="M1205" s="2" t="s">
        <v>60</v>
      </c>
      <c r="N1205" s="2"/>
      <c r="O1205" s="2" t="s">
        <v>6296</v>
      </c>
      <c r="P1205" s="2"/>
      <c r="Q1205" s="2" t="s">
        <v>110</v>
      </c>
      <c r="R1205" s="2" t="n">
        <v>0.5</v>
      </c>
      <c r="S1205" s="2" t="s">
        <v>6297</v>
      </c>
      <c r="T1205" s="2" t="s">
        <v>176</v>
      </c>
      <c r="U1205" s="2" t="s">
        <v>4493</v>
      </c>
      <c r="V1205" s="2" t="s">
        <v>114</v>
      </c>
      <c r="W1205" s="2" t="s">
        <v>1482</v>
      </c>
      <c r="X1205" s="2" t="s">
        <v>507</v>
      </c>
    </row>
    <row r="1206" customFormat="false" ht="15" hidden="false" customHeight="false" outlineLevel="0" collapsed="false">
      <c r="A1206" s="2" t="n">
        <v>1457</v>
      </c>
      <c r="B1206" s="2" t="s">
        <v>6298</v>
      </c>
      <c r="C1206" s="2" t="s">
        <v>6299</v>
      </c>
      <c r="D1206" s="2" t="s">
        <v>134</v>
      </c>
      <c r="E1206" s="2" t="s">
        <v>6300</v>
      </c>
      <c r="F1206" s="2" t="s">
        <v>6301</v>
      </c>
      <c r="G1206" s="2" t="s">
        <v>5215</v>
      </c>
      <c r="H1206" s="2" t="s">
        <v>950</v>
      </c>
      <c r="I1206" s="2" t="s">
        <v>184</v>
      </c>
      <c r="J1206" s="2" t="n">
        <v>-7.265</v>
      </c>
      <c r="K1206" s="2" t="n">
        <v>112.742</v>
      </c>
      <c r="L1206" s="2" t="s">
        <v>59</v>
      </c>
      <c r="M1206" s="2" t="s">
        <v>60</v>
      </c>
      <c r="N1206" s="2"/>
      <c r="O1206" s="2" t="s">
        <v>6302</v>
      </c>
      <c r="P1206" s="2"/>
      <c r="Q1206" s="2" t="s">
        <v>62</v>
      </c>
      <c r="R1206" s="2" t="n">
        <v>0.7</v>
      </c>
      <c r="S1206" s="2" t="s">
        <v>6303</v>
      </c>
      <c r="T1206" s="2" t="s">
        <v>1168</v>
      </c>
      <c r="U1206" s="2" t="s">
        <v>6304</v>
      </c>
      <c r="V1206" s="2" t="s">
        <v>745</v>
      </c>
      <c r="W1206" s="2" t="s">
        <v>159</v>
      </c>
      <c r="X1206" s="2" t="s">
        <v>507</v>
      </c>
    </row>
    <row r="1207" customFormat="false" ht="15" hidden="false" customHeight="false" outlineLevel="0" collapsed="false">
      <c r="A1207" s="2" t="n">
        <v>1457</v>
      </c>
      <c r="B1207" s="2" t="s">
        <v>6298</v>
      </c>
      <c r="C1207" s="2" t="s">
        <v>6305</v>
      </c>
      <c r="D1207" s="2" t="s">
        <v>53</v>
      </c>
      <c r="E1207" s="2" t="s">
        <v>6306</v>
      </c>
      <c r="F1207" s="2" t="s">
        <v>4334</v>
      </c>
      <c r="G1207" s="2" t="s">
        <v>4335</v>
      </c>
      <c r="H1207" s="2" t="s">
        <v>950</v>
      </c>
      <c r="I1207" s="2" t="s">
        <v>184</v>
      </c>
      <c r="J1207" s="2" t="n">
        <v>-7.237</v>
      </c>
      <c r="K1207" s="2" t="n">
        <v>112.74</v>
      </c>
      <c r="L1207" s="2" t="s">
        <v>59</v>
      </c>
      <c r="M1207" s="2" t="s">
        <v>60</v>
      </c>
      <c r="N1207" s="2"/>
      <c r="O1207" s="2" t="s">
        <v>6307</v>
      </c>
      <c r="P1207" s="2"/>
      <c r="Q1207" s="2" t="s">
        <v>62</v>
      </c>
      <c r="R1207" s="2" t="n">
        <v>0.75</v>
      </c>
      <c r="S1207" s="2" t="s">
        <v>6303</v>
      </c>
      <c r="T1207" s="2" t="s">
        <v>1168</v>
      </c>
      <c r="U1207" s="2" t="s">
        <v>6304</v>
      </c>
      <c r="V1207" s="2" t="s">
        <v>745</v>
      </c>
      <c r="W1207" s="2" t="s">
        <v>159</v>
      </c>
      <c r="X1207" s="2" t="s">
        <v>507</v>
      </c>
    </row>
    <row r="1208" customFormat="false" ht="15" hidden="false" customHeight="false" outlineLevel="0" collapsed="false">
      <c r="A1208" s="2" t="n">
        <v>1458</v>
      </c>
      <c r="B1208" s="2" t="s">
        <v>6298</v>
      </c>
      <c r="C1208" s="2" t="s">
        <v>6308</v>
      </c>
      <c r="D1208" s="2" t="s">
        <v>53</v>
      </c>
      <c r="E1208" s="2" t="s">
        <v>6309</v>
      </c>
      <c r="F1208" s="2" t="s">
        <v>6310</v>
      </c>
      <c r="G1208" s="2" t="s">
        <v>957</v>
      </c>
      <c r="H1208" s="2" t="s">
        <v>950</v>
      </c>
      <c r="I1208" s="2" t="s">
        <v>184</v>
      </c>
      <c r="J1208" s="2" t="n">
        <v>-7.305</v>
      </c>
      <c r="K1208" s="2" t="n">
        <v>112.747</v>
      </c>
      <c r="L1208" s="2" t="s">
        <v>59</v>
      </c>
      <c r="M1208" s="2" t="s">
        <v>60</v>
      </c>
      <c r="N1208" s="2"/>
      <c r="O1208" s="2" t="s">
        <v>6311</v>
      </c>
      <c r="P1208" s="2"/>
      <c r="Q1208" s="2" t="s">
        <v>62</v>
      </c>
      <c r="R1208" s="2" t="n">
        <v>0.75</v>
      </c>
      <c r="S1208" s="2" t="s">
        <v>6312</v>
      </c>
      <c r="T1208" s="2" t="s">
        <v>743</v>
      </c>
      <c r="U1208" s="2" t="s">
        <v>6313</v>
      </c>
      <c r="V1208" s="2" t="s">
        <v>420</v>
      </c>
      <c r="W1208" s="2" t="s">
        <v>813</v>
      </c>
      <c r="X1208" s="2" t="s">
        <v>507</v>
      </c>
    </row>
    <row r="1209" customFormat="false" ht="15" hidden="false" customHeight="false" outlineLevel="0" collapsed="false">
      <c r="A1209" s="2" t="n">
        <v>1458</v>
      </c>
      <c r="B1209" s="2" t="s">
        <v>6298</v>
      </c>
      <c r="C1209" s="2" t="s">
        <v>6314</v>
      </c>
      <c r="D1209" s="2" t="s">
        <v>53</v>
      </c>
      <c r="E1209" s="2" t="s">
        <v>1598</v>
      </c>
      <c r="F1209" s="2" t="s">
        <v>6315</v>
      </c>
      <c r="G1209" s="2" t="s">
        <v>957</v>
      </c>
      <c r="H1209" s="2" t="s">
        <v>950</v>
      </c>
      <c r="I1209" s="2" t="s">
        <v>184</v>
      </c>
      <c r="J1209" s="2" t="n">
        <v>-7.2912</v>
      </c>
      <c r="K1209" s="2" t="n">
        <v>112.7398</v>
      </c>
      <c r="L1209" s="2" t="s">
        <v>124</v>
      </c>
      <c r="M1209" s="2" t="s">
        <v>60</v>
      </c>
      <c r="N1209" s="2" t="s">
        <v>6316</v>
      </c>
      <c r="O1209" s="2" t="s">
        <v>6317</v>
      </c>
      <c r="P1209" s="2"/>
      <c r="Q1209" s="2" t="s">
        <v>62</v>
      </c>
      <c r="R1209" s="2" t="n">
        <v>0.7</v>
      </c>
      <c r="S1209" s="2" t="s">
        <v>6312</v>
      </c>
      <c r="T1209" s="2" t="s">
        <v>743</v>
      </c>
      <c r="U1209" s="2" t="s">
        <v>6313</v>
      </c>
      <c r="V1209" s="2" t="s">
        <v>420</v>
      </c>
      <c r="W1209" s="2" t="s">
        <v>813</v>
      </c>
      <c r="X1209" s="2" t="s">
        <v>507</v>
      </c>
    </row>
    <row r="1210" customFormat="false" ht="15" hidden="false" customHeight="false" outlineLevel="0" collapsed="false">
      <c r="A1210" s="2" t="n">
        <v>1459</v>
      </c>
      <c r="B1210" s="2" t="s">
        <v>6298</v>
      </c>
      <c r="C1210" s="2" t="s">
        <v>6318</v>
      </c>
      <c r="D1210" s="2" t="s">
        <v>53</v>
      </c>
      <c r="E1210" s="2" t="s">
        <v>6319</v>
      </c>
      <c r="F1210" s="2"/>
      <c r="G1210" s="2"/>
      <c r="H1210" s="2" t="s">
        <v>950</v>
      </c>
      <c r="I1210" s="2" t="s">
        <v>184</v>
      </c>
      <c r="J1210" s="2" t="n">
        <v>-7.276</v>
      </c>
      <c r="K1210" s="2" t="n">
        <v>112.735</v>
      </c>
      <c r="L1210" s="2" t="s">
        <v>101</v>
      </c>
      <c r="M1210" s="2" t="s">
        <v>60</v>
      </c>
      <c r="N1210" s="2" t="s">
        <v>6320</v>
      </c>
      <c r="O1210" s="2" t="s">
        <v>6321</v>
      </c>
      <c r="P1210" s="2"/>
      <c r="Q1210" s="2" t="s">
        <v>62</v>
      </c>
      <c r="R1210" s="2" t="n">
        <v>0.7</v>
      </c>
      <c r="S1210" s="2" t="s">
        <v>6322</v>
      </c>
      <c r="T1210" s="2" t="s">
        <v>243</v>
      </c>
      <c r="U1210" s="2" t="s">
        <v>6323</v>
      </c>
      <c r="V1210" s="2" t="s">
        <v>745</v>
      </c>
      <c r="W1210" s="2" t="s">
        <v>813</v>
      </c>
      <c r="X1210" s="2" t="s">
        <v>507</v>
      </c>
    </row>
    <row r="1211" customFormat="false" ht="15" hidden="false" customHeight="false" outlineLevel="0" collapsed="false">
      <c r="A1211" s="2" t="n">
        <v>1459</v>
      </c>
      <c r="B1211" s="2" t="s">
        <v>6298</v>
      </c>
      <c r="C1211" s="2" t="s">
        <v>6324</v>
      </c>
      <c r="D1211" s="2" t="s">
        <v>53</v>
      </c>
      <c r="E1211" s="2" t="s">
        <v>6325</v>
      </c>
      <c r="F1211" s="2"/>
      <c r="G1211" s="2"/>
      <c r="H1211" s="2" t="s">
        <v>950</v>
      </c>
      <c r="I1211" s="2" t="s">
        <v>184</v>
      </c>
      <c r="J1211" s="2" t="n">
        <v>-7.276</v>
      </c>
      <c r="K1211" s="2" t="n">
        <v>112.735</v>
      </c>
      <c r="L1211" s="2" t="s">
        <v>101</v>
      </c>
      <c r="M1211" s="2" t="s">
        <v>60</v>
      </c>
      <c r="N1211" s="2" t="s">
        <v>6326</v>
      </c>
      <c r="O1211" s="2" t="s">
        <v>6327</v>
      </c>
      <c r="P1211" s="2"/>
      <c r="Q1211" s="2" t="s">
        <v>62</v>
      </c>
      <c r="R1211" s="2" t="n">
        <v>0.7</v>
      </c>
      <c r="S1211" s="2" t="s">
        <v>6322</v>
      </c>
      <c r="T1211" s="2" t="s">
        <v>243</v>
      </c>
      <c r="U1211" s="2" t="s">
        <v>6323</v>
      </c>
      <c r="V1211" s="2" t="s">
        <v>745</v>
      </c>
      <c r="W1211" s="2" t="s">
        <v>813</v>
      </c>
      <c r="X1211" s="2" t="s">
        <v>507</v>
      </c>
    </row>
    <row r="1212" customFormat="false" ht="15" hidden="false" customHeight="false" outlineLevel="0" collapsed="false">
      <c r="A1212" s="2" t="n">
        <v>1459</v>
      </c>
      <c r="B1212" s="2" t="s">
        <v>6298</v>
      </c>
      <c r="C1212" s="2" t="s">
        <v>6328</v>
      </c>
      <c r="D1212" s="2" t="s">
        <v>53</v>
      </c>
      <c r="E1212" s="2" t="s">
        <v>1598</v>
      </c>
      <c r="F1212" s="2"/>
      <c r="G1212" s="2"/>
      <c r="H1212" s="2" t="s">
        <v>950</v>
      </c>
      <c r="I1212" s="2" t="s">
        <v>184</v>
      </c>
      <c r="J1212" s="2" t="n">
        <v>-7.276</v>
      </c>
      <c r="K1212" s="2" t="n">
        <v>112.735</v>
      </c>
      <c r="L1212" s="2" t="s">
        <v>101</v>
      </c>
      <c r="M1212" s="2" t="s">
        <v>60</v>
      </c>
      <c r="N1212" s="2"/>
      <c r="O1212" s="2" t="s">
        <v>6329</v>
      </c>
      <c r="P1212" s="2"/>
      <c r="Q1212" s="2" t="s">
        <v>62</v>
      </c>
      <c r="R1212" s="2" t="n">
        <v>0.6</v>
      </c>
      <c r="S1212" s="2" t="s">
        <v>6322</v>
      </c>
      <c r="T1212" s="2" t="s">
        <v>243</v>
      </c>
      <c r="U1212" s="2" t="s">
        <v>6323</v>
      </c>
      <c r="V1212" s="2" t="s">
        <v>745</v>
      </c>
      <c r="W1212" s="2" t="s">
        <v>813</v>
      </c>
      <c r="X1212" s="2" t="s">
        <v>507</v>
      </c>
    </row>
    <row r="1213" customFormat="false" ht="15" hidden="false" customHeight="false" outlineLevel="0" collapsed="false">
      <c r="A1213" s="2" t="n">
        <v>1460</v>
      </c>
      <c r="B1213" s="2" t="s">
        <v>6298</v>
      </c>
      <c r="C1213" s="2" t="s">
        <v>6330</v>
      </c>
      <c r="D1213" s="2" t="s">
        <v>53</v>
      </c>
      <c r="E1213" s="2" t="s">
        <v>6331</v>
      </c>
      <c r="F1213" s="2"/>
      <c r="G1213" s="2" t="s">
        <v>6332</v>
      </c>
      <c r="H1213" s="2" t="s">
        <v>950</v>
      </c>
      <c r="I1213" s="2" t="s">
        <v>184</v>
      </c>
      <c r="J1213" s="2" t="n">
        <v>-7.25</v>
      </c>
      <c r="K1213" s="2" t="n">
        <v>112.728</v>
      </c>
      <c r="L1213" s="2" t="s">
        <v>84</v>
      </c>
      <c r="M1213" s="2" t="s">
        <v>60</v>
      </c>
      <c r="N1213" s="2"/>
      <c r="O1213" s="2" t="s">
        <v>6333</v>
      </c>
      <c r="P1213" s="2"/>
      <c r="Q1213" s="2" t="s">
        <v>62</v>
      </c>
      <c r="R1213" s="2" t="n">
        <v>0.75</v>
      </c>
      <c r="S1213" s="2" t="s">
        <v>6334</v>
      </c>
      <c r="T1213" s="2" t="s">
        <v>187</v>
      </c>
      <c r="U1213" s="2" t="s">
        <v>6335</v>
      </c>
      <c r="V1213" s="2" t="s">
        <v>582</v>
      </c>
      <c r="W1213" s="2" t="s">
        <v>851</v>
      </c>
      <c r="X1213" s="2" t="s">
        <v>507</v>
      </c>
    </row>
    <row r="1214" customFormat="false" ht="15" hidden="false" customHeight="false" outlineLevel="0" collapsed="false">
      <c r="A1214" s="2" t="n">
        <v>1460</v>
      </c>
      <c r="B1214" s="2" t="s">
        <v>6298</v>
      </c>
      <c r="C1214" s="2" t="s">
        <v>6336</v>
      </c>
      <c r="D1214" s="2" t="s">
        <v>53</v>
      </c>
      <c r="E1214" s="2" t="s">
        <v>6337</v>
      </c>
      <c r="F1214" s="2" t="s">
        <v>6301</v>
      </c>
      <c r="G1214" s="2" t="s">
        <v>5215</v>
      </c>
      <c r="H1214" s="2" t="s">
        <v>950</v>
      </c>
      <c r="I1214" s="2" t="s">
        <v>184</v>
      </c>
      <c r="J1214" s="2" t="n">
        <v>-7.265</v>
      </c>
      <c r="K1214" s="2" t="n">
        <v>112.742</v>
      </c>
      <c r="L1214" s="2" t="s">
        <v>59</v>
      </c>
      <c r="M1214" s="2" t="s">
        <v>60</v>
      </c>
      <c r="N1214" s="2"/>
      <c r="O1214" s="2" t="s">
        <v>6338</v>
      </c>
      <c r="P1214" s="2"/>
      <c r="Q1214" s="2" t="s">
        <v>62</v>
      </c>
      <c r="R1214" s="2" t="n">
        <v>0.7</v>
      </c>
      <c r="S1214" s="2" t="s">
        <v>6334</v>
      </c>
      <c r="T1214" s="2" t="s">
        <v>187</v>
      </c>
      <c r="U1214" s="2" t="s">
        <v>6335</v>
      </c>
      <c r="V1214" s="2" t="s">
        <v>582</v>
      </c>
      <c r="W1214" s="2" t="s">
        <v>851</v>
      </c>
      <c r="X1214" s="2" t="s">
        <v>507</v>
      </c>
    </row>
    <row r="1215" customFormat="false" ht="15" hidden="false" customHeight="false" outlineLevel="0" collapsed="false">
      <c r="A1215" s="2" t="n">
        <v>1461</v>
      </c>
      <c r="B1215" s="2" t="s">
        <v>6298</v>
      </c>
      <c r="C1215" s="2" t="s">
        <v>6339</v>
      </c>
      <c r="D1215" s="2" t="s">
        <v>134</v>
      </c>
      <c r="E1215" s="2" t="s">
        <v>6340</v>
      </c>
      <c r="F1215" s="2" t="s">
        <v>6341</v>
      </c>
      <c r="G1215" s="2" t="s">
        <v>6342</v>
      </c>
      <c r="H1215" s="2" t="s">
        <v>950</v>
      </c>
      <c r="I1215" s="2" t="s">
        <v>184</v>
      </c>
      <c r="J1215" s="2" t="n">
        <v>-7.2891</v>
      </c>
      <c r="K1215" s="2" t="n">
        <v>112.6759</v>
      </c>
      <c r="L1215" s="2" t="s">
        <v>124</v>
      </c>
      <c r="M1215" s="2" t="s">
        <v>60</v>
      </c>
      <c r="N1215" s="2" t="s">
        <v>6343</v>
      </c>
      <c r="O1215" s="2" t="s">
        <v>6344</v>
      </c>
      <c r="P1215" s="2" t="s">
        <v>2558</v>
      </c>
      <c r="Q1215" s="2" t="s">
        <v>62</v>
      </c>
      <c r="R1215" s="2" t="n">
        <v>0.75</v>
      </c>
      <c r="S1215" s="2" t="s">
        <v>6345</v>
      </c>
      <c r="T1215" s="2" t="s">
        <v>112</v>
      </c>
      <c r="U1215" s="2" t="s">
        <v>6346</v>
      </c>
      <c r="V1215" s="2" t="s">
        <v>6347</v>
      </c>
      <c r="W1215" s="2" t="s">
        <v>495</v>
      </c>
      <c r="X1215" s="2" t="s">
        <v>507</v>
      </c>
    </row>
    <row r="1216" customFormat="false" ht="15" hidden="false" customHeight="false" outlineLevel="0" collapsed="false">
      <c r="A1216" s="2" t="n">
        <v>1461</v>
      </c>
      <c r="B1216" s="2" t="s">
        <v>6298</v>
      </c>
      <c r="C1216" s="2" t="s">
        <v>6348</v>
      </c>
      <c r="D1216" s="2" t="s">
        <v>134</v>
      </c>
      <c r="E1216" s="2" t="s">
        <v>6349</v>
      </c>
      <c r="F1216" s="2"/>
      <c r="G1216" s="2"/>
      <c r="H1216" s="2" t="s">
        <v>950</v>
      </c>
      <c r="I1216" s="2" t="s">
        <v>184</v>
      </c>
      <c r="J1216" s="2" t="n">
        <v>-7.276</v>
      </c>
      <c r="K1216" s="2" t="n">
        <v>112.735</v>
      </c>
      <c r="L1216" s="2" t="s">
        <v>101</v>
      </c>
      <c r="M1216" s="2" t="s">
        <v>60</v>
      </c>
      <c r="N1216" s="2" t="s">
        <v>6350</v>
      </c>
      <c r="O1216" s="2" t="s">
        <v>6351</v>
      </c>
      <c r="P1216" s="2" t="s">
        <v>2558</v>
      </c>
      <c r="Q1216" s="2" t="s">
        <v>62</v>
      </c>
      <c r="R1216" s="2" t="n">
        <v>0.55</v>
      </c>
      <c r="S1216" s="2" t="s">
        <v>6345</v>
      </c>
      <c r="T1216" s="2" t="s">
        <v>112</v>
      </c>
      <c r="U1216" s="2" t="s">
        <v>6346</v>
      </c>
      <c r="V1216" s="2" t="s">
        <v>6347</v>
      </c>
      <c r="W1216" s="2" t="s">
        <v>495</v>
      </c>
      <c r="X1216" s="2" t="s">
        <v>507</v>
      </c>
    </row>
    <row r="1217" customFormat="false" ht="15" hidden="false" customHeight="false" outlineLevel="0" collapsed="false">
      <c r="A1217" s="2" t="n">
        <v>1461</v>
      </c>
      <c r="B1217" s="2" t="s">
        <v>6298</v>
      </c>
      <c r="C1217" s="2" t="s">
        <v>6352</v>
      </c>
      <c r="D1217" s="2" t="s">
        <v>53</v>
      </c>
      <c r="E1217" s="2" t="s">
        <v>1598</v>
      </c>
      <c r="F1217" s="2"/>
      <c r="G1217" s="2"/>
      <c r="H1217" s="2" t="s">
        <v>950</v>
      </c>
      <c r="I1217" s="2" t="s">
        <v>184</v>
      </c>
      <c r="J1217" s="2" t="n">
        <v>-7.276</v>
      </c>
      <c r="K1217" s="2" t="n">
        <v>112.735</v>
      </c>
      <c r="L1217" s="2" t="s">
        <v>101</v>
      </c>
      <c r="M1217" s="2" t="s">
        <v>60</v>
      </c>
      <c r="N1217" s="2"/>
      <c r="O1217" s="2" t="s">
        <v>6353</v>
      </c>
      <c r="P1217" s="2" t="s">
        <v>2558</v>
      </c>
      <c r="Q1217" s="2" t="s">
        <v>62</v>
      </c>
      <c r="R1217" s="2" t="n">
        <v>0.65</v>
      </c>
      <c r="S1217" s="2" t="s">
        <v>6345</v>
      </c>
      <c r="T1217" s="2" t="s">
        <v>112</v>
      </c>
      <c r="U1217" s="2" t="s">
        <v>6346</v>
      </c>
      <c r="V1217" s="2" t="s">
        <v>6347</v>
      </c>
      <c r="W1217" s="2" t="s">
        <v>495</v>
      </c>
      <c r="X1217" s="2" t="s">
        <v>507</v>
      </c>
    </row>
    <row r="1218" customFormat="false" ht="15" hidden="false" customHeight="false" outlineLevel="0" collapsed="false">
      <c r="A1218" s="2" t="n">
        <v>1462</v>
      </c>
      <c r="B1218" s="2" t="s">
        <v>6298</v>
      </c>
      <c r="C1218" s="2" t="s">
        <v>6354</v>
      </c>
      <c r="D1218" s="2" t="s">
        <v>53</v>
      </c>
      <c r="E1218" s="2" t="s">
        <v>6355</v>
      </c>
      <c r="F1218" s="2" t="s">
        <v>4334</v>
      </c>
      <c r="G1218" s="2" t="s">
        <v>4335</v>
      </c>
      <c r="H1218" s="2" t="s">
        <v>950</v>
      </c>
      <c r="I1218" s="2" t="s">
        <v>184</v>
      </c>
      <c r="J1218" s="2" t="n">
        <v>-7.237</v>
      </c>
      <c r="K1218" s="2" t="n">
        <v>112.74</v>
      </c>
      <c r="L1218" s="2" t="s">
        <v>59</v>
      </c>
      <c r="M1218" s="2" t="s">
        <v>60</v>
      </c>
      <c r="N1218" s="2"/>
      <c r="O1218" s="2" t="s">
        <v>6356</v>
      </c>
      <c r="P1218" s="2"/>
      <c r="Q1218" s="2" t="s">
        <v>62</v>
      </c>
      <c r="R1218" s="2" t="n">
        <v>0.8</v>
      </c>
      <c r="S1218" s="2" t="s">
        <v>6357</v>
      </c>
      <c r="T1218" s="2" t="s">
        <v>418</v>
      </c>
      <c r="U1218" s="2" t="s">
        <v>6358</v>
      </c>
      <c r="V1218" s="2" t="s">
        <v>745</v>
      </c>
      <c r="W1218" s="2" t="s">
        <v>1964</v>
      </c>
      <c r="X1218" s="2" t="s">
        <v>507</v>
      </c>
    </row>
    <row r="1219" customFormat="false" ht="15" hidden="false" customHeight="false" outlineLevel="0" collapsed="false">
      <c r="A1219" s="2" t="n">
        <v>1462</v>
      </c>
      <c r="B1219" s="2" t="s">
        <v>6298</v>
      </c>
      <c r="C1219" s="2" t="s">
        <v>6359</v>
      </c>
      <c r="D1219" s="2" t="s">
        <v>53</v>
      </c>
      <c r="E1219" s="2" t="s">
        <v>6360</v>
      </c>
      <c r="F1219" s="2" t="s">
        <v>6361</v>
      </c>
      <c r="G1219" s="2" t="s">
        <v>6332</v>
      </c>
      <c r="H1219" s="2" t="s">
        <v>950</v>
      </c>
      <c r="I1219" s="2" t="s">
        <v>184</v>
      </c>
      <c r="J1219" s="2" t="n">
        <v>-7.249</v>
      </c>
      <c r="K1219" s="2" t="n">
        <v>112.736</v>
      </c>
      <c r="L1219" s="2" t="s">
        <v>59</v>
      </c>
      <c r="M1219" s="2" t="s">
        <v>60</v>
      </c>
      <c r="N1219" s="2"/>
      <c r="O1219" s="2" t="s">
        <v>6362</v>
      </c>
      <c r="P1219" s="2"/>
      <c r="Q1219" s="2" t="s">
        <v>62</v>
      </c>
      <c r="R1219" s="2" t="n">
        <v>0.75</v>
      </c>
      <c r="S1219" s="2" t="s">
        <v>6357</v>
      </c>
      <c r="T1219" s="2" t="s">
        <v>418</v>
      </c>
      <c r="U1219" s="2" t="s">
        <v>6358</v>
      </c>
      <c r="V1219" s="2" t="s">
        <v>745</v>
      </c>
      <c r="W1219" s="2" t="s">
        <v>1964</v>
      </c>
      <c r="X1219" s="2" t="s">
        <v>507</v>
      </c>
    </row>
    <row r="1220" customFormat="false" ht="15" hidden="false" customHeight="false" outlineLevel="0" collapsed="false">
      <c r="A1220" s="2" t="n">
        <v>1462</v>
      </c>
      <c r="B1220" s="2" t="s">
        <v>6298</v>
      </c>
      <c r="C1220" s="2" t="s">
        <v>5212</v>
      </c>
      <c r="D1220" s="2" t="s">
        <v>53</v>
      </c>
      <c r="E1220" s="2" t="s">
        <v>1598</v>
      </c>
      <c r="F1220" s="2" t="s">
        <v>5214</v>
      </c>
      <c r="G1220" s="2" t="s">
        <v>5215</v>
      </c>
      <c r="H1220" s="2" t="s">
        <v>950</v>
      </c>
      <c r="I1220" s="2" t="s">
        <v>184</v>
      </c>
      <c r="J1220" s="2" t="n">
        <v>-7.258</v>
      </c>
      <c r="K1220" s="2" t="n">
        <v>112.745</v>
      </c>
      <c r="L1220" s="2" t="s">
        <v>59</v>
      </c>
      <c r="M1220" s="2" t="s">
        <v>60</v>
      </c>
      <c r="N1220" s="2" t="s">
        <v>6363</v>
      </c>
      <c r="O1220" s="2" t="s">
        <v>6364</v>
      </c>
      <c r="P1220" s="2"/>
      <c r="Q1220" s="2" t="s">
        <v>62</v>
      </c>
      <c r="R1220" s="2" t="n">
        <v>0.75</v>
      </c>
      <c r="S1220" s="2" t="s">
        <v>6357</v>
      </c>
      <c r="T1220" s="2" t="s">
        <v>418</v>
      </c>
      <c r="U1220" s="2" t="s">
        <v>6358</v>
      </c>
      <c r="V1220" s="2" t="s">
        <v>745</v>
      </c>
      <c r="W1220" s="2" t="s">
        <v>1964</v>
      </c>
      <c r="X1220" s="2" t="s">
        <v>507</v>
      </c>
    </row>
    <row r="1221" customFormat="false" ht="15" hidden="false" customHeight="false" outlineLevel="0" collapsed="false">
      <c r="A1221" s="2" t="n">
        <v>1463</v>
      </c>
      <c r="B1221" s="2" t="s">
        <v>6298</v>
      </c>
      <c r="C1221" s="2" t="s">
        <v>6314</v>
      </c>
      <c r="D1221" s="2" t="s">
        <v>53</v>
      </c>
      <c r="E1221" s="2" t="s">
        <v>6365</v>
      </c>
      <c r="F1221" s="2" t="s">
        <v>6315</v>
      </c>
      <c r="G1221" s="2" t="s">
        <v>957</v>
      </c>
      <c r="H1221" s="2" t="s">
        <v>950</v>
      </c>
      <c r="I1221" s="2" t="s">
        <v>184</v>
      </c>
      <c r="J1221" s="2" t="n">
        <v>-7.2912</v>
      </c>
      <c r="K1221" s="2" t="n">
        <v>112.7398</v>
      </c>
      <c r="L1221" s="2" t="s">
        <v>124</v>
      </c>
      <c r="M1221" s="2" t="s">
        <v>60</v>
      </c>
      <c r="N1221" s="2" t="s">
        <v>6366</v>
      </c>
      <c r="O1221" s="2" t="s">
        <v>6367</v>
      </c>
      <c r="P1221" s="2"/>
      <c r="Q1221" s="2" t="s">
        <v>62</v>
      </c>
      <c r="R1221" s="2" t="n">
        <v>0.75</v>
      </c>
      <c r="S1221" s="2" t="s">
        <v>6368</v>
      </c>
      <c r="T1221" s="2" t="s">
        <v>187</v>
      </c>
      <c r="U1221" s="2" t="s">
        <v>6369</v>
      </c>
      <c r="V1221" s="2" t="s">
        <v>6370</v>
      </c>
      <c r="W1221" s="2" t="s">
        <v>159</v>
      </c>
      <c r="X1221" s="2" t="s">
        <v>507</v>
      </c>
    </row>
    <row r="1222" customFormat="false" ht="15" hidden="false" customHeight="false" outlineLevel="0" collapsed="false">
      <c r="A1222" s="2" t="n">
        <v>1464</v>
      </c>
      <c r="B1222" s="2" t="s">
        <v>6298</v>
      </c>
      <c r="C1222" s="2" t="s">
        <v>6371</v>
      </c>
      <c r="D1222" s="2" t="s">
        <v>134</v>
      </c>
      <c r="E1222" s="2" t="s">
        <v>6372</v>
      </c>
      <c r="F1222" s="2" t="s">
        <v>6373</v>
      </c>
      <c r="G1222" s="2" t="s">
        <v>3627</v>
      </c>
      <c r="H1222" s="2" t="s">
        <v>950</v>
      </c>
      <c r="I1222" s="2" t="s">
        <v>184</v>
      </c>
      <c r="J1222" s="2" t="n">
        <v>-7.281</v>
      </c>
      <c r="K1222" s="2" t="n">
        <v>112.741</v>
      </c>
      <c r="L1222" s="2" t="s">
        <v>59</v>
      </c>
      <c r="M1222" s="2" t="s">
        <v>60</v>
      </c>
      <c r="N1222" s="2"/>
      <c r="O1222" s="2" t="s">
        <v>6374</v>
      </c>
      <c r="P1222" s="2" t="s">
        <v>692</v>
      </c>
      <c r="Q1222" s="2" t="s">
        <v>62</v>
      </c>
      <c r="R1222" s="2" t="n">
        <v>0.75</v>
      </c>
      <c r="S1222" s="2" t="s">
        <v>6375</v>
      </c>
      <c r="T1222" s="2" t="s">
        <v>112</v>
      </c>
      <c r="U1222" s="2" t="s">
        <v>6376</v>
      </c>
      <c r="V1222" s="2" t="s">
        <v>6056</v>
      </c>
      <c r="W1222" s="2" t="s">
        <v>3823</v>
      </c>
      <c r="X1222" s="2" t="s">
        <v>507</v>
      </c>
    </row>
    <row r="1223" customFormat="false" ht="15" hidden="false" customHeight="false" outlineLevel="0" collapsed="false">
      <c r="A1223" s="2" t="n">
        <v>1464</v>
      </c>
      <c r="B1223" s="2" t="s">
        <v>6298</v>
      </c>
      <c r="C1223" s="2" t="s">
        <v>6377</v>
      </c>
      <c r="D1223" s="2" t="s">
        <v>134</v>
      </c>
      <c r="E1223" s="2" t="s">
        <v>6378</v>
      </c>
      <c r="F1223" s="2" t="s">
        <v>6379</v>
      </c>
      <c r="G1223" s="2" t="s">
        <v>6380</v>
      </c>
      <c r="H1223" s="2" t="s">
        <v>950</v>
      </c>
      <c r="I1223" s="2" t="s">
        <v>184</v>
      </c>
      <c r="J1223" s="2" t="n">
        <v>-7.276</v>
      </c>
      <c r="K1223" s="2" t="n">
        <v>112.805</v>
      </c>
      <c r="L1223" s="2" t="s">
        <v>59</v>
      </c>
      <c r="M1223" s="2" t="s">
        <v>60</v>
      </c>
      <c r="N1223" s="2" t="s">
        <v>6381</v>
      </c>
      <c r="O1223" s="2" t="s">
        <v>6382</v>
      </c>
      <c r="P1223" s="2" t="s">
        <v>692</v>
      </c>
      <c r="Q1223" s="2" t="s">
        <v>110</v>
      </c>
      <c r="R1223" s="2" t="n">
        <v>0.7</v>
      </c>
      <c r="S1223" s="2" t="s">
        <v>6375</v>
      </c>
      <c r="T1223" s="2" t="s">
        <v>112</v>
      </c>
      <c r="U1223" s="2" t="s">
        <v>6376</v>
      </c>
      <c r="V1223" s="2" t="s">
        <v>6056</v>
      </c>
      <c r="W1223" s="2" t="s">
        <v>3823</v>
      </c>
      <c r="X1223" s="2" t="s">
        <v>507</v>
      </c>
    </row>
    <row r="1224" customFormat="false" ht="15" hidden="false" customHeight="false" outlineLevel="0" collapsed="false">
      <c r="A1224" s="2" t="n">
        <v>1464</v>
      </c>
      <c r="B1224" s="2" t="s">
        <v>6298</v>
      </c>
      <c r="C1224" s="2" t="s">
        <v>6383</v>
      </c>
      <c r="D1224" s="2" t="s">
        <v>53</v>
      </c>
      <c r="E1224" s="2" t="s">
        <v>1598</v>
      </c>
      <c r="F1224" s="2"/>
      <c r="G1224" s="2"/>
      <c r="H1224" s="2" t="s">
        <v>950</v>
      </c>
      <c r="I1224" s="2" t="s">
        <v>184</v>
      </c>
      <c r="J1224" s="2" t="n">
        <v>-7.276</v>
      </c>
      <c r="K1224" s="2" t="n">
        <v>112.735</v>
      </c>
      <c r="L1224" s="2" t="s">
        <v>101</v>
      </c>
      <c r="M1224" s="2" t="s">
        <v>60</v>
      </c>
      <c r="N1224" s="2"/>
      <c r="O1224" s="2" t="s">
        <v>6384</v>
      </c>
      <c r="P1224" s="2" t="s">
        <v>692</v>
      </c>
      <c r="Q1224" s="2" t="s">
        <v>62</v>
      </c>
      <c r="R1224" s="2" t="n">
        <v>0.55</v>
      </c>
      <c r="S1224" s="2" t="s">
        <v>6375</v>
      </c>
      <c r="T1224" s="2" t="s">
        <v>112</v>
      </c>
      <c r="U1224" s="2" t="s">
        <v>6376</v>
      </c>
      <c r="V1224" s="2" t="s">
        <v>6056</v>
      </c>
      <c r="W1224" s="2" t="s">
        <v>3823</v>
      </c>
      <c r="X1224" s="2" t="s">
        <v>507</v>
      </c>
    </row>
    <row r="1225" customFormat="false" ht="15" hidden="false" customHeight="false" outlineLevel="0" collapsed="false">
      <c r="A1225" s="2" t="n">
        <v>1465</v>
      </c>
      <c r="B1225" s="2" t="s">
        <v>6298</v>
      </c>
      <c r="C1225" s="2" t="s">
        <v>6385</v>
      </c>
      <c r="D1225" s="2" t="s">
        <v>53</v>
      </c>
      <c r="E1225" s="2" t="s">
        <v>6386</v>
      </c>
      <c r="F1225" s="2"/>
      <c r="G1225" s="2"/>
      <c r="H1225" s="2" t="s">
        <v>950</v>
      </c>
      <c r="I1225" s="2" t="s">
        <v>184</v>
      </c>
      <c r="J1225" s="2" t="n">
        <v>-7.276</v>
      </c>
      <c r="K1225" s="2" t="n">
        <v>112.735</v>
      </c>
      <c r="L1225" s="2" t="s">
        <v>101</v>
      </c>
      <c r="M1225" s="2" t="s">
        <v>60</v>
      </c>
      <c r="N1225" s="2" t="s">
        <v>6387</v>
      </c>
      <c r="O1225" s="2" t="s">
        <v>6388</v>
      </c>
      <c r="P1225" s="2"/>
      <c r="Q1225" s="2" t="s">
        <v>62</v>
      </c>
      <c r="R1225" s="2" t="n">
        <v>0.75</v>
      </c>
      <c r="S1225" s="2" t="s">
        <v>6389</v>
      </c>
      <c r="T1225" s="2" t="s">
        <v>64</v>
      </c>
      <c r="U1225" s="2" t="s">
        <v>6390</v>
      </c>
      <c r="V1225" s="2" t="s">
        <v>4544</v>
      </c>
      <c r="W1225" s="2" t="s">
        <v>360</v>
      </c>
      <c r="X1225" s="2" t="s">
        <v>507</v>
      </c>
    </row>
    <row r="1226" customFormat="false" ht="15" hidden="false" customHeight="false" outlineLevel="0" collapsed="false">
      <c r="A1226" s="2" t="n">
        <v>1465</v>
      </c>
      <c r="B1226" s="2" t="s">
        <v>6298</v>
      </c>
      <c r="C1226" s="2" t="s">
        <v>6391</v>
      </c>
      <c r="D1226" s="2" t="s">
        <v>53</v>
      </c>
      <c r="E1226" s="2" t="s">
        <v>6392</v>
      </c>
      <c r="F1226" s="2"/>
      <c r="G1226" s="2" t="s">
        <v>3627</v>
      </c>
      <c r="H1226" s="2" t="s">
        <v>950</v>
      </c>
      <c r="I1226" s="2" t="s">
        <v>184</v>
      </c>
      <c r="J1226" s="2" t="n">
        <v>-7.27</v>
      </c>
      <c r="K1226" s="2" t="n">
        <v>112.737</v>
      </c>
      <c r="L1226" s="2" t="s">
        <v>84</v>
      </c>
      <c r="M1226" s="2" t="s">
        <v>60</v>
      </c>
      <c r="N1226" s="2" t="s">
        <v>6393</v>
      </c>
      <c r="O1226" s="2" t="s">
        <v>6394</v>
      </c>
      <c r="P1226" s="2"/>
      <c r="Q1226" s="2" t="s">
        <v>62</v>
      </c>
      <c r="R1226" s="2" t="n">
        <v>0.8</v>
      </c>
      <c r="S1226" s="2" t="s">
        <v>6389</v>
      </c>
      <c r="T1226" s="2" t="s">
        <v>64</v>
      </c>
      <c r="U1226" s="2" t="s">
        <v>6390</v>
      </c>
      <c r="V1226" s="2" t="s">
        <v>4544</v>
      </c>
      <c r="W1226" s="2" t="s">
        <v>360</v>
      </c>
      <c r="X1226" s="2" t="s">
        <v>507</v>
      </c>
    </row>
    <row r="1227" customFormat="false" ht="15" hidden="false" customHeight="false" outlineLevel="0" collapsed="false">
      <c r="A1227" s="2" t="n">
        <v>1465</v>
      </c>
      <c r="B1227" s="2" t="s">
        <v>6298</v>
      </c>
      <c r="C1227" s="2" t="s">
        <v>6395</v>
      </c>
      <c r="D1227" s="2" t="s">
        <v>53</v>
      </c>
      <c r="E1227" s="2" t="s">
        <v>6396</v>
      </c>
      <c r="F1227" s="2"/>
      <c r="G1227" s="2"/>
      <c r="H1227" s="2" t="s">
        <v>950</v>
      </c>
      <c r="I1227" s="2" t="s">
        <v>184</v>
      </c>
      <c r="J1227" s="2" t="n">
        <v>-7.276</v>
      </c>
      <c r="K1227" s="2" t="n">
        <v>112.735</v>
      </c>
      <c r="L1227" s="2" t="s">
        <v>101</v>
      </c>
      <c r="M1227" s="2" t="s">
        <v>60</v>
      </c>
      <c r="N1227" s="2" t="s">
        <v>6397</v>
      </c>
      <c r="O1227" s="2" t="s">
        <v>6398</v>
      </c>
      <c r="P1227" s="2"/>
      <c r="Q1227" s="2" t="s">
        <v>62</v>
      </c>
      <c r="R1227" s="2" t="n">
        <v>0.65</v>
      </c>
      <c r="S1227" s="2" t="s">
        <v>6389</v>
      </c>
      <c r="T1227" s="2" t="s">
        <v>64</v>
      </c>
      <c r="U1227" s="2" t="s">
        <v>6390</v>
      </c>
      <c r="V1227" s="2" t="s">
        <v>4544</v>
      </c>
      <c r="W1227" s="2" t="s">
        <v>360</v>
      </c>
      <c r="X1227" s="2" t="s">
        <v>507</v>
      </c>
    </row>
    <row r="1228" customFormat="false" ht="15" hidden="false" customHeight="false" outlineLevel="0" collapsed="false">
      <c r="A1228" s="2" t="n">
        <v>1466</v>
      </c>
      <c r="B1228" s="2" t="s">
        <v>6298</v>
      </c>
      <c r="C1228" s="2" t="s">
        <v>6399</v>
      </c>
      <c r="D1228" s="2" t="s">
        <v>134</v>
      </c>
      <c r="E1228" s="2" t="s">
        <v>6400</v>
      </c>
      <c r="F1228" s="2" t="s">
        <v>6401</v>
      </c>
      <c r="G1228" s="2" t="s">
        <v>6402</v>
      </c>
      <c r="H1228" s="2" t="s">
        <v>950</v>
      </c>
      <c r="I1228" s="2" t="s">
        <v>184</v>
      </c>
      <c r="J1228" s="2" t="n">
        <v>-7.259</v>
      </c>
      <c r="K1228" s="2" t="n">
        <v>112.759</v>
      </c>
      <c r="L1228" s="2" t="s">
        <v>59</v>
      </c>
      <c r="M1228" s="2" t="s">
        <v>60</v>
      </c>
      <c r="N1228" s="2"/>
      <c r="O1228" s="2" t="s">
        <v>6403</v>
      </c>
      <c r="P1228" s="2"/>
      <c r="Q1228" s="2" t="s">
        <v>62</v>
      </c>
      <c r="R1228" s="2" t="n">
        <v>0.7</v>
      </c>
      <c r="S1228" s="2" t="s">
        <v>6404</v>
      </c>
      <c r="T1228" s="2" t="s">
        <v>187</v>
      </c>
      <c r="U1228" s="2" t="s">
        <v>6405</v>
      </c>
      <c r="V1228" s="2" t="s">
        <v>6406</v>
      </c>
      <c r="W1228" s="2" t="s">
        <v>1654</v>
      </c>
      <c r="X1228" s="2" t="s">
        <v>507</v>
      </c>
    </row>
    <row r="1229" customFormat="false" ht="15" hidden="false" customHeight="false" outlineLevel="0" collapsed="false">
      <c r="A1229" s="2" t="n">
        <v>1466</v>
      </c>
      <c r="B1229" s="2" t="s">
        <v>6298</v>
      </c>
      <c r="C1229" s="2" t="s">
        <v>6407</v>
      </c>
      <c r="D1229" s="2" t="s">
        <v>134</v>
      </c>
      <c r="E1229" s="2" t="s">
        <v>6408</v>
      </c>
      <c r="F1229" s="2"/>
      <c r="G1229" s="2"/>
      <c r="H1229" s="2" t="s">
        <v>950</v>
      </c>
      <c r="I1229" s="2" t="s">
        <v>184</v>
      </c>
      <c r="J1229" s="2" t="n">
        <v>-7.276</v>
      </c>
      <c r="K1229" s="2" t="n">
        <v>112.735</v>
      </c>
      <c r="L1229" s="2" t="s">
        <v>101</v>
      </c>
      <c r="M1229" s="2" t="s">
        <v>60</v>
      </c>
      <c r="N1229" s="2" t="s">
        <v>6409</v>
      </c>
      <c r="O1229" s="2" t="s">
        <v>6410</v>
      </c>
      <c r="P1229" s="2"/>
      <c r="Q1229" s="2" t="s">
        <v>62</v>
      </c>
      <c r="R1229" s="2" t="n">
        <v>0.75</v>
      </c>
      <c r="S1229" s="2" t="s">
        <v>6404</v>
      </c>
      <c r="T1229" s="2" t="s">
        <v>187</v>
      </c>
      <c r="U1229" s="2" t="s">
        <v>6405</v>
      </c>
      <c r="V1229" s="2" t="s">
        <v>6406</v>
      </c>
      <c r="W1229" s="2" t="s">
        <v>1654</v>
      </c>
      <c r="X1229" s="2" t="s">
        <v>507</v>
      </c>
    </row>
    <row r="1230" customFormat="false" ht="15" hidden="false" customHeight="false" outlineLevel="0" collapsed="false">
      <c r="A1230" s="2" t="n">
        <v>1466</v>
      </c>
      <c r="B1230" s="2" t="s">
        <v>6298</v>
      </c>
      <c r="C1230" s="2" t="s">
        <v>6411</v>
      </c>
      <c r="D1230" s="2" t="s">
        <v>134</v>
      </c>
      <c r="E1230" s="2" t="s">
        <v>6412</v>
      </c>
      <c r="F1230" s="2"/>
      <c r="G1230" s="2"/>
      <c r="H1230" s="2" t="s">
        <v>950</v>
      </c>
      <c r="I1230" s="2" t="s">
        <v>184</v>
      </c>
      <c r="J1230" s="2" t="n">
        <v>-7.276</v>
      </c>
      <c r="K1230" s="2" t="n">
        <v>112.735</v>
      </c>
      <c r="L1230" s="2" t="s">
        <v>101</v>
      </c>
      <c r="M1230" s="2" t="s">
        <v>60</v>
      </c>
      <c r="N1230" s="2" t="s">
        <v>6413</v>
      </c>
      <c r="O1230" s="2" t="s">
        <v>6414</v>
      </c>
      <c r="P1230" s="2"/>
      <c r="Q1230" s="2" t="s">
        <v>62</v>
      </c>
      <c r="R1230" s="2" t="n">
        <v>0.7</v>
      </c>
      <c r="S1230" s="2" t="s">
        <v>6404</v>
      </c>
      <c r="T1230" s="2" t="s">
        <v>187</v>
      </c>
      <c r="U1230" s="2" t="s">
        <v>6405</v>
      </c>
      <c r="V1230" s="2" t="s">
        <v>6406</v>
      </c>
      <c r="W1230" s="2" t="s">
        <v>1654</v>
      </c>
      <c r="X1230" s="2" t="s">
        <v>507</v>
      </c>
    </row>
    <row r="1231" customFormat="false" ht="15" hidden="false" customHeight="false" outlineLevel="0" collapsed="false">
      <c r="A1231" s="2" t="n">
        <v>1467</v>
      </c>
      <c r="B1231" s="2" t="s">
        <v>6298</v>
      </c>
      <c r="C1231" s="2" t="s">
        <v>6415</v>
      </c>
      <c r="D1231" s="2" t="s">
        <v>53</v>
      </c>
      <c r="E1231" s="2" t="s">
        <v>6416</v>
      </c>
      <c r="F1231" s="2"/>
      <c r="G1231" s="2" t="s">
        <v>5215</v>
      </c>
      <c r="H1231" s="2" t="s">
        <v>950</v>
      </c>
      <c r="I1231" s="2" t="s">
        <v>184</v>
      </c>
      <c r="J1231" s="2" t="n">
        <v>-7.259</v>
      </c>
      <c r="K1231" s="2" t="n">
        <v>112.744</v>
      </c>
      <c r="L1231" s="2" t="s">
        <v>84</v>
      </c>
      <c r="M1231" s="2" t="s">
        <v>60</v>
      </c>
      <c r="N1231" s="2" t="s">
        <v>6417</v>
      </c>
      <c r="O1231" s="2" t="s">
        <v>6418</v>
      </c>
      <c r="P1231" s="2" t="s">
        <v>298</v>
      </c>
      <c r="Q1231" s="2" t="s">
        <v>62</v>
      </c>
      <c r="R1231" s="2" t="n">
        <v>0.7</v>
      </c>
      <c r="S1231" s="2" t="s">
        <v>6419</v>
      </c>
      <c r="T1231" s="2" t="s">
        <v>112</v>
      </c>
      <c r="U1231" s="2" t="s">
        <v>6420</v>
      </c>
      <c r="V1231" s="2" t="s">
        <v>6347</v>
      </c>
      <c r="W1231" s="2" t="s">
        <v>768</v>
      </c>
      <c r="X1231" s="2" t="s">
        <v>507</v>
      </c>
    </row>
    <row r="1232" customFormat="false" ht="15" hidden="false" customHeight="false" outlineLevel="0" collapsed="false">
      <c r="A1232" s="2" t="n">
        <v>1467</v>
      </c>
      <c r="B1232" s="2" t="s">
        <v>6298</v>
      </c>
      <c r="C1232" s="2" t="s">
        <v>6421</v>
      </c>
      <c r="D1232" s="2" t="s">
        <v>53</v>
      </c>
      <c r="E1232" s="2" t="s">
        <v>6422</v>
      </c>
      <c r="F1232" s="2"/>
      <c r="G1232" s="2"/>
      <c r="H1232" s="2" t="s">
        <v>950</v>
      </c>
      <c r="I1232" s="2" t="s">
        <v>184</v>
      </c>
      <c r="J1232" s="2" t="n">
        <v>-7.276</v>
      </c>
      <c r="K1232" s="2" t="n">
        <v>112.735</v>
      </c>
      <c r="L1232" s="2" t="s">
        <v>101</v>
      </c>
      <c r="M1232" s="2" t="s">
        <v>60</v>
      </c>
      <c r="N1232" s="2" t="s">
        <v>6423</v>
      </c>
      <c r="O1232" s="2" t="s">
        <v>6424</v>
      </c>
      <c r="P1232" s="2" t="s">
        <v>298</v>
      </c>
      <c r="Q1232" s="2" t="s">
        <v>62</v>
      </c>
      <c r="R1232" s="2" t="n">
        <v>0.7</v>
      </c>
      <c r="S1232" s="2" t="s">
        <v>6419</v>
      </c>
      <c r="T1232" s="2" t="s">
        <v>112</v>
      </c>
      <c r="U1232" s="2" t="s">
        <v>6420</v>
      </c>
      <c r="V1232" s="2" t="s">
        <v>6347</v>
      </c>
      <c r="W1232" s="2" t="s">
        <v>768</v>
      </c>
      <c r="X1232" s="2" t="s">
        <v>507</v>
      </c>
    </row>
    <row r="1233" customFormat="false" ht="15" hidden="false" customHeight="false" outlineLevel="0" collapsed="false">
      <c r="A1233" s="2" t="n">
        <v>1467</v>
      </c>
      <c r="B1233" s="2" t="s">
        <v>6298</v>
      </c>
      <c r="C1233" s="2" t="s">
        <v>6425</v>
      </c>
      <c r="D1233" s="2" t="s">
        <v>53</v>
      </c>
      <c r="E1233" s="2" t="s">
        <v>1598</v>
      </c>
      <c r="F1233" s="2"/>
      <c r="G1233" s="2"/>
      <c r="H1233" s="2" t="s">
        <v>950</v>
      </c>
      <c r="I1233" s="2" t="s">
        <v>184</v>
      </c>
      <c r="J1233" s="2" t="n">
        <v>-7.276</v>
      </c>
      <c r="K1233" s="2" t="n">
        <v>112.735</v>
      </c>
      <c r="L1233" s="2" t="s">
        <v>101</v>
      </c>
      <c r="M1233" s="2" t="s">
        <v>60</v>
      </c>
      <c r="N1233" s="2"/>
      <c r="O1233" s="2" t="s">
        <v>6426</v>
      </c>
      <c r="P1233" s="2" t="s">
        <v>298</v>
      </c>
      <c r="Q1233" s="2" t="s">
        <v>62</v>
      </c>
      <c r="R1233" s="2" t="n">
        <v>0.65</v>
      </c>
      <c r="S1233" s="2" t="s">
        <v>6419</v>
      </c>
      <c r="T1233" s="2" t="s">
        <v>112</v>
      </c>
      <c r="U1233" s="2" t="s">
        <v>6420</v>
      </c>
      <c r="V1233" s="2" t="s">
        <v>6347</v>
      </c>
      <c r="W1233" s="2" t="s">
        <v>768</v>
      </c>
      <c r="X1233" s="2" t="s">
        <v>507</v>
      </c>
    </row>
    <row r="1234" customFormat="false" ht="15" hidden="false" customHeight="false" outlineLevel="0" collapsed="false">
      <c r="A1234" s="2" t="n">
        <v>1468</v>
      </c>
      <c r="B1234" s="2" t="s">
        <v>6298</v>
      </c>
      <c r="C1234" s="2" t="s">
        <v>6427</v>
      </c>
      <c r="D1234" s="2" t="s">
        <v>53</v>
      </c>
      <c r="E1234" s="2" t="s">
        <v>6428</v>
      </c>
      <c r="F1234" s="2" t="s">
        <v>6341</v>
      </c>
      <c r="G1234" s="2" t="s">
        <v>6342</v>
      </c>
      <c r="H1234" s="2" t="s">
        <v>950</v>
      </c>
      <c r="I1234" s="2" t="s">
        <v>184</v>
      </c>
      <c r="J1234" s="2" t="n">
        <v>-7.2891</v>
      </c>
      <c r="K1234" s="2" t="n">
        <v>112.6759</v>
      </c>
      <c r="L1234" s="2" t="s">
        <v>124</v>
      </c>
      <c r="M1234" s="2" t="s">
        <v>60</v>
      </c>
      <c r="N1234" s="2" t="s">
        <v>6343</v>
      </c>
      <c r="O1234" s="2" t="s">
        <v>6429</v>
      </c>
      <c r="P1234" s="2"/>
      <c r="Q1234" s="2" t="s">
        <v>62</v>
      </c>
      <c r="R1234" s="2" t="n">
        <v>0.65</v>
      </c>
      <c r="S1234" s="2" t="s">
        <v>6430</v>
      </c>
      <c r="T1234" s="2" t="s">
        <v>112</v>
      </c>
      <c r="U1234" s="2" t="s">
        <v>6431</v>
      </c>
      <c r="V1234" s="2" t="s">
        <v>696</v>
      </c>
      <c r="W1234" s="2" t="s">
        <v>795</v>
      </c>
      <c r="X1234" s="2" t="s">
        <v>507</v>
      </c>
    </row>
    <row r="1235" customFormat="false" ht="15" hidden="false" customHeight="false" outlineLevel="0" collapsed="false">
      <c r="A1235" s="2" t="n">
        <v>1468</v>
      </c>
      <c r="B1235" s="2" t="s">
        <v>6298</v>
      </c>
      <c r="C1235" s="2" t="s">
        <v>6432</v>
      </c>
      <c r="D1235" s="2" t="s">
        <v>53</v>
      </c>
      <c r="E1235" s="2" t="s">
        <v>6433</v>
      </c>
      <c r="F1235" s="2" t="s">
        <v>6434</v>
      </c>
      <c r="G1235" s="2" t="s">
        <v>3627</v>
      </c>
      <c r="H1235" s="2" t="s">
        <v>950</v>
      </c>
      <c r="I1235" s="2" t="s">
        <v>184</v>
      </c>
      <c r="J1235" s="2" t="n">
        <v>-7.2622</v>
      </c>
      <c r="K1235" s="2" t="n">
        <v>112.7388</v>
      </c>
      <c r="L1235" s="2" t="s">
        <v>124</v>
      </c>
      <c r="M1235" s="2" t="s">
        <v>60</v>
      </c>
      <c r="N1235" s="2" t="s">
        <v>6435</v>
      </c>
      <c r="O1235" s="2" t="s">
        <v>6436</v>
      </c>
      <c r="P1235" s="2"/>
      <c r="Q1235" s="2" t="s">
        <v>62</v>
      </c>
      <c r="R1235" s="2" t="n">
        <v>0.65</v>
      </c>
      <c r="S1235" s="2" t="s">
        <v>6430</v>
      </c>
      <c r="T1235" s="2" t="s">
        <v>112</v>
      </c>
      <c r="U1235" s="2" t="s">
        <v>6431</v>
      </c>
      <c r="V1235" s="2" t="s">
        <v>696</v>
      </c>
      <c r="W1235" s="2" t="s">
        <v>795</v>
      </c>
      <c r="X1235" s="2" t="s">
        <v>507</v>
      </c>
    </row>
    <row r="1236" customFormat="false" ht="15" hidden="false" customHeight="false" outlineLevel="0" collapsed="false">
      <c r="A1236" s="2" t="n">
        <v>1469</v>
      </c>
      <c r="B1236" s="2" t="s">
        <v>6298</v>
      </c>
      <c r="C1236" s="2" t="s">
        <v>6437</v>
      </c>
      <c r="D1236" s="2" t="s">
        <v>121</v>
      </c>
      <c r="E1236" s="2" t="s">
        <v>1598</v>
      </c>
      <c r="F1236" s="2"/>
      <c r="G1236" s="2"/>
      <c r="H1236" s="2" t="s">
        <v>950</v>
      </c>
      <c r="I1236" s="2" t="s">
        <v>184</v>
      </c>
      <c r="J1236" s="2" t="n">
        <v>-7.276</v>
      </c>
      <c r="K1236" s="2" t="n">
        <v>112.735</v>
      </c>
      <c r="L1236" s="2" t="s">
        <v>101</v>
      </c>
      <c r="M1236" s="2" t="s">
        <v>60</v>
      </c>
      <c r="N1236" s="2"/>
      <c r="O1236" s="2" t="s">
        <v>6438</v>
      </c>
      <c r="P1236" s="2" t="s">
        <v>6439</v>
      </c>
      <c r="Q1236" s="2" t="s">
        <v>62</v>
      </c>
      <c r="R1236" s="2" t="n">
        <v>0.6</v>
      </c>
      <c r="S1236" s="2" t="s">
        <v>6440</v>
      </c>
      <c r="T1236" s="2" t="s">
        <v>1866</v>
      </c>
      <c r="U1236" s="2" t="s">
        <v>6441</v>
      </c>
      <c r="V1236" s="2" t="s">
        <v>4380</v>
      </c>
      <c r="W1236" s="2" t="s">
        <v>795</v>
      </c>
      <c r="X1236" s="2" t="s">
        <v>507</v>
      </c>
    </row>
    <row r="1237" customFormat="false" ht="15" hidden="false" customHeight="false" outlineLevel="0" collapsed="false">
      <c r="A1237" s="2" t="n">
        <v>1469</v>
      </c>
      <c r="B1237" s="2" t="s">
        <v>6298</v>
      </c>
      <c r="C1237" s="2" t="s">
        <v>6442</v>
      </c>
      <c r="D1237" s="2" t="s">
        <v>1130</v>
      </c>
      <c r="E1237" s="2" t="s">
        <v>6443</v>
      </c>
      <c r="F1237" s="2" t="s">
        <v>6301</v>
      </c>
      <c r="G1237" s="2" t="s">
        <v>5215</v>
      </c>
      <c r="H1237" s="2" t="s">
        <v>950</v>
      </c>
      <c r="I1237" s="2" t="s">
        <v>184</v>
      </c>
      <c r="J1237" s="2" t="n">
        <v>-7.265</v>
      </c>
      <c r="K1237" s="2" t="n">
        <v>112.742</v>
      </c>
      <c r="L1237" s="2" t="s">
        <v>59</v>
      </c>
      <c r="M1237" s="2" t="s">
        <v>60</v>
      </c>
      <c r="N1237" s="2"/>
      <c r="O1237" s="2" t="s">
        <v>6444</v>
      </c>
      <c r="P1237" s="2"/>
      <c r="Q1237" s="2" t="s">
        <v>62</v>
      </c>
      <c r="R1237" s="2" t="n">
        <v>0.7</v>
      </c>
      <c r="S1237" s="2" t="s">
        <v>6440</v>
      </c>
      <c r="T1237" s="2" t="s">
        <v>1866</v>
      </c>
      <c r="U1237" s="2" t="s">
        <v>6441</v>
      </c>
      <c r="V1237" s="2" t="s">
        <v>4380</v>
      </c>
      <c r="W1237" s="2" t="s">
        <v>795</v>
      </c>
      <c r="X1237" s="2" t="s">
        <v>507</v>
      </c>
    </row>
    <row r="1238" customFormat="false" ht="15" hidden="false" customHeight="false" outlineLevel="0" collapsed="false">
      <c r="A1238" s="2" t="n">
        <v>1469</v>
      </c>
      <c r="B1238" s="2" t="s">
        <v>6298</v>
      </c>
      <c r="C1238" s="2" t="s">
        <v>6445</v>
      </c>
      <c r="D1238" s="2" t="s">
        <v>1130</v>
      </c>
      <c r="E1238" s="2" t="s">
        <v>6446</v>
      </c>
      <c r="F1238" s="2"/>
      <c r="G1238" s="2" t="s">
        <v>6447</v>
      </c>
      <c r="H1238" s="2" t="s">
        <v>950</v>
      </c>
      <c r="I1238" s="2" t="s">
        <v>184</v>
      </c>
      <c r="J1238" s="2" t="n">
        <v>-7.328</v>
      </c>
      <c r="K1238" s="2" t="n">
        <v>112.786</v>
      </c>
      <c r="L1238" s="2" t="s">
        <v>84</v>
      </c>
      <c r="M1238" s="2" t="s">
        <v>60</v>
      </c>
      <c r="N1238" s="2" t="s">
        <v>6448</v>
      </c>
      <c r="O1238" s="2" t="s">
        <v>6449</v>
      </c>
      <c r="P1238" s="2"/>
      <c r="Q1238" s="2" t="s">
        <v>62</v>
      </c>
      <c r="R1238" s="2" t="n">
        <v>0.7</v>
      </c>
      <c r="S1238" s="2" t="s">
        <v>6440</v>
      </c>
      <c r="T1238" s="2" t="s">
        <v>1866</v>
      </c>
      <c r="U1238" s="2" t="s">
        <v>6441</v>
      </c>
      <c r="V1238" s="2" t="s">
        <v>4380</v>
      </c>
      <c r="W1238" s="2" t="s">
        <v>795</v>
      </c>
      <c r="X1238" s="2" t="s">
        <v>507</v>
      </c>
    </row>
    <row r="1239" customFormat="false" ht="15" hidden="false" customHeight="false" outlineLevel="0" collapsed="false">
      <c r="A1239" s="2" t="n">
        <v>1471</v>
      </c>
      <c r="B1239" s="2" t="s">
        <v>6450</v>
      </c>
      <c r="C1239" s="2" t="s">
        <v>6451</v>
      </c>
      <c r="D1239" s="2" t="s">
        <v>351</v>
      </c>
      <c r="E1239" s="2" t="s">
        <v>6452</v>
      </c>
      <c r="F1239" s="2"/>
      <c r="G1239" s="2" t="s">
        <v>5215</v>
      </c>
      <c r="H1239" s="2" t="s">
        <v>950</v>
      </c>
      <c r="I1239" s="2" t="s">
        <v>184</v>
      </c>
      <c r="J1239" s="2" t="n">
        <v>-7.259</v>
      </c>
      <c r="K1239" s="2" t="n">
        <v>112.739</v>
      </c>
      <c r="L1239" s="2" t="s">
        <v>124</v>
      </c>
      <c r="M1239" s="2" t="s">
        <v>60</v>
      </c>
      <c r="N1239" s="2"/>
      <c r="O1239" s="2" t="s">
        <v>6453</v>
      </c>
      <c r="P1239" s="2" t="s">
        <v>1386</v>
      </c>
      <c r="Q1239" s="2" t="s">
        <v>110</v>
      </c>
      <c r="R1239" s="2" t="n">
        <v>0.45</v>
      </c>
      <c r="S1239" s="2" t="s">
        <v>6454</v>
      </c>
      <c r="T1239" s="2" t="s">
        <v>743</v>
      </c>
      <c r="U1239" s="2" t="s">
        <v>6455</v>
      </c>
      <c r="V1239" s="2" t="s">
        <v>3212</v>
      </c>
      <c r="W1239" s="2" t="s">
        <v>795</v>
      </c>
      <c r="X1239" s="2" t="s">
        <v>507</v>
      </c>
    </row>
    <row r="1240" customFormat="false" ht="15" hidden="false" customHeight="false" outlineLevel="0" collapsed="false">
      <c r="A1240" s="2" t="n">
        <v>1472</v>
      </c>
      <c r="B1240" s="2" t="s">
        <v>6450</v>
      </c>
      <c r="C1240" s="2" t="s">
        <v>6456</v>
      </c>
      <c r="D1240" s="2" t="s">
        <v>410</v>
      </c>
      <c r="E1240" s="2" t="s">
        <v>1598</v>
      </c>
      <c r="F1240" s="2" t="s">
        <v>6315</v>
      </c>
      <c r="G1240" s="2" t="s">
        <v>957</v>
      </c>
      <c r="H1240" s="2" t="s">
        <v>950</v>
      </c>
      <c r="I1240" s="2" t="s">
        <v>184</v>
      </c>
      <c r="J1240" s="2" t="n">
        <v>-7.2912</v>
      </c>
      <c r="K1240" s="2" t="n">
        <v>112.7398</v>
      </c>
      <c r="L1240" s="2" t="s">
        <v>124</v>
      </c>
      <c r="M1240" s="2" t="s">
        <v>60</v>
      </c>
      <c r="N1240" s="2"/>
      <c r="O1240" s="2" t="s">
        <v>6457</v>
      </c>
      <c r="P1240" s="2"/>
      <c r="Q1240" s="2" t="s">
        <v>62</v>
      </c>
      <c r="R1240" s="2" t="n">
        <v>0.75</v>
      </c>
      <c r="S1240" s="2" t="s">
        <v>6458</v>
      </c>
      <c r="T1240" s="2" t="s">
        <v>5387</v>
      </c>
      <c r="U1240" s="2" t="s">
        <v>6459</v>
      </c>
      <c r="V1240" s="2" t="s">
        <v>6347</v>
      </c>
      <c r="W1240" s="2" t="s">
        <v>2594</v>
      </c>
      <c r="X1240" s="2" t="s">
        <v>507</v>
      </c>
    </row>
    <row r="1241" customFormat="false" ht="15" hidden="false" customHeight="false" outlineLevel="0" collapsed="false">
      <c r="A1241" s="2" t="n">
        <v>1472</v>
      </c>
      <c r="B1241" s="2" t="s">
        <v>6450</v>
      </c>
      <c r="C1241" s="2" t="s">
        <v>6460</v>
      </c>
      <c r="D1241" s="2" t="s">
        <v>410</v>
      </c>
      <c r="E1241" s="2" t="s">
        <v>6461</v>
      </c>
      <c r="F1241" s="2" t="s">
        <v>6462</v>
      </c>
      <c r="G1241" s="2" t="s">
        <v>6463</v>
      </c>
      <c r="H1241" s="2" t="s">
        <v>950</v>
      </c>
      <c r="I1241" s="2" t="s">
        <v>184</v>
      </c>
      <c r="J1241" s="2" t="n">
        <v>-7.295</v>
      </c>
      <c r="K1241" s="2" t="n">
        <v>112.805</v>
      </c>
      <c r="L1241" s="2" t="s">
        <v>59</v>
      </c>
      <c r="M1241" s="2" t="s">
        <v>60</v>
      </c>
      <c r="N1241" s="2"/>
      <c r="O1241" s="2" t="s">
        <v>6464</v>
      </c>
      <c r="P1241" s="2"/>
      <c r="Q1241" s="2" t="s">
        <v>62</v>
      </c>
      <c r="R1241" s="2" t="n">
        <v>0.75</v>
      </c>
      <c r="S1241" s="2" t="s">
        <v>6458</v>
      </c>
      <c r="T1241" s="2" t="s">
        <v>5387</v>
      </c>
      <c r="U1241" s="2" t="s">
        <v>6459</v>
      </c>
      <c r="V1241" s="2" t="s">
        <v>6347</v>
      </c>
      <c r="W1241" s="2" t="s">
        <v>2594</v>
      </c>
      <c r="X1241" s="2" t="s">
        <v>507</v>
      </c>
    </row>
    <row r="1242" customFormat="false" ht="15" hidden="false" customHeight="false" outlineLevel="0" collapsed="false">
      <c r="A1242" s="2" t="n">
        <v>1472</v>
      </c>
      <c r="B1242" s="2" t="s">
        <v>6450</v>
      </c>
      <c r="C1242" s="2" t="s">
        <v>6465</v>
      </c>
      <c r="D1242" s="2" t="s">
        <v>410</v>
      </c>
      <c r="E1242" s="2" t="s">
        <v>6461</v>
      </c>
      <c r="F1242" s="2" t="s">
        <v>6462</v>
      </c>
      <c r="G1242" s="2" t="s">
        <v>6463</v>
      </c>
      <c r="H1242" s="2" t="s">
        <v>950</v>
      </c>
      <c r="I1242" s="2" t="s">
        <v>184</v>
      </c>
      <c r="J1242" s="2" t="n">
        <v>-7.295</v>
      </c>
      <c r="K1242" s="2" t="n">
        <v>112.805</v>
      </c>
      <c r="L1242" s="2" t="s">
        <v>59</v>
      </c>
      <c r="M1242" s="2" t="s">
        <v>60</v>
      </c>
      <c r="N1242" s="2"/>
      <c r="O1242" s="2" t="s">
        <v>6466</v>
      </c>
      <c r="P1242" s="2"/>
      <c r="Q1242" s="2" t="s">
        <v>62</v>
      </c>
      <c r="R1242" s="2" t="n">
        <v>0.75</v>
      </c>
      <c r="S1242" s="2" t="s">
        <v>6458</v>
      </c>
      <c r="T1242" s="2" t="s">
        <v>5387</v>
      </c>
      <c r="U1242" s="2" t="s">
        <v>6459</v>
      </c>
      <c r="V1242" s="2" t="s">
        <v>6347</v>
      </c>
      <c r="W1242" s="2" t="s">
        <v>2594</v>
      </c>
      <c r="X1242" s="2" t="s">
        <v>507</v>
      </c>
    </row>
    <row r="1243" customFormat="false" ht="15" hidden="false" customHeight="false" outlineLevel="0" collapsed="false">
      <c r="A1243" s="2" t="n">
        <v>1472</v>
      </c>
      <c r="B1243" s="2" t="s">
        <v>6450</v>
      </c>
      <c r="C1243" s="2" t="s">
        <v>6467</v>
      </c>
      <c r="D1243" s="2" t="s">
        <v>410</v>
      </c>
      <c r="E1243" s="2" t="s">
        <v>6468</v>
      </c>
      <c r="F1243" s="2" t="s">
        <v>3626</v>
      </c>
      <c r="G1243" s="2" t="s">
        <v>6447</v>
      </c>
      <c r="H1243" s="2" t="s">
        <v>950</v>
      </c>
      <c r="I1243" s="2" t="s">
        <v>184</v>
      </c>
      <c r="J1243" s="2" t="n">
        <v>-7.307</v>
      </c>
      <c r="K1243" s="2" t="n">
        <v>112.8</v>
      </c>
      <c r="L1243" s="2" t="s">
        <v>59</v>
      </c>
      <c r="M1243" s="2" t="s">
        <v>60</v>
      </c>
      <c r="N1243" s="2"/>
      <c r="O1243" s="2" t="s">
        <v>6469</v>
      </c>
      <c r="P1243" s="2"/>
      <c r="Q1243" s="2" t="s">
        <v>62</v>
      </c>
      <c r="R1243" s="2" t="n">
        <v>0.7</v>
      </c>
      <c r="S1243" s="2" t="s">
        <v>6458</v>
      </c>
      <c r="T1243" s="2" t="s">
        <v>5387</v>
      </c>
      <c r="U1243" s="2" t="s">
        <v>6459</v>
      </c>
      <c r="V1243" s="2" t="s">
        <v>6347</v>
      </c>
      <c r="W1243" s="2" t="s">
        <v>2594</v>
      </c>
      <c r="X1243" s="2" t="s">
        <v>507</v>
      </c>
    </row>
    <row r="1244" customFormat="false" ht="15" hidden="false" customHeight="false" outlineLevel="0" collapsed="false">
      <c r="A1244" s="2" t="n">
        <v>1472</v>
      </c>
      <c r="B1244" s="2" t="s">
        <v>6450</v>
      </c>
      <c r="C1244" s="2" t="s">
        <v>6470</v>
      </c>
      <c r="D1244" s="2" t="s">
        <v>410</v>
      </c>
      <c r="E1244" s="2" t="s">
        <v>6471</v>
      </c>
      <c r="F1244" s="2" t="s">
        <v>6472</v>
      </c>
      <c r="G1244" s="2" t="s">
        <v>6473</v>
      </c>
      <c r="H1244" s="2" t="s">
        <v>950</v>
      </c>
      <c r="I1244" s="2" t="s">
        <v>184</v>
      </c>
      <c r="J1244" s="2" t="n">
        <v>-7.24</v>
      </c>
      <c r="K1244" s="2" t="n">
        <v>112.795</v>
      </c>
      <c r="L1244" s="2" t="s">
        <v>59</v>
      </c>
      <c r="M1244" s="2" t="s">
        <v>60</v>
      </c>
      <c r="N1244" s="2"/>
      <c r="O1244" s="2" t="s">
        <v>6474</v>
      </c>
      <c r="P1244" s="2"/>
      <c r="Q1244" s="2" t="s">
        <v>62</v>
      </c>
      <c r="R1244" s="2" t="n">
        <v>0.7</v>
      </c>
      <c r="S1244" s="2" t="s">
        <v>6458</v>
      </c>
      <c r="T1244" s="2" t="s">
        <v>5387</v>
      </c>
      <c r="U1244" s="2" t="s">
        <v>6459</v>
      </c>
      <c r="V1244" s="2" t="s">
        <v>6347</v>
      </c>
      <c r="W1244" s="2" t="s">
        <v>2594</v>
      </c>
      <c r="X1244" s="2" t="s">
        <v>507</v>
      </c>
    </row>
    <row r="1245" customFormat="false" ht="15" hidden="false" customHeight="false" outlineLevel="0" collapsed="false">
      <c r="A1245" s="2" t="n">
        <v>1472</v>
      </c>
      <c r="B1245" s="2" t="s">
        <v>6450</v>
      </c>
      <c r="C1245" s="2" t="s">
        <v>6475</v>
      </c>
      <c r="D1245" s="2" t="s">
        <v>410</v>
      </c>
      <c r="E1245" s="2" t="s">
        <v>6471</v>
      </c>
      <c r="F1245" s="2" t="s">
        <v>6472</v>
      </c>
      <c r="G1245" s="2" t="s">
        <v>6473</v>
      </c>
      <c r="H1245" s="2" t="s">
        <v>950</v>
      </c>
      <c r="I1245" s="2" t="s">
        <v>184</v>
      </c>
      <c r="J1245" s="2" t="n">
        <v>-7.24</v>
      </c>
      <c r="K1245" s="2" t="n">
        <v>112.795</v>
      </c>
      <c r="L1245" s="2" t="s">
        <v>59</v>
      </c>
      <c r="M1245" s="2" t="s">
        <v>60</v>
      </c>
      <c r="N1245" s="2" t="s">
        <v>6476</v>
      </c>
      <c r="O1245" s="2" t="s">
        <v>6477</v>
      </c>
      <c r="P1245" s="2"/>
      <c r="Q1245" s="2" t="s">
        <v>62</v>
      </c>
      <c r="R1245" s="2" t="n">
        <v>0.65</v>
      </c>
      <c r="S1245" s="2" t="s">
        <v>6458</v>
      </c>
      <c r="T1245" s="2" t="s">
        <v>5387</v>
      </c>
      <c r="U1245" s="2" t="s">
        <v>6459</v>
      </c>
      <c r="V1245" s="2" t="s">
        <v>6347</v>
      </c>
      <c r="W1245" s="2" t="s">
        <v>2594</v>
      </c>
      <c r="X1245" s="2" t="s">
        <v>507</v>
      </c>
    </row>
    <row r="1246" customFormat="false" ht="15" hidden="false" customHeight="false" outlineLevel="0" collapsed="false">
      <c r="A1246" s="2" t="n">
        <v>1472</v>
      </c>
      <c r="B1246" s="2" t="s">
        <v>6450</v>
      </c>
      <c r="C1246" s="2" t="s">
        <v>6478</v>
      </c>
      <c r="D1246" s="2" t="s">
        <v>351</v>
      </c>
      <c r="E1246" s="2" t="s">
        <v>6479</v>
      </c>
      <c r="F1246" s="2" t="s">
        <v>6480</v>
      </c>
      <c r="G1246" s="2" t="s">
        <v>4335</v>
      </c>
      <c r="H1246" s="2" t="s">
        <v>950</v>
      </c>
      <c r="I1246" s="2" t="s">
        <v>184</v>
      </c>
      <c r="J1246" s="2" t="n">
        <v>-7.205</v>
      </c>
      <c r="K1246" s="2" t="n">
        <v>112.732</v>
      </c>
      <c r="L1246" s="2" t="s">
        <v>59</v>
      </c>
      <c r="M1246" s="2" t="s">
        <v>60</v>
      </c>
      <c r="N1246" s="2"/>
      <c r="O1246" s="2" t="s">
        <v>6481</v>
      </c>
      <c r="P1246" s="2"/>
      <c r="Q1246" s="2" t="s">
        <v>62</v>
      </c>
      <c r="R1246" s="2" t="n">
        <v>0.7</v>
      </c>
      <c r="S1246" s="2" t="s">
        <v>6458</v>
      </c>
      <c r="T1246" s="2" t="s">
        <v>5387</v>
      </c>
      <c r="U1246" s="2" t="s">
        <v>6459</v>
      </c>
      <c r="V1246" s="2" t="s">
        <v>6347</v>
      </c>
      <c r="W1246" s="2" t="s">
        <v>2594</v>
      </c>
      <c r="X1246" s="2" t="s">
        <v>507</v>
      </c>
    </row>
    <row r="1247" customFormat="false" ht="15" hidden="false" customHeight="false" outlineLevel="0" collapsed="false">
      <c r="A1247" s="2" t="n">
        <v>1473</v>
      </c>
      <c r="B1247" s="2" t="s">
        <v>6450</v>
      </c>
      <c r="C1247" s="2" t="s">
        <v>6478</v>
      </c>
      <c r="D1247" s="2" t="s">
        <v>351</v>
      </c>
      <c r="E1247" s="2" t="s">
        <v>6482</v>
      </c>
      <c r="F1247" s="2" t="s">
        <v>6480</v>
      </c>
      <c r="G1247" s="2" t="s">
        <v>4335</v>
      </c>
      <c r="H1247" s="2" t="s">
        <v>950</v>
      </c>
      <c r="I1247" s="2" t="s">
        <v>184</v>
      </c>
      <c r="J1247" s="2" t="n">
        <v>-7.205</v>
      </c>
      <c r="K1247" s="2" t="n">
        <v>112.732</v>
      </c>
      <c r="L1247" s="2" t="s">
        <v>59</v>
      </c>
      <c r="M1247" s="2" t="s">
        <v>60</v>
      </c>
      <c r="N1247" s="2"/>
      <c r="O1247" s="2" t="s">
        <v>6483</v>
      </c>
      <c r="P1247" s="2"/>
      <c r="Q1247" s="2" t="s">
        <v>62</v>
      </c>
      <c r="R1247" s="2" t="n">
        <v>0.8</v>
      </c>
      <c r="S1247" s="2" t="s">
        <v>6484</v>
      </c>
      <c r="T1247" s="2" t="s">
        <v>4378</v>
      </c>
      <c r="U1247" s="2" t="s">
        <v>6485</v>
      </c>
      <c r="V1247" s="2" t="s">
        <v>2195</v>
      </c>
      <c r="W1247" s="2" t="s">
        <v>5519</v>
      </c>
      <c r="X1247" s="2" t="s">
        <v>507</v>
      </c>
    </row>
    <row r="1248" customFormat="false" ht="15" hidden="false" customHeight="false" outlineLevel="0" collapsed="false">
      <c r="A1248" s="2" t="n">
        <v>1475</v>
      </c>
      <c r="B1248" s="2" t="s">
        <v>6450</v>
      </c>
      <c r="C1248" s="2" t="s">
        <v>6486</v>
      </c>
      <c r="D1248" s="2" t="s">
        <v>410</v>
      </c>
      <c r="E1248" s="2" t="s">
        <v>6471</v>
      </c>
      <c r="F1248" s="2" t="s">
        <v>6487</v>
      </c>
      <c r="G1248" s="2" t="s">
        <v>6473</v>
      </c>
      <c r="H1248" s="2" t="s">
        <v>950</v>
      </c>
      <c r="I1248" s="2" t="s">
        <v>184</v>
      </c>
      <c r="J1248" s="2" t="n">
        <v>-7.237</v>
      </c>
      <c r="K1248" s="2" t="n">
        <v>112.785</v>
      </c>
      <c r="L1248" s="2" t="s">
        <v>59</v>
      </c>
      <c r="M1248" s="2" t="s">
        <v>60</v>
      </c>
      <c r="N1248" s="2"/>
      <c r="O1248" s="2" t="s">
        <v>6488</v>
      </c>
      <c r="P1248" s="2" t="s">
        <v>1001</v>
      </c>
      <c r="Q1248" s="2" t="s">
        <v>62</v>
      </c>
      <c r="R1248" s="2" t="n">
        <v>0.7</v>
      </c>
      <c r="S1248" s="2" t="s">
        <v>6489</v>
      </c>
      <c r="T1248" s="2" t="s">
        <v>963</v>
      </c>
      <c r="U1248" s="2" t="s">
        <v>6490</v>
      </c>
      <c r="V1248" s="2" t="s">
        <v>745</v>
      </c>
      <c r="W1248" s="2" t="s">
        <v>795</v>
      </c>
      <c r="X1248" s="2" t="s">
        <v>507</v>
      </c>
    </row>
    <row r="1249" customFormat="false" ht="15" hidden="false" customHeight="false" outlineLevel="0" collapsed="false">
      <c r="A1249" s="2" t="n">
        <v>1475</v>
      </c>
      <c r="B1249" s="2" t="s">
        <v>6450</v>
      </c>
      <c r="C1249" s="2" t="s">
        <v>6491</v>
      </c>
      <c r="D1249" s="2" t="s">
        <v>1130</v>
      </c>
      <c r="E1249" s="2" t="s">
        <v>1598</v>
      </c>
      <c r="F1249" s="2" t="s">
        <v>6361</v>
      </c>
      <c r="G1249" s="2" t="s">
        <v>6332</v>
      </c>
      <c r="H1249" s="2" t="s">
        <v>950</v>
      </c>
      <c r="I1249" s="2" t="s">
        <v>184</v>
      </c>
      <c r="J1249" s="2" t="n">
        <v>-7.2458</v>
      </c>
      <c r="K1249" s="2" t="n">
        <v>112.7378</v>
      </c>
      <c r="L1249" s="2" t="s">
        <v>124</v>
      </c>
      <c r="M1249" s="2" t="s">
        <v>60</v>
      </c>
      <c r="N1249" s="2" t="s">
        <v>6492</v>
      </c>
      <c r="O1249" s="2" t="s">
        <v>6488</v>
      </c>
      <c r="P1249" s="2" t="s">
        <v>1001</v>
      </c>
      <c r="Q1249" s="2" t="s">
        <v>62</v>
      </c>
      <c r="R1249" s="2" t="n">
        <v>0.7</v>
      </c>
      <c r="S1249" s="2" t="s">
        <v>6489</v>
      </c>
      <c r="T1249" s="2" t="s">
        <v>963</v>
      </c>
      <c r="U1249" s="2" t="s">
        <v>6490</v>
      </c>
      <c r="V1249" s="2" t="s">
        <v>745</v>
      </c>
      <c r="W1249" s="2" t="s">
        <v>795</v>
      </c>
      <c r="X1249" s="2" t="s">
        <v>507</v>
      </c>
    </row>
    <row r="1250" customFormat="false" ht="15" hidden="false" customHeight="false" outlineLevel="0" collapsed="false">
      <c r="A1250" s="2" t="n">
        <v>1475</v>
      </c>
      <c r="B1250" s="2" t="s">
        <v>6450</v>
      </c>
      <c r="C1250" s="2" t="s">
        <v>1597</v>
      </c>
      <c r="D1250" s="2" t="s">
        <v>410</v>
      </c>
      <c r="E1250" s="2" t="s">
        <v>1598</v>
      </c>
      <c r="F1250" s="2"/>
      <c r="G1250" s="2"/>
      <c r="H1250" s="2" t="s">
        <v>950</v>
      </c>
      <c r="I1250" s="2" t="s">
        <v>184</v>
      </c>
      <c r="J1250" s="2" t="n">
        <v>-7.258</v>
      </c>
      <c r="K1250" s="2" t="n">
        <v>112.752</v>
      </c>
      <c r="L1250" s="2" t="s">
        <v>101</v>
      </c>
      <c r="M1250" s="2" t="s">
        <v>60</v>
      </c>
      <c r="N1250" s="2"/>
      <c r="O1250" s="2" t="s">
        <v>6488</v>
      </c>
      <c r="P1250" s="2" t="s">
        <v>1001</v>
      </c>
      <c r="Q1250" s="2" t="s">
        <v>62</v>
      </c>
      <c r="R1250" s="2" t="n">
        <v>0.7</v>
      </c>
      <c r="S1250" s="2" t="s">
        <v>6489</v>
      </c>
      <c r="T1250" s="2" t="s">
        <v>963</v>
      </c>
      <c r="U1250" s="2" t="s">
        <v>6490</v>
      </c>
      <c r="V1250" s="2" t="s">
        <v>745</v>
      </c>
      <c r="W1250" s="2" t="s">
        <v>795</v>
      </c>
      <c r="X1250" s="2" t="s">
        <v>507</v>
      </c>
    </row>
    <row r="1251" customFormat="false" ht="15" hidden="false" customHeight="false" outlineLevel="0" collapsed="false">
      <c r="A1251" s="2" t="n">
        <v>1475</v>
      </c>
      <c r="B1251" s="2" t="s">
        <v>6450</v>
      </c>
      <c r="C1251" s="2" t="s">
        <v>6493</v>
      </c>
      <c r="D1251" s="2" t="s">
        <v>410</v>
      </c>
      <c r="E1251" s="2" t="s">
        <v>6494</v>
      </c>
      <c r="F1251" s="2" t="s">
        <v>6495</v>
      </c>
      <c r="G1251" s="2" t="s">
        <v>6496</v>
      </c>
      <c r="H1251" s="2" t="s">
        <v>950</v>
      </c>
      <c r="I1251" s="2" t="s">
        <v>184</v>
      </c>
      <c r="J1251" s="2" t="n">
        <v>-7.34</v>
      </c>
      <c r="K1251" s="2" t="n">
        <v>112.815</v>
      </c>
      <c r="L1251" s="2" t="s">
        <v>59</v>
      </c>
      <c r="M1251" s="2" t="s">
        <v>60</v>
      </c>
      <c r="N1251" s="2"/>
      <c r="O1251" s="2" t="s">
        <v>6497</v>
      </c>
      <c r="P1251" s="2" t="s">
        <v>1001</v>
      </c>
      <c r="Q1251" s="2" t="s">
        <v>62</v>
      </c>
      <c r="R1251" s="2" t="n">
        <v>0.75</v>
      </c>
      <c r="S1251" s="2" t="s">
        <v>6489</v>
      </c>
      <c r="T1251" s="2" t="s">
        <v>963</v>
      </c>
      <c r="U1251" s="2" t="s">
        <v>6490</v>
      </c>
      <c r="V1251" s="2" t="s">
        <v>745</v>
      </c>
      <c r="W1251" s="2" t="s">
        <v>795</v>
      </c>
      <c r="X1251" s="2" t="s">
        <v>507</v>
      </c>
    </row>
    <row r="1252" customFormat="false" ht="15" hidden="false" customHeight="false" outlineLevel="0" collapsed="false">
      <c r="A1252" s="2" t="n">
        <v>1476</v>
      </c>
      <c r="B1252" s="2" t="s">
        <v>6450</v>
      </c>
      <c r="C1252" s="2" t="s">
        <v>6451</v>
      </c>
      <c r="D1252" s="2" t="s">
        <v>351</v>
      </c>
      <c r="E1252" s="2" t="s">
        <v>6452</v>
      </c>
      <c r="F1252" s="2"/>
      <c r="G1252" s="2" t="s">
        <v>5215</v>
      </c>
      <c r="H1252" s="2" t="s">
        <v>950</v>
      </c>
      <c r="I1252" s="2" t="s">
        <v>184</v>
      </c>
      <c r="J1252" s="2" t="n">
        <v>-7.259</v>
      </c>
      <c r="K1252" s="2" t="n">
        <v>112.739</v>
      </c>
      <c r="L1252" s="2" t="s">
        <v>124</v>
      </c>
      <c r="M1252" s="2" t="s">
        <v>60</v>
      </c>
      <c r="N1252" s="2"/>
      <c r="O1252" s="2" t="s">
        <v>6498</v>
      </c>
      <c r="P1252" s="2" t="s">
        <v>4405</v>
      </c>
      <c r="Q1252" s="2" t="s">
        <v>62</v>
      </c>
      <c r="R1252" s="2" t="n">
        <v>0.75</v>
      </c>
      <c r="S1252" s="2" t="s">
        <v>6499</v>
      </c>
      <c r="T1252" s="2" t="s">
        <v>6500</v>
      </c>
      <c r="U1252" s="2" t="s">
        <v>6501</v>
      </c>
      <c r="V1252" s="2" t="s">
        <v>420</v>
      </c>
      <c r="W1252" s="2" t="s">
        <v>5519</v>
      </c>
      <c r="X1252" s="2" t="s">
        <v>507</v>
      </c>
    </row>
    <row r="1253" customFormat="false" ht="15" hidden="false" customHeight="false" outlineLevel="0" collapsed="false">
      <c r="A1253" s="2" t="n">
        <v>1477</v>
      </c>
      <c r="B1253" s="2" t="s">
        <v>6450</v>
      </c>
      <c r="C1253" s="2" t="s">
        <v>6502</v>
      </c>
      <c r="D1253" s="2" t="s">
        <v>410</v>
      </c>
      <c r="E1253" s="2" t="s">
        <v>1598</v>
      </c>
      <c r="F1253" s="2" t="s">
        <v>6315</v>
      </c>
      <c r="G1253" s="2" t="s">
        <v>957</v>
      </c>
      <c r="H1253" s="2" t="s">
        <v>950</v>
      </c>
      <c r="I1253" s="2" t="s">
        <v>184</v>
      </c>
      <c r="J1253" s="2" t="n">
        <v>-7.296</v>
      </c>
      <c r="K1253" s="2" t="n">
        <v>112.7368</v>
      </c>
      <c r="L1253" s="2" t="s">
        <v>124</v>
      </c>
      <c r="M1253" s="2" t="s">
        <v>60</v>
      </c>
      <c r="N1253" s="2"/>
      <c r="O1253" s="2" t="s">
        <v>6503</v>
      </c>
      <c r="P1253" s="2" t="s">
        <v>6504</v>
      </c>
      <c r="Q1253" s="2" t="s">
        <v>110</v>
      </c>
      <c r="R1253" s="2" t="n">
        <v>0.55</v>
      </c>
      <c r="S1253" s="2" t="s">
        <v>6505</v>
      </c>
      <c r="T1253" s="2" t="s">
        <v>6506</v>
      </c>
      <c r="U1253" s="2" t="s">
        <v>6507</v>
      </c>
      <c r="V1253" s="2" t="s">
        <v>696</v>
      </c>
      <c r="W1253" s="2" t="s">
        <v>795</v>
      </c>
      <c r="X1253" s="2" t="s">
        <v>507</v>
      </c>
    </row>
    <row r="1254" customFormat="false" ht="15" hidden="false" customHeight="false" outlineLevel="0" collapsed="false">
      <c r="A1254" s="2" t="n">
        <v>1478</v>
      </c>
      <c r="B1254" s="2" t="s">
        <v>6450</v>
      </c>
      <c r="C1254" s="2" t="s">
        <v>6508</v>
      </c>
      <c r="D1254" s="2" t="s">
        <v>351</v>
      </c>
      <c r="E1254" s="2" t="s">
        <v>6509</v>
      </c>
      <c r="F1254" s="2" t="s">
        <v>6510</v>
      </c>
      <c r="G1254" s="2" t="s">
        <v>6511</v>
      </c>
      <c r="H1254" s="2" t="s">
        <v>950</v>
      </c>
      <c r="I1254" s="2" t="s">
        <v>184</v>
      </c>
      <c r="J1254" s="2" t="n">
        <v>-7.337</v>
      </c>
      <c r="K1254" s="2" t="n">
        <v>112.735</v>
      </c>
      <c r="L1254" s="2" t="s">
        <v>59</v>
      </c>
      <c r="M1254" s="2" t="s">
        <v>60</v>
      </c>
      <c r="N1254" s="2" t="s">
        <v>6512</v>
      </c>
      <c r="O1254" s="2" t="s">
        <v>6513</v>
      </c>
      <c r="P1254" s="2"/>
      <c r="Q1254" s="2" t="s">
        <v>62</v>
      </c>
      <c r="R1254" s="2" t="n">
        <v>0.6</v>
      </c>
      <c r="S1254" s="2" t="s">
        <v>6514</v>
      </c>
      <c r="T1254" s="2" t="s">
        <v>743</v>
      </c>
      <c r="U1254" s="2" t="s">
        <v>6515</v>
      </c>
      <c r="V1254" s="2" t="s">
        <v>696</v>
      </c>
      <c r="W1254" s="2" t="s">
        <v>5519</v>
      </c>
      <c r="X1254" s="2" t="s">
        <v>507</v>
      </c>
    </row>
    <row r="1255" customFormat="false" ht="15" hidden="false" customHeight="false" outlineLevel="0" collapsed="false">
      <c r="A1255" s="2" t="n">
        <v>1480</v>
      </c>
      <c r="B1255" s="2" t="s">
        <v>6450</v>
      </c>
      <c r="C1255" s="2" t="s">
        <v>6516</v>
      </c>
      <c r="D1255" s="2" t="s">
        <v>351</v>
      </c>
      <c r="E1255" s="2" t="s">
        <v>6517</v>
      </c>
      <c r="F1255" s="2" t="s">
        <v>6301</v>
      </c>
      <c r="G1255" s="2" t="s">
        <v>5215</v>
      </c>
      <c r="H1255" s="2" t="s">
        <v>950</v>
      </c>
      <c r="I1255" s="2" t="s">
        <v>184</v>
      </c>
      <c r="J1255" s="2" t="n">
        <v>-7.2638</v>
      </c>
      <c r="K1255" s="2" t="n">
        <v>112.7443</v>
      </c>
      <c r="L1255" s="2" t="s">
        <v>124</v>
      </c>
      <c r="M1255" s="2" t="s">
        <v>60</v>
      </c>
      <c r="N1255" s="2" t="s">
        <v>6518</v>
      </c>
      <c r="O1255" s="2" t="s">
        <v>6519</v>
      </c>
      <c r="P1255" s="2"/>
      <c r="Q1255" s="2" t="s">
        <v>110</v>
      </c>
      <c r="R1255" s="2" t="n">
        <v>0.75</v>
      </c>
      <c r="S1255" s="2" t="s">
        <v>6520</v>
      </c>
      <c r="T1255" s="2" t="s">
        <v>6521</v>
      </c>
      <c r="U1255" s="2" t="s">
        <v>6522</v>
      </c>
      <c r="V1255" s="2" t="s">
        <v>6523</v>
      </c>
      <c r="W1255" s="2" t="s">
        <v>1138</v>
      </c>
      <c r="X1255" s="2" t="s">
        <v>507</v>
      </c>
    </row>
    <row r="1256" customFormat="false" ht="15" hidden="false" customHeight="false" outlineLevel="0" collapsed="false">
      <c r="A1256" s="2" t="n">
        <v>1480</v>
      </c>
      <c r="B1256" s="2" t="s">
        <v>6450</v>
      </c>
      <c r="C1256" s="2" t="s">
        <v>6465</v>
      </c>
      <c r="D1256" s="2" t="s">
        <v>410</v>
      </c>
      <c r="E1256" s="2" t="s">
        <v>6524</v>
      </c>
      <c r="F1256" s="2" t="s">
        <v>6462</v>
      </c>
      <c r="G1256" s="2" t="s">
        <v>6463</v>
      </c>
      <c r="H1256" s="2" t="s">
        <v>950</v>
      </c>
      <c r="I1256" s="2" t="s">
        <v>184</v>
      </c>
      <c r="J1256" s="2" t="n">
        <v>-7.295</v>
      </c>
      <c r="K1256" s="2" t="n">
        <v>112.805</v>
      </c>
      <c r="L1256" s="2" t="s">
        <v>59</v>
      </c>
      <c r="M1256" s="2" t="s">
        <v>60</v>
      </c>
      <c r="N1256" s="2"/>
      <c r="O1256" s="2" t="s">
        <v>6525</v>
      </c>
      <c r="P1256" s="2"/>
      <c r="Q1256" s="2" t="s">
        <v>62</v>
      </c>
      <c r="R1256" s="2" t="n">
        <v>0.75</v>
      </c>
      <c r="S1256" s="2" t="s">
        <v>6520</v>
      </c>
      <c r="T1256" s="2" t="s">
        <v>6521</v>
      </c>
      <c r="U1256" s="2" t="s">
        <v>6522</v>
      </c>
      <c r="V1256" s="2" t="s">
        <v>6523</v>
      </c>
      <c r="W1256" s="2" t="s">
        <v>1138</v>
      </c>
      <c r="X1256" s="2" t="s">
        <v>507</v>
      </c>
    </row>
    <row r="1257" customFormat="false" ht="15" hidden="false" customHeight="false" outlineLevel="0" collapsed="false">
      <c r="A1257" s="2" t="n">
        <v>1481</v>
      </c>
      <c r="B1257" s="2" t="s">
        <v>6450</v>
      </c>
      <c r="C1257" s="2" t="s">
        <v>6526</v>
      </c>
      <c r="D1257" s="2" t="s">
        <v>134</v>
      </c>
      <c r="E1257" s="2" t="s">
        <v>6527</v>
      </c>
      <c r="F1257" s="2" t="s">
        <v>6510</v>
      </c>
      <c r="G1257" s="2" t="s">
        <v>6511</v>
      </c>
      <c r="H1257" s="2" t="s">
        <v>950</v>
      </c>
      <c r="I1257" s="2" t="s">
        <v>184</v>
      </c>
      <c r="J1257" s="2" t="n">
        <v>-7.337</v>
      </c>
      <c r="K1257" s="2" t="n">
        <v>112.735</v>
      </c>
      <c r="L1257" s="2" t="s">
        <v>59</v>
      </c>
      <c r="M1257" s="2" t="s">
        <v>60</v>
      </c>
      <c r="N1257" s="2" t="s">
        <v>6512</v>
      </c>
      <c r="O1257" s="2" t="s">
        <v>6528</v>
      </c>
      <c r="P1257" s="2"/>
      <c r="Q1257" s="2" t="s">
        <v>62</v>
      </c>
      <c r="R1257" s="2" t="n">
        <v>0.7</v>
      </c>
      <c r="S1257" s="2" t="s">
        <v>6529</v>
      </c>
      <c r="T1257" s="2" t="s">
        <v>743</v>
      </c>
      <c r="U1257" s="2" t="s">
        <v>6530</v>
      </c>
      <c r="V1257" s="2" t="s">
        <v>745</v>
      </c>
      <c r="W1257" s="2" t="s">
        <v>1188</v>
      </c>
      <c r="X1257" s="2" t="s">
        <v>507</v>
      </c>
    </row>
    <row r="1258" customFormat="false" ht="15" hidden="false" customHeight="false" outlineLevel="0" collapsed="false">
      <c r="A1258" s="2" t="n">
        <v>1482</v>
      </c>
      <c r="B1258" s="2" t="s">
        <v>6450</v>
      </c>
      <c r="C1258" s="2" t="s">
        <v>6531</v>
      </c>
      <c r="D1258" s="2" t="s">
        <v>1140</v>
      </c>
      <c r="E1258" s="2" t="s">
        <v>6532</v>
      </c>
      <c r="F1258" s="2"/>
      <c r="G1258" s="2" t="s">
        <v>4410</v>
      </c>
      <c r="H1258" s="2" t="s">
        <v>950</v>
      </c>
      <c r="I1258" s="2" t="s">
        <v>184</v>
      </c>
      <c r="J1258" s="2" t="n">
        <v>-7.285</v>
      </c>
      <c r="K1258" s="2" t="n">
        <v>112.708</v>
      </c>
      <c r="L1258" s="2" t="s">
        <v>84</v>
      </c>
      <c r="M1258" s="2" t="s">
        <v>60</v>
      </c>
      <c r="N1258" s="2"/>
      <c r="O1258" s="2" t="s">
        <v>6533</v>
      </c>
      <c r="P1258" s="2"/>
      <c r="Q1258" s="2" t="s">
        <v>62</v>
      </c>
      <c r="R1258" s="2" t="n">
        <v>0.8</v>
      </c>
      <c r="S1258" s="2" t="s">
        <v>6534</v>
      </c>
      <c r="T1258" s="2" t="s">
        <v>1168</v>
      </c>
      <c r="U1258" s="2" t="s">
        <v>6535</v>
      </c>
      <c r="V1258" s="2" t="s">
        <v>2283</v>
      </c>
      <c r="W1258" s="2" t="s">
        <v>1204</v>
      </c>
      <c r="X1258" s="2" t="s">
        <v>507</v>
      </c>
    </row>
    <row r="1259" customFormat="false" ht="15" hidden="false" customHeight="false" outlineLevel="0" collapsed="false">
      <c r="A1259" s="2" t="n">
        <v>1482</v>
      </c>
      <c r="B1259" s="2" t="s">
        <v>6450</v>
      </c>
      <c r="C1259" s="2" t="s">
        <v>6536</v>
      </c>
      <c r="D1259" s="2" t="s">
        <v>1140</v>
      </c>
      <c r="E1259" s="2" t="s">
        <v>6537</v>
      </c>
      <c r="F1259" s="2" t="s">
        <v>6510</v>
      </c>
      <c r="G1259" s="2" t="s">
        <v>6511</v>
      </c>
      <c r="H1259" s="2" t="s">
        <v>950</v>
      </c>
      <c r="I1259" s="2" t="s">
        <v>184</v>
      </c>
      <c r="J1259" s="2" t="n">
        <v>-7.337</v>
      </c>
      <c r="K1259" s="2" t="n">
        <v>112.735</v>
      </c>
      <c r="L1259" s="2" t="s">
        <v>59</v>
      </c>
      <c r="M1259" s="2" t="s">
        <v>60</v>
      </c>
      <c r="N1259" s="2"/>
      <c r="O1259" s="2" t="s">
        <v>6538</v>
      </c>
      <c r="P1259" s="2"/>
      <c r="Q1259" s="2" t="s">
        <v>62</v>
      </c>
      <c r="R1259" s="2" t="n">
        <v>0.8</v>
      </c>
      <c r="S1259" s="2" t="s">
        <v>6534</v>
      </c>
      <c r="T1259" s="2" t="s">
        <v>1168</v>
      </c>
      <c r="U1259" s="2" t="s">
        <v>6535</v>
      </c>
      <c r="V1259" s="2" t="s">
        <v>2283</v>
      </c>
      <c r="W1259" s="2" t="s">
        <v>1204</v>
      </c>
      <c r="X1259" s="2" t="s">
        <v>507</v>
      </c>
    </row>
    <row r="1260" customFormat="false" ht="15" hidden="false" customHeight="false" outlineLevel="0" collapsed="false">
      <c r="A1260" s="2" t="n">
        <v>1482</v>
      </c>
      <c r="B1260" s="2" t="s">
        <v>6450</v>
      </c>
      <c r="C1260" s="2" t="s">
        <v>6539</v>
      </c>
      <c r="D1260" s="2" t="s">
        <v>1140</v>
      </c>
      <c r="E1260" s="2" t="s">
        <v>1598</v>
      </c>
      <c r="F1260" s="2"/>
      <c r="G1260" s="2"/>
      <c r="H1260" s="2" t="s">
        <v>950</v>
      </c>
      <c r="I1260" s="2" t="s">
        <v>184</v>
      </c>
      <c r="J1260" s="2" t="n">
        <v>-7.276</v>
      </c>
      <c r="K1260" s="2" t="n">
        <v>112.735</v>
      </c>
      <c r="L1260" s="2" t="s">
        <v>101</v>
      </c>
      <c r="M1260" s="2" t="s">
        <v>60</v>
      </c>
      <c r="N1260" s="2"/>
      <c r="O1260" s="2" t="s">
        <v>6540</v>
      </c>
      <c r="P1260" s="2"/>
      <c r="Q1260" s="2" t="s">
        <v>62</v>
      </c>
      <c r="R1260" s="2" t="n">
        <v>0.7</v>
      </c>
      <c r="S1260" s="2" t="s">
        <v>6534</v>
      </c>
      <c r="T1260" s="2" t="s">
        <v>1168</v>
      </c>
      <c r="U1260" s="2" t="s">
        <v>6535</v>
      </c>
      <c r="V1260" s="2" t="s">
        <v>2283</v>
      </c>
      <c r="W1260" s="2" t="s">
        <v>1204</v>
      </c>
      <c r="X1260" s="2" t="s">
        <v>507</v>
      </c>
    </row>
    <row r="1261" customFormat="false" ht="15" hidden="false" customHeight="false" outlineLevel="0" collapsed="false">
      <c r="A1261" s="2" t="n">
        <v>1483</v>
      </c>
      <c r="B1261" s="2" t="s">
        <v>6450</v>
      </c>
      <c r="C1261" s="2" t="s">
        <v>6541</v>
      </c>
      <c r="D1261" s="2" t="s">
        <v>410</v>
      </c>
      <c r="E1261" s="2" t="s">
        <v>6542</v>
      </c>
      <c r="F1261" s="2"/>
      <c r="G1261" s="2" t="s">
        <v>6543</v>
      </c>
      <c r="H1261" s="2" t="s">
        <v>4294</v>
      </c>
      <c r="I1261" s="2" t="s">
        <v>184</v>
      </c>
      <c r="J1261" s="2" t="n">
        <v>-8.32</v>
      </c>
      <c r="K1261" s="2" t="n">
        <v>112.85</v>
      </c>
      <c r="L1261" s="2" t="s">
        <v>84</v>
      </c>
      <c r="M1261" s="2" t="s">
        <v>60</v>
      </c>
      <c r="N1261" s="2"/>
      <c r="O1261" s="2" t="s">
        <v>6544</v>
      </c>
      <c r="P1261" s="2" t="s">
        <v>6545</v>
      </c>
      <c r="Q1261" s="2" t="s">
        <v>110</v>
      </c>
      <c r="R1261" s="2" t="n">
        <v>0.4</v>
      </c>
      <c r="S1261" s="2" t="s">
        <v>6546</v>
      </c>
      <c r="T1261" s="2" t="s">
        <v>1498</v>
      </c>
      <c r="U1261" s="2" t="s">
        <v>6547</v>
      </c>
      <c r="V1261" s="2" t="s">
        <v>745</v>
      </c>
      <c r="W1261" s="2" t="s">
        <v>421</v>
      </c>
      <c r="X1261" s="2" t="s">
        <v>507</v>
      </c>
    </row>
    <row r="1262" customFormat="false" ht="15" hidden="false" customHeight="false" outlineLevel="0" collapsed="false">
      <c r="A1262" s="2" t="n">
        <v>1484</v>
      </c>
      <c r="B1262" s="2" t="s">
        <v>6450</v>
      </c>
      <c r="C1262" s="2" t="s">
        <v>6548</v>
      </c>
      <c r="D1262" s="2" t="s">
        <v>121</v>
      </c>
      <c r="E1262" s="2" t="s">
        <v>6549</v>
      </c>
      <c r="F1262" s="2" t="s">
        <v>6301</v>
      </c>
      <c r="G1262" s="2" t="s">
        <v>5215</v>
      </c>
      <c r="H1262" s="2" t="s">
        <v>950</v>
      </c>
      <c r="I1262" s="2" t="s">
        <v>184</v>
      </c>
      <c r="J1262" s="2" t="n">
        <v>-7.2638</v>
      </c>
      <c r="K1262" s="2" t="n">
        <v>112.7443</v>
      </c>
      <c r="L1262" s="2" t="s">
        <v>124</v>
      </c>
      <c r="M1262" s="2" t="s">
        <v>60</v>
      </c>
      <c r="N1262" s="2"/>
      <c r="O1262" s="2" t="s">
        <v>6550</v>
      </c>
      <c r="P1262" s="2" t="s">
        <v>6551</v>
      </c>
      <c r="Q1262" s="2" t="s">
        <v>62</v>
      </c>
      <c r="R1262" s="2" t="n">
        <v>0.75</v>
      </c>
      <c r="S1262" s="2" t="s">
        <v>6552</v>
      </c>
      <c r="T1262" s="2" t="s">
        <v>4394</v>
      </c>
      <c r="U1262" s="2" t="s">
        <v>6553</v>
      </c>
      <c r="V1262" s="2" t="s">
        <v>745</v>
      </c>
      <c r="W1262" s="2" t="s">
        <v>421</v>
      </c>
      <c r="X1262" s="2" t="s">
        <v>507</v>
      </c>
    </row>
    <row r="1263" customFormat="false" ht="15" hidden="false" customHeight="false" outlineLevel="0" collapsed="false">
      <c r="A1263" s="2" t="n">
        <v>1485</v>
      </c>
      <c r="B1263" s="2" t="s">
        <v>6450</v>
      </c>
      <c r="C1263" s="2" t="s">
        <v>6437</v>
      </c>
      <c r="D1263" s="2" t="s">
        <v>121</v>
      </c>
      <c r="E1263" s="2" t="s">
        <v>6554</v>
      </c>
      <c r="F1263" s="2" t="s">
        <v>6301</v>
      </c>
      <c r="G1263" s="2" t="s">
        <v>5215</v>
      </c>
      <c r="H1263" s="2" t="s">
        <v>950</v>
      </c>
      <c r="I1263" s="2" t="s">
        <v>184</v>
      </c>
      <c r="J1263" s="2" t="n">
        <v>-7.2638</v>
      </c>
      <c r="K1263" s="2" t="n">
        <v>112.7443</v>
      </c>
      <c r="L1263" s="2" t="s">
        <v>124</v>
      </c>
      <c r="M1263" s="2" t="s">
        <v>60</v>
      </c>
      <c r="N1263" s="2" t="s">
        <v>6555</v>
      </c>
      <c r="O1263" s="2" t="s">
        <v>6556</v>
      </c>
      <c r="P1263" s="2" t="s">
        <v>6557</v>
      </c>
      <c r="Q1263" s="2" t="s">
        <v>62</v>
      </c>
      <c r="R1263" s="2" t="n">
        <v>0.8</v>
      </c>
      <c r="S1263" s="2" t="s">
        <v>6558</v>
      </c>
      <c r="T1263" s="2" t="s">
        <v>6559</v>
      </c>
      <c r="U1263" s="2" t="s">
        <v>6560</v>
      </c>
      <c r="V1263" s="2" t="s">
        <v>97</v>
      </c>
      <c r="W1263" s="2" t="s">
        <v>430</v>
      </c>
      <c r="X1263" s="2" t="s">
        <v>507</v>
      </c>
    </row>
    <row r="1264" customFormat="false" ht="15" hidden="false" customHeight="false" outlineLevel="0" collapsed="false">
      <c r="A1264" s="2" t="n">
        <v>1495</v>
      </c>
      <c r="B1264" s="2" t="s">
        <v>6450</v>
      </c>
      <c r="C1264" s="2" t="s">
        <v>6561</v>
      </c>
      <c r="D1264" s="2" t="s">
        <v>351</v>
      </c>
      <c r="E1264" s="2" t="s">
        <v>1598</v>
      </c>
      <c r="F1264" s="2" t="s">
        <v>6361</v>
      </c>
      <c r="G1264" s="2" t="s">
        <v>6332</v>
      </c>
      <c r="H1264" s="2" t="s">
        <v>950</v>
      </c>
      <c r="I1264" s="2" t="s">
        <v>184</v>
      </c>
      <c r="J1264" s="2" t="n">
        <v>-7.2458</v>
      </c>
      <c r="K1264" s="2" t="n">
        <v>112.7378</v>
      </c>
      <c r="L1264" s="2" t="s">
        <v>124</v>
      </c>
      <c r="M1264" s="2" t="s">
        <v>60</v>
      </c>
      <c r="N1264" s="2" t="s">
        <v>6562</v>
      </c>
      <c r="O1264" s="2" t="s">
        <v>6563</v>
      </c>
      <c r="P1264" s="2"/>
      <c r="Q1264" s="2" t="s">
        <v>110</v>
      </c>
      <c r="R1264" s="2" t="n">
        <v>0.35</v>
      </c>
      <c r="S1264" s="2" t="s">
        <v>6564</v>
      </c>
      <c r="T1264" s="2" t="s">
        <v>6565</v>
      </c>
      <c r="U1264" s="2" t="s">
        <v>6566</v>
      </c>
      <c r="V1264" s="2" t="s">
        <v>6567</v>
      </c>
      <c r="W1264" s="2" t="s">
        <v>1261</v>
      </c>
      <c r="X1264" s="2" t="s">
        <v>507</v>
      </c>
    </row>
    <row r="1265" customFormat="false" ht="15" hidden="false" customHeight="false" outlineLevel="0" collapsed="false">
      <c r="A1265" s="2" t="n">
        <v>1496</v>
      </c>
      <c r="B1265" s="2" t="s">
        <v>6450</v>
      </c>
      <c r="C1265" s="2" t="s">
        <v>6568</v>
      </c>
      <c r="D1265" s="2" t="s">
        <v>351</v>
      </c>
      <c r="E1265" s="2" t="s">
        <v>1598</v>
      </c>
      <c r="F1265" s="2" t="s">
        <v>6569</v>
      </c>
      <c r="G1265" s="2" t="s">
        <v>6332</v>
      </c>
      <c r="H1265" s="2" t="s">
        <v>950</v>
      </c>
      <c r="I1265" s="2" t="s">
        <v>184</v>
      </c>
      <c r="J1265" s="2" t="n">
        <v>-7.249</v>
      </c>
      <c r="K1265" s="2" t="n">
        <v>112.723</v>
      </c>
      <c r="L1265" s="2" t="s">
        <v>59</v>
      </c>
      <c r="M1265" s="2" t="s">
        <v>60</v>
      </c>
      <c r="N1265" s="2"/>
      <c r="O1265" s="2" t="s">
        <v>6570</v>
      </c>
      <c r="P1265" s="2" t="s">
        <v>2712</v>
      </c>
      <c r="Q1265" s="2" t="s">
        <v>110</v>
      </c>
      <c r="R1265" s="2" t="n">
        <v>0.35</v>
      </c>
      <c r="S1265" s="2" t="s">
        <v>6571</v>
      </c>
      <c r="T1265" s="2" t="s">
        <v>6572</v>
      </c>
      <c r="U1265" s="2" t="s">
        <v>6573</v>
      </c>
      <c r="V1265" s="2" t="s">
        <v>1043</v>
      </c>
      <c r="W1265" s="2" t="s">
        <v>2158</v>
      </c>
      <c r="X1265" s="2" t="s">
        <v>507</v>
      </c>
    </row>
    <row r="1266" customFormat="false" ht="15" hidden="false" customHeight="false" outlineLevel="0" collapsed="false">
      <c r="A1266" s="2" t="n">
        <v>1497</v>
      </c>
      <c r="B1266" s="2" t="s">
        <v>6450</v>
      </c>
      <c r="C1266" s="2" t="s">
        <v>6574</v>
      </c>
      <c r="D1266" s="2" t="s">
        <v>53</v>
      </c>
      <c r="E1266" s="2" t="s">
        <v>6452</v>
      </c>
      <c r="F1266" s="2"/>
      <c r="G1266" s="2" t="s">
        <v>5215</v>
      </c>
      <c r="H1266" s="2" t="s">
        <v>950</v>
      </c>
      <c r="I1266" s="2" t="s">
        <v>184</v>
      </c>
      <c r="J1266" s="2" t="n">
        <v>-7.259</v>
      </c>
      <c r="K1266" s="2" t="n">
        <v>112.744</v>
      </c>
      <c r="L1266" s="2" t="s">
        <v>84</v>
      </c>
      <c r="M1266" s="2" t="s">
        <v>60</v>
      </c>
      <c r="N1266" s="2" t="s">
        <v>6575</v>
      </c>
      <c r="O1266" s="2" t="s">
        <v>6576</v>
      </c>
      <c r="P1266" s="2"/>
      <c r="Q1266" s="2" t="s">
        <v>62</v>
      </c>
      <c r="R1266" s="2" t="n">
        <v>0.75</v>
      </c>
      <c r="S1266" s="2" t="s">
        <v>6577</v>
      </c>
      <c r="T1266" s="2" t="s">
        <v>176</v>
      </c>
      <c r="U1266" s="2" t="s">
        <v>6578</v>
      </c>
      <c r="V1266" s="2" t="s">
        <v>745</v>
      </c>
      <c r="W1266" s="2" t="s">
        <v>1810</v>
      </c>
      <c r="X1266" s="2" t="s">
        <v>507</v>
      </c>
    </row>
    <row r="1267" customFormat="false" ht="15" hidden="false" customHeight="false" outlineLevel="0" collapsed="false">
      <c r="A1267" s="2" t="n">
        <v>1498</v>
      </c>
      <c r="B1267" s="2" t="s">
        <v>6450</v>
      </c>
      <c r="C1267" s="2" t="s">
        <v>6579</v>
      </c>
      <c r="D1267" s="2" t="s">
        <v>351</v>
      </c>
      <c r="E1267" s="2" t="s">
        <v>1598</v>
      </c>
      <c r="F1267" s="2" t="s">
        <v>6580</v>
      </c>
      <c r="G1267" s="2" t="s">
        <v>6581</v>
      </c>
      <c r="H1267" s="2" t="s">
        <v>950</v>
      </c>
      <c r="I1267" s="2" t="s">
        <v>184</v>
      </c>
      <c r="J1267" s="2" t="n">
        <v>-7.27</v>
      </c>
      <c r="K1267" s="2" t="n">
        <v>112.759</v>
      </c>
      <c r="L1267" s="2" t="s">
        <v>59</v>
      </c>
      <c r="M1267" s="2" t="s">
        <v>60</v>
      </c>
      <c r="N1267" s="2" t="s">
        <v>6582</v>
      </c>
      <c r="O1267" s="2" t="s">
        <v>6583</v>
      </c>
      <c r="P1267" s="2" t="s">
        <v>6584</v>
      </c>
      <c r="Q1267" s="2" t="s">
        <v>110</v>
      </c>
      <c r="R1267" s="2" t="n">
        <v>0.35</v>
      </c>
      <c r="S1267" s="2" t="s">
        <v>6585</v>
      </c>
      <c r="T1267" s="2" t="s">
        <v>743</v>
      </c>
      <c r="U1267" s="2" t="s">
        <v>6586</v>
      </c>
      <c r="V1267" s="2" t="s">
        <v>6587</v>
      </c>
      <c r="W1267" s="2" t="s">
        <v>1634</v>
      </c>
      <c r="X1267" s="2" t="s">
        <v>507</v>
      </c>
    </row>
    <row r="1268" customFormat="false" ht="15" hidden="false" customHeight="false" outlineLevel="0" collapsed="false">
      <c r="A1268" s="2" t="n">
        <v>1501</v>
      </c>
      <c r="B1268" s="2" t="s">
        <v>6588</v>
      </c>
      <c r="C1268" s="2" t="s">
        <v>6579</v>
      </c>
      <c r="D1268" s="2" t="s">
        <v>351</v>
      </c>
      <c r="E1268" s="2" t="s">
        <v>1598</v>
      </c>
      <c r="F1268" s="2" t="s">
        <v>6580</v>
      </c>
      <c r="G1268" s="2" t="s">
        <v>6581</v>
      </c>
      <c r="H1268" s="2" t="s">
        <v>950</v>
      </c>
      <c r="I1268" s="2" t="s">
        <v>184</v>
      </c>
      <c r="J1268" s="2" t="n">
        <v>-7.27</v>
      </c>
      <c r="K1268" s="2" t="n">
        <v>112.759</v>
      </c>
      <c r="L1268" s="2" t="s">
        <v>59</v>
      </c>
      <c r="M1268" s="2" t="s">
        <v>60</v>
      </c>
      <c r="N1268" s="2" t="s">
        <v>6582</v>
      </c>
      <c r="O1268" s="2" t="s">
        <v>6589</v>
      </c>
      <c r="P1268" s="2" t="s">
        <v>6590</v>
      </c>
      <c r="Q1268" s="2" t="s">
        <v>110</v>
      </c>
      <c r="R1268" s="2" t="n">
        <v>0.35</v>
      </c>
      <c r="S1268" s="2" t="s">
        <v>6591</v>
      </c>
      <c r="T1268" s="2" t="s">
        <v>743</v>
      </c>
      <c r="U1268" s="2" t="s">
        <v>6592</v>
      </c>
      <c r="V1268" s="2" t="s">
        <v>6572</v>
      </c>
      <c r="W1268" s="2" t="s">
        <v>283</v>
      </c>
      <c r="X1268" s="2" t="s">
        <v>507</v>
      </c>
    </row>
    <row r="1269" customFormat="false" ht="15" hidden="false" customHeight="false" outlineLevel="0" collapsed="false">
      <c r="A1269" s="2" t="n">
        <v>1502</v>
      </c>
      <c r="B1269" s="2" t="s">
        <v>6588</v>
      </c>
      <c r="C1269" s="2" t="s">
        <v>6593</v>
      </c>
      <c r="D1269" s="2" t="s">
        <v>121</v>
      </c>
      <c r="E1269" s="2" t="s">
        <v>6594</v>
      </c>
      <c r="F1269" s="2"/>
      <c r="G1269" s="2"/>
      <c r="H1269" s="2" t="s">
        <v>950</v>
      </c>
      <c r="I1269" s="2" t="s">
        <v>184</v>
      </c>
      <c r="J1269" s="2" t="n">
        <v>-7.276</v>
      </c>
      <c r="K1269" s="2" t="n">
        <v>112.735</v>
      </c>
      <c r="L1269" s="2" t="s">
        <v>101</v>
      </c>
      <c r="M1269" s="2" t="s">
        <v>60</v>
      </c>
      <c r="N1269" s="2" t="s">
        <v>6595</v>
      </c>
      <c r="O1269" s="2" t="s">
        <v>6596</v>
      </c>
      <c r="P1269" s="2" t="s">
        <v>6597</v>
      </c>
      <c r="Q1269" s="2" t="s">
        <v>62</v>
      </c>
      <c r="R1269" s="2" t="n">
        <v>0.75</v>
      </c>
      <c r="S1269" s="2" t="s">
        <v>6598</v>
      </c>
      <c r="T1269" s="2" t="s">
        <v>6599</v>
      </c>
      <c r="U1269" s="2" t="s">
        <v>6600</v>
      </c>
      <c r="V1269" s="2" t="s">
        <v>603</v>
      </c>
      <c r="W1269" s="2" t="s">
        <v>6601</v>
      </c>
      <c r="X1269" s="2" t="s">
        <v>507</v>
      </c>
    </row>
    <row r="1270" customFormat="false" ht="15" hidden="false" customHeight="false" outlineLevel="0" collapsed="false">
      <c r="A1270" s="2" t="n">
        <v>1502</v>
      </c>
      <c r="B1270" s="2" t="s">
        <v>6588</v>
      </c>
      <c r="C1270" s="2" t="s">
        <v>6602</v>
      </c>
      <c r="D1270" s="2" t="s">
        <v>121</v>
      </c>
      <c r="E1270" s="2" t="s">
        <v>6603</v>
      </c>
      <c r="F1270" s="2"/>
      <c r="G1270" s="2"/>
      <c r="H1270" s="2" t="s">
        <v>950</v>
      </c>
      <c r="I1270" s="2" t="s">
        <v>184</v>
      </c>
      <c r="J1270" s="2" t="n">
        <v>-7.276</v>
      </c>
      <c r="K1270" s="2" t="n">
        <v>112.735</v>
      </c>
      <c r="L1270" s="2" t="s">
        <v>101</v>
      </c>
      <c r="M1270" s="2" t="s">
        <v>60</v>
      </c>
      <c r="N1270" s="2" t="s">
        <v>6604</v>
      </c>
      <c r="O1270" s="2" t="s">
        <v>6605</v>
      </c>
      <c r="P1270" s="2" t="s">
        <v>6606</v>
      </c>
      <c r="Q1270" s="2" t="s">
        <v>62</v>
      </c>
      <c r="R1270" s="2" t="n">
        <v>0.7</v>
      </c>
      <c r="S1270" s="2" t="s">
        <v>6598</v>
      </c>
      <c r="T1270" s="2" t="s">
        <v>6599</v>
      </c>
      <c r="U1270" s="2" t="s">
        <v>6600</v>
      </c>
      <c r="V1270" s="2" t="s">
        <v>603</v>
      </c>
      <c r="W1270" s="2" t="s">
        <v>6601</v>
      </c>
      <c r="X1270" s="2" t="s">
        <v>507</v>
      </c>
    </row>
    <row r="1271" customFormat="false" ht="15" hidden="false" customHeight="false" outlineLevel="0" collapsed="false">
      <c r="A1271" s="2" t="n">
        <v>1505</v>
      </c>
      <c r="B1271" s="2" t="s">
        <v>6588</v>
      </c>
      <c r="C1271" s="2" t="s">
        <v>6607</v>
      </c>
      <c r="D1271" s="2" t="s">
        <v>351</v>
      </c>
      <c r="E1271" s="2" t="s">
        <v>6608</v>
      </c>
      <c r="F1271" s="2" t="s">
        <v>6609</v>
      </c>
      <c r="G1271" s="2" t="s">
        <v>5215</v>
      </c>
      <c r="H1271" s="2" t="s">
        <v>950</v>
      </c>
      <c r="I1271" s="2" t="s">
        <v>184</v>
      </c>
      <c r="J1271" s="2" t="n">
        <v>-7.247</v>
      </c>
      <c r="K1271" s="2" t="n">
        <v>112.749</v>
      </c>
      <c r="L1271" s="2" t="s">
        <v>59</v>
      </c>
      <c r="M1271" s="2" t="s">
        <v>60</v>
      </c>
      <c r="N1271" s="2"/>
      <c r="O1271" s="2" t="s">
        <v>6610</v>
      </c>
      <c r="P1271" s="2"/>
      <c r="Q1271" s="2" t="s">
        <v>110</v>
      </c>
      <c r="R1271" s="2" t="n">
        <v>0.4</v>
      </c>
      <c r="S1271" s="2" t="s">
        <v>6611</v>
      </c>
      <c r="T1271" s="2" t="s">
        <v>6572</v>
      </c>
      <c r="U1271" s="2" t="s">
        <v>6612</v>
      </c>
      <c r="V1271" s="2" t="s">
        <v>6500</v>
      </c>
      <c r="W1271" s="2" t="s">
        <v>662</v>
      </c>
      <c r="X1271" s="2" t="s">
        <v>507</v>
      </c>
    </row>
    <row r="1272" customFormat="false" ht="15" hidden="false" customHeight="false" outlineLevel="0" collapsed="false">
      <c r="A1272" s="2" t="n">
        <v>1507</v>
      </c>
      <c r="B1272" s="2" t="s">
        <v>6588</v>
      </c>
      <c r="C1272" s="2" t="s">
        <v>6613</v>
      </c>
      <c r="D1272" s="2" t="s">
        <v>134</v>
      </c>
      <c r="E1272" s="2" t="s">
        <v>6614</v>
      </c>
      <c r="F1272" s="2" t="s">
        <v>6615</v>
      </c>
      <c r="G1272" s="2" t="s">
        <v>348</v>
      </c>
      <c r="H1272" s="2" t="s">
        <v>107</v>
      </c>
      <c r="I1272" s="2" t="s">
        <v>58</v>
      </c>
      <c r="J1272" s="2" t="n">
        <v>-6.906</v>
      </c>
      <c r="K1272" s="2" t="n">
        <v>107.62</v>
      </c>
      <c r="L1272" s="2" t="s">
        <v>59</v>
      </c>
      <c r="M1272" s="2" t="s">
        <v>60</v>
      </c>
      <c r="N1272" s="2"/>
      <c r="O1272" s="2" t="s">
        <v>6616</v>
      </c>
      <c r="P1272" s="2"/>
      <c r="Q1272" s="2" t="s">
        <v>62</v>
      </c>
      <c r="R1272" s="2" t="n">
        <v>0.75</v>
      </c>
      <c r="S1272" s="2" t="s">
        <v>6617</v>
      </c>
      <c r="T1272" s="2" t="s">
        <v>156</v>
      </c>
      <c r="U1272" s="2" t="s">
        <v>6618</v>
      </c>
      <c r="V1272" s="2" t="s">
        <v>745</v>
      </c>
      <c r="W1272" s="2" t="s">
        <v>4206</v>
      </c>
      <c r="X1272" s="2" t="s">
        <v>507</v>
      </c>
    </row>
    <row r="1273" customFormat="false" ht="15" hidden="false" customHeight="false" outlineLevel="0" collapsed="false">
      <c r="A1273" s="2" t="n">
        <v>1508</v>
      </c>
      <c r="B1273" s="2" t="s">
        <v>6588</v>
      </c>
      <c r="C1273" s="2" t="s">
        <v>6619</v>
      </c>
      <c r="D1273" s="2" t="s">
        <v>53</v>
      </c>
      <c r="E1273" s="2" t="s">
        <v>6620</v>
      </c>
      <c r="F1273" s="2" t="s">
        <v>6621</v>
      </c>
      <c r="G1273" s="2" t="s">
        <v>932</v>
      </c>
      <c r="H1273" s="2" t="s">
        <v>107</v>
      </c>
      <c r="I1273" s="2" t="s">
        <v>58</v>
      </c>
      <c r="J1273" s="2" t="n">
        <v>-6.91</v>
      </c>
      <c r="K1273" s="2" t="n">
        <v>107.612</v>
      </c>
      <c r="L1273" s="2" t="s">
        <v>59</v>
      </c>
      <c r="M1273" s="2" t="s">
        <v>60</v>
      </c>
      <c r="N1273" s="2"/>
      <c r="O1273" s="2" t="s">
        <v>6622</v>
      </c>
      <c r="P1273" s="2"/>
      <c r="Q1273" s="2" t="s">
        <v>110</v>
      </c>
      <c r="R1273" s="2" t="n">
        <v>0.8</v>
      </c>
      <c r="S1273" s="2" t="s">
        <v>6623</v>
      </c>
      <c r="T1273" s="2" t="s">
        <v>453</v>
      </c>
      <c r="U1273" s="2" t="s">
        <v>6624</v>
      </c>
      <c r="V1273" s="2" t="s">
        <v>745</v>
      </c>
      <c r="W1273" s="2" t="s">
        <v>1614</v>
      </c>
      <c r="X1273" s="2" t="s">
        <v>507</v>
      </c>
    </row>
    <row r="1274" customFormat="false" ht="15" hidden="false" customHeight="false" outlineLevel="0" collapsed="false">
      <c r="A1274" s="2" t="n">
        <v>1510</v>
      </c>
      <c r="B1274" s="2" t="s">
        <v>6588</v>
      </c>
      <c r="C1274" s="2" t="s">
        <v>6625</v>
      </c>
      <c r="D1274" s="2" t="s">
        <v>53</v>
      </c>
      <c r="E1274" s="2" t="s">
        <v>6626</v>
      </c>
      <c r="F1274" s="2" t="s">
        <v>931</v>
      </c>
      <c r="G1274" s="2" t="s">
        <v>932</v>
      </c>
      <c r="H1274" s="2" t="s">
        <v>107</v>
      </c>
      <c r="I1274" s="2" t="s">
        <v>58</v>
      </c>
      <c r="J1274" s="2" t="n">
        <v>-6.918</v>
      </c>
      <c r="K1274" s="2" t="n">
        <v>107.609</v>
      </c>
      <c r="L1274" s="2" t="s">
        <v>59</v>
      </c>
      <c r="M1274" s="2" t="s">
        <v>60</v>
      </c>
      <c r="N1274" s="2"/>
      <c r="O1274" s="2" t="s">
        <v>6627</v>
      </c>
      <c r="P1274" s="2"/>
      <c r="Q1274" s="2" t="s">
        <v>62</v>
      </c>
      <c r="R1274" s="2" t="n">
        <v>0.8</v>
      </c>
      <c r="S1274" s="2" t="s">
        <v>6628</v>
      </c>
      <c r="T1274" s="2" t="s">
        <v>156</v>
      </c>
      <c r="U1274" s="2" t="s">
        <v>6629</v>
      </c>
      <c r="V1274" s="2" t="s">
        <v>4313</v>
      </c>
      <c r="W1274" s="2" t="s">
        <v>2334</v>
      </c>
      <c r="X1274" s="2" t="s">
        <v>507</v>
      </c>
    </row>
    <row r="1275" customFormat="false" ht="15" hidden="false" customHeight="false" outlineLevel="0" collapsed="false">
      <c r="A1275" s="2" t="n">
        <v>1510</v>
      </c>
      <c r="B1275" s="2" t="s">
        <v>6588</v>
      </c>
      <c r="C1275" s="2" t="s">
        <v>6630</v>
      </c>
      <c r="D1275" s="2" t="s">
        <v>134</v>
      </c>
      <c r="E1275" s="2" t="s">
        <v>6631</v>
      </c>
      <c r="F1275" s="2" t="s">
        <v>931</v>
      </c>
      <c r="G1275" s="2" t="s">
        <v>932</v>
      </c>
      <c r="H1275" s="2" t="s">
        <v>107</v>
      </c>
      <c r="I1275" s="2" t="s">
        <v>58</v>
      </c>
      <c r="J1275" s="2" t="n">
        <v>-6.918</v>
      </c>
      <c r="K1275" s="2" t="n">
        <v>107.609</v>
      </c>
      <c r="L1275" s="2" t="s">
        <v>59</v>
      </c>
      <c r="M1275" s="2" t="s">
        <v>60</v>
      </c>
      <c r="N1275" s="2"/>
      <c r="O1275" s="2" t="s">
        <v>6632</v>
      </c>
      <c r="P1275" s="2"/>
      <c r="Q1275" s="2" t="s">
        <v>62</v>
      </c>
      <c r="R1275" s="2" t="n">
        <v>0.65</v>
      </c>
      <c r="S1275" s="2" t="s">
        <v>6628</v>
      </c>
      <c r="T1275" s="2" t="s">
        <v>156</v>
      </c>
      <c r="U1275" s="2" t="s">
        <v>6629</v>
      </c>
      <c r="V1275" s="2" t="s">
        <v>4313</v>
      </c>
      <c r="W1275" s="2" t="s">
        <v>2334</v>
      </c>
      <c r="X1275" s="2" t="s">
        <v>507</v>
      </c>
    </row>
    <row r="1276" customFormat="false" ht="15" hidden="false" customHeight="false" outlineLevel="0" collapsed="false">
      <c r="A1276" s="2" t="n">
        <v>1512</v>
      </c>
      <c r="B1276" s="2" t="s">
        <v>6588</v>
      </c>
      <c r="C1276" s="2" t="s">
        <v>6633</v>
      </c>
      <c r="D1276" s="2" t="s">
        <v>134</v>
      </c>
      <c r="E1276" s="2" t="s">
        <v>6634</v>
      </c>
      <c r="F1276" s="2" t="s">
        <v>6635</v>
      </c>
      <c r="G1276" s="2" t="s">
        <v>6636</v>
      </c>
      <c r="H1276" s="2" t="s">
        <v>107</v>
      </c>
      <c r="I1276" s="2" t="s">
        <v>58</v>
      </c>
      <c r="J1276" s="2" t="n">
        <v>-6.905</v>
      </c>
      <c r="K1276" s="2" t="n">
        <v>107.593</v>
      </c>
      <c r="L1276" s="2" t="s">
        <v>59</v>
      </c>
      <c r="M1276" s="2" t="s">
        <v>60</v>
      </c>
      <c r="N1276" s="2"/>
      <c r="O1276" s="2" t="s">
        <v>6637</v>
      </c>
      <c r="P1276" s="2" t="s">
        <v>6638</v>
      </c>
      <c r="Q1276" s="2" t="s">
        <v>62</v>
      </c>
      <c r="R1276" s="2" t="n">
        <v>0.75</v>
      </c>
      <c r="S1276" s="2" t="s">
        <v>6639</v>
      </c>
      <c r="T1276" s="2" t="s">
        <v>64</v>
      </c>
      <c r="U1276" s="2" t="s">
        <v>6640</v>
      </c>
      <c r="V1276" s="2" t="s">
        <v>6641</v>
      </c>
      <c r="W1276" s="2" t="s">
        <v>2825</v>
      </c>
      <c r="X1276" s="2" t="s">
        <v>507</v>
      </c>
    </row>
    <row r="1277" customFormat="false" ht="15" hidden="false" customHeight="false" outlineLevel="0" collapsed="false">
      <c r="A1277" s="2" t="n">
        <v>1513</v>
      </c>
      <c r="B1277" s="2" t="s">
        <v>6588</v>
      </c>
      <c r="C1277" s="2" t="s">
        <v>336</v>
      </c>
      <c r="D1277" s="2" t="s">
        <v>53</v>
      </c>
      <c r="E1277" s="2" t="s">
        <v>6642</v>
      </c>
      <c r="F1277" s="2" t="s">
        <v>338</v>
      </c>
      <c r="G1277" s="2" t="s">
        <v>339</v>
      </c>
      <c r="H1277" s="2" t="s">
        <v>107</v>
      </c>
      <c r="I1277" s="2" t="s">
        <v>58</v>
      </c>
      <c r="J1277" s="2" t="n">
        <v>-6.884</v>
      </c>
      <c r="K1277" s="2" t="n">
        <v>107.593</v>
      </c>
      <c r="L1277" s="2" t="s">
        <v>59</v>
      </c>
      <c r="M1277" s="2" t="s">
        <v>60</v>
      </c>
      <c r="N1277" s="2"/>
      <c r="O1277" s="2" t="s">
        <v>6643</v>
      </c>
      <c r="P1277" s="2"/>
      <c r="Q1277" s="2" t="s">
        <v>110</v>
      </c>
      <c r="R1277" s="2" t="n">
        <v>0.75</v>
      </c>
      <c r="S1277" s="2" t="s">
        <v>6644</v>
      </c>
      <c r="T1277" s="2" t="s">
        <v>6645</v>
      </c>
      <c r="U1277" s="2" t="s">
        <v>6646</v>
      </c>
      <c r="V1277" s="2" t="s">
        <v>6587</v>
      </c>
      <c r="W1277" s="2" t="s">
        <v>3169</v>
      </c>
      <c r="X1277" s="2" t="s">
        <v>507</v>
      </c>
    </row>
    <row r="1278" customFormat="false" ht="15" hidden="false" customHeight="false" outlineLevel="0" collapsed="false">
      <c r="A1278" s="2" t="n">
        <v>1516</v>
      </c>
      <c r="B1278" s="2" t="s">
        <v>6588</v>
      </c>
      <c r="C1278" s="2" t="s">
        <v>6647</v>
      </c>
      <c r="D1278" s="2" t="s">
        <v>134</v>
      </c>
      <c r="E1278" s="2" t="s">
        <v>6648</v>
      </c>
      <c r="F1278" s="2" t="s">
        <v>6649</v>
      </c>
      <c r="G1278" s="2" t="s">
        <v>400</v>
      </c>
      <c r="H1278" s="2" t="s">
        <v>5734</v>
      </c>
      <c r="I1278" s="2" t="s">
        <v>58</v>
      </c>
      <c r="J1278" s="2" t="n">
        <v>-6.78</v>
      </c>
      <c r="K1278" s="2" t="n">
        <v>107.645</v>
      </c>
      <c r="L1278" s="2" t="s">
        <v>59</v>
      </c>
      <c r="M1278" s="2" t="s">
        <v>60</v>
      </c>
      <c r="N1278" s="2" t="s">
        <v>6650</v>
      </c>
      <c r="O1278" s="2" t="s">
        <v>6651</v>
      </c>
      <c r="P1278" s="2"/>
      <c r="Q1278" s="2" t="s">
        <v>62</v>
      </c>
      <c r="R1278" s="2" t="n">
        <v>0.8</v>
      </c>
      <c r="S1278" s="2" t="s">
        <v>6652</v>
      </c>
      <c r="T1278" s="2" t="s">
        <v>156</v>
      </c>
      <c r="U1278" s="2" t="s">
        <v>6653</v>
      </c>
      <c r="V1278" s="2" t="s">
        <v>745</v>
      </c>
      <c r="W1278" s="2" t="s">
        <v>1543</v>
      </c>
      <c r="X1278" s="2" t="s">
        <v>507</v>
      </c>
    </row>
    <row r="1279" customFormat="false" ht="15" hidden="false" customHeight="false" outlineLevel="0" collapsed="false">
      <c r="A1279" s="2" t="n">
        <v>1516</v>
      </c>
      <c r="B1279" s="2" t="s">
        <v>6588</v>
      </c>
      <c r="C1279" s="2" t="s">
        <v>6654</v>
      </c>
      <c r="D1279" s="2" t="s">
        <v>134</v>
      </c>
      <c r="E1279" s="2" t="s">
        <v>117</v>
      </c>
      <c r="F1279" s="2"/>
      <c r="G1279" s="2"/>
      <c r="H1279" s="2" t="s">
        <v>107</v>
      </c>
      <c r="I1279" s="2" t="s">
        <v>58</v>
      </c>
      <c r="J1279" s="2" t="n">
        <v>-6.917</v>
      </c>
      <c r="K1279" s="2" t="n">
        <v>107.619</v>
      </c>
      <c r="L1279" s="2" t="s">
        <v>101</v>
      </c>
      <c r="M1279" s="2" t="s">
        <v>60</v>
      </c>
      <c r="N1279" s="2"/>
      <c r="O1279" s="2" t="s">
        <v>6655</v>
      </c>
      <c r="P1279" s="2"/>
      <c r="Q1279" s="2" t="s">
        <v>62</v>
      </c>
      <c r="R1279" s="2" t="n">
        <v>0.65</v>
      </c>
      <c r="S1279" s="2" t="s">
        <v>6652</v>
      </c>
      <c r="T1279" s="2" t="s">
        <v>156</v>
      </c>
      <c r="U1279" s="2" t="s">
        <v>6653</v>
      </c>
      <c r="V1279" s="2" t="s">
        <v>745</v>
      </c>
      <c r="W1279" s="2" t="s">
        <v>1543</v>
      </c>
      <c r="X1279" s="2" t="s">
        <v>507</v>
      </c>
    </row>
    <row r="1280" customFormat="false" ht="15" hidden="false" customHeight="false" outlineLevel="0" collapsed="false">
      <c r="A1280" s="2" t="n">
        <v>1519</v>
      </c>
      <c r="B1280" s="2" t="s">
        <v>6588</v>
      </c>
      <c r="C1280" s="2" t="s">
        <v>6656</v>
      </c>
      <c r="D1280" s="2" t="s">
        <v>351</v>
      </c>
      <c r="E1280" s="2" t="s">
        <v>6657</v>
      </c>
      <c r="F1280" s="2" t="s">
        <v>6658</v>
      </c>
      <c r="G1280" s="2" t="s">
        <v>6659</v>
      </c>
      <c r="H1280" s="2" t="s">
        <v>107</v>
      </c>
      <c r="I1280" s="2" t="s">
        <v>58</v>
      </c>
      <c r="J1280" s="2" t="n">
        <v>-6.9218</v>
      </c>
      <c r="K1280" s="2" t="n">
        <v>107.607</v>
      </c>
      <c r="L1280" s="2" t="s">
        <v>124</v>
      </c>
      <c r="M1280" s="2" t="s">
        <v>60</v>
      </c>
      <c r="N1280" s="2"/>
      <c r="O1280" s="2" t="s">
        <v>6660</v>
      </c>
      <c r="P1280" s="2"/>
      <c r="Q1280" s="2" t="s">
        <v>62</v>
      </c>
      <c r="R1280" s="2" t="n">
        <v>0.7</v>
      </c>
      <c r="S1280" s="2" t="s">
        <v>6661</v>
      </c>
      <c r="T1280" s="2" t="s">
        <v>743</v>
      </c>
      <c r="U1280" s="2" t="s">
        <v>6662</v>
      </c>
      <c r="V1280" s="2" t="s">
        <v>745</v>
      </c>
      <c r="W1280" s="2" t="s">
        <v>776</v>
      </c>
      <c r="X1280" s="2" t="s">
        <v>507</v>
      </c>
    </row>
    <row r="1281" customFormat="false" ht="15" hidden="false" customHeight="false" outlineLevel="0" collapsed="false">
      <c r="A1281" s="2" t="n">
        <v>1519</v>
      </c>
      <c r="B1281" s="2" t="s">
        <v>6588</v>
      </c>
      <c r="C1281" s="2" t="s">
        <v>929</v>
      </c>
      <c r="D1281" s="2" t="s">
        <v>351</v>
      </c>
      <c r="E1281" s="2" t="s">
        <v>6663</v>
      </c>
      <c r="F1281" s="2" t="s">
        <v>931</v>
      </c>
      <c r="G1281" s="2" t="s">
        <v>932</v>
      </c>
      <c r="H1281" s="2" t="s">
        <v>107</v>
      </c>
      <c r="I1281" s="2" t="s">
        <v>58</v>
      </c>
      <c r="J1281" s="2" t="n">
        <v>-6.9175</v>
      </c>
      <c r="K1281" s="2" t="n">
        <v>107.6093</v>
      </c>
      <c r="L1281" s="2" t="s">
        <v>124</v>
      </c>
      <c r="M1281" s="2" t="s">
        <v>60</v>
      </c>
      <c r="N1281" s="2"/>
      <c r="O1281" s="2" t="s">
        <v>6664</v>
      </c>
      <c r="P1281" s="2"/>
      <c r="Q1281" s="2" t="s">
        <v>62</v>
      </c>
      <c r="R1281" s="2" t="n">
        <v>0.7</v>
      </c>
      <c r="S1281" s="2" t="s">
        <v>6661</v>
      </c>
      <c r="T1281" s="2" t="s">
        <v>743</v>
      </c>
      <c r="U1281" s="2" t="s">
        <v>6662</v>
      </c>
      <c r="V1281" s="2" t="s">
        <v>745</v>
      </c>
      <c r="W1281" s="2" t="s">
        <v>776</v>
      </c>
      <c r="X1281" s="2" t="s">
        <v>507</v>
      </c>
    </row>
    <row r="1282" customFormat="false" ht="15" hidden="false" customHeight="false" outlineLevel="0" collapsed="false">
      <c r="A1282" s="2" t="n">
        <v>1519</v>
      </c>
      <c r="B1282" s="2" t="s">
        <v>6588</v>
      </c>
      <c r="C1282" s="2" t="s">
        <v>6665</v>
      </c>
      <c r="D1282" s="2" t="s">
        <v>351</v>
      </c>
      <c r="E1282" s="2" t="s">
        <v>6666</v>
      </c>
      <c r="F1282" s="2"/>
      <c r="G1282" s="2" t="s">
        <v>932</v>
      </c>
      <c r="H1282" s="2" t="s">
        <v>107</v>
      </c>
      <c r="I1282" s="2" t="s">
        <v>58</v>
      </c>
      <c r="J1282" s="2" t="n">
        <v>-6.9214</v>
      </c>
      <c r="K1282" s="2" t="n">
        <v>107.609</v>
      </c>
      <c r="L1282" s="2" t="s">
        <v>124</v>
      </c>
      <c r="M1282" s="2" t="s">
        <v>60</v>
      </c>
      <c r="N1282" s="2"/>
      <c r="O1282" s="2" t="s">
        <v>6667</v>
      </c>
      <c r="P1282" s="2"/>
      <c r="Q1282" s="2" t="s">
        <v>62</v>
      </c>
      <c r="R1282" s="2" t="n">
        <v>0.6</v>
      </c>
      <c r="S1282" s="2" t="s">
        <v>6661</v>
      </c>
      <c r="T1282" s="2" t="s">
        <v>743</v>
      </c>
      <c r="U1282" s="2" t="s">
        <v>6662</v>
      </c>
      <c r="V1282" s="2" t="s">
        <v>745</v>
      </c>
      <c r="W1282" s="2" t="s">
        <v>776</v>
      </c>
      <c r="X1282" s="2" t="s">
        <v>507</v>
      </c>
    </row>
    <row r="1283" customFormat="false" ht="15" hidden="false" customHeight="false" outlineLevel="0" collapsed="false">
      <c r="A1283" s="2" t="n">
        <v>1520</v>
      </c>
      <c r="B1283" s="2" t="s">
        <v>6588</v>
      </c>
      <c r="C1283" s="2" t="s">
        <v>6668</v>
      </c>
      <c r="D1283" s="2" t="s">
        <v>410</v>
      </c>
      <c r="E1283" s="2" t="s">
        <v>6669</v>
      </c>
      <c r="F1283" s="2" t="s">
        <v>6670</v>
      </c>
      <c r="G1283" s="2" t="s">
        <v>6671</v>
      </c>
      <c r="H1283" s="2" t="s">
        <v>4571</v>
      </c>
      <c r="I1283" s="2" t="s">
        <v>58</v>
      </c>
      <c r="J1283" s="2" t="n">
        <v>-7.1417</v>
      </c>
      <c r="K1283" s="2" t="n">
        <v>107.3906</v>
      </c>
      <c r="L1283" s="2" t="s">
        <v>124</v>
      </c>
      <c r="M1283" s="2" t="s">
        <v>60</v>
      </c>
      <c r="N1283" s="2" t="s">
        <v>6672</v>
      </c>
      <c r="O1283" s="2" t="s">
        <v>6673</v>
      </c>
      <c r="P1283" s="2"/>
      <c r="Q1283" s="2" t="s">
        <v>62</v>
      </c>
      <c r="R1283" s="2" t="n">
        <v>0.8</v>
      </c>
      <c r="S1283" s="2" t="s">
        <v>6674</v>
      </c>
      <c r="T1283" s="2" t="s">
        <v>6675</v>
      </c>
      <c r="U1283" s="2" t="s">
        <v>6676</v>
      </c>
      <c r="V1283" s="2" t="s">
        <v>745</v>
      </c>
      <c r="W1283" s="2" t="s">
        <v>1306</v>
      </c>
      <c r="X1283" s="2" t="s">
        <v>507</v>
      </c>
    </row>
    <row r="1284" customFormat="false" ht="15" hidden="false" customHeight="false" outlineLevel="0" collapsed="false">
      <c r="A1284" s="2" t="n">
        <v>1520</v>
      </c>
      <c r="B1284" s="2" t="s">
        <v>6588</v>
      </c>
      <c r="C1284" s="2" t="s">
        <v>6677</v>
      </c>
      <c r="D1284" s="2" t="s">
        <v>410</v>
      </c>
      <c r="E1284" s="2" t="s">
        <v>6678</v>
      </c>
      <c r="F1284" s="2" t="s">
        <v>6679</v>
      </c>
      <c r="G1284" s="2" t="s">
        <v>6680</v>
      </c>
      <c r="H1284" s="2" t="s">
        <v>4571</v>
      </c>
      <c r="I1284" s="2" t="s">
        <v>58</v>
      </c>
      <c r="J1284" s="2" t="n">
        <v>-6.834</v>
      </c>
      <c r="K1284" s="2" t="n">
        <v>107.6636</v>
      </c>
      <c r="L1284" s="2" t="s">
        <v>124</v>
      </c>
      <c r="M1284" s="2" t="s">
        <v>60</v>
      </c>
      <c r="N1284" s="2" t="s">
        <v>6672</v>
      </c>
      <c r="O1284" s="2" t="s">
        <v>6681</v>
      </c>
      <c r="P1284" s="2"/>
      <c r="Q1284" s="2" t="s">
        <v>62</v>
      </c>
      <c r="R1284" s="2" t="n">
        <v>0.8</v>
      </c>
      <c r="S1284" s="2" t="s">
        <v>6674</v>
      </c>
      <c r="T1284" s="2" t="s">
        <v>6675</v>
      </c>
      <c r="U1284" s="2" t="s">
        <v>6676</v>
      </c>
      <c r="V1284" s="2" t="s">
        <v>745</v>
      </c>
      <c r="W1284" s="2" t="s">
        <v>1306</v>
      </c>
      <c r="X1284" s="2" t="s">
        <v>507</v>
      </c>
    </row>
    <row r="1285" customFormat="false" ht="15" hidden="false" customHeight="false" outlineLevel="0" collapsed="false">
      <c r="A1285" s="2" t="n">
        <v>1521</v>
      </c>
      <c r="B1285" s="2" t="s">
        <v>6588</v>
      </c>
      <c r="C1285" s="2" t="s">
        <v>6682</v>
      </c>
      <c r="D1285" s="2" t="s">
        <v>410</v>
      </c>
      <c r="E1285" s="2" t="s">
        <v>6683</v>
      </c>
      <c r="F1285" s="2"/>
      <c r="G1285" s="2"/>
      <c r="H1285" s="2" t="s">
        <v>107</v>
      </c>
      <c r="I1285" s="2" t="s">
        <v>58</v>
      </c>
      <c r="J1285" s="2" t="n">
        <v>-6.917</v>
      </c>
      <c r="K1285" s="2" t="n">
        <v>107.619</v>
      </c>
      <c r="L1285" s="2" t="s">
        <v>101</v>
      </c>
      <c r="M1285" s="2" t="s">
        <v>60</v>
      </c>
      <c r="N1285" s="2" t="s">
        <v>6684</v>
      </c>
      <c r="O1285" s="2" t="s">
        <v>6685</v>
      </c>
      <c r="P1285" s="2" t="s">
        <v>6686</v>
      </c>
      <c r="Q1285" s="2" t="s">
        <v>110</v>
      </c>
      <c r="R1285" s="2" t="n">
        <v>0.8</v>
      </c>
      <c r="S1285" s="2" t="s">
        <v>6687</v>
      </c>
      <c r="T1285" s="2" t="s">
        <v>6688</v>
      </c>
      <c r="U1285" s="2" t="s">
        <v>6689</v>
      </c>
      <c r="V1285" s="2" t="s">
        <v>745</v>
      </c>
      <c r="W1285" s="2" t="s">
        <v>3506</v>
      </c>
      <c r="X1285" s="2" t="s">
        <v>507</v>
      </c>
    </row>
    <row r="1286" customFormat="false" ht="15" hidden="false" customHeight="false" outlineLevel="0" collapsed="false">
      <c r="A1286" s="2" t="n">
        <v>1523</v>
      </c>
      <c r="B1286" s="2" t="s">
        <v>6588</v>
      </c>
      <c r="C1286" s="2" t="s">
        <v>6690</v>
      </c>
      <c r="D1286" s="2" t="s">
        <v>351</v>
      </c>
      <c r="E1286" s="2" t="s">
        <v>830</v>
      </c>
      <c r="F1286" s="2"/>
      <c r="G1286" s="2" t="s">
        <v>640</v>
      </c>
      <c r="H1286" s="2" t="s">
        <v>317</v>
      </c>
      <c r="I1286" s="2" t="s">
        <v>74</v>
      </c>
      <c r="J1286" s="2" t="n">
        <v>-6.1085</v>
      </c>
      <c r="K1286" s="2" t="n">
        <v>106.745</v>
      </c>
      <c r="L1286" s="2" t="s">
        <v>124</v>
      </c>
      <c r="M1286" s="2" t="s">
        <v>60</v>
      </c>
      <c r="N1286" s="2" t="s">
        <v>6691</v>
      </c>
      <c r="O1286" s="2" t="s">
        <v>6692</v>
      </c>
      <c r="P1286" s="2"/>
      <c r="Q1286" s="2" t="s">
        <v>62</v>
      </c>
      <c r="R1286" s="2" t="n">
        <v>0.5</v>
      </c>
      <c r="S1286" s="2" t="s">
        <v>6693</v>
      </c>
      <c r="T1286" s="2" t="s">
        <v>6694</v>
      </c>
      <c r="U1286" s="2" t="s">
        <v>6695</v>
      </c>
      <c r="V1286" s="2" t="s">
        <v>4313</v>
      </c>
      <c r="W1286" s="2" t="s">
        <v>1574</v>
      </c>
      <c r="X1286" s="2" t="s">
        <v>507</v>
      </c>
    </row>
    <row r="1287" customFormat="false" ht="15" hidden="false" customHeight="false" outlineLevel="0" collapsed="false">
      <c r="A1287" s="2" t="n">
        <v>1524</v>
      </c>
      <c r="B1287" s="2" t="s">
        <v>6588</v>
      </c>
      <c r="C1287" s="2" t="s">
        <v>6696</v>
      </c>
      <c r="D1287" s="2" t="s">
        <v>1130</v>
      </c>
      <c r="E1287" s="2" t="s">
        <v>117</v>
      </c>
      <c r="F1287" s="2" t="s">
        <v>6697</v>
      </c>
      <c r="G1287" s="2" t="s">
        <v>6698</v>
      </c>
      <c r="H1287" s="2" t="s">
        <v>107</v>
      </c>
      <c r="I1287" s="2" t="s">
        <v>58</v>
      </c>
      <c r="J1287" s="2" t="n">
        <v>-6.9008</v>
      </c>
      <c r="K1287" s="2" t="n">
        <v>107.6214</v>
      </c>
      <c r="L1287" s="2" t="s">
        <v>124</v>
      </c>
      <c r="M1287" s="2" t="s">
        <v>1822</v>
      </c>
      <c r="N1287" s="2"/>
      <c r="O1287" s="2" t="s">
        <v>6699</v>
      </c>
      <c r="P1287" s="2"/>
      <c r="Q1287" s="2" t="s">
        <v>62</v>
      </c>
      <c r="R1287" s="2" t="n">
        <v>0.8</v>
      </c>
      <c r="S1287" s="2" t="s">
        <v>6700</v>
      </c>
      <c r="T1287" s="2" t="s">
        <v>3799</v>
      </c>
      <c r="U1287" s="2" t="s">
        <v>6701</v>
      </c>
      <c r="V1287" s="2" t="s">
        <v>6702</v>
      </c>
      <c r="W1287" s="2" t="s">
        <v>4096</v>
      </c>
      <c r="X1287" s="2" t="s">
        <v>507</v>
      </c>
    </row>
    <row r="1288" customFormat="false" ht="15" hidden="false" customHeight="false" outlineLevel="0" collapsed="false">
      <c r="A1288" s="2" t="n">
        <v>1524</v>
      </c>
      <c r="B1288" s="2" t="s">
        <v>6588</v>
      </c>
      <c r="C1288" s="2" t="s">
        <v>6703</v>
      </c>
      <c r="D1288" s="2" t="s">
        <v>410</v>
      </c>
      <c r="E1288" s="2" t="s">
        <v>6704</v>
      </c>
      <c r="F1288" s="2" t="s">
        <v>6705</v>
      </c>
      <c r="G1288" s="2" t="s">
        <v>6706</v>
      </c>
      <c r="H1288" s="2" t="s">
        <v>5734</v>
      </c>
      <c r="I1288" s="2" t="s">
        <v>58</v>
      </c>
      <c r="J1288" s="2" t="n">
        <v>-7.03</v>
      </c>
      <c r="K1288" s="2" t="n">
        <v>107.25</v>
      </c>
      <c r="L1288" s="2" t="s">
        <v>84</v>
      </c>
      <c r="M1288" s="2" t="s">
        <v>60</v>
      </c>
      <c r="N1288" s="2"/>
      <c r="O1288" s="2" t="s">
        <v>6707</v>
      </c>
      <c r="P1288" s="2"/>
      <c r="Q1288" s="2" t="s">
        <v>62</v>
      </c>
      <c r="R1288" s="2" t="n">
        <v>0.8</v>
      </c>
      <c r="S1288" s="2" t="s">
        <v>6700</v>
      </c>
      <c r="T1288" s="2" t="s">
        <v>3799</v>
      </c>
      <c r="U1288" s="2" t="s">
        <v>6701</v>
      </c>
      <c r="V1288" s="2" t="s">
        <v>6702</v>
      </c>
      <c r="W1288" s="2" t="s">
        <v>4096</v>
      </c>
      <c r="X1288" s="2" t="s">
        <v>507</v>
      </c>
    </row>
    <row r="1289" customFormat="false" ht="15" hidden="false" customHeight="false" outlineLevel="0" collapsed="false">
      <c r="A1289" s="2" t="n">
        <v>1524</v>
      </c>
      <c r="B1289" s="2" t="s">
        <v>6588</v>
      </c>
      <c r="C1289" s="2" t="s">
        <v>6656</v>
      </c>
      <c r="D1289" s="2" t="s">
        <v>351</v>
      </c>
      <c r="E1289" s="2" t="s">
        <v>117</v>
      </c>
      <c r="F1289" s="2" t="s">
        <v>6658</v>
      </c>
      <c r="G1289" s="2" t="s">
        <v>6659</v>
      </c>
      <c r="H1289" s="2" t="s">
        <v>107</v>
      </c>
      <c r="I1289" s="2" t="s">
        <v>58</v>
      </c>
      <c r="J1289" s="2" t="n">
        <v>-6.9218</v>
      </c>
      <c r="K1289" s="2" t="n">
        <v>107.607</v>
      </c>
      <c r="L1289" s="2" t="s">
        <v>124</v>
      </c>
      <c r="M1289" s="2" t="s">
        <v>60</v>
      </c>
      <c r="N1289" s="2"/>
      <c r="O1289" s="2" t="s">
        <v>6708</v>
      </c>
      <c r="P1289" s="2"/>
      <c r="Q1289" s="2" t="s">
        <v>62</v>
      </c>
      <c r="R1289" s="2" t="n">
        <v>0.6</v>
      </c>
      <c r="S1289" s="2" t="s">
        <v>6700</v>
      </c>
      <c r="T1289" s="2" t="s">
        <v>3799</v>
      </c>
      <c r="U1289" s="2" t="s">
        <v>6701</v>
      </c>
      <c r="V1289" s="2" t="s">
        <v>6702</v>
      </c>
      <c r="W1289" s="2" t="s">
        <v>4096</v>
      </c>
      <c r="X1289" s="2" t="s">
        <v>507</v>
      </c>
    </row>
    <row r="1290" customFormat="false" ht="15" hidden="false" customHeight="false" outlineLevel="0" collapsed="false">
      <c r="A1290" s="2" t="n">
        <v>1524</v>
      </c>
      <c r="B1290" s="2" t="s">
        <v>6588</v>
      </c>
      <c r="C1290" s="2" t="s">
        <v>6709</v>
      </c>
      <c r="D1290" s="2" t="s">
        <v>410</v>
      </c>
      <c r="E1290" s="2" t="s">
        <v>6710</v>
      </c>
      <c r="F1290" s="2"/>
      <c r="G1290" s="2" t="s">
        <v>6711</v>
      </c>
      <c r="H1290" s="2" t="s">
        <v>4571</v>
      </c>
      <c r="I1290" s="2" t="s">
        <v>58</v>
      </c>
      <c r="J1290" s="2" t="n">
        <v>-7.25</v>
      </c>
      <c r="K1290" s="2" t="n">
        <v>107.57</v>
      </c>
      <c r="L1290" s="2" t="s">
        <v>84</v>
      </c>
      <c r="M1290" s="2" t="s">
        <v>60</v>
      </c>
      <c r="N1290" s="2" t="s">
        <v>6712</v>
      </c>
      <c r="O1290" s="2" t="s">
        <v>6713</v>
      </c>
      <c r="P1290" s="2"/>
      <c r="Q1290" s="2" t="s">
        <v>62</v>
      </c>
      <c r="R1290" s="2" t="n">
        <v>0.8</v>
      </c>
      <c r="S1290" s="2" t="s">
        <v>6700</v>
      </c>
      <c r="T1290" s="2" t="s">
        <v>3799</v>
      </c>
      <c r="U1290" s="2" t="s">
        <v>6701</v>
      </c>
      <c r="V1290" s="2" t="s">
        <v>6702</v>
      </c>
      <c r="W1290" s="2" t="s">
        <v>4096</v>
      </c>
      <c r="X1290" s="2" t="s">
        <v>507</v>
      </c>
    </row>
    <row r="1291" customFormat="false" ht="15" hidden="false" customHeight="false" outlineLevel="0" collapsed="false">
      <c r="A1291" s="2" t="n">
        <v>1525</v>
      </c>
      <c r="B1291" s="2" t="s">
        <v>6588</v>
      </c>
      <c r="C1291" s="2" t="s">
        <v>6714</v>
      </c>
      <c r="D1291" s="2" t="s">
        <v>53</v>
      </c>
      <c r="E1291" s="2" t="s">
        <v>117</v>
      </c>
      <c r="F1291" s="2"/>
      <c r="G1291" s="2"/>
      <c r="H1291" s="2" t="s">
        <v>107</v>
      </c>
      <c r="I1291" s="2" t="s">
        <v>58</v>
      </c>
      <c r="J1291" s="2" t="n">
        <v>-6.917</v>
      </c>
      <c r="K1291" s="2" t="n">
        <v>107.619</v>
      </c>
      <c r="L1291" s="2" t="s">
        <v>101</v>
      </c>
      <c r="M1291" s="2" t="s">
        <v>60</v>
      </c>
      <c r="N1291" s="2"/>
      <c r="O1291" s="2" t="s">
        <v>6715</v>
      </c>
      <c r="P1291" s="2"/>
      <c r="Q1291" s="2" t="s">
        <v>62</v>
      </c>
      <c r="R1291" s="2" t="n">
        <v>0.7</v>
      </c>
      <c r="S1291" s="2" t="s">
        <v>6716</v>
      </c>
      <c r="T1291" s="2" t="s">
        <v>1168</v>
      </c>
      <c r="U1291" s="2" t="s">
        <v>6717</v>
      </c>
      <c r="V1291" s="2" t="s">
        <v>6718</v>
      </c>
      <c r="W1291" s="2" t="s">
        <v>2013</v>
      </c>
      <c r="X1291" s="2" t="s">
        <v>507</v>
      </c>
    </row>
    <row r="1292" customFormat="false" ht="15" hidden="false" customHeight="false" outlineLevel="0" collapsed="false">
      <c r="A1292" s="2" t="n">
        <v>1529</v>
      </c>
      <c r="B1292" s="2" t="s">
        <v>6588</v>
      </c>
      <c r="C1292" s="2" t="s">
        <v>929</v>
      </c>
      <c r="D1292" s="2" t="s">
        <v>351</v>
      </c>
      <c r="E1292" s="2" t="s">
        <v>6719</v>
      </c>
      <c r="F1292" s="2" t="s">
        <v>931</v>
      </c>
      <c r="G1292" s="2" t="s">
        <v>932</v>
      </c>
      <c r="H1292" s="2" t="s">
        <v>107</v>
      </c>
      <c r="I1292" s="2" t="s">
        <v>58</v>
      </c>
      <c r="J1292" s="2" t="n">
        <v>-6.9175</v>
      </c>
      <c r="K1292" s="2" t="n">
        <v>107.6093</v>
      </c>
      <c r="L1292" s="2" t="s">
        <v>124</v>
      </c>
      <c r="M1292" s="2" t="s">
        <v>60</v>
      </c>
      <c r="N1292" s="2"/>
      <c r="O1292" s="2" t="s">
        <v>6720</v>
      </c>
      <c r="P1292" s="2"/>
      <c r="Q1292" s="2" t="s">
        <v>62</v>
      </c>
      <c r="R1292" s="2" t="n">
        <v>0.7</v>
      </c>
      <c r="S1292" s="2" t="s">
        <v>6721</v>
      </c>
      <c r="T1292" s="2" t="s">
        <v>156</v>
      </c>
      <c r="U1292" s="2" t="s">
        <v>6722</v>
      </c>
      <c r="V1292" s="2" t="s">
        <v>420</v>
      </c>
      <c r="W1292" s="2" t="s">
        <v>2196</v>
      </c>
      <c r="X1292" s="2" t="s">
        <v>507</v>
      </c>
    </row>
    <row r="1293" customFormat="false" ht="15" hidden="false" customHeight="false" outlineLevel="0" collapsed="false">
      <c r="A1293" s="2" t="n">
        <v>1529</v>
      </c>
      <c r="B1293" s="2" t="s">
        <v>6588</v>
      </c>
      <c r="C1293" s="2" t="s">
        <v>6723</v>
      </c>
      <c r="D1293" s="2" t="s">
        <v>1130</v>
      </c>
      <c r="E1293" s="2" t="s">
        <v>6724</v>
      </c>
      <c r="F1293" s="2" t="s">
        <v>931</v>
      </c>
      <c r="G1293" s="2" t="s">
        <v>932</v>
      </c>
      <c r="H1293" s="2" t="s">
        <v>107</v>
      </c>
      <c r="I1293" s="2" t="s">
        <v>58</v>
      </c>
      <c r="J1293" s="2" t="n">
        <v>-6.9211</v>
      </c>
      <c r="K1293" s="2" t="n">
        <v>107.6093</v>
      </c>
      <c r="L1293" s="2" t="s">
        <v>124</v>
      </c>
      <c r="M1293" s="2" t="s">
        <v>60</v>
      </c>
      <c r="N1293" s="2"/>
      <c r="O1293" s="2" t="s">
        <v>6725</v>
      </c>
      <c r="P1293" s="2"/>
      <c r="Q1293" s="2" t="s">
        <v>62</v>
      </c>
      <c r="R1293" s="2" t="n">
        <v>0.6</v>
      </c>
      <c r="S1293" s="2" t="s">
        <v>6721</v>
      </c>
      <c r="T1293" s="2" t="s">
        <v>156</v>
      </c>
      <c r="U1293" s="2" t="s">
        <v>6722</v>
      </c>
      <c r="V1293" s="2" t="s">
        <v>420</v>
      </c>
      <c r="W1293" s="2" t="s">
        <v>2196</v>
      </c>
      <c r="X1293" s="2" t="s">
        <v>507</v>
      </c>
    </row>
    <row r="1294" customFormat="false" ht="15" hidden="false" customHeight="false" outlineLevel="0" collapsed="false">
      <c r="A1294" s="2" t="n">
        <v>1530</v>
      </c>
      <c r="B1294" s="2" t="s">
        <v>6726</v>
      </c>
      <c r="C1294" s="2" t="s">
        <v>6727</v>
      </c>
      <c r="D1294" s="2" t="s">
        <v>410</v>
      </c>
      <c r="E1294" s="2" t="s">
        <v>117</v>
      </c>
      <c r="F1294" s="2" t="s">
        <v>6728</v>
      </c>
      <c r="G1294" s="2" t="s">
        <v>6729</v>
      </c>
      <c r="H1294" s="2" t="s">
        <v>107</v>
      </c>
      <c r="I1294" s="2" t="s">
        <v>58</v>
      </c>
      <c r="J1294" s="2" t="n">
        <v>-6.86</v>
      </c>
      <c r="K1294" s="2" t="n">
        <v>107.605</v>
      </c>
      <c r="L1294" s="2" t="s">
        <v>59</v>
      </c>
      <c r="M1294" s="2" t="s">
        <v>1822</v>
      </c>
      <c r="N1294" s="2" t="s">
        <v>6730</v>
      </c>
      <c r="O1294" s="2" t="s">
        <v>6731</v>
      </c>
      <c r="P1294" s="2"/>
      <c r="Q1294" s="2" t="s">
        <v>110</v>
      </c>
      <c r="R1294" s="2" t="n">
        <v>0.8</v>
      </c>
      <c r="S1294" s="2" t="s">
        <v>6732</v>
      </c>
      <c r="T1294" s="2" t="s">
        <v>95</v>
      </c>
      <c r="U1294" s="2" t="s">
        <v>6733</v>
      </c>
      <c r="V1294" s="2" t="s">
        <v>6734</v>
      </c>
      <c r="W1294" s="2" t="s">
        <v>487</v>
      </c>
      <c r="X1294" s="2" t="s">
        <v>507</v>
      </c>
    </row>
    <row r="1295" customFormat="false" ht="15" hidden="false" customHeight="false" outlineLevel="0" collapsed="false">
      <c r="A1295" s="2" t="n">
        <v>1531</v>
      </c>
      <c r="B1295" s="2" t="s">
        <v>6726</v>
      </c>
      <c r="C1295" s="2" t="s">
        <v>6735</v>
      </c>
      <c r="D1295" s="2" t="s">
        <v>134</v>
      </c>
      <c r="E1295" s="2" t="s">
        <v>6736</v>
      </c>
      <c r="F1295" s="2" t="s">
        <v>347</v>
      </c>
      <c r="G1295" s="2" t="s">
        <v>348</v>
      </c>
      <c r="H1295" s="2" t="s">
        <v>107</v>
      </c>
      <c r="I1295" s="2" t="s">
        <v>58</v>
      </c>
      <c r="J1295" s="2" t="n">
        <v>-6.905</v>
      </c>
      <c r="K1295" s="2" t="n">
        <v>107.625</v>
      </c>
      <c r="L1295" s="2" t="s">
        <v>59</v>
      </c>
      <c r="M1295" s="2" t="s">
        <v>60</v>
      </c>
      <c r="N1295" s="2"/>
      <c r="O1295" s="2" t="s">
        <v>6737</v>
      </c>
      <c r="P1295" s="2"/>
      <c r="Q1295" s="2" t="s">
        <v>110</v>
      </c>
      <c r="R1295" s="2" t="n">
        <v>0.8</v>
      </c>
      <c r="S1295" s="2" t="s">
        <v>6738</v>
      </c>
      <c r="T1295" s="2" t="s">
        <v>6645</v>
      </c>
      <c r="U1295" s="2" t="s">
        <v>6739</v>
      </c>
      <c r="V1295" s="2" t="s">
        <v>3315</v>
      </c>
      <c r="W1295" s="2" t="s">
        <v>231</v>
      </c>
      <c r="X1295" s="2" t="s">
        <v>507</v>
      </c>
    </row>
    <row r="1296" customFormat="false" ht="15" hidden="false" customHeight="false" outlineLevel="0" collapsed="false">
      <c r="A1296" s="2" t="n">
        <v>1532</v>
      </c>
      <c r="B1296" s="2" t="s">
        <v>6726</v>
      </c>
      <c r="C1296" s="2" t="s">
        <v>6633</v>
      </c>
      <c r="D1296" s="2" t="s">
        <v>134</v>
      </c>
      <c r="E1296" s="2" t="s">
        <v>6634</v>
      </c>
      <c r="F1296" s="2" t="s">
        <v>6635</v>
      </c>
      <c r="G1296" s="2" t="s">
        <v>6636</v>
      </c>
      <c r="H1296" s="2" t="s">
        <v>107</v>
      </c>
      <c r="I1296" s="2" t="s">
        <v>58</v>
      </c>
      <c r="J1296" s="2" t="n">
        <v>-6.905</v>
      </c>
      <c r="K1296" s="2" t="n">
        <v>107.593</v>
      </c>
      <c r="L1296" s="2" t="s">
        <v>59</v>
      </c>
      <c r="M1296" s="2" t="s">
        <v>60</v>
      </c>
      <c r="N1296" s="2"/>
      <c r="O1296" s="2" t="s">
        <v>6740</v>
      </c>
      <c r="P1296" s="2"/>
      <c r="Q1296" s="2" t="s">
        <v>110</v>
      </c>
      <c r="R1296" s="2" t="n">
        <v>0.8</v>
      </c>
      <c r="S1296" s="2" t="s">
        <v>6741</v>
      </c>
      <c r="T1296" s="2" t="s">
        <v>6645</v>
      </c>
      <c r="U1296" s="2" t="s">
        <v>6742</v>
      </c>
      <c r="V1296" s="2" t="s">
        <v>97</v>
      </c>
      <c r="W1296" s="2" t="s">
        <v>1078</v>
      </c>
      <c r="X1296" s="2" t="s">
        <v>507</v>
      </c>
    </row>
    <row r="1297" customFormat="false" ht="15" hidden="false" customHeight="false" outlineLevel="0" collapsed="false">
      <c r="A1297" s="2" t="n">
        <v>1532</v>
      </c>
      <c r="B1297" s="2" t="s">
        <v>6726</v>
      </c>
      <c r="C1297" s="2" t="s">
        <v>1492</v>
      </c>
      <c r="D1297" s="2" t="s">
        <v>134</v>
      </c>
      <c r="E1297" s="2" t="s">
        <v>117</v>
      </c>
      <c r="F1297" s="2"/>
      <c r="G1297" s="2"/>
      <c r="H1297" s="2" t="s">
        <v>107</v>
      </c>
      <c r="I1297" s="2" t="s">
        <v>58</v>
      </c>
      <c r="J1297" s="2" t="n">
        <v>-6.917</v>
      </c>
      <c r="K1297" s="2" t="n">
        <v>107.619</v>
      </c>
      <c r="L1297" s="2" t="s">
        <v>101</v>
      </c>
      <c r="M1297" s="2" t="s">
        <v>60</v>
      </c>
      <c r="N1297" s="2"/>
      <c r="O1297" s="2" t="s">
        <v>6743</v>
      </c>
      <c r="P1297" s="2"/>
      <c r="Q1297" s="2" t="s">
        <v>110</v>
      </c>
      <c r="R1297" s="2" t="n">
        <v>0.75</v>
      </c>
      <c r="S1297" s="2" t="s">
        <v>6741</v>
      </c>
      <c r="T1297" s="2" t="s">
        <v>6645</v>
      </c>
      <c r="U1297" s="2" t="s">
        <v>6742</v>
      </c>
      <c r="V1297" s="2" t="s">
        <v>97</v>
      </c>
      <c r="W1297" s="2" t="s">
        <v>1078</v>
      </c>
      <c r="X1297" s="2" t="s">
        <v>507</v>
      </c>
    </row>
    <row r="1298" customFormat="false" ht="15" hidden="false" customHeight="false" outlineLevel="0" collapsed="false">
      <c r="A1298" s="2" t="n">
        <v>1533</v>
      </c>
      <c r="B1298" s="2" t="s">
        <v>6726</v>
      </c>
      <c r="C1298" s="2" t="s">
        <v>6744</v>
      </c>
      <c r="D1298" s="2" t="s">
        <v>134</v>
      </c>
      <c r="E1298" s="2" t="s">
        <v>6745</v>
      </c>
      <c r="F1298" s="2"/>
      <c r="G1298" s="2" t="s">
        <v>348</v>
      </c>
      <c r="H1298" s="2" t="s">
        <v>107</v>
      </c>
      <c r="I1298" s="2" t="s">
        <v>58</v>
      </c>
      <c r="J1298" s="2" t="n">
        <v>-6.905</v>
      </c>
      <c r="K1298" s="2" t="n">
        <v>107.62</v>
      </c>
      <c r="L1298" s="2" t="s">
        <v>84</v>
      </c>
      <c r="M1298" s="2" t="s">
        <v>60</v>
      </c>
      <c r="N1298" s="2" t="s">
        <v>6746</v>
      </c>
      <c r="O1298" s="2" t="s">
        <v>6747</v>
      </c>
      <c r="P1298" s="2"/>
      <c r="Q1298" s="2" t="s">
        <v>62</v>
      </c>
      <c r="R1298" s="2" t="n">
        <v>0.75</v>
      </c>
      <c r="S1298" s="2" t="s">
        <v>6748</v>
      </c>
      <c r="T1298" s="2" t="s">
        <v>112</v>
      </c>
      <c r="U1298" s="2" t="s">
        <v>6749</v>
      </c>
      <c r="V1298" s="2" t="s">
        <v>4380</v>
      </c>
      <c r="W1298" s="2" t="s">
        <v>2196</v>
      </c>
      <c r="X1298" s="2" t="s">
        <v>507</v>
      </c>
    </row>
    <row r="1299" customFormat="false" ht="15" hidden="false" customHeight="false" outlineLevel="0" collapsed="false">
      <c r="A1299" s="2" t="n">
        <v>1533</v>
      </c>
      <c r="B1299" s="2" t="s">
        <v>6726</v>
      </c>
      <c r="C1299" s="2" t="s">
        <v>6750</v>
      </c>
      <c r="D1299" s="2" t="s">
        <v>134</v>
      </c>
      <c r="E1299" s="2" t="s">
        <v>117</v>
      </c>
      <c r="F1299" s="2"/>
      <c r="G1299" s="2"/>
      <c r="H1299" s="2" t="s">
        <v>107</v>
      </c>
      <c r="I1299" s="2" t="s">
        <v>58</v>
      </c>
      <c r="J1299" s="2" t="n">
        <v>-6.917</v>
      </c>
      <c r="K1299" s="2" t="n">
        <v>107.619</v>
      </c>
      <c r="L1299" s="2" t="s">
        <v>101</v>
      </c>
      <c r="M1299" s="2" t="s">
        <v>60</v>
      </c>
      <c r="N1299" s="2"/>
      <c r="O1299" s="2" t="s">
        <v>6751</v>
      </c>
      <c r="P1299" s="2"/>
      <c r="Q1299" s="2" t="s">
        <v>62</v>
      </c>
      <c r="R1299" s="2" t="n">
        <v>0.7</v>
      </c>
      <c r="S1299" s="2" t="s">
        <v>6748</v>
      </c>
      <c r="T1299" s="2" t="s">
        <v>112</v>
      </c>
      <c r="U1299" s="2" t="s">
        <v>6749</v>
      </c>
      <c r="V1299" s="2" t="s">
        <v>4380</v>
      </c>
      <c r="W1299" s="2" t="s">
        <v>2196</v>
      </c>
      <c r="X1299" s="2" t="s">
        <v>507</v>
      </c>
    </row>
    <row r="1300" customFormat="false" ht="15" hidden="false" customHeight="false" outlineLevel="0" collapsed="false">
      <c r="A1300" s="2" t="n">
        <v>1534</v>
      </c>
      <c r="B1300" s="2" t="s">
        <v>6726</v>
      </c>
      <c r="C1300" s="2" t="s">
        <v>336</v>
      </c>
      <c r="D1300" s="2" t="s">
        <v>53</v>
      </c>
      <c r="E1300" s="2" t="s">
        <v>117</v>
      </c>
      <c r="F1300" s="2"/>
      <c r="G1300" s="2"/>
      <c r="H1300" s="2" t="s">
        <v>107</v>
      </c>
      <c r="I1300" s="2" t="s">
        <v>58</v>
      </c>
      <c r="J1300" s="2" t="n">
        <v>-6.917</v>
      </c>
      <c r="K1300" s="2" t="n">
        <v>107.619</v>
      </c>
      <c r="L1300" s="2" t="s">
        <v>101</v>
      </c>
      <c r="M1300" s="2" t="s">
        <v>60</v>
      </c>
      <c r="N1300" s="2"/>
      <c r="O1300" s="2" t="s">
        <v>6752</v>
      </c>
      <c r="P1300" s="2"/>
      <c r="Q1300" s="2" t="s">
        <v>110</v>
      </c>
      <c r="R1300" s="2" t="n">
        <v>0.75</v>
      </c>
      <c r="S1300" s="2" t="s">
        <v>6753</v>
      </c>
      <c r="T1300" s="2" t="s">
        <v>156</v>
      </c>
      <c r="U1300" s="2" t="s">
        <v>6754</v>
      </c>
      <c r="V1300" s="2" t="s">
        <v>582</v>
      </c>
      <c r="W1300" s="2" t="s">
        <v>1045</v>
      </c>
      <c r="X1300" s="2" t="s">
        <v>507</v>
      </c>
    </row>
    <row r="1301" customFormat="false" ht="15" hidden="false" customHeight="false" outlineLevel="0" collapsed="false">
      <c r="A1301" s="2" t="n">
        <v>1534</v>
      </c>
      <c r="B1301" s="2" t="s">
        <v>6726</v>
      </c>
      <c r="C1301" s="2" t="s">
        <v>6755</v>
      </c>
      <c r="D1301" s="2" t="s">
        <v>1140</v>
      </c>
      <c r="E1301" s="2" t="s">
        <v>117</v>
      </c>
      <c r="F1301" s="2"/>
      <c r="G1301" s="2"/>
      <c r="H1301" s="2" t="s">
        <v>107</v>
      </c>
      <c r="I1301" s="2" t="s">
        <v>58</v>
      </c>
      <c r="J1301" s="2" t="n">
        <v>-6.917</v>
      </c>
      <c r="K1301" s="2" t="n">
        <v>107.619</v>
      </c>
      <c r="L1301" s="2" t="s">
        <v>101</v>
      </c>
      <c r="M1301" s="2" t="s">
        <v>60</v>
      </c>
      <c r="N1301" s="2"/>
      <c r="O1301" s="2" t="s">
        <v>6756</v>
      </c>
      <c r="P1301" s="2"/>
      <c r="Q1301" s="2" t="s">
        <v>62</v>
      </c>
      <c r="R1301" s="2" t="n">
        <v>0.65</v>
      </c>
      <c r="S1301" s="2" t="s">
        <v>6753</v>
      </c>
      <c r="T1301" s="2" t="s">
        <v>156</v>
      </c>
      <c r="U1301" s="2" t="s">
        <v>6754</v>
      </c>
      <c r="V1301" s="2" t="s">
        <v>582</v>
      </c>
      <c r="W1301" s="2" t="s">
        <v>1045</v>
      </c>
      <c r="X1301" s="2" t="s">
        <v>507</v>
      </c>
    </row>
    <row r="1302" customFormat="false" ht="15" hidden="false" customHeight="false" outlineLevel="0" collapsed="false">
      <c r="A1302" s="2" t="n">
        <v>1534</v>
      </c>
      <c r="B1302" s="2" t="s">
        <v>6726</v>
      </c>
      <c r="C1302" s="2" t="s">
        <v>6757</v>
      </c>
      <c r="D1302" s="2" t="s">
        <v>134</v>
      </c>
      <c r="E1302" s="2" t="s">
        <v>6758</v>
      </c>
      <c r="F1302" s="2"/>
      <c r="G1302" s="2" t="s">
        <v>6636</v>
      </c>
      <c r="H1302" s="2" t="s">
        <v>107</v>
      </c>
      <c r="I1302" s="2" t="s">
        <v>58</v>
      </c>
      <c r="J1302" s="2" t="n">
        <v>-6.908</v>
      </c>
      <c r="K1302" s="2" t="n">
        <v>107.59</v>
      </c>
      <c r="L1302" s="2" t="s">
        <v>84</v>
      </c>
      <c r="M1302" s="2" t="s">
        <v>60</v>
      </c>
      <c r="N1302" s="2" t="s">
        <v>6759</v>
      </c>
      <c r="O1302" s="2" t="s">
        <v>6760</v>
      </c>
      <c r="P1302" s="2"/>
      <c r="Q1302" s="2" t="s">
        <v>62</v>
      </c>
      <c r="R1302" s="2" t="n">
        <v>0.7</v>
      </c>
      <c r="S1302" s="2" t="s">
        <v>6753</v>
      </c>
      <c r="T1302" s="2" t="s">
        <v>156</v>
      </c>
      <c r="U1302" s="2" t="s">
        <v>6754</v>
      </c>
      <c r="V1302" s="2" t="s">
        <v>582</v>
      </c>
      <c r="W1302" s="2" t="s">
        <v>1045</v>
      </c>
      <c r="X1302" s="2" t="s">
        <v>507</v>
      </c>
    </row>
    <row r="1303" customFormat="false" ht="15" hidden="false" customHeight="false" outlineLevel="0" collapsed="false">
      <c r="A1303" s="2" t="n">
        <v>1535</v>
      </c>
      <c r="B1303" s="2" t="s">
        <v>6726</v>
      </c>
      <c r="C1303" s="2" t="s">
        <v>350</v>
      </c>
      <c r="D1303" s="2" t="s">
        <v>53</v>
      </c>
      <c r="E1303" s="2" t="s">
        <v>6761</v>
      </c>
      <c r="F1303" s="2" t="s">
        <v>347</v>
      </c>
      <c r="G1303" s="2" t="s">
        <v>348</v>
      </c>
      <c r="H1303" s="2" t="s">
        <v>107</v>
      </c>
      <c r="I1303" s="2" t="s">
        <v>58</v>
      </c>
      <c r="J1303" s="2" t="n">
        <v>-6.905</v>
      </c>
      <c r="K1303" s="2" t="n">
        <v>107.625</v>
      </c>
      <c r="L1303" s="2" t="s">
        <v>59</v>
      </c>
      <c r="M1303" s="2" t="s">
        <v>60</v>
      </c>
      <c r="N1303" s="2"/>
      <c r="O1303" s="2" t="s">
        <v>6762</v>
      </c>
      <c r="P1303" s="2"/>
      <c r="Q1303" s="2" t="s">
        <v>110</v>
      </c>
      <c r="R1303" s="2" t="n">
        <v>0.6</v>
      </c>
      <c r="S1303" s="2" t="s">
        <v>6763</v>
      </c>
      <c r="T1303" s="2" t="s">
        <v>176</v>
      </c>
      <c r="U1303" s="2" t="s">
        <v>6764</v>
      </c>
      <c r="V1303" s="2" t="s">
        <v>97</v>
      </c>
      <c r="W1303" s="2" t="s">
        <v>512</v>
      </c>
      <c r="X1303" s="2" t="s">
        <v>507</v>
      </c>
    </row>
    <row r="1304" customFormat="false" ht="15" hidden="false" customHeight="false" outlineLevel="0" collapsed="false">
      <c r="A1304" s="2" t="n">
        <v>1536</v>
      </c>
      <c r="B1304" s="2" t="s">
        <v>6726</v>
      </c>
      <c r="C1304" s="2" t="s">
        <v>6765</v>
      </c>
      <c r="D1304" s="2" t="s">
        <v>351</v>
      </c>
      <c r="E1304" s="2" t="s">
        <v>6766</v>
      </c>
      <c r="F1304" s="2"/>
      <c r="G1304" s="2" t="s">
        <v>1020</v>
      </c>
      <c r="H1304" s="2" t="s">
        <v>5734</v>
      </c>
      <c r="I1304" s="2" t="s">
        <v>58</v>
      </c>
      <c r="J1304" s="2" t="n">
        <v>-6.81</v>
      </c>
      <c r="K1304" s="2" t="n">
        <v>107.55</v>
      </c>
      <c r="L1304" s="2" t="s">
        <v>84</v>
      </c>
      <c r="M1304" s="2" t="s">
        <v>60</v>
      </c>
      <c r="N1304" s="2"/>
      <c r="O1304" s="2" t="s">
        <v>6767</v>
      </c>
      <c r="P1304" s="2" t="s">
        <v>6768</v>
      </c>
      <c r="Q1304" s="2" t="s">
        <v>110</v>
      </c>
      <c r="R1304" s="2" t="n">
        <v>0.35</v>
      </c>
      <c r="S1304" s="2" t="s">
        <v>6769</v>
      </c>
      <c r="T1304" s="2" t="s">
        <v>694</v>
      </c>
      <c r="U1304" s="2" t="s">
        <v>6770</v>
      </c>
      <c r="V1304" s="2" t="s">
        <v>3315</v>
      </c>
      <c r="W1304" s="2" t="s">
        <v>3469</v>
      </c>
      <c r="X1304" s="2" t="s">
        <v>507</v>
      </c>
    </row>
    <row r="1305" customFormat="false" ht="15" hidden="false" customHeight="false" outlineLevel="0" collapsed="false">
      <c r="A1305" s="2" t="n">
        <v>1537</v>
      </c>
      <c r="B1305" s="2" t="s">
        <v>6726</v>
      </c>
      <c r="C1305" s="2" t="s">
        <v>6771</v>
      </c>
      <c r="D1305" s="2" t="s">
        <v>121</v>
      </c>
      <c r="E1305" s="2" t="s">
        <v>6772</v>
      </c>
      <c r="F1305" s="2" t="s">
        <v>6773</v>
      </c>
      <c r="G1305" s="2" t="s">
        <v>862</v>
      </c>
      <c r="H1305" s="2" t="s">
        <v>224</v>
      </c>
      <c r="I1305" s="2" t="s">
        <v>184</v>
      </c>
      <c r="J1305" s="2" t="n">
        <v>-7.9567</v>
      </c>
      <c r="K1305" s="2" t="n">
        <v>112.6186</v>
      </c>
      <c r="L1305" s="2" t="s">
        <v>124</v>
      </c>
      <c r="M1305" s="2" t="s">
        <v>60</v>
      </c>
      <c r="N1305" s="2" t="s">
        <v>6774</v>
      </c>
      <c r="O1305" s="2" t="s">
        <v>6775</v>
      </c>
      <c r="P1305" s="2" t="s">
        <v>6776</v>
      </c>
      <c r="Q1305" s="2" t="s">
        <v>62</v>
      </c>
      <c r="R1305" s="2" t="n">
        <v>0.75</v>
      </c>
      <c r="S1305" s="2" t="s">
        <v>6777</v>
      </c>
      <c r="T1305" s="2" t="s">
        <v>865</v>
      </c>
      <c r="U1305" s="2" t="s">
        <v>6778</v>
      </c>
      <c r="V1305" s="2" t="s">
        <v>965</v>
      </c>
      <c r="W1305" s="2" t="s">
        <v>1627</v>
      </c>
      <c r="X1305" s="2" t="s">
        <v>507</v>
      </c>
    </row>
    <row r="1306" customFormat="false" ht="15" hidden="false" customHeight="false" outlineLevel="0" collapsed="false">
      <c r="A1306" s="2" t="n">
        <v>1538</v>
      </c>
      <c r="B1306" s="2" t="s">
        <v>6726</v>
      </c>
      <c r="C1306" s="2" t="s">
        <v>6779</v>
      </c>
      <c r="D1306" s="2" t="s">
        <v>53</v>
      </c>
      <c r="E1306" s="2" t="s">
        <v>2170</v>
      </c>
      <c r="F1306" s="2"/>
      <c r="G1306" s="2"/>
      <c r="H1306" s="2" t="s">
        <v>1336</v>
      </c>
      <c r="I1306" s="2" t="s">
        <v>1337</v>
      </c>
      <c r="J1306" s="2" t="n">
        <v>-0.95</v>
      </c>
      <c r="K1306" s="2" t="n">
        <v>100.417</v>
      </c>
      <c r="L1306" s="2" t="s">
        <v>101</v>
      </c>
      <c r="M1306" s="2" t="s">
        <v>60</v>
      </c>
      <c r="N1306" s="2"/>
      <c r="O1306" s="2" t="s">
        <v>6780</v>
      </c>
      <c r="P1306" s="2"/>
      <c r="Q1306" s="2" t="s">
        <v>62</v>
      </c>
      <c r="R1306" s="2" t="n">
        <v>0.7</v>
      </c>
      <c r="S1306" s="2" t="s">
        <v>6781</v>
      </c>
      <c r="T1306" s="2" t="s">
        <v>1168</v>
      </c>
      <c r="U1306" s="2" t="s">
        <v>6782</v>
      </c>
      <c r="V1306" s="2" t="s">
        <v>582</v>
      </c>
      <c r="W1306" s="2" t="s">
        <v>1332</v>
      </c>
      <c r="X1306" s="2" t="s">
        <v>507</v>
      </c>
    </row>
    <row r="1307" customFormat="false" ht="15" hidden="false" customHeight="false" outlineLevel="0" collapsed="false">
      <c r="A1307" s="2" t="n">
        <v>1538</v>
      </c>
      <c r="B1307" s="2" t="s">
        <v>6726</v>
      </c>
      <c r="C1307" s="2" t="s">
        <v>6783</v>
      </c>
      <c r="D1307" s="2" t="s">
        <v>53</v>
      </c>
      <c r="E1307" s="2" t="s">
        <v>2170</v>
      </c>
      <c r="F1307" s="2"/>
      <c r="G1307" s="2"/>
      <c r="H1307" s="2" t="s">
        <v>1336</v>
      </c>
      <c r="I1307" s="2" t="s">
        <v>1337</v>
      </c>
      <c r="J1307" s="2" t="n">
        <v>-0.95</v>
      </c>
      <c r="K1307" s="2" t="n">
        <v>100.417</v>
      </c>
      <c r="L1307" s="2" t="s">
        <v>101</v>
      </c>
      <c r="M1307" s="2" t="s">
        <v>60</v>
      </c>
      <c r="N1307" s="2"/>
      <c r="O1307" s="2" t="s">
        <v>6784</v>
      </c>
      <c r="P1307" s="2"/>
      <c r="Q1307" s="2" t="s">
        <v>62</v>
      </c>
      <c r="R1307" s="2" t="n">
        <v>0.65</v>
      </c>
      <c r="S1307" s="2" t="s">
        <v>6781</v>
      </c>
      <c r="T1307" s="2" t="s">
        <v>1168</v>
      </c>
      <c r="U1307" s="2" t="s">
        <v>6782</v>
      </c>
      <c r="V1307" s="2" t="s">
        <v>582</v>
      </c>
      <c r="W1307" s="2" t="s">
        <v>1332</v>
      </c>
      <c r="X1307" s="2" t="s">
        <v>507</v>
      </c>
    </row>
    <row r="1308" customFormat="false" ht="15" hidden="false" customHeight="false" outlineLevel="0" collapsed="false">
      <c r="A1308" s="2" t="n">
        <v>1538</v>
      </c>
      <c r="B1308" s="2" t="s">
        <v>6726</v>
      </c>
      <c r="C1308" s="2" t="s">
        <v>1661</v>
      </c>
      <c r="D1308" s="2" t="s">
        <v>53</v>
      </c>
      <c r="E1308" s="2" t="s">
        <v>2170</v>
      </c>
      <c r="F1308" s="2"/>
      <c r="G1308" s="2"/>
      <c r="H1308" s="2" t="s">
        <v>1336</v>
      </c>
      <c r="I1308" s="2" t="s">
        <v>1337</v>
      </c>
      <c r="J1308" s="2" t="n">
        <v>-0.95</v>
      </c>
      <c r="K1308" s="2" t="n">
        <v>100.417</v>
      </c>
      <c r="L1308" s="2" t="s">
        <v>101</v>
      </c>
      <c r="M1308" s="2" t="s">
        <v>60</v>
      </c>
      <c r="N1308" s="2"/>
      <c r="O1308" s="2" t="s">
        <v>6785</v>
      </c>
      <c r="P1308" s="2"/>
      <c r="Q1308" s="2" t="s">
        <v>62</v>
      </c>
      <c r="R1308" s="2" t="n">
        <v>0.65</v>
      </c>
      <c r="S1308" s="2" t="s">
        <v>6781</v>
      </c>
      <c r="T1308" s="2" t="s">
        <v>1168</v>
      </c>
      <c r="U1308" s="2" t="s">
        <v>6782</v>
      </c>
      <c r="V1308" s="2" t="s">
        <v>582</v>
      </c>
      <c r="W1308" s="2" t="s">
        <v>1332</v>
      </c>
      <c r="X1308" s="2" t="s">
        <v>507</v>
      </c>
    </row>
    <row r="1309" customFormat="false" ht="15" hidden="false" customHeight="false" outlineLevel="0" collapsed="false">
      <c r="A1309" s="2" t="n">
        <v>1538</v>
      </c>
      <c r="B1309" s="2" t="s">
        <v>6726</v>
      </c>
      <c r="C1309" s="2" t="s">
        <v>6786</v>
      </c>
      <c r="D1309" s="2" t="s">
        <v>53</v>
      </c>
      <c r="E1309" s="2" t="s">
        <v>2170</v>
      </c>
      <c r="F1309" s="2"/>
      <c r="G1309" s="2"/>
      <c r="H1309" s="2" t="s">
        <v>1336</v>
      </c>
      <c r="I1309" s="2" t="s">
        <v>1337</v>
      </c>
      <c r="J1309" s="2" t="n">
        <v>-0.95</v>
      </c>
      <c r="K1309" s="2" t="n">
        <v>100.417</v>
      </c>
      <c r="L1309" s="2" t="s">
        <v>101</v>
      </c>
      <c r="M1309" s="2" t="s">
        <v>60</v>
      </c>
      <c r="N1309" s="2"/>
      <c r="O1309" s="2" t="s">
        <v>6787</v>
      </c>
      <c r="P1309" s="2"/>
      <c r="Q1309" s="2" t="s">
        <v>62</v>
      </c>
      <c r="R1309" s="2" t="n">
        <v>0.65</v>
      </c>
      <c r="S1309" s="2" t="s">
        <v>6781</v>
      </c>
      <c r="T1309" s="2" t="s">
        <v>1168</v>
      </c>
      <c r="U1309" s="2" t="s">
        <v>6782</v>
      </c>
      <c r="V1309" s="2" t="s">
        <v>582</v>
      </c>
      <c r="W1309" s="2" t="s">
        <v>1332</v>
      </c>
      <c r="X1309" s="2" t="s">
        <v>507</v>
      </c>
    </row>
    <row r="1310" customFormat="false" ht="15" hidden="false" customHeight="false" outlineLevel="0" collapsed="false">
      <c r="A1310" s="2" t="n">
        <v>1538</v>
      </c>
      <c r="B1310" s="2" t="s">
        <v>6726</v>
      </c>
      <c r="C1310" s="2" t="s">
        <v>6788</v>
      </c>
      <c r="D1310" s="2" t="s">
        <v>53</v>
      </c>
      <c r="E1310" s="2" t="s">
        <v>2170</v>
      </c>
      <c r="F1310" s="2"/>
      <c r="G1310" s="2"/>
      <c r="H1310" s="2" t="s">
        <v>1336</v>
      </c>
      <c r="I1310" s="2" t="s">
        <v>1337</v>
      </c>
      <c r="J1310" s="2" t="n">
        <v>-0.95</v>
      </c>
      <c r="K1310" s="2" t="n">
        <v>100.417</v>
      </c>
      <c r="L1310" s="2" t="s">
        <v>101</v>
      </c>
      <c r="M1310" s="2" t="s">
        <v>60</v>
      </c>
      <c r="N1310" s="2"/>
      <c r="O1310" s="2" t="s">
        <v>6789</v>
      </c>
      <c r="P1310" s="2"/>
      <c r="Q1310" s="2" t="s">
        <v>62</v>
      </c>
      <c r="R1310" s="2" t="n">
        <v>0.6</v>
      </c>
      <c r="S1310" s="2" t="s">
        <v>6781</v>
      </c>
      <c r="T1310" s="2" t="s">
        <v>1168</v>
      </c>
      <c r="U1310" s="2" t="s">
        <v>6782</v>
      </c>
      <c r="V1310" s="2" t="s">
        <v>582</v>
      </c>
      <c r="W1310" s="2" t="s">
        <v>1332</v>
      </c>
      <c r="X1310" s="2" t="s">
        <v>507</v>
      </c>
    </row>
    <row r="1311" customFormat="false" ht="15" hidden="false" customHeight="false" outlineLevel="0" collapsed="false">
      <c r="A1311" s="2" t="n">
        <v>1539</v>
      </c>
      <c r="B1311" s="2" t="s">
        <v>6726</v>
      </c>
      <c r="C1311" s="2" t="s">
        <v>6790</v>
      </c>
      <c r="D1311" s="2" t="s">
        <v>53</v>
      </c>
      <c r="E1311" s="2" t="s">
        <v>1913</v>
      </c>
      <c r="F1311" s="2"/>
      <c r="G1311" s="2"/>
      <c r="H1311" s="2" t="s">
        <v>384</v>
      </c>
      <c r="I1311" s="2" t="s">
        <v>385</v>
      </c>
      <c r="J1311" s="2" t="n">
        <v>3.595</v>
      </c>
      <c r="K1311" s="2" t="n">
        <v>98.672</v>
      </c>
      <c r="L1311" s="2" t="s">
        <v>101</v>
      </c>
      <c r="M1311" s="2" t="s">
        <v>60</v>
      </c>
      <c r="N1311" s="2"/>
      <c r="O1311" s="2" t="s">
        <v>6791</v>
      </c>
      <c r="P1311" s="2"/>
      <c r="Q1311" s="2" t="s">
        <v>62</v>
      </c>
      <c r="R1311" s="2" t="n">
        <v>0.75</v>
      </c>
      <c r="S1311" s="2" t="s">
        <v>6792</v>
      </c>
      <c r="T1311" s="2" t="s">
        <v>243</v>
      </c>
      <c r="U1311" s="2" t="s">
        <v>6793</v>
      </c>
      <c r="V1311" s="2" t="s">
        <v>582</v>
      </c>
      <c r="W1311" s="2" t="s">
        <v>1587</v>
      </c>
      <c r="X1311" s="2" t="s">
        <v>507</v>
      </c>
    </row>
    <row r="1312" customFormat="false" ht="15" hidden="false" customHeight="false" outlineLevel="0" collapsed="false">
      <c r="A1312" s="2" t="n">
        <v>1539</v>
      </c>
      <c r="B1312" s="2" t="s">
        <v>6726</v>
      </c>
      <c r="C1312" s="2" t="s">
        <v>6794</v>
      </c>
      <c r="D1312" s="2" t="s">
        <v>53</v>
      </c>
      <c r="E1312" s="2" t="s">
        <v>1913</v>
      </c>
      <c r="F1312" s="2"/>
      <c r="G1312" s="2"/>
      <c r="H1312" s="2" t="s">
        <v>384</v>
      </c>
      <c r="I1312" s="2" t="s">
        <v>385</v>
      </c>
      <c r="J1312" s="2" t="n">
        <v>3.595</v>
      </c>
      <c r="K1312" s="2" t="n">
        <v>98.672</v>
      </c>
      <c r="L1312" s="2" t="s">
        <v>101</v>
      </c>
      <c r="M1312" s="2" t="s">
        <v>60</v>
      </c>
      <c r="N1312" s="2"/>
      <c r="O1312" s="2" t="s">
        <v>6795</v>
      </c>
      <c r="P1312" s="2"/>
      <c r="Q1312" s="2" t="s">
        <v>62</v>
      </c>
      <c r="R1312" s="2" t="n">
        <v>0.75</v>
      </c>
      <c r="S1312" s="2" t="s">
        <v>6792</v>
      </c>
      <c r="T1312" s="2" t="s">
        <v>243</v>
      </c>
      <c r="U1312" s="2" t="s">
        <v>6793</v>
      </c>
      <c r="V1312" s="2" t="s">
        <v>582</v>
      </c>
      <c r="W1312" s="2" t="s">
        <v>1587</v>
      </c>
      <c r="X1312" s="2" t="s">
        <v>507</v>
      </c>
    </row>
    <row r="1313" customFormat="false" ht="15" hidden="false" customHeight="false" outlineLevel="0" collapsed="false">
      <c r="A1313" s="2" t="n">
        <v>1540</v>
      </c>
      <c r="B1313" s="2" t="s">
        <v>6726</v>
      </c>
      <c r="C1313" s="2" t="s">
        <v>6796</v>
      </c>
      <c r="D1313" s="2" t="s">
        <v>53</v>
      </c>
      <c r="E1313" s="2" t="s">
        <v>6797</v>
      </c>
      <c r="F1313" s="2"/>
      <c r="G1313" s="2" t="s">
        <v>6798</v>
      </c>
      <c r="H1313" s="2" t="s">
        <v>384</v>
      </c>
      <c r="I1313" s="2" t="s">
        <v>385</v>
      </c>
      <c r="J1313" s="2" t="n">
        <v>3.575</v>
      </c>
      <c r="K1313" s="2" t="n">
        <v>98.64</v>
      </c>
      <c r="L1313" s="2" t="s">
        <v>84</v>
      </c>
      <c r="M1313" s="2" t="s">
        <v>60</v>
      </c>
      <c r="N1313" s="2"/>
      <c r="O1313" s="2" t="s">
        <v>6799</v>
      </c>
      <c r="P1313" s="2"/>
      <c r="Q1313" s="2" t="s">
        <v>62</v>
      </c>
      <c r="R1313" s="2" t="n">
        <v>0.75</v>
      </c>
      <c r="S1313" s="2" t="s">
        <v>6800</v>
      </c>
      <c r="T1313" s="2" t="s">
        <v>112</v>
      </c>
      <c r="U1313" s="2" t="s">
        <v>6801</v>
      </c>
      <c r="V1313" s="2" t="s">
        <v>6802</v>
      </c>
      <c r="W1313" s="2" t="s">
        <v>6803</v>
      </c>
      <c r="X1313" s="2" t="s">
        <v>507</v>
      </c>
    </row>
    <row r="1314" customFormat="false" ht="15" hidden="false" customHeight="false" outlineLevel="0" collapsed="false">
      <c r="A1314" s="2" t="n">
        <v>1540</v>
      </c>
      <c r="B1314" s="2" t="s">
        <v>6726</v>
      </c>
      <c r="C1314" s="2" t="s">
        <v>6804</v>
      </c>
      <c r="D1314" s="2" t="s">
        <v>53</v>
      </c>
      <c r="E1314" s="2" t="s">
        <v>1913</v>
      </c>
      <c r="F1314" s="2"/>
      <c r="G1314" s="2"/>
      <c r="H1314" s="2" t="s">
        <v>384</v>
      </c>
      <c r="I1314" s="2" t="s">
        <v>385</v>
      </c>
      <c r="J1314" s="2" t="n">
        <v>3.595</v>
      </c>
      <c r="K1314" s="2" t="n">
        <v>98.672</v>
      </c>
      <c r="L1314" s="2" t="s">
        <v>101</v>
      </c>
      <c r="M1314" s="2" t="s">
        <v>60</v>
      </c>
      <c r="N1314" s="2"/>
      <c r="O1314" s="2" t="s">
        <v>6805</v>
      </c>
      <c r="P1314" s="2"/>
      <c r="Q1314" s="2" t="s">
        <v>62</v>
      </c>
      <c r="R1314" s="2" t="n">
        <v>0.75</v>
      </c>
      <c r="S1314" s="2" t="s">
        <v>6800</v>
      </c>
      <c r="T1314" s="2" t="s">
        <v>112</v>
      </c>
      <c r="U1314" s="2" t="s">
        <v>6801</v>
      </c>
      <c r="V1314" s="2" t="s">
        <v>6802</v>
      </c>
      <c r="W1314" s="2" t="s">
        <v>6803</v>
      </c>
      <c r="X1314" s="2" t="s">
        <v>507</v>
      </c>
    </row>
    <row r="1315" customFormat="false" ht="15" hidden="false" customHeight="false" outlineLevel="0" collapsed="false">
      <c r="A1315" s="2" t="n">
        <v>1541</v>
      </c>
      <c r="B1315" s="2" t="s">
        <v>6726</v>
      </c>
      <c r="C1315" s="2" t="s">
        <v>6806</v>
      </c>
      <c r="D1315" s="2" t="s">
        <v>134</v>
      </c>
      <c r="E1315" s="2" t="s">
        <v>1913</v>
      </c>
      <c r="F1315" s="2"/>
      <c r="G1315" s="2"/>
      <c r="H1315" s="2" t="s">
        <v>384</v>
      </c>
      <c r="I1315" s="2" t="s">
        <v>385</v>
      </c>
      <c r="J1315" s="2" t="n">
        <v>3.595</v>
      </c>
      <c r="K1315" s="2" t="n">
        <v>98.672</v>
      </c>
      <c r="L1315" s="2" t="s">
        <v>101</v>
      </c>
      <c r="M1315" s="2" t="s">
        <v>60</v>
      </c>
      <c r="N1315" s="2"/>
      <c r="O1315" s="2" t="s">
        <v>6807</v>
      </c>
      <c r="P1315" s="2"/>
      <c r="Q1315" s="2" t="s">
        <v>62</v>
      </c>
      <c r="R1315" s="2" t="n">
        <v>0.5</v>
      </c>
      <c r="S1315" s="2" t="s">
        <v>6808</v>
      </c>
      <c r="T1315" s="2" t="s">
        <v>176</v>
      </c>
      <c r="U1315" s="2" t="s">
        <v>6809</v>
      </c>
      <c r="V1315" s="2" t="s">
        <v>6347</v>
      </c>
      <c r="W1315" s="2" t="s">
        <v>67</v>
      </c>
      <c r="X1315" s="2" t="s">
        <v>507</v>
      </c>
    </row>
    <row r="1316" customFormat="false" ht="15" hidden="false" customHeight="false" outlineLevel="0" collapsed="false">
      <c r="A1316" s="2" t="n">
        <v>1542</v>
      </c>
      <c r="B1316" s="2" t="s">
        <v>6726</v>
      </c>
      <c r="C1316" s="2" t="s">
        <v>6810</v>
      </c>
      <c r="D1316" s="2" t="s">
        <v>134</v>
      </c>
      <c r="E1316" s="2" t="s">
        <v>6811</v>
      </c>
      <c r="F1316" s="2" t="s">
        <v>2016</v>
      </c>
      <c r="G1316" s="2" t="s">
        <v>2017</v>
      </c>
      <c r="H1316" s="2" t="s">
        <v>384</v>
      </c>
      <c r="I1316" s="2" t="s">
        <v>385</v>
      </c>
      <c r="J1316" s="2" t="n">
        <v>3.588</v>
      </c>
      <c r="K1316" s="2" t="n">
        <v>98.679</v>
      </c>
      <c r="L1316" s="2" t="s">
        <v>59</v>
      </c>
      <c r="M1316" s="2" t="s">
        <v>60</v>
      </c>
      <c r="N1316" s="2" t="s">
        <v>6812</v>
      </c>
      <c r="O1316" s="2" t="s">
        <v>6813</v>
      </c>
      <c r="P1316" s="2"/>
      <c r="Q1316" s="2" t="s">
        <v>62</v>
      </c>
      <c r="R1316" s="2" t="n">
        <v>0.75</v>
      </c>
      <c r="S1316" s="2" t="s">
        <v>6814</v>
      </c>
      <c r="T1316" s="2" t="s">
        <v>1882</v>
      </c>
      <c r="U1316" s="2" t="s">
        <v>6815</v>
      </c>
      <c r="V1316" s="2" t="s">
        <v>6816</v>
      </c>
      <c r="W1316" s="2" t="s">
        <v>4276</v>
      </c>
      <c r="X1316" s="2" t="s">
        <v>507</v>
      </c>
    </row>
    <row r="1317" customFormat="false" ht="15" hidden="false" customHeight="false" outlineLevel="0" collapsed="false">
      <c r="A1317" s="2" t="n">
        <v>1543</v>
      </c>
      <c r="B1317" s="2" t="s">
        <v>6726</v>
      </c>
      <c r="C1317" s="2" t="s">
        <v>6817</v>
      </c>
      <c r="D1317" s="2" t="s">
        <v>53</v>
      </c>
      <c r="E1317" s="2" t="s">
        <v>1598</v>
      </c>
      <c r="F1317" s="2"/>
      <c r="G1317" s="2"/>
      <c r="H1317" s="2" t="s">
        <v>950</v>
      </c>
      <c r="I1317" s="2" t="s">
        <v>184</v>
      </c>
      <c r="J1317" s="2" t="n">
        <v>-7.276</v>
      </c>
      <c r="K1317" s="2" t="n">
        <v>112.735</v>
      </c>
      <c r="L1317" s="2" t="s">
        <v>101</v>
      </c>
      <c r="M1317" s="2" t="s">
        <v>60</v>
      </c>
      <c r="N1317" s="2"/>
      <c r="O1317" s="2" t="s">
        <v>6818</v>
      </c>
      <c r="P1317" s="2"/>
      <c r="Q1317" s="2" t="s">
        <v>110</v>
      </c>
      <c r="R1317" s="2" t="n">
        <v>0.8</v>
      </c>
      <c r="S1317" s="2" t="s">
        <v>6819</v>
      </c>
      <c r="T1317" s="2" t="s">
        <v>95</v>
      </c>
      <c r="U1317" s="2" t="s">
        <v>6820</v>
      </c>
      <c r="V1317" s="2" t="s">
        <v>4022</v>
      </c>
      <c r="W1317" s="2" t="s">
        <v>1266</v>
      </c>
      <c r="X1317" s="2" t="s">
        <v>507</v>
      </c>
    </row>
    <row r="1318" customFormat="false" ht="15" hidden="false" customHeight="false" outlineLevel="0" collapsed="false">
      <c r="A1318" s="2" t="n">
        <v>1544</v>
      </c>
      <c r="B1318" s="2" t="s">
        <v>6726</v>
      </c>
      <c r="C1318" s="2" t="s">
        <v>6821</v>
      </c>
      <c r="D1318" s="2" t="s">
        <v>134</v>
      </c>
      <c r="E1318" s="2" t="s">
        <v>6822</v>
      </c>
      <c r="F1318" s="2"/>
      <c r="G1318" s="2" t="s">
        <v>383</v>
      </c>
      <c r="H1318" s="2" t="s">
        <v>384</v>
      </c>
      <c r="I1318" s="2" t="s">
        <v>385</v>
      </c>
      <c r="J1318" s="2" t="n">
        <v>3.585</v>
      </c>
      <c r="K1318" s="2" t="n">
        <v>98.665</v>
      </c>
      <c r="L1318" s="2" t="s">
        <v>84</v>
      </c>
      <c r="M1318" s="2" t="s">
        <v>60</v>
      </c>
      <c r="N1318" s="2" t="s">
        <v>6823</v>
      </c>
      <c r="O1318" s="2" t="s">
        <v>6824</v>
      </c>
      <c r="P1318" s="2"/>
      <c r="Q1318" s="2" t="s">
        <v>62</v>
      </c>
      <c r="R1318" s="2" t="n">
        <v>0.7</v>
      </c>
      <c r="S1318" s="2" t="s">
        <v>6825</v>
      </c>
      <c r="T1318" s="2" t="s">
        <v>1882</v>
      </c>
      <c r="U1318" s="2" t="s">
        <v>6826</v>
      </c>
      <c r="V1318" s="2" t="s">
        <v>97</v>
      </c>
      <c r="W1318" s="2" t="s">
        <v>3469</v>
      </c>
      <c r="X1318" s="2" t="s">
        <v>507</v>
      </c>
    </row>
    <row r="1319" customFormat="false" ht="15" hidden="false" customHeight="false" outlineLevel="0" collapsed="false">
      <c r="A1319" s="2" t="n">
        <v>1544</v>
      </c>
      <c r="B1319" s="2" t="s">
        <v>6726</v>
      </c>
      <c r="C1319" s="2" t="s">
        <v>6827</v>
      </c>
      <c r="D1319" s="2" t="s">
        <v>134</v>
      </c>
      <c r="E1319" s="2" t="s">
        <v>6828</v>
      </c>
      <c r="F1319" s="2"/>
      <c r="G1319" s="2" t="s">
        <v>383</v>
      </c>
      <c r="H1319" s="2" t="s">
        <v>384</v>
      </c>
      <c r="I1319" s="2" t="s">
        <v>385</v>
      </c>
      <c r="J1319" s="2" t="n">
        <v>3.585</v>
      </c>
      <c r="K1319" s="2" t="n">
        <v>98.665</v>
      </c>
      <c r="L1319" s="2" t="s">
        <v>84</v>
      </c>
      <c r="M1319" s="2" t="s">
        <v>60</v>
      </c>
      <c r="N1319" s="2" t="s">
        <v>6823</v>
      </c>
      <c r="O1319" s="2" t="s">
        <v>6829</v>
      </c>
      <c r="P1319" s="2"/>
      <c r="Q1319" s="2" t="s">
        <v>62</v>
      </c>
      <c r="R1319" s="2" t="n">
        <v>0.7</v>
      </c>
      <c r="S1319" s="2" t="s">
        <v>6825</v>
      </c>
      <c r="T1319" s="2" t="s">
        <v>1882</v>
      </c>
      <c r="U1319" s="2" t="s">
        <v>6826</v>
      </c>
      <c r="V1319" s="2" t="s">
        <v>97</v>
      </c>
      <c r="W1319" s="2" t="s">
        <v>3469</v>
      </c>
      <c r="X1319" s="2" t="s">
        <v>507</v>
      </c>
    </row>
    <row r="1320" customFormat="false" ht="15" hidden="false" customHeight="false" outlineLevel="0" collapsed="false">
      <c r="A1320" s="2" t="n">
        <v>1544</v>
      </c>
      <c r="B1320" s="2" t="s">
        <v>6726</v>
      </c>
      <c r="C1320" s="2" t="s">
        <v>6830</v>
      </c>
      <c r="D1320" s="2" t="s">
        <v>134</v>
      </c>
      <c r="E1320" s="2" t="s">
        <v>6831</v>
      </c>
      <c r="F1320" s="2"/>
      <c r="G1320" s="2" t="s">
        <v>383</v>
      </c>
      <c r="H1320" s="2" t="s">
        <v>384</v>
      </c>
      <c r="I1320" s="2" t="s">
        <v>385</v>
      </c>
      <c r="J1320" s="2" t="n">
        <v>3.585</v>
      </c>
      <c r="K1320" s="2" t="n">
        <v>98.665</v>
      </c>
      <c r="L1320" s="2" t="s">
        <v>84</v>
      </c>
      <c r="M1320" s="2" t="s">
        <v>60</v>
      </c>
      <c r="N1320" s="2" t="s">
        <v>6823</v>
      </c>
      <c r="O1320" s="2" t="s">
        <v>6832</v>
      </c>
      <c r="P1320" s="2"/>
      <c r="Q1320" s="2" t="s">
        <v>62</v>
      </c>
      <c r="R1320" s="2" t="n">
        <v>0.6</v>
      </c>
      <c r="S1320" s="2" t="s">
        <v>6825</v>
      </c>
      <c r="T1320" s="2" t="s">
        <v>1882</v>
      </c>
      <c r="U1320" s="2" t="s">
        <v>6826</v>
      </c>
      <c r="V1320" s="2" t="s">
        <v>97</v>
      </c>
      <c r="W1320" s="2" t="s">
        <v>3469</v>
      </c>
      <c r="X1320" s="2" t="s">
        <v>507</v>
      </c>
    </row>
    <row r="1321" customFormat="false" ht="15" hidden="false" customHeight="false" outlineLevel="0" collapsed="false">
      <c r="A1321" s="2" t="n">
        <v>1545</v>
      </c>
      <c r="B1321" s="2" t="s">
        <v>6726</v>
      </c>
      <c r="C1321" s="2" t="s">
        <v>6833</v>
      </c>
      <c r="D1321" s="2" t="s">
        <v>134</v>
      </c>
      <c r="E1321" s="2" t="s">
        <v>6834</v>
      </c>
      <c r="F1321" s="2" t="s">
        <v>6835</v>
      </c>
      <c r="G1321" s="2" t="s">
        <v>6836</v>
      </c>
      <c r="H1321" s="2" t="s">
        <v>384</v>
      </c>
      <c r="I1321" s="2" t="s">
        <v>385</v>
      </c>
      <c r="J1321" s="2" t="n">
        <v>3.59</v>
      </c>
      <c r="K1321" s="2" t="n">
        <v>98.683</v>
      </c>
      <c r="L1321" s="2" t="s">
        <v>59</v>
      </c>
      <c r="M1321" s="2" t="s">
        <v>60</v>
      </c>
      <c r="N1321" s="2"/>
      <c r="O1321" s="2" t="s">
        <v>6837</v>
      </c>
      <c r="P1321" s="2"/>
      <c r="Q1321" s="2" t="s">
        <v>62</v>
      </c>
      <c r="R1321" s="2" t="n">
        <v>0.75</v>
      </c>
      <c r="S1321" s="2" t="s">
        <v>6838</v>
      </c>
      <c r="T1321" s="2" t="s">
        <v>1882</v>
      </c>
      <c r="U1321" s="2" t="s">
        <v>6839</v>
      </c>
      <c r="V1321" s="2" t="s">
        <v>6840</v>
      </c>
      <c r="W1321" s="2" t="s">
        <v>2204</v>
      </c>
      <c r="X1321" s="2" t="s">
        <v>507</v>
      </c>
    </row>
    <row r="1322" customFormat="false" ht="15" hidden="false" customHeight="false" outlineLevel="0" collapsed="false">
      <c r="A1322" s="2" t="n">
        <v>1545</v>
      </c>
      <c r="B1322" s="2" t="s">
        <v>6726</v>
      </c>
      <c r="C1322" s="2" t="s">
        <v>6841</v>
      </c>
      <c r="D1322" s="2" t="s">
        <v>134</v>
      </c>
      <c r="E1322" s="2" t="s">
        <v>6842</v>
      </c>
      <c r="F1322" s="2" t="s">
        <v>6835</v>
      </c>
      <c r="G1322" s="2" t="s">
        <v>6836</v>
      </c>
      <c r="H1322" s="2" t="s">
        <v>384</v>
      </c>
      <c r="I1322" s="2" t="s">
        <v>385</v>
      </c>
      <c r="J1322" s="2" t="n">
        <v>3.59</v>
      </c>
      <c r="K1322" s="2" t="n">
        <v>98.683</v>
      </c>
      <c r="L1322" s="2" t="s">
        <v>59</v>
      </c>
      <c r="M1322" s="2" t="s">
        <v>60</v>
      </c>
      <c r="N1322" s="2" t="s">
        <v>6843</v>
      </c>
      <c r="O1322" s="2" t="s">
        <v>6844</v>
      </c>
      <c r="P1322" s="2"/>
      <c r="Q1322" s="2" t="s">
        <v>62</v>
      </c>
      <c r="R1322" s="2" t="n">
        <v>0.65</v>
      </c>
      <c r="S1322" s="2" t="s">
        <v>6838</v>
      </c>
      <c r="T1322" s="2" t="s">
        <v>1882</v>
      </c>
      <c r="U1322" s="2" t="s">
        <v>6839</v>
      </c>
      <c r="V1322" s="2" t="s">
        <v>6840</v>
      </c>
      <c r="W1322" s="2" t="s">
        <v>2204</v>
      </c>
      <c r="X1322" s="2" t="s">
        <v>507</v>
      </c>
    </row>
    <row r="1323" customFormat="false" ht="15" hidden="false" customHeight="false" outlineLevel="0" collapsed="false">
      <c r="A1323" s="2" t="n">
        <v>1546</v>
      </c>
      <c r="B1323" s="2" t="s">
        <v>6726</v>
      </c>
      <c r="C1323" s="2" t="s">
        <v>6845</v>
      </c>
      <c r="D1323" s="2" t="s">
        <v>134</v>
      </c>
      <c r="E1323" s="2" t="s">
        <v>1913</v>
      </c>
      <c r="F1323" s="2"/>
      <c r="G1323" s="2"/>
      <c r="H1323" s="2" t="s">
        <v>384</v>
      </c>
      <c r="I1323" s="2" t="s">
        <v>385</v>
      </c>
      <c r="J1323" s="2" t="n">
        <v>3.595</v>
      </c>
      <c r="K1323" s="2" t="n">
        <v>98.672</v>
      </c>
      <c r="L1323" s="2" t="s">
        <v>101</v>
      </c>
      <c r="M1323" s="2" t="s">
        <v>60</v>
      </c>
      <c r="N1323" s="2"/>
      <c r="O1323" s="2" t="s">
        <v>6846</v>
      </c>
      <c r="P1323" s="2"/>
      <c r="Q1323" s="2" t="s">
        <v>62</v>
      </c>
      <c r="R1323" s="2" t="n">
        <v>0.65</v>
      </c>
      <c r="S1323" s="2" t="s">
        <v>6847</v>
      </c>
      <c r="T1323" s="2" t="s">
        <v>1882</v>
      </c>
      <c r="U1323" s="2" t="s">
        <v>6848</v>
      </c>
      <c r="V1323" s="2" t="s">
        <v>1077</v>
      </c>
      <c r="W1323" s="2" t="s">
        <v>1332</v>
      </c>
      <c r="X1323" s="2" t="s">
        <v>507</v>
      </c>
    </row>
    <row r="1324" customFormat="false" ht="15" hidden="false" customHeight="false" outlineLevel="0" collapsed="false">
      <c r="A1324" s="2" t="n">
        <v>1547</v>
      </c>
      <c r="B1324" s="2" t="s">
        <v>6726</v>
      </c>
      <c r="C1324" s="2" t="s">
        <v>6849</v>
      </c>
      <c r="D1324" s="2" t="s">
        <v>410</v>
      </c>
      <c r="E1324" s="2" t="s">
        <v>6850</v>
      </c>
      <c r="F1324" s="2"/>
      <c r="G1324" s="2" t="s">
        <v>6851</v>
      </c>
      <c r="H1324" s="2" t="s">
        <v>384</v>
      </c>
      <c r="I1324" s="2" t="s">
        <v>385</v>
      </c>
      <c r="J1324" s="2" t="n">
        <v>3.62</v>
      </c>
      <c r="K1324" s="2" t="n">
        <v>98.625</v>
      </c>
      <c r="L1324" s="2" t="s">
        <v>84</v>
      </c>
      <c r="M1324" s="2" t="s">
        <v>60</v>
      </c>
      <c r="N1324" s="2"/>
      <c r="O1324" s="2" t="s">
        <v>6852</v>
      </c>
      <c r="P1324" s="2" t="s">
        <v>109</v>
      </c>
      <c r="Q1324" s="2" t="s">
        <v>110</v>
      </c>
      <c r="R1324" s="2" t="n">
        <v>0.85</v>
      </c>
      <c r="S1324" s="2" t="s">
        <v>6853</v>
      </c>
      <c r="T1324" s="2" t="s">
        <v>6854</v>
      </c>
      <c r="U1324" s="2" t="s">
        <v>6855</v>
      </c>
      <c r="V1324" s="2" t="s">
        <v>745</v>
      </c>
      <c r="W1324" s="2" t="s">
        <v>1069</v>
      </c>
      <c r="X1324" s="2" t="s">
        <v>507</v>
      </c>
    </row>
    <row r="1325" customFormat="false" ht="15" hidden="false" customHeight="false" outlineLevel="0" collapsed="false">
      <c r="A1325" s="2" t="n">
        <v>1547</v>
      </c>
      <c r="B1325" s="2" t="s">
        <v>6726</v>
      </c>
      <c r="C1325" s="2" t="s">
        <v>6856</v>
      </c>
      <c r="D1325" s="2" t="s">
        <v>351</v>
      </c>
      <c r="E1325" s="2" t="s">
        <v>6857</v>
      </c>
      <c r="F1325" s="2"/>
      <c r="G1325" s="2" t="s">
        <v>6858</v>
      </c>
      <c r="H1325" s="2" t="s">
        <v>384</v>
      </c>
      <c r="I1325" s="2" t="s">
        <v>385</v>
      </c>
      <c r="J1325" s="2" t="n">
        <v>3.57</v>
      </c>
      <c r="K1325" s="2" t="n">
        <v>98.668</v>
      </c>
      <c r="L1325" s="2" t="s">
        <v>84</v>
      </c>
      <c r="M1325" s="2" t="s">
        <v>60</v>
      </c>
      <c r="N1325" s="2"/>
      <c r="O1325" s="2" t="s">
        <v>6859</v>
      </c>
      <c r="P1325" s="2"/>
      <c r="Q1325" s="2" t="s">
        <v>62</v>
      </c>
      <c r="R1325" s="2" t="n">
        <v>0.65</v>
      </c>
      <c r="S1325" s="2" t="s">
        <v>6853</v>
      </c>
      <c r="T1325" s="2" t="s">
        <v>6854</v>
      </c>
      <c r="U1325" s="2" t="s">
        <v>6855</v>
      </c>
      <c r="V1325" s="2" t="s">
        <v>745</v>
      </c>
      <c r="W1325" s="2" t="s">
        <v>1069</v>
      </c>
      <c r="X1325" s="2" t="s">
        <v>507</v>
      </c>
    </row>
    <row r="1326" customFormat="false" ht="15" hidden="false" customHeight="false" outlineLevel="0" collapsed="false">
      <c r="A1326" s="2" t="n">
        <v>1547</v>
      </c>
      <c r="B1326" s="2" t="s">
        <v>6726</v>
      </c>
      <c r="C1326" s="2" t="s">
        <v>6860</v>
      </c>
      <c r="D1326" s="2" t="s">
        <v>410</v>
      </c>
      <c r="E1326" s="2" t="s">
        <v>1913</v>
      </c>
      <c r="F1326" s="2" t="s">
        <v>1280</v>
      </c>
      <c r="G1326" s="2" t="s">
        <v>6836</v>
      </c>
      <c r="H1326" s="2" t="s">
        <v>384</v>
      </c>
      <c r="I1326" s="2" t="s">
        <v>385</v>
      </c>
      <c r="J1326" s="2" t="n">
        <v>3.5755</v>
      </c>
      <c r="K1326" s="2" t="n">
        <v>98.6877</v>
      </c>
      <c r="L1326" s="2" t="s">
        <v>124</v>
      </c>
      <c r="M1326" s="2" t="s">
        <v>60</v>
      </c>
      <c r="N1326" s="2"/>
      <c r="O1326" s="2" t="s">
        <v>6861</v>
      </c>
      <c r="P1326" s="2"/>
      <c r="Q1326" s="2" t="s">
        <v>62</v>
      </c>
      <c r="R1326" s="2" t="n">
        <v>0.6</v>
      </c>
      <c r="S1326" s="2" t="s">
        <v>6853</v>
      </c>
      <c r="T1326" s="2" t="s">
        <v>6854</v>
      </c>
      <c r="U1326" s="2" t="s">
        <v>6855</v>
      </c>
      <c r="V1326" s="2" t="s">
        <v>745</v>
      </c>
      <c r="W1326" s="2" t="s">
        <v>1069</v>
      </c>
      <c r="X1326" s="2" t="s">
        <v>507</v>
      </c>
    </row>
    <row r="1327" customFormat="false" ht="15" hidden="false" customHeight="false" outlineLevel="0" collapsed="false">
      <c r="A1327" s="2" t="n">
        <v>1548</v>
      </c>
      <c r="B1327" s="2" t="s">
        <v>6726</v>
      </c>
      <c r="C1327" s="2" t="s">
        <v>6862</v>
      </c>
      <c r="D1327" s="2" t="s">
        <v>121</v>
      </c>
      <c r="E1327" s="2" t="s">
        <v>6863</v>
      </c>
      <c r="F1327" s="2" t="s">
        <v>6864</v>
      </c>
      <c r="G1327" s="2" t="s">
        <v>640</v>
      </c>
      <c r="H1327" s="2" t="s">
        <v>317</v>
      </c>
      <c r="I1327" s="2" t="s">
        <v>74</v>
      </c>
      <c r="J1327" s="2" t="n">
        <v>-6.1097</v>
      </c>
      <c r="K1327" s="2" t="n">
        <v>106.7405</v>
      </c>
      <c r="L1327" s="2" t="s">
        <v>124</v>
      </c>
      <c r="M1327" s="2" t="s">
        <v>60</v>
      </c>
      <c r="N1327" s="2" t="s">
        <v>6865</v>
      </c>
      <c r="O1327" s="2" t="s">
        <v>6866</v>
      </c>
      <c r="P1327" s="2" t="s">
        <v>6867</v>
      </c>
      <c r="Q1327" s="2" t="s">
        <v>62</v>
      </c>
      <c r="R1327" s="2" t="n">
        <v>0.5</v>
      </c>
      <c r="S1327" s="2" t="s">
        <v>6868</v>
      </c>
      <c r="T1327" s="2" t="s">
        <v>6869</v>
      </c>
      <c r="U1327" s="2" t="s">
        <v>6870</v>
      </c>
      <c r="V1327" s="2" t="s">
        <v>745</v>
      </c>
      <c r="W1327" s="2" t="s">
        <v>2379</v>
      </c>
      <c r="X1327" s="2" t="s">
        <v>507</v>
      </c>
    </row>
    <row r="1328" customFormat="false" ht="15" hidden="false" customHeight="false" outlineLevel="0" collapsed="false">
      <c r="A1328" s="2" t="n">
        <v>1550</v>
      </c>
      <c r="B1328" s="2" t="s">
        <v>6726</v>
      </c>
      <c r="C1328" s="2" t="s">
        <v>6871</v>
      </c>
      <c r="D1328" s="2" t="s">
        <v>134</v>
      </c>
      <c r="E1328" s="2" t="s">
        <v>6872</v>
      </c>
      <c r="F1328" s="2" t="s">
        <v>6873</v>
      </c>
      <c r="G1328" s="2" t="s">
        <v>2017</v>
      </c>
      <c r="H1328" s="2" t="s">
        <v>384</v>
      </c>
      <c r="I1328" s="2" t="s">
        <v>385</v>
      </c>
      <c r="J1328" s="2" t="n">
        <v>3.58</v>
      </c>
      <c r="K1328" s="2" t="n">
        <v>98.668</v>
      </c>
      <c r="L1328" s="2" t="s">
        <v>59</v>
      </c>
      <c r="M1328" s="2" t="s">
        <v>60</v>
      </c>
      <c r="N1328" s="2"/>
      <c r="O1328" s="2" t="s">
        <v>6874</v>
      </c>
      <c r="P1328" s="2"/>
      <c r="Q1328" s="2" t="s">
        <v>110</v>
      </c>
      <c r="R1328" s="2" t="n">
        <v>0.85</v>
      </c>
      <c r="S1328" s="2" t="s">
        <v>6875</v>
      </c>
      <c r="T1328" s="2" t="s">
        <v>6876</v>
      </c>
      <c r="U1328" s="2" t="s">
        <v>6877</v>
      </c>
      <c r="V1328" s="2" t="s">
        <v>6878</v>
      </c>
      <c r="W1328" s="2" t="s">
        <v>430</v>
      </c>
      <c r="X1328" s="2" t="s">
        <v>507</v>
      </c>
    </row>
    <row r="1329" customFormat="false" ht="15" hidden="false" customHeight="false" outlineLevel="0" collapsed="false">
      <c r="A1329" s="2" t="n">
        <v>1552</v>
      </c>
      <c r="B1329" s="2" t="s">
        <v>6726</v>
      </c>
      <c r="C1329" s="2" t="s">
        <v>6879</v>
      </c>
      <c r="D1329" s="2" t="s">
        <v>121</v>
      </c>
      <c r="E1329" s="2" t="s">
        <v>6880</v>
      </c>
      <c r="F1329" s="2"/>
      <c r="G1329" s="2" t="s">
        <v>383</v>
      </c>
      <c r="H1329" s="2" t="s">
        <v>384</v>
      </c>
      <c r="I1329" s="2" t="s">
        <v>385</v>
      </c>
      <c r="J1329" s="2" t="n">
        <v>3.587</v>
      </c>
      <c r="K1329" s="2" t="n">
        <v>98.672</v>
      </c>
      <c r="L1329" s="2" t="s">
        <v>84</v>
      </c>
      <c r="M1329" s="2" t="s">
        <v>60</v>
      </c>
      <c r="N1329" s="2" t="s">
        <v>6881</v>
      </c>
      <c r="O1329" s="2" t="s">
        <v>6882</v>
      </c>
      <c r="P1329" s="2" t="s">
        <v>3155</v>
      </c>
      <c r="Q1329" s="2" t="s">
        <v>62</v>
      </c>
      <c r="R1329" s="2" t="n">
        <v>0.7</v>
      </c>
      <c r="S1329" s="2" t="s">
        <v>6883</v>
      </c>
      <c r="T1329" s="2" t="s">
        <v>390</v>
      </c>
      <c r="U1329" s="2" t="s">
        <v>6884</v>
      </c>
      <c r="V1329" s="2" t="s">
        <v>3330</v>
      </c>
      <c r="W1329" s="2" t="s">
        <v>4290</v>
      </c>
      <c r="X1329" s="2" t="s">
        <v>507</v>
      </c>
    </row>
    <row r="1330" customFormat="false" ht="15" hidden="false" customHeight="false" outlineLevel="0" collapsed="false">
      <c r="A1330" s="2" t="n">
        <v>1580</v>
      </c>
      <c r="B1330" s="2" t="s">
        <v>6885</v>
      </c>
      <c r="C1330" s="2" t="s">
        <v>6886</v>
      </c>
      <c r="D1330" s="2" t="s">
        <v>53</v>
      </c>
      <c r="E1330" s="2" t="s">
        <v>6887</v>
      </c>
      <c r="F1330" s="2" t="s">
        <v>4163</v>
      </c>
      <c r="G1330" s="2" t="s">
        <v>4110</v>
      </c>
      <c r="H1330" s="2" t="s">
        <v>4002</v>
      </c>
      <c r="I1330" s="2" t="s">
        <v>92</v>
      </c>
      <c r="J1330" s="2" t="n">
        <v>-8.02</v>
      </c>
      <c r="K1330" s="2" t="n">
        <v>110.33</v>
      </c>
      <c r="L1330" s="2" t="s">
        <v>59</v>
      </c>
      <c r="M1330" s="2" t="s">
        <v>60</v>
      </c>
      <c r="N1330" s="2" t="s">
        <v>6888</v>
      </c>
      <c r="O1330" s="2" t="s">
        <v>6889</v>
      </c>
      <c r="P1330" s="2"/>
      <c r="Q1330" s="2" t="s">
        <v>62</v>
      </c>
      <c r="R1330" s="2" t="n">
        <v>0.7</v>
      </c>
      <c r="S1330" s="2" t="s">
        <v>6890</v>
      </c>
      <c r="T1330" s="2" t="s">
        <v>95</v>
      </c>
      <c r="U1330" s="2" t="s">
        <v>6891</v>
      </c>
      <c r="V1330" s="2" t="s">
        <v>6892</v>
      </c>
      <c r="W1330" s="2" t="s">
        <v>2204</v>
      </c>
      <c r="X1330" s="2" t="s">
        <v>507</v>
      </c>
    </row>
    <row r="1331" customFormat="false" ht="15" hidden="false" customHeight="false" outlineLevel="0" collapsed="false">
      <c r="A1331" s="2" t="n">
        <v>1580</v>
      </c>
      <c r="B1331" s="2" t="s">
        <v>6885</v>
      </c>
      <c r="C1331" s="2" t="s">
        <v>6893</v>
      </c>
      <c r="D1331" s="2" t="s">
        <v>53</v>
      </c>
      <c r="E1331" s="2" t="s">
        <v>6894</v>
      </c>
      <c r="F1331" s="2" t="s">
        <v>4163</v>
      </c>
      <c r="G1331" s="2" t="s">
        <v>4110</v>
      </c>
      <c r="H1331" s="2" t="s">
        <v>4002</v>
      </c>
      <c r="I1331" s="2" t="s">
        <v>92</v>
      </c>
      <c r="J1331" s="2" t="n">
        <v>-8.02</v>
      </c>
      <c r="K1331" s="2" t="n">
        <v>110.33</v>
      </c>
      <c r="L1331" s="2" t="s">
        <v>59</v>
      </c>
      <c r="M1331" s="2" t="s">
        <v>60</v>
      </c>
      <c r="N1331" s="2" t="s">
        <v>6895</v>
      </c>
      <c r="O1331" s="2" t="s">
        <v>6896</v>
      </c>
      <c r="P1331" s="2"/>
      <c r="Q1331" s="2" t="s">
        <v>62</v>
      </c>
      <c r="R1331" s="2" t="n">
        <v>0.7</v>
      </c>
      <c r="S1331" s="2" t="s">
        <v>6890</v>
      </c>
      <c r="T1331" s="2" t="s">
        <v>95</v>
      </c>
      <c r="U1331" s="2" t="s">
        <v>6891</v>
      </c>
      <c r="V1331" s="2" t="s">
        <v>6892</v>
      </c>
      <c r="W1331" s="2" t="s">
        <v>2204</v>
      </c>
      <c r="X1331" s="2" t="s">
        <v>507</v>
      </c>
    </row>
    <row r="1332" customFormat="false" ht="15" hidden="false" customHeight="false" outlineLevel="0" collapsed="false">
      <c r="A1332" s="2" t="n">
        <v>1580</v>
      </c>
      <c r="B1332" s="2" t="s">
        <v>6885</v>
      </c>
      <c r="C1332" s="2" t="s">
        <v>6897</v>
      </c>
      <c r="D1332" s="2" t="s">
        <v>53</v>
      </c>
      <c r="E1332" s="2" t="s">
        <v>6887</v>
      </c>
      <c r="F1332" s="2" t="s">
        <v>4163</v>
      </c>
      <c r="G1332" s="2" t="s">
        <v>4110</v>
      </c>
      <c r="H1332" s="2" t="s">
        <v>4002</v>
      </c>
      <c r="I1332" s="2" t="s">
        <v>92</v>
      </c>
      <c r="J1332" s="2" t="n">
        <v>-8.02</v>
      </c>
      <c r="K1332" s="2" t="n">
        <v>110.33</v>
      </c>
      <c r="L1332" s="2" t="s">
        <v>59</v>
      </c>
      <c r="M1332" s="2" t="s">
        <v>60</v>
      </c>
      <c r="N1332" s="2" t="s">
        <v>6888</v>
      </c>
      <c r="O1332" s="2" t="s">
        <v>6898</v>
      </c>
      <c r="P1332" s="2"/>
      <c r="Q1332" s="2" t="s">
        <v>62</v>
      </c>
      <c r="R1332" s="2" t="n">
        <v>0.7</v>
      </c>
      <c r="S1332" s="2" t="s">
        <v>6890</v>
      </c>
      <c r="T1332" s="2" t="s">
        <v>95</v>
      </c>
      <c r="U1332" s="2" t="s">
        <v>6891</v>
      </c>
      <c r="V1332" s="2" t="s">
        <v>6892</v>
      </c>
      <c r="W1332" s="2" t="s">
        <v>2204</v>
      </c>
      <c r="X1332" s="2" t="s">
        <v>507</v>
      </c>
    </row>
    <row r="1333" customFormat="false" ht="15" hidden="false" customHeight="false" outlineLevel="0" collapsed="false">
      <c r="A1333" s="2" t="n">
        <v>1581</v>
      </c>
      <c r="B1333" s="2" t="s">
        <v>6885</v>
      </c>
      <c r="C1333" s="2" t="s">
        <v>6899</v>
      </c>
      <c r="D1333" s="2" t="s">
        <v>410</v>
      </c>
      <c r="E1333" s="2" t="s">
        <v>6900</v>
      </c>
      <c r="F1333" s="2" t="s">
        <v>4163</v>
      </c>
      <c r="G1333" s="2" t="s">
        <v>4110</v>
      </c>
      <c r="H1333" s="2" t="s">
        <v>4002</v>
      </c>
      <c r="I1333" s="2" t="s">
        <v>92</v>
      </c>
      <c r="J1333" s="2" t="n">
        <v>-8.0253</v>
      </c>
      <c r="K1333" s="2" t="n">
        <v>110.3292</v>
      </c>
      <c r="L1333" s="2" t="s">
        <v>124</v>
      </c>
      <c r="M1333" s="2" t="s">
        <v>60</v>
      </c>
      <c r="N1333" s="2"/>
      <c r="O1333" s="2" t="s">
        <v>6901</v>
      </c>
      <c r="P1333" s="2" t="s">
        <v>692</v>
      </c>
      <c r="Q1333" s="2" t="s">
        <v>110</v>
      </c>
      <c r="R1333" s="2" t="n">
        <v>0.6</v>
      </c>
      <c r="S1333" s="2" t="s">
        <v>6902</v>
      </c>
      <c r="T1333" s="2" t="s">
        <v>1003</v>
      </c>
      <c r="U1333" s="2" t="s">
        <v>6903</v>
      </c>
      <c r="V1333" s="2" t="s">
        <v>6904</v>
      </c>
      <c r="W1333" s="2" t="s">
        <v>159</v>
      </c>
      <c r="X1333" s="2" t="s">
        <v>507</v>
      </c>
    </row>
    <row r="1334" customFormat="false" ht="15" hidden="false" customHeight="false" outlineLevel="0" collapsed="false">
      <c r="A1334" s="2" t="n">
        <v>1582</v>
      </c>
      <c r="B1334" s="2" t="s">
        <v>6885</v>
      </c>
      <c r="C1334" s="2" t="s">
        <v>6905</v>
      </c>
      <c r="D1334" s="2" t="s">
        <v>351</v>
      </c>
      <c r="E1334" s="2" t="s">
        <v>6906</v>
      </c>
      <c r="F1334" s="2" t="s">
        <v>730</v>
      </c>
      <c r="G1334" s="2" t="s">
        <v>90</v>
      </c>
      <c r="H1334" s="2" t="s">
        <v>91</v>
      </c>
      <c r="I1334" s="2" t="s">
        <v>92</v>
      </c>
      <c r="J1334" s="2" t="n">
        <v>-7.8118</v>
      </c>
      <c r="K1334" s="2" t="n">
        <v>110.3632</v>
      </c>
      <c r="L1334" s="2" t="s">
        <v>124</v>
      </c>
      <c r="M1334" s="2" t="s">
        <v>60</v>
      </c>
      <c r="N1334" s="2" t="s">
        <v>6907</v>
      </c>
      <c r="O1334" s="2" t="s">
        <v>6908</v>
      </c>
      <c r="P1334" s="2" t="s">
        <v>748</v>
      </c>
      <c r="Q1334" s="2" t="s">
        <v>110</v>
      </c>
      <c r="R1334" s="2" t="n">
        <v>0.5</v>
      </c>
      <c r="S1334" s="2" t="s">
        <v>6909</v>
      </c>
      <c r="T1334" s="2" t="s">
        <v>6910</v>
      </c>
      <c r="U1334" s="2" t="s">
        <v>6911</v>
      </c>
      <c r="V1334" s="2" t="s">
        <v>97</v>
      </c>
      <c r="W1334" s="2" t="s">
        <v>3506</v>
      </c>
      <c r="X1334" s="2" t="s">
        <v>507</v>
      </c>
    </row>
    <row r="1335" customFormat="false" ht="15" hidden="false" customHeight="false" outlineLevel="0" collapsed="false">
      <c r="A1335" s="2" t="n">
        <v>1583</v>
      </c>
      <c r="B1335" s="2" t="s">
        <v>6885</v>
      </c>
      <c r="C1335" s="2" t="s">
        <v>6912</v>
      </c>
      <c r="D1335" s="2" t="s">
        <v>121</v>
      </c>
      <c r="E1335" s="2" t="s">
        <v>6913</v>
      </c>
      <c r="F1335" s="2" t="s">
        <v>3940</v>
      </c>
      <c r="G1335" s="2" t="s">
        <v>1318</v>
      </c>
      <c r="H1335" s="2" t="s">
        <v>91</v>
      </c>
      <c r="I1335" s="2" t="s">
        <v>92</v>
      </c>
      <c r="J1335" s="2" t="n">
        <v>-7.786</v>
      </c>
      <c r="K1335" s="2" t="n">
        <v>110.373</v>
      </c>
      <c r="L1335" s="2" t="s">
        <v>59</v>
      </c>
      <c r="M1335" s="2" t="s">
        <v>60</v>
      </c>
      <c r="N1335" s="2"/>
      <c r="O1335" s="2" t="s">
        <v>6914</v>
      </c>
      <c r="P1335" s="2" t="s">
        <v>6915</v>
      </c>
      <c r="Q1335" s="2" t="s">
        <v>62</v>
      </c>
      <c r="R1335" s="2" t="n">
        <v>0.7</v>
      </c>
      <c r="S1335" s="2" t="s">
        <v>6916</v>
      </c>
      <c r="T1335" s="2" t="s">
        <v>6917</v>
      </c>
      <c r="U1335" s="2" t="s">
        <v>6918</v>
      </c>
      <c r="V1335" s="2" t="s">
        <v>6919</v>
      </c>
      <c r="W1335" s="2" t="s">
        <v>1627</v>
      </c>
      <c r="X1335" s="2" t="s">
        <v>507</v>
      </c>
    </row>
    <row r="1336" customFormat="false" ht="15" hidden="false" customHeight="false" outlineLevel="0" collapsed="false">
      <c r="A1336" s="2" t="n">
        <v>1585</v>
      </c>
      <c r="B1336" s="2" t="s">
        <v>6885</v>
      </c>
      <c r="C1336" s="2" t="s">
        <v>6920</v>
      </c>
      <c r="D1336" s="2" t="s">
        <v>351</v>
      </c>
      <c r="E1336" s="2" t="s">
        <v>6921</v>
      </c>
      <c r="F1336" s="2" t="s">
        <v>1549</v>
      </c>
      <c r="G1336" s="2" t="s">
        <v>1550</v>
      </c>
      <c r="H1336" s="2" t="s">
        <v>91</v>
      </c>
      <c r="I1336" s="2" t="s">
        <v>92</v>
      </c>
      <c r="J1336" s="2" t="n">
        <v>-7.7986</v>
      </c>
      <c r="K1336" s="2" t="n">
        <v>110.3654</v>
      </c>
      <c r="L1336" s="2" t="s">
        <v>124</v>
      </c>
      <c r="M1336" s="2" t="s">
        <v>60</v>
      </c>
      <c r="N1336" s="2" t="s">
        <v>1548</v>
      </c>
      <c r="O1336" s="2" t="s">
        <v>6922</v>
      </c>
      <c r="P1336" s="2"/>
      <c r="Q1336" s="2" t="s">
        <v>110</v>
      </c>
      <c r="R1336" s="2" t="n">
        <v>0.5</v>
      </c>
      <c r="S1336" s="2" t="s">
        <v>6923</v>
      </c>
      <c r="T1336" s="2" t="s">
        <v>4133</v>
      </c>
      <c r="U1336" s="2" t="s">
        <v>6924</v>
      </c>
      <c r="V1336" s="2" t="s">
        <v>6892</v>
      </c>
      <c r="W1336" s="2" t="s">
        <v>828</v>
      </c>
      <c r="X1336" s="2" t="s">
        <v>507</v>
      </c>
    </row>
    <row r="1337" customFormat="false" ht="15" hidden="false" customHeight="false" outlineLevel="0" collapsed="false">
      <c r="A1337" s="2" t="n">
        <v>1586</v>
      </c>
      <c r="B1337" s="2" t="s">
        <v>6885</v>
      </c>
      <c r="C1337" s="2" t="s">
        <v>3891</v>
      </c>
      <c r="D1337" s="2" t="s">
        <v>53</v>
      </c>
      <c r="E1337" s="2" t="s">
        <v>100</v>
      </c>
      <c r="F1337" s="2" t="s">
        <v>730</v>
      </c>
      <c r="G1337" s="2" t="s">
        <v>90</v>
      </c>
      <c r="H1337" s="2" t="s">
        <v>91</v>
      </c>
      <c r="I1337" s="2" t="s">
        <v>92</v>
      </c>
      <c r="J1337" s="2" t="n">
        <v>-7.8095</v>
      </c>
      <c r="K1337" s="2" t="n">
        <v>110.3605</v>
      </c>
      <c r="L1337" s="2" t="s">
        <v>124</v>
      </c>
      <c r="M1337" s="2" t="s">
        <v>60</v>
      </c>
      <c r="N1337" s="2"/>
      <c r="O1337" s="2" t="s">
        <v>6925</v>
      </c>
      <c r="P1337" s="2"/>
      <c r="Q1337" s="2" t="s">
        <v>62</v>
      </c>
      <c r="R1337" s="2" t="n">
        <v>0.75</v>
      </c>
      <c r="S1337" s="2" t="s">
        <v>6926</v>
      </c>
      <c r="T1337" s="2" t="s">
        <v>3917</v>
      </c>
      <c r="U1337" s="2" t="s">
        <v>6927</v>
      </c>
      <c r="V1337" s="2" t="s">
        <v>6928</v>
      </c>
      <c r="W1337" s="2" t="s">
        <v>2852</v>
      </c>
      <c r="X1337" s="2" t="s">
        <v>507</v>
      </c>
    </row>
    <row r="1338" customFormat="false" ht="15" hidden="false" customHeight="false" outlineLevel="0" collapsed="false">
      <c r="A1338" s="2" t="n">
        <v>1588</v>
      </c>
      <c r="B1338" s="2" t="s">
        <v>6885</v>
      </c>
      <c r="C1338" s="2" t="s">
        <v>6929</v>
      </c>
      <c r="D1338" s="2" t="s">
        <v>121</v>
      </c>
      <c r="E1338" s="2" t="s">
        <v>100</v>
      </c>
      <c r="F1338" s="2"/>
      <c r="G1338" s="2"/>
      <c r="H1338" s="2"/>
      <c r="I1338" s="2" t="s">
        <v>92</v>
      </c>
      <c r="J1338" s="2" t="n">
        <v>-7.875</v>
      </c>
      <c r="K1338" s="2" t="n">
        <v>110.426</v>
      </c>
      <c r="L1338" s="2" t="s">
        <v>239</v>
      </c>
      <c r="M1338" s="2" t="s">
        <v>340</v>
      </c>
      <c r="N1338" s="2" t="s">
        <v>6930</v>
      </c>
      <c r="O1338" s="2" t="s">
        <v>6931</v>
      </c>
      <c r="P1338" s="2" t="s">
        <v>109</v>
      </c>
      <c r="Q1338" s="2" t="s">
        <v>62</v>
      </c>
      <c r="R1338" s="2" t="n">
        <v>0.7</v>
      </c>
      <c r="S1338" s="2" t="s">
        <v>6932</v>
      </c>
      <c r="T1338" s="2" t="s">
        <v>4166</v>
      </c>
      <c r="U1338" s="2" t="s">
        <v>6933</v>
      </c>
      <c r="V1338" s="2" t="s">
        <v>3544</v>
      </c>
      <c r="W1338" s="2" t="s">
        <v>4923</v>
      </c>
      <c r="X1338" s="2" t="s">
        <v>507</v>
      </c>
    </row>
    <row r="1339" customFormat="false" ht="15" hidden="false" customHeight="false" outlineLevel="0" collapsed="false">
      <c r="A1339" s="2" t="n">
        <v>1590</v>
      </c>
      <c r="B1339" s="2" t="s">
        <v>6934</v>
      </c>
      <c r="C1339" s="2" t="s">
        <v>6935</v>
      </c>
      <c r="D1339" s="2" t="s">
        <v>53</v>
      </c>
      <c r="E1339" s="2" t="s">
        <v>6936</v>
      </c>
      <c r="F1339" s="2" t="s">
        <v>6937</v>
      </c>
      <c r="G1339" s="2" t="s">
        <v>4056</v>
      </c>
      <c r="H1339" s="2" t="s">
        <v>3905</v>
      </c>
      <c r="I1339" s="2" t="s">
        <v>92</v>
      </c>
      <c r="J1339" s="2" t="n">
        <v>-7.66</v>
      </c>
      <c r="K1339" s="2" t="n">
        <v>110.455</v>
      </c>
      <c r="L1339" s="2" t="s">
        <v>59</v>
      </c>
      <c r="M1339" s="2" t="s">
        <v>60</v>
      </c>
      <c r="N1339" s="2"/>
      <c r="O1339" s="2" t="s">
        <v>6938</v>
      </c>
      <c r="P1339" s="2"/>
      <c r="Q1339" s="2" t="s">
        <v>62</v>
      </c>
      <c r="R1339" s="2" t="n">
        <v>0.8</v>
      </c>
      <c r="S1339" s="2" t="s">
        <v>6939</v>
      </c>
      <c r="T1339" s="2" t="s">
        <v>4133</v>
      </c>
      <c r="U1339" s="2" t="s">
        <v>6940</v>
      </c>
      <c r="V1339" s="2" t="s">
        <v>6941</v>
      </c>
      <c r="W1339" s="2" t="s">
        <v>98</v>
      </c>
      <c r="X1339" s="2" t="s">
        <v>507</v>
      </c>
    </row>
    <row r="1340" customFormat="false" ht="15" hidden="false" customHeight="false" outlineLevel="0" collapsed="false">
      <c r="A1340" s="2" t="n">
        <v>1590</v>
      </c>
      <c r="B1340" s="2" t="s">
        <v>6934</v>
      </c>
      <c r="C1340" s="2" t="s">
        <v>6942</v>
      </c>
      <c r="D1340" s="2" t="s">
        <v>53</v>
      </c>
      <c r="E1340" s="2" t="s">
        <v>6943</v>
      </c>
      <c r="F1340" s="2"/>
      <c r="G1340" s="2" t="s">
        <v>4056</v>
      </c>
      <c r="H1340" s="2" t="s">
        <v>3905</v>
      </c>
      <c r="I1340" s="2" t="s">
        <v>92</v>
      </c>
      <c r="J1340" s="2" t="n">
        <v>-7.62</v>
      </c>
      <c r="K1340" s="2" t="n">
        <v>110.46</v>
      </c>
      <c r="L1340" s="2" t="s">
        <v>84</v>
      </c>
      <c r="M1340" s="2" t="s">
        <v>60</v>
      </c>
      <c r="N1340" s="2"/>
      <c r="O1340" s="2" t="s">
        <v>6944</v>
      </c>
      <c r="P1340" s="2"/>
      <c r="Q1340" s="2" t="s">
        <v>62</v>
      </c>
      <c r="R1340" s="2" t="n">
        <v>0.65</v>
      </c>
      <c r="S1340" s="2" t="s">
        <v>6939</v>
      </c>
      <c r="T1340" s="2" t="s">
        <v>4133</v>
      </c>
      <c r="U1340" s="2" t="s">
        <v>6940</v>
      </c>
      <c r="V1340" s="2" t="s">
        <v>6941</v>
      </c>
      <c r="W1340" s="2" t="s">
        <v>98</v>
      </c>
      <c r="X1340" s="2" t="s">
        <v>507</v>
      </c>
    </row>
    <row r="1341" customFormat="false" ht="15" hidden="false" customHeight="false" outlineLevel="0" collapsed="false">
      <c r="A1341" s="2" t="n">
        <v>1591</v>
      </c>
      <c r="B1341" s="2" t="s">
        <v>6934</v>
      </c>
      <c r="C1341" s="2" t="s">
        <v>6945</v>
      </c>
      <c r="D1341" s="2" t="s">
        <v>53</v>
      </c>
      <c r="E1341" s="2" t="s">
        <v>6946</v>
      </c>
      <c r="F1341" s="2"/>
      <c r="G1341" s="2"/>
      <c r="H1341" s="2" t="s">
        <v>3905</v>
      </c>
      <c r="I1341" s="2" t="s">
        <v>92</v>
      </c>
      <c r="J1341" s="2" t="n">
        <v>-7.716</v>
      </c>
      <c r="K1341" s="2" t="n">
        <v>110.355</v>
      </c>
      <c r="L1341" s="2" t="s">
        <v>101</v>
      </c>
      <c r="M1341" s="2" t="s">
        <v>340</v>
      </c>
      <c r="N1341" s="2"/>
      <c r="O1341" s="2" t="s">
        <v>6947</v>
      </c>
      <c r="P1341" s="2"/>
      <c r="Q1341" s="2" t="s">
        <v>110</v>
      </c>
      <c r="R1341" s="2" t="n">
        <v>0.85</v>
      </c>
      <c r="S1341" s="2" t="s">
        <v>6948</v>
      </c>
      <c r="T1341" s="2" t="s">
        <v>95</v>
      </c>
      <c r="U1341" s="2" t="s">
        <v>6949</v>
      </c>
      <c r="V1341" s="2" t="s">
        <v>3517</v>
      </c>
      <c r="W1341" s="2" t="s">
        <v>908</v>
      </c>
      <c r="X1341" s="2" t="s">
        <v>507</v>
      </c>
    </row>
    <row r="1342" customFormat="false" ht="15" hidden="false" customHeight="false" outlineLevel="0" collapsed="false">
      <c r="A1342" s="2" t="n">
        <v>1593</v>
      </c>
      <c r="B1342" s="2" t="s">
        <v>6934</v>
      </c>
      <c r="C1342" s="2" t="s">
        <v>6950</v>
      </c>
      <c r="D1342" s="2" t="s">
        <v>351</v>
      </c>
      <c r="E1342" s="2" t="s">
        <v>6946</v>
      </c>
      <c r="F1342" s="2" t="s">
        <v>6951</v>
      </c>
      <c r="G1342" s="2" t="s">
        <v>6952</v>
      </c>
      <c r="H1342" s="2" t="s">
        <v>3905</v>
      </c>
      <c r="I1342" s="2" t="s">
        <v>92</v>
      </c>
      <c r="J1342" s="2" t="n">
        <v>-7.752</v>
      </c>
      <c r="K1342" s="2" t="n">
        <v>110.4915</v>
      </c>
      <c r="L1342" s="2" t="s">
        <v>124</v>
      </c>
      <c r="M1342" s="2" t="s">
        <v>60</v>
      </c>
      <c r="N1342" s="2" t="s">
        <v>6953</v>
      </c>
      <c r="O1342" s="2" t="s">
        <v>6954</v>
      </c>
      <c r="P1342" s="2"/>
      <c r="Q1342" s="2" t="s">
        <v>62</v>
      </c>
      <c r="R1342" s="2" t="n">
        <v>0.8</v>
      </c>
      <c r="S1342" s="2" t="s">
        <v>6955</v>
      </c>
      <c r="T1342" s="2" t="s">
        <v>6956</v>
      </c>
      <c r="U1342" s="2" t="s">
        <v>6957</v>
      </c>
      <c r="V1342" s="2" t="s">
        <v>6958</v>
      </c>
      <c r="W1342" s="2" t="s">
        <v>2196</v>
      </c>
      <c r="X1342" s="2" t="s">
        <v>507</v>
      </c>
    </row>
    <row r="1343" customFormat="false" ht="15" hidden="false" customHeight="false" outlineLevel="0" collapsed="false">
      <c r="A1343" s="2" t="n">
        <v>1595</v>
      </c>
      <c r="B1343" s="2" t="s">
        <v>6934</v>
      </c>
      <c r="C1343" s="2" t="s">
        <v>6959</v>
      </c>
      <c r="D1343" s="2" t="s">
        <v>121</v>
      </c>
      <c r="E1343" s="2" t="s">
        <v>6960</v>
      </c>
      <c r="F1343" s="2" t="s">
        <v>6961</v>
      </c>
      <c r="G1343" s="2" t="s">
        <v>290</v>
      </c>
      <c r="H1343" s="2" t="s">
        <v>3905</v>
      </c>
      <c r="I1343" s="2" t="s">
        <v>92</v>
      </c>
      <c r="J1343" s="2" t="n">
        <v>-7.7503</v>
      </c>
      <c r="K1343" s="2" t="n">
        <v>110.4187</v>
      </c>
      <c r="L1343" s="2" t="s">
        <v>124</v>
      </c>
      <c r="M1343" s="2" t="s">
        <v>60</v>
      </c>
      <c r="N1343" s="2" t="s">
        <v>6962</v>
      </c>
      <c r="O1343" s="2" t="s">
        <v>6963</v>
      </c>
      <c r="P1343" s="2" t="s">
        <v>6964</v>
      </c>
      <c r="Q1343" s="2" t="s">
        <v>62</v>
      </c>
      <c r="R1343" s="2" t="n">
        <v>0.7</v>
      </c>
      <c r="S1343" s="2" t="s">
        <v>6965</v>
      </c>
      <c r="T1343" s="2" t="s">
        <v>6066</v>
      </c>
      <c r="U1343" s="2" t="s">
        <v>6966</v>
      </c>
      <c r="V1343" s="2" t="s">
        <v>6967</v>
      </c>
      <c r="W1343" s="2" t="s">
        <v>1654</v>
      </c>
      <c r="X1343" s="2" t="s">
        <v>507</v>
      </c>
    </row>
    <row r="1344" customFormat="false" ht="15" hidden="false" customHeight="false" outlineLevel="0" collapsed="false">
      <c r="A1344" s="2" t="n">
        <v>1596</v>
      </c>
      <c r="B1344" s="2" t="s">
        <v>6934</v>
      </c>
      <c r="C1344" s="2" t="s">
        <v>6959</v>
      </c>
      <c r="D1344" s="2" t="s">
        <v>121</v>
      </c>
      <c r="E1344" s="2" t="s">
        <v>6960</v>
      </c>
      <c r="F1344" s="2" t="s">
        <v>6961</v>
      </c>
      <c r="G1344" s="2" t="s">
        <v>290</v>
      </c>
      <c r="H1344" s="2" t="s">
        <v>3905</v>
      </c>
      <c r="I1344" s="2" t="s">
        <v>92</v>
      </c>
      <c r="J1344" s="2" t="n">
        <v>-7.7503</v>
      </c>
      <c r="K1344" s="2" t="n">
        <v>110.4187</v>
      </c>
      <c r="L1344" s="2" t="s">
        <v>124</v>
      </c>
      <c r="M1344" s="2" t="s">
        <v>60</v>
      </c>
      <c r="N1344" s="2" t="s">
        <v>6962</v>
      </c>
      <c r="O1344" s="2" t="s">
        <v>6968</v>
      </c>
      <c r="P1344" s="2" t="s">
        <v>6964</v>
      </c>
      <c r="Q1344" s="2" t="s">
        <v>62</v>
      </c>
      <c r="R1344" s="2" t="n">
        <v>0.7</v>
      </c>
      <c r="S1344" s="2" t="s">
        <v>6969</v>
      </c>
      <c r="T1344" s="2" t="s">
        <v>6970</v>
      </c>
      <c r="U1344" s="2" t="s">
        <v>6971</v>
      </c>
      <c r="V1344" s="2" t="s">
        <v>3212</v>
      </c>
      <c r="W1344" s="2" t="s">
        <v>1574</v>
      </c>
      <c r="X1344" s="2" t="s">
        <v>507</v>
      </c>
    </row>
    <row r="1345" customFormat="false" ht="15" hidden="false" customHeight="false" outlineLevel="0" collapsed="false">
      <c r="A1345" s="2" t="n">
        <v>1597</v>
      </c>
      <c r="B1345" s="2" t="s">
        <v>6934</v>
      </c>
      <c r="C1345" s="2" t="s">
        <v>6959</v>
      </c>
      <c r="D1345" s="2" t="s">
        <v>121</v>
      </c>
      <c r="E1345" s="2" t="s">
        <v>6960</v>
      </c>
      <c r="F1345" s="2" t="s">
        <v>6961</v>
      </c>
      <c r="G1345" s="2" t="s">
        <v>290</v>
      </c>
      <c r="H1345" s="2" t="s">
        <v>3905</v>
      </c>
      <c r="I1345" s="2" t="s">
        <v>92</v>
      </c>
      <c r="J1345" s="2" t="n">
        <v>-7.7503</v>
      </c>
      <c r="K1345" s="2" t="n">
        <v>110.4187</v>
      </c>
      <c r="L1345" s="2" t="s">
        <v>124</v>
      </c>
      <c r="M1345" s="2" t="s">
        <v>60</v>
      </c>
      <c r="N1345" s="2" t="s">
        <v>6962</v>
      </c>
      <c r="O1345" s="2" t="s">
        <v>6972</v>
      </c>
      <c r="P1345" s="2" t="s">
        <v>6964</v>
      </c>
      <c r="Q1345" s="2" t="s">
        <v>62</v>
      </c>
      <c r="R1345" s="2" t="n">
        <v>0.6</v>
      </c>
      <c r="S1345" s="2" t="s">
        <v>6973</v>
      </c>
      <c r="T1345" s="2" t="s">
        <v>6974</v>
      </c>
      <c r="U1345" s="2" t="s">
        <v>6975</v>
      </c>
      <c r="V1345" s="2" t="s">
        <v>6976</v>
      </c>
      <c r="W1345" s="2" t="s">
        <v>262</v>
      </c>
      <c r="X1345" s="2" t="s">
        <v>507</v>
      </c>
    </row>
    <row r="1346" customFormat="false" ht="15" hidden="false" customHeight="false" outlineLevel="0" collapsed="false">
      <c r="A1346" s="2" t="n">
        <v>1598</v>
      </c>
      <c r="B1346" s="2" t="s">
        <v>6934</v>
      </c>
      <c r="C1346" s="2" t="s">
        <v>6977</v>
      </c>
      <c r="D1346" s="2" t="s">
        <v>121</v>
      </c>
      <c r="E1346" s="2" t="s">
        <v>6960</v>
      </c>
      <c r="F1346" s="2" t="s">
        <v>6961</v>
      </c>
      <c r="G1346" s="2" t="s">
        <v>290</v>
      </c>
      <c r="H1346" s="2" t="s">
        <v>3905</v>
      </c>
      <c r="I1346" s="2" t="s">
        <v>92</v>
      </c>
      <c r="J1346" s="2" t="n">
        <v>-7.7503</v>
      </c>
      <c r="K1346" s="2" t="n">
        <v>110.4187</v>
      </c>
      <c r="L1346" s="2" t="s">
        <v>124</v>
      </c>
      <c r="M1346" s="2" t="s">
        <v>60</v>
      </c>
      <c r="N1346" s="2" t="s">
        <v>6962</v>
      </c>
      <c r="O1346" s="2" t="s">
        <v>6978</v>
      </c>
      <c r="P1346" s="2" t="s">
        <v>1001</v>
      </c>
      <c r="Q1346" s="2" t="s">
        <v>62</v>
      </c>
      <c r="R1346" s="2" t="n">
        <v>0.7</v>
      </c>
      <c r="S1346" s="2" t="s">
        <v>6979</v>
      </c>
      <c r="T1346" s="2" t="s">
        <v>6980</v>
      </c>
      <c r="U1346" s="2" t="s">
        <v>6981</v>
      </c>
      <c r="V1346" s="2" t="s">
        <v>745</v>
      </c>
      <c r="W1346" s="2" t="s">
        <v>1147</v>
      </c>
      <c r="X1346" s="2" t="s">
        <v>507</v>
      </c>
    </row>
    <row r="1347" customFormat="false" ht="15" hidden="false" customHeight="false" outlineLevel="0" collapsed="false">
      <c r="A1347" s="2" t="n">
        <v>1600</v>
      </c>
      <c r="B1347" s="2" t="s">
        <v>6934</v>
      </c>
      <c r="C1347" s="2" t="s">
        <v>6959</v>
      </c>
      <c r="D1347" s="2" t="s">
        <v>121</v>
      </c>
      <c r="E1347" s="2" t="s">
        <v>6960</v>
      </c>
      <c r="F1347" s="2" t="s">
        <v>6961</v>
      </c>
      <c r="G1347" s="2" t="s">
        <v>290</v>
      </c>
      <c r="H1347" s="2" t="s">
        <v>3905</v>
      </c>
      <c r="I1347" s="2" t="s">
        <v>92</v>
      </c>
      <c r="J1347" s="2" t="n">
        <v>-7.7503</v>
      </c>
      <c r="K1347" s="2" t="n">
        <v>110.4187</v>
      </c>
      <c r="L1347" s="2" t="s">
        <v>124</v>
      </c>
      <c r="M1347" s="2" t="s">
        <v>60</v>
      </c>
      <c r="N1347" s="2" t="s">
        <v>6962</v>
      </c>
      <c r="O1347" s="2" t="s">
        <v>6982</v>
      </c>
      <c r="P1347" s="2" t="s">
        <v>6964</v>
      </c>
      <c r="Q1347" s="2" t="s">
        <v>62</v>
      </c>
      <c r="R1347" s="2" t="n">
        <v>0.7</v>
      </c>
      <c r="S1347" s="2" t="s">
        <v>6983</v>
      </c>
      <c r="T1347" s="2" t="s">
        <v>6984</v>
      </c>
      <c r="U1347" s="2" t="s">
        <v>6985</v>
      </c>
      <c r="V1347" s="2" t="s">
        <v>6986</v>
      </c>
      <c r="W1347" s="2" t="s">
        <v>98</v>
      </c>
      <c r="X1347" s="2" t="s">
        <v>507</v>
      </c>
    </row>
    <row r="1348" customFormat="false" ht="15" hidden="false" customHeight="false" outlineLevel="0" collapsed="false">
      <c r="A1348" s="2" t="n">
        <v>1605</v>
      </c>
      <c r="B1348" s="2" t="s">
        <v>6934</v>
      </c>
      <c r="C1348" s="2" t="s">
        <v>6987</v>
      </c>
      <c r="D1348" s="2" t="s">
        <v>121</v>
      </c>
      <c r="E1348" s="2" t="s">
        <v>6988</v>
      </c>
      <c r="F1348" s="2" t="s">
        <v>6989</v>
      </c>
      <c r="G1348" s="2" t="s">
        <v>6990</v>
      </c>
      <c r="H1348" s="2" t="s">
        <v>3905</v>
      </c>
      <c r="I1348" s="2" t="s">
        <v>92</v>
      </c>
      <c r="J1348" s="2" t="n">
        <v>-7.735</v>
      </c>
      <c r="K1348" s="2" t="n">
        <v>110.255</v>
      </c>
      <c r="L1348" s="2" t="s">
        <v>59</v>
      </c>
      <c r="M1348" s="2" t="s">
        <v>60</v>
      </c>
      <c r="N1348" s="2"/>
      <c r="O1348" s="2" t="s">
        <v>6991</v>
      </c>
      <c r="P1348" s="2" t="s">
        <v>6992</v>
      </c>
      <c r="Q1348" s="2" t="s">
        <v>110</v>
      </c>
      <c r="R1348" s="2" t="n">
        <v>0.85</v>
      </c>
      <c r="S1348" s="2" t="s">
        <v>6993</v>
      </c>
      <c r="T1348" s="2" t="s">
        <v>6994</v>
      </c>
      <c r="U1348" s="2" t="s">
        <v>6995</v>
      </c>
      <c r="V1348" s="2" t="s">
        <v>6996</v>
      </c>
      <c r="W1348" s="2" t="s">
        <v>795</v>
      </c>
      <c r="X1348" s="2" t="s">
        <v>507</v>
      </c>
    </row>
    <row r="1349" customFormat="false" ht="15" hidden="false" customHeight="false" outlineLevel="0" collapsed="false">
      <c r="A1349" s="2" t="n">
        <v>1605</v>
      </c>
      <c r="B1349" s="2" t="s">
        <v>6934</v>
      </c>
      <c r="C1349" s="2" t="s">
        <v>6997</v>
      </c>
      <c r="D1349" s="2" t="s">
        <v>351</v>
      </c>
      <c r="E1349" s="2" t="s">
        <v>6998</v>
      </c>
      <c r="F1349" s="2" t="s">
        <v>6989</v>
      </c>
      <c r="G1349" s="2" t="s">
        <v>6990</v>
      </c>
      <c r="H1349" s="2" t="s">
        <v>3905</v>
      </c>
      <c r="I1349" s="2" t="s">
        <v>92</v>
      </c>
      <c r="J1349" s="2" t="n">
        <v>-7.735</v>
      </c>
      <c r="K1349" s="2" t="n">
        <v>110.255</v>
      </c>
      <c r="L1349" s="2" t="s">
        <v>59</v>
      </c>
      <c r="M1349" s="2" t="s">
        <v>60</v>
      </c>
      <c r="N1349" s="2"/>
      <c r="O1349" s="2" t="s">
        <v>6999</v>
      </c>
      <c r="P1349" s="2"/>
      <c r="Q1349" s="2" t="s">
        <v>110</v>
      </c>
      <c r="R1349" s="2" t="n">
        <v>0.55</v>
      </c>
      <c r="S1349" s="2" t="s">
        <v>6993</v>
      </c>
      <c r="T1349" s="2" t="s">
        <v>6994</v>
      </c>
      <c r="U1349" s="2" t="s">
        <v>6995</v>
      </c>
      <c r="V1349" s="2" t="s">
        <v>6996</v>
      </c>
      <c r="W1349" s="2" t="s">
        <v>795</v>
      </c>
      <c r="X1349" s="2" t="s">
        <v>507</v>
      </c>
    </row>
    <row r="1350" customFormat="false" ht="15" hidden="false" customHeight="false" outlineLevel="0" collapsed="false">
      <c r="A1350" s="2" t="n">
        <v>1610</v>
      </c>
      <c r="B1350" s="2" t="s">
        <v>6934</v>
      </c>
      <c r="C1350" s="2" t="s">
        <v>7000</v>
      </c>
      <c r="D1350" s="2" t="s">
        <v>121</v>
      </c>
      <c r="E1350" s="2" t="s">
        <v>7001</v>
      </c>
      <c r="F1350" s="2" t="s">
        <v>7002</v>
      </c>
      <c r="G1350" s="2" t="s">
        <v>7003</v>
      </c>
      <c r="H1350" s="2" t="s">
        <v>3905</v>
      </c>
      <c r="I1350" s="2" t="s">
        <v>92</v>
      </c>
      <c r="J1350" s="2" t="n">
        <v>-7.69</v>
      </c>
      <c r="K1350" s="2" t="n">
        <v>110.34</v>
      </c>
      <c r="L1350" s="2" t="s">
        <v>59</v>
      </c>
      <c r="M1350" s="2" t="s">
        <v>60</v>
      </c>
      <c r="N1350" s="2" t="s">
        <v>7004</v>
      </c>
      <c r="O1350" s="2" t="s">
        <v>7005</v>
      </c>
      <c r="P1350" s="2" t="s">
        <v>7006</v>
      </c>
      <c r="Q1350" s="2" t="s">
        <v>62</v>
      </c>
      <c r="R1350" s="2" t="n">
        <v>0.55</v>
      </c>
      <c r="S1350" s="2" t="s">
        <v>7007</v>
      </c>
      <c r="T1350" s="2" t="s">
        <v>95</v>
      </c>
      <c r="U1350" s="2" t="s">
        <v>7008</v>
      </c>
      <c r="V1350" s="2" t="s">
        <v>7009</v>
      </c>
      <c r="W1350" s="2" t="s">
        <v>283</v>
      </c>
      <c r="X1350" s="2" t="s">
        <v>507</v>
      </c>
    </row>
    <row r="1351" customFormat="false" ht="15" hidden="false" customHeight="false" outlineLevel="0" collapsed="false">
      <c r="A1351" s="2" t="n">
        <v>1611</v>
      </c>
      <c r="B1351" s="2" t="s">
        <v>6934</v>
      </c>
      <c r="C1351" s="2" t="s">
        <v>7010</v>
      </c>
      <c r="D1351" s="2" t="s">
        <v>121</v>
      </c>
      <c r="E1351" s="2" t="s">
        <v>7011</v>
      </c>
      <c r="F1351" s="2"/>
      <c r="G1351" s="2" t="s">
        <v>7012</v>
      </c>
      <c r="H1351" s="2" t="s">
        <v>3905</v>
      </c>
      <c r="I1351" s="2" t="s">
        <v>92</v>
      </c>
      <c r="J1351" s="2" t="n">
        <v>-7.77</v>
      </c>
      <c r="K1351" s="2" t="n">
        <v>110.29</v>
      </c>
      <c r="L1351" s="2" t="s">
        <v>84</v>
      </c>
      <c r="M1351" s="2" t="s">
        <v>60</v>
      </c>
      <c r="N1351" s="2" t="s">
        <v>7013</v>
      </c>
      <c r="O1351" s="2" t="s">
        <v>7014</v>
      </c>
      <c r="P1351" s="2" t="s">
        <v>5484</v>
      </c>
      <c r="Q1351" s="2" t="s">
        <v>62</v>
      </c>
      <c r="R1351" s="2" t="n">
        <v>0.5</v>
      </c>
      <c r="S1351" s="2" t="s">
        <v>7015</v>
      </c>
      <c r="T1351" s="2" t="s">
        <v>7016</v>
      </c>
      <c r="U1351" s="2" t="s">
        <v>7017</v>
      </c>
      <c r="V1351" s="2" t="s">
        <v>7018</v>
      </c>
      <c r="W1351" s="2" t="s">
        <v>1045</v>
      </c>
      <c r="X1351" s="2" t="s">
        <v>507</v>
      </c>
    </row>
    <row r="1352" customFormat="false" ht="15" hidden="false" customHeight="false" outlineLevel="0" collapsed="false">
      <c r="A1352" s="2" t="n">
        <v>1616</v>
      </c>
      <c r="B1352" s="2" t="s">
        <v>6934</v>
      </c>
      <c r="C1352" s="2" t="s">
        <v>7019</v>
      </c>
      <c r="D1352" s="2" t="s">
        <v>134</v>
      </c>
      <c r="E1352" s="2" t="s">
        <v>3598</v>
      </c>
      <c r="F1352" s="2"/>
      <c r="G1352" s="2"/>
      <c r="H1352" s="2" t="s">
        <v>3593</v>
      </c>
      <c r="I1352" s="2" t="s">
        <v>172</v>
      </c>
      <c r="J1352" s="2" t="n">
        <v>-7.005</v>
      </c>
      <c r="K1352" s="2" t="n">
        <v>110.438</v>
      </c>
      <c r="L1352" s="2" t="s">
        <v>101</v>
      </c>
      <c r="M1352" s="2" t="s">
        <v>60</v>
      </c>
      <c r="N1352" s="2"/>
      <c r="O1352" s="2" t="s">
        <v>7020</v>
      </c>
      <c r="P1352" s="2"/>
      <c r="Q1352" s="2" t="s">
        <v>62</v>
      </c>
      <c r="R1352" s="2" t="n">
        <v>0.7</v>
      </c>
      <c r="S1352" s="2" t="s">
        <v>7021</v>
      </c>
      <c r="T1352" s="2" t="s">
        <v>243</v>
      </c>
      <c r="U1352" s="2" t="s">
        <v>7022</v>
      </c>
      <c r="V1352" s="2" t="s">
        <v>7023</v>
      </c>
      <c r="W1352" s="2" t="s">
        <v>421</v>
      </c>
      <c r="X1352" s="2" t="s">
        <v>507</v>
      </c>
    </row>
    <row r="1353" customFormat="false" ht="15" hidden="false" customHeight="false" outlineLevel="0" collapsed="false">
      <c r="A1353" s="2" t="n">
        <v>1616</v>
      </c>
      <c r="B1353" s="2" t="s">
        <v>6934</v>
      </c>
      <c r="C1353" s="2" t="s">
        <v>7024</v>
      </c>
      <c r="D1353" s="2" t="s">
        <v>134</v>
      </c>
      <c r="E1353" s="2" t="s">
        <v>3598</v>
      </c>
      <c r="F1353" s="2"/>
      <c r="G1353" s="2"/>
      <c r="H1353" s="2" t="s">
        <v>3593</v>
      </c>
      <c r="I1353" s="2" t="s">
        <v>172</v>
      </c>
      <c r="J1353" s="2" t="n">
        <v>-7.005</v>
      </c>
      <c r="K1353" s="2" t="n">
        <v>110.438</v>
      </c>
      <c r="L1353" s="2" t="s">
        <v>101</v>
      </c>
      <c r="M1353" s="2" t="s">
        <v>60</v>
      </c>
      <c r="N1353" s="2"/>
      <c r="O1353" s="2" t="s">
        <v>7025</v>
      </c>
      <c r="P1353" s="2"/>
      <c r="Q1353" s="2" t="s">
        <v>62</v>
      </c>
      <c r="R1353" s="2" t="n">
        <v>0.7</v>
      </c>
      <c r="S1353" s="2" t="s">
        <v>7021</v>
      </c>
      <c r="T1353" s="2" t="s">
        <v>243</v>
      </c>
      <c r="U1353" s="2" t="s">
        <v>7022</v>
      </c>
      <c r="V1353" s="2" t="s">
        <v>7023</v>
      </c>
      <c r="W1353" s="2" t="s">
        <v>421</v>
      </c>
      <c r="X1353" s="2" t="s">
        <v>507</v>
      </c>
    </row>
    <row r="1354" customFormat="false" ht="15" hidden="false" customHeight="false" outlineLevel="0" collapsed="false">
      <c r="A1354" s="2" t="n">
        <v>1617</v>
      </c>
      <c r="B1354" s="2" t="s">
        <v>6934</v>
      </c>
      <c r="C1354" s="2" t="s">
        <v>3680</v>
      </c>
      <c r="D1354" s="2" t="s">
        <v>53</v>
      </c>
      <c r="E1354" s="2" t="s">
        <v>7026</v>
      </c>
      <c r="F1354" s="2"/>
      <c r="G1354" s="2" t="s">
        <v>7027</v>
      </c>
      <c r="H1354" s="2" t="s">
        <v>3593</v>
      </c>
      <c r="I1354" s="2" t="s">
        <v>172</v>
      </c>
      <c r="J1354" s="2" t="n">
        <v>-6.998</v>
      </c>
      <c r="K1354" s="2" t="n">
        <v>110.432</v>
      </c>
      <c r="L1354" s="2" t="s">
        <v>84</v>
      </c>
      <c r="M1354" s="2" t="s">
        <v>60</v>
      </c>
      <c r="N1354" s="2" t="s">
        <v>7028</v>
      </c>
      <c r="O1354" s="2" t="s">
        <v>7029</v>
      </c>
      <c r="P1354" s="2"/>
      <c r="Q1354" s="2" t="s">
        <v>62</v>
      </c>
      <c r="R1354" s="2" t="n">
        <v>0.7</v>
      </c>
      <c r="S1354" s="2" t="s">
        <v>7030</v>
      </c>
      <c r="T1354" s="2" t="s">
        <v>418</v>
      </c>
      <c r="U1354" s="2" t="s">
        <v>7031</v>
      </c>
      <c r="V1354" s="2" t="s">
        <v>745</v>
      </c>
      <c r="W1354" s="2" t="s">
        <v>2594</v>
      </c>
      <c r="X1354" s="2" t="s">
        <v>507</v>
      </c>
    </row>
    <row r="1355" customFormat="false" ht="15" hidden="false" customHeight="false" outlineLevel="0" collapsed="false">
      <c r="A1355" s="2" t="n">
        <v>1617</v>
      </c>
      <c r="B1355" s="2" t="s">
        <v>6934</v>
      </c>
      <c r="C1355" s="2" t="s">
        <v>7032</v>
      </c>
      <c r="D1355" s="2" t="s">
        <v>53</v>
      </c>
      <c r="E1355" s="2" t="s">
        <v>7033</v>
      </c>
      <c r="F1355" s="2" t="s">
        <v>7034</v>
      </c>
      <c r="G1355" s="2" t="s">
        <v>7027</v>
      </c>
      <c r="H1355" s="2" t="s">
        <v>3593</v>
      </c>
      <c r="I1355" s="2" t="s">
        <v>172</v>
      </c>
      <c r="J1355" s="2" t="n">
        <v>-6.995</v>
      </c>
      <c r="K1355" s="2" t="n">
        <v>110.44</v>
      </c>
      <c r="L1355" s="2" t="s">
        <v>59</v>
      </c>
      <c r="M1355" s="2" t="s">
        <v>60</v>
      </c>
      <c r="N1355" s="2"/>
      <c r="O1355" s="2" t="s">
        <v>7035</v>
      </c>
      <c r="P1355" s="2"/>
      <c r="Q1355" s="2" t="s">
        <v>62</v>
      </c>
      <c r="R1355" s="2" t="n">
        <v>0.7</v>
      </c>
      <c r="S1355" s="2" t="s">
        <v>7030</v>
      </c>
      <c r="T1355" s="2" t="s">
        <v>418</v>
      </c>
      <c r="U1355" s="2" t="s">
        <v>7031</v>
      </c>
      <c r="V1355" s="2" t="s">
        <v>745</v>
      </c>
      <c r="W1355" s="2" t="s">
        <v>2594</v>
      </c>
      <c r="X1355" s="2" t="s">
        <v>507</v>
      </c>
    </row>
    <row r="1356" customFormat="false" ht="15" hidden="false" customHeight="false" outlineLevel="0" collapsed="false">
      <c r="A1356" s="2" t="n">
        <v>1618</v>
      </c>
      <c r="B1356" s="2" t="s">
        <v>6934</v>
      </c>
      <c r="C1356" s="2" t="s">
        <v>7036</v>
      </c>
      <c r="D1356" s="2" t="s">
        <v>53</v>
      </c>
      <c r="E1356" s="2" t="s">
        <v>7037</v>
      </c>
      <c r="F1356" s="2"/>
      <c r="G1356" s="2"/>
      <c r="H1356" s="2" t="s">
        <v>3593</v>
      </c>
      <c r="I1356" s="2" t="s">
        <v>172</v>
      </c>
      <c r="J1356" s="2" t="n">
        <v>-7.005</v>
      </c>
      <c r="K1356" s="2" t="n">
        <v>110.438</v>
      </c>
      <c r="L1356" s="2" t="s">
        <v>101</v>
      </c>
      <c r="M1356" s="2" t="s">
        <v>60</v>
      </c>
      <c r="N1356" s="2" t="s">
        <v>7038</v>
      </c>
      <c r="O1356" s="2" t="s">
        <v>7039</v>
      </c>
      <c r="P1356" s="2"/>
      <c r="Q1356" s="2" t="s">
        <v>62</v>
      </c>
      <c r="R1356" s="2" t="n">
        <v>0.8</v>
      </c>
      <c r="S1356" s="2" t="s">
        <v>7040</v>
      </c>
      <c r="T1356" s="2" t="s">
        <v>64</v>
      </c>
      <c r="U1356" s="2" t="s">
        <v>7041</v>
      </c>
      <c r="V1356" s="2" t="s">
        <v>696</v>
      </c>
      <c r="W1356" s="2" t="s">
        <v>2149</v>
      </c>
      <c r="X1356" s="2" t="s">
        <v>507</v>
      </c>
    </row>
    <row r="1357" customFormat="false" ht="15" hidden="false" customHeight="false" outlineLevel="0" collapsed="false">
      <c r="A1357" s="2" t="n">
        <v>1619</v>
      </c>
      <c r="B1357" s="2" t="s">
        <v>6934</v>
      </c>
      <c r="C1357" s="2" t="s">
        <v>7042</v>
      </c>
      <c r="D1357" s="2" t="s">
        <v>53</v>
      </c>
      <c r="E1357" s="2" t="s">
        <v>3598</v>
      </c>
      <c r="F1357" s="2"/>
      <c r="G1357" s="2"/>
      <c r="H1357" s="2" t="s">
        <v>3593</v>
      </c>
      <c r="I1357" s="2" t="s">
        <v>172</v>
      </c>
      <c r="J1357" s="2" t="n">
        <v>-7.005</v>
      </c>
      <c r="K1357" s="2" t="n">
        <v>110.438</v>
      </c>
      <c r="L1357" s="2" t="s">
        <v>101</v>
      </c>
      <c r="M1357" s="2" t="s">
        <v>60</v>
      </c>
      <c r="N1357" s="2"/>
      <c r="O1357" s="2" t="s">
        <v>7043</v>
      </c>
      <c r="P1357" s="2"/>
      <c r="Q1357" s="2" t="s">
        <v>62</v>
      </c>
      <c r="R1357" s="2" t="n">
        <v>0.5</v>
      </c>
      <c r="S1357" s="2" t="s">
        <v>7044</v>
      </c>
      <c r="T1357" s="2" t="s">
        <v>176</v>
      </c>
      <c r="U1357" s="2" t="s">
        <v>7045</v>
      </c>
      <c r="V1357" s="2" t="s">
        <v>6996</v>
      </c>
      <c r="W1357" s="2" t="s">
        <v>262</v>
      </c>
      <c r="X1357" s="2" t="s">
        <v>507</v>
      </c>
    </row>
    <row r="1358" customFormat="false" ht="15" hidden="false" customHeight="false" outlineLevel="0" collapsed="false">
      <c r="A1358" s="2" t="n">
        <v>1620</v>
      </c>
      <c r="B1358" s="2" t="s">
        <v>7046</v>
      </c>
      <c r="C1358" s="2" t="s">
        <v>7047</v>
      </c>
      <c r="D1358" s="2" t="s">
        <v>351</v>
      </c>
      <c r="E1358" s="2" t="s">
        <v>7048</v>
      </c>
      <c r="F1358" s="2" t="s">
        <v>7049</v>
      </c>
      <c r="G1358" s="2" t="s">
        <v>3592</v>
      </c>
      <c r="H1358" s="2" t="s">
        <v>3593</v>
      </c>
      <c r="I1358" s="2" t="s">
        <v>172</v>
      </c>
      <c r="J1358" s="2" t="n">
        <v>-6.975</v>
      </c>
      <c r="K1358" s="2" t="n">
        <v>110.428</v>
      </c>
      <c r="L1358" s="2" t="s">
        <v>59</v>
      </c>
      <c r="M1358" s="2" t="s">
        <v>60</v>
      </c>
      <c r="N1358" s="2"/>
      <c r="O1358" s="2" t="s">
        <v>7050</v>
      </c>
      <c r="P1358" s="2" t="s">
        <v>3836</v>
      </c>
      <c r="Q1358" s="2" t="s">
        <v>62</v>
      </c>
      <c r="R1358" s="2" t="n">
        <v>0.8</v>
      </c>
      <c r="S1358" s="2" t="s">
        <v>7051</v>
      </c>
      <c r="T1358" s="2" t="s">
        <v>7052</v>
      </c>
      <c r="U1358" s="2" t="s">
        <v>7053</v>
      </c>
      <c r="V1358" s="2" t="s">
        <v>7054</v>
      </c>
      <c r="W1358" s="2" t="s">
        <v>231</v>
      </c>
      <c r="X1358" s="2" t="s">
        <v>507</v>
      </c>
    </row>
    <row r="1359" customFormat="false" ht="15" hidden="false" customHeight="false" outlineLevel="0" collapsed="false">
      <c r="A1359" s="2" t="n">
        <v>1622</v>
      </c>
      <c r="B1359" s="2" t="s">
        <v>7046</v>
      </c>
      <c r="C1359" s="2" t="s">
        <v>3841</v>
      </c>
      <c r="D1359" s="2" t="s">
        <v>351</v>
      </c>
      <c r="E1359" s="2" t="s">
        <v>3598</v>
      </c>
      <c r="F1359" s="2" t="s">
        <v>3842</v>
      </c>
      <c r="G1359" s="2" t="s">
        <v>3843</v>
      </c>
      <c r="H1359" s="2" t="s">
        <v>3593</v>
      </c>
      <c r="I1359" s="2" t="s">
        <v>172</v>
      </c>
      <c r="J1359" s="2" t="n">
        <v>-6.9681</v>
      </c>
      <c r="K1359" s="2" t="n">
        <v>110.427</v>
      </c>
      <c r="L1359" s="2" t="s">
        <v>124</v>
      </c>
      <c r="M1359" s="2" t="s">
        <v>60</v>
      </c>
      <c r="N1359" s="2"/>
      <c r="O1359" s="2" t="s">
        <v>7055</v>
      </c>
      <c r="P1359" s="2"/>
      <c r="Q1359" s="2" t="s">
        <v>62</v>
      </c>
      <c r="R1359" s="2" t="n">
        <v>0.75</v>
      </c>
      <c r="S1359" s="2" t="s">
        <v>7056</v>
      </c>
      <c r="T1359" s="2" t="s">
        <v>95</v>
      </c>
      <c r="U1359" s="2" t="s">
        <v>7057</v>
      </c>
      <c r="V1359" s="2" t="s">
        <v>4299</v>
      </c>
      <c r="W1359" s="2" t="s">
        <v>1750</v>
      </c>
      <c r="X1359" s="2" t="s">
        <v>507</v>
      </c>
    </row>
    <row r="1360" customFormat="false" ht="15" hidden="false" customHeight="false" outlineLevel="0" collapsed="false">
      <c r="A1360" s="2" t="n">
        <v>1622</v>
      </c>
      <c r="B1360" s="2" t="s">
        <v>7046</v>
      </c>
      <c r="C1360" s="2" t="s">
        <v>7058</v>
      </c>
      <c r="D1360" s="2" t="s">
        <v>1130</v>
      </c>
      <c r="E1360" s="2" t="s">
        <v>3598</v>
      </c>
      <c r="F1360" s="2" t="s">
        <v>3866</v>
      </c>
      <c r="G1360" s="2" t="s">
        <v>3592</v>
      </c>
      <c r="H1360" s="2" t="s">
        <v>3593</v>
      </c>
      <c r="I1360" s="2" t="s">
        <v>172</v>
      </c>
      <c r="J1360" s="2" t="n">
        <v>-6.9839</v>
      </c>
      <c r="K1360" s="2" t="n">
        <v>110.4104</v>
      </c>
      <c r="L1360" s="2" t="s">
        <v>124</v>
      </c>
      <c r="M1360" s="2" t="s">
        <v>60</v>
      </c>
      <c r="N1360" s="2"/>
      <c r="O1360" s="2" t="s">
        <v>7059</v>
      </c>
      <c r="P1360" s="2"/>
      <c r="Q1360" s="2" t="s">
        <v>62</v>
      </c>
      <c r="R1360" s="2" t="n">
        <v>0.75</v>
      </c>
      <c r="S1360" s="2" t="s">
        <v>7056</v>
      </c>
      <c r="T1360" s="2" t="s">
        <v>95</v>
      </c>
      <c r="U1360" s="2" t="s">
        <v>7057</v>
      </c>
      <c r="V1360" s="2" t="s">
        <v>4299</v>
      </c>
      <c r="W1360" s="2" t="s">
        <v>1750</v>
      </c>
      <c r="X1360" s="2" t="s">
        <v>507</v>
      </c>
    </row>
    <row r="1361" customFormat="false" ht="15" hidden="false" customHeight="false" outlineLevel="0" collapsed="false">
      <c r="A1361" s="2" t="n">
        <v>1622</v>
      </c>
      <c r="B1361" s="2" t="s">
        <v>7046</v>
      </c>
      <c r="C1361" s="2" t="s">
        <v>7060</v>
      </c>
      <c r="D1361" s="2" t="s">
        <v>351</v>
      </c>
      <c r="E1361" s="2" t="s">
        <v>3598</v>
      </c>
      <c r="F1361" s="2" t="s">
        <v>7061</v>
      </c>
      <c r="G1361" s="2" t="s">
        <v>3834</v>
      </c>
      <c r="H1361" s="2" t="s">
        <v>3593</v>
      </c>
      <c r="I1361" s="2" t="s">
        <v>172</v>
      </c>
      <c r="J1361" s="2" t="n">
        <v>-6.9962</v>
      </c>
      <c r="K1361" s="2" t="n">
        <v>110.3982</v>
      </c>
      <c r="L1361" s="2" t="s">
        <v>124</v>
      </c>
      <c r="M1361" s="2" t="s">
        <v>60</v>
      </c>
      <c r="N1361" s="2"/>
      <c r="O1361" s="2" t="s">
        <v>7062</v>
      </c>
      <c r="P1361" s="2"/>
      <c r="Q1361" s="2" t="s">
        <v>62</v>
      </c>
      <c r="R1361" s="2" t="n">
        <v>0.7</v>
      </c>
      <c r="S1361" s="2" t="s">
        <v>7056</v>
      </c>
      <c r="T1361" s="2" t="s">
        <v>95</v>
      </c>
      <c r="U1361" s="2" t="s">
        <v>7057</v>
      </c>
      <c r="V1361" s="2" t="s">
        <v>4299</v>
      </c>
      <c r="W1361" s="2" t="s">
        <v>1750</v>
      </c>
      <c r="X1361" s="2" t="s">
        <v>507</v>
      </c>
    </row>
    <row r="1362" customFormat="false" ht="15" hidden="false" customHeight="false" outlineLevel="0" collapsed="false">
      <c r="A1362" s="2" t="n">
        <v>1622</v>
      </c>
      <c r="B1362" s="2" t="s">
        <v>7046</v>
      </c>
      <c r="C1362" s="2" t="s">
        <v>7063</v>
      </c>
      <c r="D1362" s="2" t="s">
        <v>1140</v>
      </c>
      <c r="E1362" s="2" t="s">
        <v>1062</v>
      </c>
      <c r="F1362" s="2" t="s">
        <v>7064</v>
      </c>
      <c r="G1362" s="2" t="s">
        <v>7065</v>
      </c>
      <c r="H1362" s="2" t="s">
        <v>1062</v>
      </c>
      <c r="I1362" s="2" t="s">
        <v>172</v>
      </c>
      <c r="J1362" s="2" t="n">
        <v>-7.265</v>
      </c>
      <c r="K1362" s="2" t="n">
        <v>110.47</v>
      </c>
      <c r="L1362" s="2" t="s">
        <v>84</v>
      </c>
      <c r="M1362" s="2" t="s">
        <v>60</v>
      </c>
      <c r="N1362" s="2"/>
      <c r="O1362" s="2" t="s">
        <v>7066</v>
      </c>
      <c r="P1362" s="2"/>
      <c r="Q1362" s="2" t="s">
        <v>62</v>
      </c>
      <c r="R1362" s="2" t="n">
        <v>0.8</v>
      </c>
      <c r="S1362" s="2" t="s">
        <v>7056</v>
      </c>
      <c r="T1362" s="2" t="s">
        <v>95</v>
      </c>
      <c r="U1362" s="2" t="s">
        <v>7057</v>
      </c>
      <c r="V1362" s="2" t="s">
        <v>4299</v>
      </c>
      <c r="W1362" s="2" t="s">
        <v>1750</v>
      </c>
      <c r="X1362" s="2" t="s">
        <v>507</v>
      </c>
    </row>
    <row r="1363" customFormat="false" ht="15" hidden="false" customHeight="false" outlineLevel="0" collapsed="false">
      <c r="A1363" s="2" t="n">
        <v>1622</v>
      </c>
      <c r="B1363" s="2" t="s">
        <v>7046</v>
      </c>
      <c r="C1363" s="2" t="s">
        <v>7067</v>
      </c>
      <c r="D1363" s="2" t="s">
        <v>410</v>
      </c>
      <c r="E1363" s="2" t="s">
        <v>7068</v>
      </c>
      <c r="F1363" s="2"/>
      <c r="G1363" s="2" t="s">
        <v>7069</v>
      </c>
      <c r="H1363" s="2" t="s">
        <v>1062</v>
      </c>
      <c r="I1363" s="2" t="s">
        <v>172</v>
      </c>
      <c r="J1363" s="2" t="n">
        <v>-7.245</v>
      </c>
      <c r="K1363" s="2" t="n">
        <v>110.43</v>
      </c>
      <c r="L1363" s="2" t="s">
        <v>84</v>
      </c>
      <c r="M1363" s="2" t="s">
        <v>60</v>
      </c>
      <c r="N1363" s="2"/>
      <c r="O1363" s="2" t="s">
        <v>7070</v>
      </c>
      <c r="P1363" s="2"/>
      <c r="Q1363" s="2" t="s">
        <v>110</v>
      </c>
      <c r="R1363" s="2" t="n">
        <v>0.75</v>
      </c>
      <c r="S1363" s="2" t="s">
        <v>7056</v>
      </c>
      <c r="T1363" s="2" t="s">
        <v>95</v>
      </c>
      <c r="U1363" s="2" t="s">
        <v>7057</v>
      </c>
      <c r="V1363" s="2" t="s">
        <v>4299</v>
      </c>
      <c r="W1363" s="2" t="s">
        <v>1750</v>
      </c>
      <c r="X1363" s="2" t="s">
        <v>507</v>
      </c>
    </row>
    <row r="1364" customFormat="false" ht="15" hidden="false" customHeight="false" outlineLevel="0" collapsed="false">
      <c r="A1364" s="2" t="n">
        <v>1623</v>
      </c>
      <c r="B1364" s="2" t="s">
        <v>7046</v>
      </c>
      <c r="C1364" s="2" t="s">
        <v>7071</v>
      </c>
      <c r="D1364" s="2" t="s">
        <v>351</v>
      </c>
      <c r="E1364" s="2" t="s">
        <v>7072</v>
      </c>
      <c r="F1364" s="2" t="s">
        <v>7073</v>
      </c>
      <c r="G1364" s="2" t="s">
        <v>7027</v>
      </c>
      <c r="H1364" s="2" t="s">
        <v>3593</v>
      </c>
      <c r="I1364" s="2" t="s">
        <v>172</v>
      </c>
      <c r="J1364" s="2" t="n">
        <v>-6.99</v>
      </c>
      <c r="K1364" s="2" t="n">
        <v>110.41</v>
      </c>
      <c r="L1364" s="2" t="s">
        <v>59</v>
      </c>
      <c r="M1364" s="2" t="s">
        <v>60</v>
      </c>
      <c r="N1364" s="2"/>
      <c r="O1364" s="2" t="s">
        <v>7074</v>
      </c>
      <c r="P1364" s="2"/>
      <c r="Q1364" s="2" t="s">
        <v>62</v>
      </c>
      <c r="R1364" s="2" t="n">
        <v>0.7</v>
      </c>
      <c r="S1364" s="2" t="s">
        <v>7075</v>
      </c>
      <c r="T1364" s="2" t="s">
        <v>492</v>
      </c>
      <c r="U1364" s="2" t="s">
        <v>7076</v>
      </c>
      <c r="V1364" s="2" t="s">
        <v>7054</v>
      </c>
      <c r="W1364" s="2" t="s">
        <v>2168</v>
      </c>
      <c r="X1364" s="2" t="s">
        <v>507</v>
      </c>
    </row>
    <row r="1365" customFormat="false" ht="15" hidden="false" customHeight="false" outlineLevel="0" collapsed="false">
      <c r="A1365" s="2" t="n">
        <v>1623</v>
      </c>
      <c r="B1365" s="2" t="s">
        <v>7046</v>
      </c>
      <c r="C1365" s="2" t="s">
        <v>7077</v>
      </c>
      <c r="D1365" s="2" t="s">
        <v>351</v>
      </c>
      <c r="E1365" s="2" t="s">
        <v>7078</v>
      </c>
      <c r="F1365" s="2" t="s">
        <v>7079</v>
      </c>
      <c r="G1365" s="2" t="s">
        <v>7080</v>
      </c>
      <c r="H1365" s="2" t="s">
        <v>3593</v>
      </c>
      <c r="I1365" s="2" t="s">
        <v>172</v>
      </c>
      <c r="J1365" s="2" t="n">
        <v>-6.97</v>
      </c>
      <c r="K1365" s="2" t="n">
        <v>110.432</v>
      </c>
      <c r="L1365" s="2" t="s">
        <v>59</v>
      </c>
      <c r="M1365" s="2" t="s">
        <v>60</v>
      </c>
      <c r="N1365" s="2"/>
      <c r="O1365" s="2" t="s">
        <v>7081</v>
      </c>
      <c r="P1365" s="2"/>
      <c r="Q1365" s="2" t="s">
        <v>62</v>
      </c>
      <c r="R1365" s="2" t="n">
        <v>0.7</v>
      </c>
      <c r="S1365" s="2" t="s">
        <v>7075</v>
      </c>
      <c r="T1365" s="2" t="s">
        <v>492</v>
      </c>
      <c r="U1365" s="2" t="s">
        <v>7076</v>
      </c>
      <c r="V1365" s="2" t="s">
        <v>7054</v>
      </c>
      <c r="W1365" s="2" t="s">
        <v>2168</v>
      </c>
      <c r="X1365" s="2" t="s">
        <v>507</v>
      </c>
    </row>
    <row r="1366" customFormat="false" ht="15" hidden="false" customHeight="false" outlineLevel="0" collapsed="false">
      <c r="A1366" s="2" t="n">
        <v>1623</v>
      </c>
      <c r="B1366" s="2" t="s">
        <v>7046</v>
      </c>
      <c r="C1366" s="2" t="s">
        <v>7058</v>
      </c>
      <c r="D1366" s="2" t="s">
        <v>1130</v>
      </c>
      <c r="E1366" s="2" t="s">
        <v>7082</v>
      </c>
      <c r="F1366" s="2" t="s">
        <v>3866</v>
      </c>
      <c r="G1366" s="2" t="s">
        <v>3592</v>
      </c>
      <c r="H1366" s="2" t="s">
        <v>3593</v>
      </c>
      <c r="I1366" s="2" t="s">
        <v>172</v>
      </c>
      <c r="J1366" s="2" t="n">
        <v>-6.9839</v>
      </c>
      <c r="K1366" s="2" t="n">
        <v>110.4104</v>
      </c>
      <c r="L1366" s="2" t="s">
        <v>124</v>
      </c>
      <c r="M1366" s="2" t="s">
        <v>60</v>
      </c>
      <c r="N1366" s="2"/>
      <c r="O1366" s="2" t="s">
        <v>7083</v>
      </c>
      <c r="P1366" s="2"/>
      <c r="Q1366" s="2" t="s">
        <v>62</v>
      </c>
      <c r="R1366" s="2" t="n">
        <v>0.7</v>
      </c>
      <c r="S1366" s="2" t="s">
        <v>7075</v>
      </c>
      <c r="T1366" s="2" t="s">
        <v>492</v>
      </c>
      <c r="U1366" s="2" t="s">
        <v>7076</v>
      </c>
      <c r="V1366" s="2" t="s">
        <v>7054</v>
      </c>
      <c r="W1366" s="2" t="s">
        <v>2168</v>
      </c>
      <c r="X1366" s="2" t="s">
        <v>507</v>
      </c>
    </row>
    <row r="1367" customFormat="false" ht="15" hidden="false" customHeight="false" outlineLevel="0" collapsed="false">
      <c r="A1367" s="2" t="n">
        <v>1625</v>
      </c>
      <c r="B1367" s="2" t="s">
        <v>7046</v>
      </c>
      <c r="C1367" s="2" t="s">
        <v>7084</v>
      </c>
      <c r="D1367" s="2" t="s">
        <v>410</v>
      </c>
      <c r="E1367" s="2" t="s">
        <v>7085</v>
      </c>
      <c r="F1367" s="2" t="s">
        <v>7086</v>
      </c>
      <c r="G1367" s="2" t="s">
        <v>7087</v>
      </c>
      <c r="H1367" s="2" t="s">
        <v>3593</v>
      </c>
      <c r="I1367" s="2" t="s">
        <v>172</v>
      </c>
      <c r="J1367" s="2" t="n">
        <v>-6.957</v>
      </c>
      <c r="K1367" s="2" t="n">
        <v>110.345</v>
      </c>
      <c r="L1367" s="2" t="s">
        <v>59</v>
      </c>
      <c r="M1367" s="2" t="s">
        <v>60</v>
      </c>
      <c r="N1367" s="2"/>
      <c r="O1367" s="2" t="s">
        <v>7088</v>
      </c>
      <c r="P1367" s="2"/>
      <c r="Q1367" s="2" t="s">
        <v>62</v>
      </c>
      <c r="R1367" s="2" t="n">
        <v>0.8</v>
      </c>
      <c r="S1367" s="2" t="s">
        <v>7089</v>
      </c>
      <c r="T1367" s="2" t="s">
        <v>7090</v>
      </c>
      <c r="U1367" s="2" t="s">
        <v>7091</v>
      </c>
      <c r="V1367" s="2" t="s">
        <v>6996</v>
      </c>
      <c r="W1367" s="2" t="s">
        <v>495</v>
      </c>
      <c r="X1367" s="2" t="s">
        <v>507</v>
      </c>
    </row>
    <row r="1368" customFormat="false" ht="15" hidden="false" customHeight="false" outlineLevel="0" collapsed="false">
      <c r="A1368" s="2" t="n">
        <v>1626</v>
      </c>
      <c r="B1368" s="2" t="s">
        <v>7046</v>
      </c>
      <c r="C1368" s="2" t="s">
        <v>7092</v>
      </c>
      <c r="D1368" s="2" t="s">
        <v>53</v>
      </c>
      <c r="E1368" s="2" t="s">
        <v>7093</v>
      </c>
      <c r="F1368" s="2" t="s">
        <v>4293</v>
      </c>
      <c r="G1368" s="2" t="s">
        <v>7094</v>
      </c>
      <c r="H1368" s="2" t="s">
        <v>3593</v>
      </c>
      <c r="I1368" s="2" t="s">
        <v>172</v>
      </c>
      <c r="J1368" s="2" t="n">
        <v>-6.985</v>
      </c>
      <c r="K1368" s="2" t="n">
        <v>110.313</v>
      </c>
      <c r="L1368" s="2" t="s">
        <v>59</v>
      </c>
      <c r="M1368" s="2" t="s">
        <v>60</v>
      </c>
      <c r="N1368" s="2"/>
      <c r="O1368" s="2" t="s">
        <v>7095</v>
      </c>
      <c r="P1368" s="2"/>
      <c r="Q1368" s="2" t="s">
        <v>62</v>
      </c>
      <c r="R1368" s="2" t="n">
        <v>0.65</v>
      </c>
      <c r="S1368" s="2" t="s">
        <v>7096</v>
      </c>
      <c r="T1368" s="2" t="s">
        <v>1168</v>
      </c>
      <c r="U1368" s="2" t="s">
        <v>7097</v>
      </c>
      <c r="V1368" s="2" t="s">
        <v>6996</v>
      </c>
      <c r="W1368" s="2" t="s">
        <v>1574</v>
      </c>
      <c r="X1368" s="2" t="s">
        <v>68</v>
      </c>
    </row>
    <row r="1369" customFormat="false" ht="15" hidden="false" customHeight="false" outlineLevel="0" collapsed="false">
      <c r="A1369" s="2" t="n">
        <v>1626</v>
      </c>
      <c r="B1369" s="2" t="s">
        <v>7046</v>
      </c>
      <c r="C1369" s="2" t="s">
        <v>7098</v>
      </c>
      <c r="D1369" s="2" t="s">
        <v>53</v>
      </c>
      <c r="E1369" s="2" t="s">
        <v>7099</v>
      </c>
      <c r="F1369" s="2" t="s">
        <v>7100</v>
      </c>
      <c r="G1369" s="2" t="s">
        <v>7094</v>
      </c>
      <c r="H1369" s="2" t="s">
        <v>3593</v>
      </c>
      <c r="I1369" s="2" t="s">
        <v>172</v>
      </c>
      <c r="J1369" s="2" t="n">
        <v>-6.99</v>
      </c>
      <c r="K1369" s="2" t="n">
        <v>110.349</v>
      </c>
      <c r="L1369" s="2" t="s">
        <v>59</v>
      </c>
      <c r="M1369" s="2" t="s">
        <v>60</v>
      </c>
      <c r="N1369" s="2"/>
      <c r="O1369" s="2" t="s">
        <v>7101</v>
      </c>
      <c r="P1369" s="2"/>
      <c r="Q1369" s="2" t="s">
        <v>62</v>
      </c>
      <c r="R1369" s="2" t="n">
        <v>0.65</v>
      </c>
      <c r="S1369" s="2" t="s">
        <v>7096</v>
      </c>
      <c r="T1369" s="2" t="s">
        <v>1168</v>
      </c>
      <c r="U1369" s="2" t="s">
        <v>7097</v>
      </c>
      <c r="V1369" s="2" t="s">
        <v>6996</v>
      </c>
      <c r="W1369" s="2" t="s">
        <v>1574</v>
      </c>
      <c r="X1369" s="2" t="s">
        <v>68</v>
      </c>
    </row>
    <row r="1370" customFormat="false" ht="15" hidden="false" customHeight="false" outlineLevel="0" collapsed="false">
      <c r="A1370" s="2" t="n">
        <v>1626</v>
      </c>
      <c r="B1370" s="2" t="s">
        <v>7046</v>
      </c>
      <c r="C1370" s="2" t="s">
        <v>7102</v>
      </c>
      <c r="D1370" s="2" t="s">
        <v>53</v>
      </c>
      <c r="E1370" s="2" t="s">
        <v>3598</v>
      </c>
      <c r="F1370" s="2"/>
      <c r="G1370" s="2"/>
      <c r="H1370" s="2" t="s">
        <v>3593</v>
      </c>
      <c r="I1370" s="2" t="s">
        <v>172</v>
      </c>
      <c r="J1370" s="2" t="n">
        <v>-7.005</v>
      </c>
      <c r="K1370" s="2" t="n">
        <v>110.438</v>
      </c>
      <c r="L1370" s="2" t="s">
        <v>101</v>
      </c>
      <c r="M1370" s="2" t="s">
        <v>60</v>
      </c>
      <c r="N1370" s="2"/>
      <c r="O1370" s="2" t="s">
        <v>7103</v>
      </c>
      <c r="P1370" s="2"/>
      <c r="Q1370" s="2" t="s">
        <v>62</v>
      </c>
      <c r="R1370" s="2" t="n">
        <v>0.6</v>
      </c>
      <c r="S1370" s="2" t="s">
        <v>7096</v>
      </c>
      <c r="T1370" s="2" t="s">
        <v>1168</v>
      </c>
      <c r="U1370" s="2" t="s">
        <v>7097</v>
      </c>
      <c r="V1370" s="2" t="s">
        <v>6996</v>
      </c>
      <c r="W1370" s="2" t="s">
        <v>1574</v>
      </c>
      <c r="X1370" s="2" t="s">
        <v>68</v>
      </c>
    </row>
    <row r="1371" customFormat="false" ht="15" hidden="false" customHeight="false" outlineLevel="0" collapsed="false">
      <c r="A1371" s="2" t="n">
        <v>1627</v>
      </c>
      <c r="B1371" s="2" t="s">
        <v>7046</v>
      </c>
      <c r="C1371" s="2" t="s">
        <v>7104</v>
      </c>
      <c r="D1371" s="2" t="s">
        <v>351</v>
      </c>
      <c r="E1371" s="2" t="s">
        <v>3598</v>
      </c>
      <c r="F1371" s="2" t="s">
        <v>7105</v>
      </c>
      <c r="G1371" s="2" t="s">
        <v>7106</v>
      </c>
      <c r="H1371" s="2" t="s">
        <v>3593</v>
      </c>
      <c r="I1371" s="2" t="s">
        <v>172</v>
      </c>
      <c r="J1371" s="2" t="n">
        <v>-6.9837</v>
      </c>
      <c r="K1371" s="2" t="n">
        <v>110.4456</v>
      </c>
      <c r="L1371" s="2" t="s">
        <v>124</v>
      </c>
      <c r="M1371" s="2" t="s">
        <v>60</v>
      </c>
      <c r="N1371" s="2"/>
      <c r="O1371" s="2" t="s">
        <v>7107</v>
      </c>
      <c r="P1371" s="2"/>
      <c r="Q1371" s="2" t="s">
        <v>62</v>
      </c>
      <c r="R1371" s="2" t="n">
        <v>0.7</v>
      </c>
      <c r="S1371" s="2" t="s">
        <v>7108</v>
      </c>
      <c r="T1371" s="2" t="s">
        <v>1236</v>
      </c>
      <c r="U1371" s="2" t="s">
        <v>7109</v>
      </c>
      <c r="V1371" s="2" t="s">
        <v>6996</v>
      </c>
      <c r="W1371" s="2" t="s">
        <v>1358</v>
      </c>
      <c r="X1371" s="2" t="s">
        <v>507</v>
      </c>
    </row>
    <row r="1372" customFormat="false" ht="15" hidden="false" customHeight="false" outlineLevel="0" collapsed="false">
      <c r="A1372" s="2" t="n">
        <v>1627</v>
      </c>
      <c r="B1372" s="2" t="s">
        <v>7046</v>
      </c>
      <c r="C1372" s="2" t="s">
        <v>7110</v>
      </c>
      <c r="D1372" s="2" t="s">
        <v>351</v>
      </c>
      <c r="E1372" s="2" t="s">
        <v>3598</v>
      </c>
      <c r="F1372" s="2" t="s">
        <v>7061</v>
      </c>
      <c r="G1372" s="2" t="s">
        <v>3834</v>
      </c>
      <c r="H1372" s="2" t="s">
        <v>3593</v>
      </c>
      <c r="I1372" s="2" t="s">
        <v>172</v>
      </c>
      <c r="J1372" s="2" t="n">
        <v>-6.9962</v>
      </c>
      <c r="K1372" s="2" t="n">
        <v>110.3982</v>
      </c>
      <c r="L1372" s="2" t="s">
        <v>124</v>
      </c>
      <c r="M1372" s="2" t="s">
        <v>60</v>
      </c>
      <c r="N1372" s="2"/>
      <c r="O1372" s="2" t="s">
        <v>7111</v>
      </c>
      <c r="P1372" s="2"/>
      <c r="Q1372" s="2" t="s">
        <v>62</v>
      </c>
      <c r="R1372" s="2" t="n">
        <v>0.7</v>
      </c>
      <c r="S1372" s="2" t="s">
        <v>7108</v>
      </c>
      <c r="T1372" s="2" t="s">
        <v>1236</v>
      </c>
      <c r="U1372" s="2" t="s">
        <v>7109</v>
      </c>
      <c r="V1372" s="2" t="s">
        <v>6996</v>
      </c>
      <c r="W1372" s="2" t="s">
        <v>1358</v>
      </c>
      <c r="X1372" s="2" t="s">
        <v>507</v>
      </c>
    </row>
    <row r="1373" customFormat="false" ht="15" hidden="false" customHeight="false" outlineLevel="0" collapsed="false">
      <c r="A1373" s="2" t="n">
        <v>1627</v>
      </c>
      <c r="B1373" s="2" t="s">
        <v>7046</v>
      </c>
      <c r="C1373" s="2" t="s">
        <v>7112</v>
      </c>
      <c r="D1373" s="2" t="s">
        <v>351</v>
      </c>
      <c r="E1373" s="2" t="s">
        <v>7113</v>
      </c>
      <c r="F1373" s="2" t="s">
        <v>3842</v>
      </c>
      <c r="G1373" s="2" t="s">
        <v>3843</v>
      </c>
      <c r="H1373" s="2" t="s">
        <v>3593</v>
      </c>
      <c r="I1373" s="2" t="s">
        <v>172</v>
      </c>
      <c r="J1373" s="2" t="n">
        <v>-6.9683</v>
      </c>
      <c r="K1373" s="2" t="n">
        <v>110.4274</v>
      </c>
      <c r="L1373" s="2" t="s">
        <v>124</v>
      </c>
      <c r="M1373" s="2" t="s">
        <v>60</v>
      </c>
      <c r="N1373" s="2"/>
      <c r="O1373" s="2" t="s">
        <v>7114</v>
      </c>
      <c r="P1373" s="2"/>
      <c r="Q1373" s="2" t="s">
        <v>62</v>
      </c>
      <c r="R1373" s="2" t="n">
        <v>0.65</v>
      </c>
      <c r="S1373" s="2" t="s">
        <v>7108</v>
      </c>
      <c r="T1373" s="2" t="s">
        <v>1236</v>
      </c>
      <c r="U1373" s="2" t="s">
        <v>7109</v>
      </c>
      <c r="V1373" s="2" t="s">
        <v>6996</v>
      </c>
      <c r="W1373" s="2" t="s">
        <v>1358</v>
      </c>
      <c r="X1373" s="2" t="s">
        <v>507</v>
      </c>
    </row>
    <row r="1374" customFormat="false" ht="15" hidden="false" customHeight="false" outlineLevel="0" collapsed="false">
      <c r="A1374" s="2" t="n">
        <v>1627</v>
      </c>
      <c r="B1374" s="2" t="s">
        <v>7046</v>
      </c>
      <c r="C1374" s="2" t="s">
        <v>7115</v>
      </c>
      <c r="D1374" s="2" t="s">
        <v>351</v>
      </c>
      <c r="E1374" s="2" t="s">
        <v>3598</v>
      </c>
      <c r="F1374" s="2"/>
      <c r="G1374" s="2" t="s">
        <v>7116</v>
      </c>
      <c r="H1374" s="2" t="s">
        <v>3593</v>
      </c>
      <c r="I1374" s="2" t="s">
        <v>172</v>
      </c>
      <c r="J1374" s="2" t="n">
        <v>-7.015</v>
      </c>
      <c r="K1374" s="2" t="n">
        <v>110.41</v>
      </c>
      <c r="L1374" s="2" t="s">
        <v>84</v>
      </c>
      <c r="M1374" s="2" t="s">
        <v>60</v>
      </c>
      <c r="N1374" s="2"/>
      <c r="O1374" s="2" t="s">
        <v>7117</v>
      </c>
      <c r="P1374" s="2"/>
      <c r="Q1374" s="2" t="s">
        <v>62</v>
      </c>
      <c r="R1374" s="2" t="n">
        <v>0.55</v>
      </c>
      <c r="S1374" s="2" t="s">
        <v>7108</v>
      </c>
      <c r="T1374" s="2" t="s">
        <v>1236</v>
      </c>
      <c r="U1374" s="2" t="s">
        <v>7109</v>
      </c>
      <c r="V1374" s="2" t="s">
        <v>6996</v>
      </c>
      <c r="W1374" s="2" t="s">
        <v>1358</v>
      </c>
      <c r="X1374" s="2" t="s">
        <v>507</v>
      </c>
    </row>
    <row r="1375" customFormat="false" ht="15" hidden="false" customHeight="false" outlineLevel="0" collapsed="false">
      <c r="A1375" s="2" t="n">
        <v>1631</v>
      </c>
      <c r="B1375" s="2" t="s">
        <v>7046</v>
      </c>
      <c r="C1375" s="2" t="s">
        <v>3841</v>
      </c>
      <c r="D1375" s="2" t="s">
        <v>351</v>
      </c>
      <c r="E1375" s="2" t="s">
        <v>3598</v>
      </c>
      <c r="F1375" s="2" t="s">
        <v>3842</v>
      </c>
      <c r="G1375" s="2" t="s">
        <v>3843</v>
      </c>
      <c r="H1375" s="2" t="s">
        <v>3593</v>
      </c>
      <c r="I1375" s="2" t="s">
        <v>172</v>
      </c>
      <c r="J1375" s="2" t="n">
        <v>-6.9681</v>
      </c>
      <c r="K1375" s="2" t="n">
        <v>110.427</v>
      </c>
      <c r="L1375" s="2" t="s">
        <v>124</v>
      </c>
      <c r="M1375" s="2" t="s">
        <v>60</v>
      </c>
      <c r="N1375" s="2"/>
      <c r="O1375" s="2" t="s">
        <v>7118</v>
      </c>
      <c r="P1375" s="2" t="s">
        <v>7119</v>
      </c>
      <c r="Q1375" s="2" t="s">
        <v>62</v>
      </c>
      <c r="R1375" s="2" t="n">
        <v>0.8</v>
      </c>
      <c r="S1375" s="2" t="s">
        <v>7120</v>
      </c>
      <c r="T1375" s="2" t="s">
        <v>963</v>
      </c>
      <c r="U1375" s="2" t="s">
        <v>7121</v>
      </c>
      <c r="V1375" s="2" t="s">
        <v>7122</v>
      </c>
      <c r="W1375" s="2" t="s">
        <v>1147</v>
      </c>
      <c r="X1375" s="2" t="s">
        <v>507</v>
      </c>
    </row>
    <row r="1376" customFormat="false" ht="15" hidden="false" customHeight="false" outlineLevel="0" collapsed="false">
      <c r="A1376" s="2" t="n">
        <v>1631</v>
      </c>
      <c r="B1376" s="2" t="s">
        <v>7046</v>
      </c>
      <c r="C1376" s="2" t="s">
        <v>6950</v>
      </c>
      <c r="D1376" s="2" t="s">
        <v>351</v>
      </c>
      <c r="E1376" s="2" t="s">
        <v>3777</v>
      </c>
      <c r="F1376" s="2"/>
      <c r="G1376" s="2"/>
      <c r="H1376" s="2" t="s">
        <v>3777</v>
      </c>
      <c r="I1376" s="2" t="s">
        <v>172</v>
      </c>
      <c r="J1376" s="2" t="n">
        <v>-7.752</v>
      </c>
      <c r="K1376" s="2" t="n">
        <v>110.4915</v>
      </c>
      <c r="L1376" s="2" t="s">
        <v>124</v>
      </c>
      <c r="M1376" s="2" t="s">
        <v>60</v>
      </c>
      <c r="N1376" s="2" t="s">
        <v>7123</v>
      </c>
      <c r="O1376" s="2" t="s">
        <v>7124</v>
      </c>
      <c r="P1376" s="2" t="s">
        <v>7119</v>
      </c>
      <c r="Q1376" s="2" t="s">
        <v>62</v>
      </c>
      <c r="R1376" s="2" t="n">
        <v>0.6</v>
      </c>
      <c r="S1376" s="2" t="s">
        <v>7120</v>
      </c>
      <c r="T1376" s="2" t="s">
        <v>963</v>
      </c>
      <c r="U1376" s="2" t="s">
        <v>7121</v>
      </c>
      <c r="V1376" s="2" t="s">
        <v>7122</v>
      </c>
      <c r="W1376" s="2" t="s">
        <v>1147</v>
      </c>
      <c r="X1376" s="2" t="s">
        <v>507</v>
      </c>
    </row>
    <row r="1377" customFormat="false" ht="15" hidden="false" customHeight="false" outlineLevel="0" collapsed="false">
      <c r="A1377" s="2" t="n">
        <v>1631</v>
      </c>
      <c r="B1377" s="2" t="s">
        <v>7046</v>
      </c>
      <c r="C1377" s="2" t="s">
        <v>7125</v>
      </c>
      <c r="D1377" s="2" t="s">
        <v>351</v>
      </c>
      <c r="E1377" s="2" t="s">
        <v>7126</v>
      </c>
      <c r="F1377" s="2"/>
      <c r="G1377" s="2"/>
      <c r="H1377" s="2" t="s">
        <v>7126</v>
      </c>
      <c r="I1377" s="2" t="s">
        <v>172</v>
      </c>
      <c r="J1377" s="2" t="n">
        <v>-7.035</v>
      </c>
      <c r="K1377" s="2" t="n">
        <v>109.89</v>
      </c>
      <c r="L1377" s="2" t="s">
        <v>101</v>
      </c>
      <c r="M1377" s="2" t="s">
        <v>60</v>
      </c>
      <c r="N1377" s="2"/>
      <c r="O1377" s="2" t="s">
        <v>7127</v>
      </c>
      <c r="P1377" s="2" t="s">
        <v>7119</v>
      </c>
      <c r="Q1377" s="2" t="s">
        <v>62</v>
      </c>
      <c r="R1377" s="2" t="n">
        <v>0.5</v>
      </c>
      <c r="S1377" s="2" t="s">
        <v>7120</v>
      </c>
      <c r="T1377" s="2" t="s">
        <v>963</v>
      </c>
      <c r="U1377" s="2" t="s">
        <v>7121</v>
      </c>
      <c r="V1377" s="2" t="s">
        <v>7122</v>
      </c>
      <c r="W1377" s="2" t="s">
        <v>1147</v>
      </c>
      <c r="X1377" s="2" t="s">
        <v>507</v>
      </c>
    </row>
    <row r="1378" customFormat="false" ht="15" hidden="false" customHeight="false" outlineLevel="0" collapsed="false">
      <c r="A1378" s="2" t="n">
        <v>1631</v>
      </c>
      <c r="B1378" s="2" t="s">
        <v>7046</v>
      </c>
      <c r="C1378" s="2" t="s">
        <v>7128</v>
      </c>
      <c r="D1378" s="2" t="s">
        <v>410</v>
      </c>
      <c r="E1378" s="2" t="s">
        <v>7129</v>
      </c>
      <c r="F1378" s="2"/>
      <c r="G1378" s="2" t="s">
        <v>7130</v>
      </c>
      <c r="H1378" s="2" t="s">
        <v>7129</v>
      </c>
      <c r="I1378" s="2" t="s">
        <v>172</v>
      </c>
      <c r="J1378" s="2" t="n">
        <v>-7.205</v>
      </c>
      <c r="K1378" s="2" t="n">
        <v>109.906</v>
      </c>
      <c r="L1378" s="2" t="s">
        <v>124</v>
      </c>
      <c r="M1378" s="2" t="s">
        <v>60</v>
      </c>
      <c r="N1378" s="2" t="s">
        <v>7131</v>
      </c>
      <c r="O1378" s="2" t="s">
        <v>7132</v>
      </c>
      <c r="P1378" s="2" t="s">
        <v>7119</v>
      </c>
      <c r="Q1378" s="2" t="s">
        <v>62</v>
      </c>
      <c r="R1378" s="2" t="n">
        <v>0.6</v>
      </c>
      <c r="S1378" s="2" t="s">
        <v>7120</v>
      </c>
      <c r="T1378" s="2" t="s">
        <v>963</v>
      </c>
      <c r="U1378" s="2" t="s">
        <v>7121</v>
      </c>
      <c r="V1378" s="2" t="s">
        <v>7122</v>
      </c>
      <c r="W1378" s="2" t="s">
        <v>1147</v>
      </c>
      <c r="X1378" s="2" t="s">
        <v>507</v>
      </c>
    </row>
    <row r="1379" customFormat="false" ht="15" hidden="false" customHeight="false" outlineLevel="0" collapsed="false">
      <c r="A1379" s="2" t="n">
        <v>1631</v>
      </c>
      <c r="B1379" s="2" t="s">
        <v>7046</v>
      </c>
      <c r="C1379" s="2" t="s">
        <v>7133</v>
      </c>
      <c r="D1379" s="2" t="s">
        <v>410</v>
      </c>
      <c r="E1379" s="2" t="s">
        <v>3777</v>
      </c>
      <c r="F1379" s="2" t="s">
        <v>7134</v>
      </c>
      <c r="G1379" s="2" t="s">
        <v>7135</v>
      </c>
      <c r="H1379" s="2" t="s">
        <v>3777</v>
      </c>
      <c r="I1379" s="2" t="s">
        <v>172</v>
      </c>
      <c r="J1379" s="2" t="n">
        <v>-7.77</v>
      </c>
      <c r="K1379" s="2" t="n">
        <v>110.645</v>
      </c>
      <c r="L1379" s="2" t="s">
        <v>84</v>
      </c>
      <c r="M1379" s="2" t="s">
        <v>60</v>
      </c>
      <c r="N1379" s="2"/>
      <c r="O1379" s="2" t="s">
        <v>7136</v>
      </c>
      <c r="P1379" s="2" t="s">
        <v>7119</v>
      </c>
      <c r="Q1379" s="2" t="s">
        <v>62</v>
      </c>
      <c r="R1379" s="2" t="n">
        <v>0.55</v>
      </c>
      <c r="S1379" s="2" t="s">
        <v>7120</v>
      </c>
      <c r="T1379" s="2" t="s">
        <v>963</v>
      </c>
      <c r="U1379" s="2" t="s">
        <v>7121</v>
      </c>
      <c r="V1379" s="2" t="s">
        <v>7122</v>
      </c>
      <c r="W1379" s="2" t="s">
        <v>1147</v>
      </c>
      <c r="X1379" s="2" t="s">
        <v>507</v>
      </c>
    </row>
    <row r="1380" customFormat="false" ht="15" hidden="false" customHeight="false" outlineLevel="0" collapsed="false">
      <c r="A1380" s="2" t="n">
        <v>1632</v>
      </c>
      <c r="B1380" s="2" t="s">
        <v>7046</v>
      </c>
      <c r="C1380" s="2" t="s">
        <v>7137</v>
      </c>
      <c r="D1380" s="2" t="s">
        <v>1130</v>
      </c>
      <c r="E1380" s="2" t="s">
        <v>3598</v>
      </c>
      <c r="F1380" s="2"/>
      <c r="G1380" s="2" t="s">
        <v>3834</v>
      </c>
      <c r="H1380" s="2" t="s">
        <v>3593</v>
      </c>
      <c r="I1380" s="2" t="s">
        <v>172</v>
      </c>
      <c r="J1380" s="2" t="n">
        <v>-6.9847</v>
      </c>
      <c r="K1380" s="2" t="n">
        <v>110.3852</v>
      </c>
      <c r="L1380" s="2" t="s">
        <v>124</v>
      </c>
      <c r="M1380" s="2" t="s">
        <v>60</v>
      </c>
      <c r="N1380" s="2"/>
      <c r="O1380" s="2" t="s">
        <v>7138</v>
      </c>
      <c r="P1380" s="2" t="s">
        <v>4668</v>
      </c>
      <c r="Q1380" s="2" t="s">
        <v>62</v>
      </c>
      <c r="R1380" s="2" t="n">
        <v>0.45</v>
      </c>
      <c r="S1380" s="2" t="s">
        <v>7139</v>
      </c>
      <c r="T1380" s="2" t="s">
        <v>7140</v>
      </c>
      <c r="U1380" s="2" t="s">
        <v>7141</v>
      </c>
      <c r="V1380" s="2" t="s">
        <v>745</v>
      </c>
      <c r="W1380" s="2" t="s">
        <v>1482</v>
      </c>
      <c r="X1380" s="2" t="s">
        <v>507</v>
      </c>
    </row>
    <row r="1381" customFormat="false" ht="15" hidden="false" customHeight="false" outlineLevel="0" collapsed="false">
      <c r="A1381" s="2" t="n">
        <v>1633</v>
      </c>
      <c r="B1381" s="2" t="s">
        <v>7046</v>
      </c>
      <c r="C1381" s="2" t="s">
        <v>7142</v>
      </c>
      <c r="D1381" s="2" t="s">
        <v>1130</v>
      </c>
      <c r="E1381" s="2" t="s">
        <v>7143</v>
      </c>
      <c r="F1381" s="2" t="s">
        <v>3842</v>
      </c>
      <c r="G1381" s="2" t="s">
        <v>3843</v>
      </c>
      <c r="H1381" s="2" t="s">
        <v>3593</v>
      </c>
      <c r="I1381" s="2" t="s">
        <v>172</v>
      </c>
      <c r="J1381" s="2" t="n">
        <v>-6.9681</v>
      </c>
      <c r="K1381" s="2" t="n">
        <v>110.427</v>
      </c>
      <c r="L1381" s="2" t="s">
        <v>124</v>
      </c>
      <c r="M1381" s="2" t="s">
        <v>60</v>
      </c>
      <c r="N1381" s="2" t="s">
        <v>7144</v>
      </c>
      <c r="O1381" s="2" t="s">
        <v>7145</v>
      </c>
      <c r="P1381" s="2" t="s">
        <v>4866</v>
      </c>
      <c r="Q1381" s="2" t="s">
        <v>62</v>
      </c>
      <c r="R1381" s="2" t="n">
        <v>0.55</v>
      </c>
      <c r="S1381" s="2" t="s">
        <v>7146</v>
      </c>
      <c r="T1381" s="2" t="s">
        <v>7147</v>
      </c>
      <c r="U1381" s="2" t="s">
        <v>7148</v>
      </c>
      <c r="V1381" s="2" t="s">
        <v>6941</v>
      </c>
      <c r="W1381" s="2" t="s">
        <v>1700</v>
      </c>
      <c r="X1381" s="2" t="s">
        <v>507</v>
      </c>
    </row>
    <row r="1382" customFormat="false" ht="15" hidden="false" customHeight="false" outlineLevel="0" collapsed="false">
      <c r="A1382" s="2" t="n">
        <v>1634</v>
      </c>
      <c r="B1382" s="2" t="s">
        <v>7046</v>
      </c>
      <c r="C1382" s="2" t="s">
        <v>7137</v>
      </c>
      <c r="D1382" s="2" t="s">
        <v>1130</v>
      </c>
      <c r="E1382" s="2" t="s">
        <v>3598</v>
      </c>
      <c r="F1382" s="2"/>
      <c r="G1382" s="2" t="s">
        <v>3834</v>
      </c>
      <c r="H1382" s="2" t="s">
        <v>3593</v>
      </c>
      <c r="I1382" s="2" t="s">
        <v>172</v>
      </c>
      <c r="J1382" s="2" t="n">
        <v>-6.9847</v>
      </c>
      <c r="K1382" s="2" t="n">
        <v>110.3852</v>
      </c>
      <c r="L1382" s="2" t="s">
        <v>124</v>
      </c>
      <c r="M1382" s="2" t="s">
        <v>60</v>
      </c>
      <c r="N1382" s="2"/>
      <c r="O1382" s="2" t="s">
        <v>7149</v>
      </c>
      <c r="P1382" s="2" t="s">
        <v>4668</v>
      </c>
      <c r="Q1382" s="2" t="s">
        <v>62</v>
      </c>
      <c r="R1382" s="2" t="n">
        <v>0.45</v>
      </c>
      <c r="S1382" s="2" t="s">
        <v>7150</v>
      </c>
      <c r="T1382" s="2" t="s">
        <v>803</v>
      </c>
      <c r="U1382" s="2" t="s">
        <v>7151</v>
      </c>
      <c r="V1382" s="2" t="s">
        <v>745</v>
      </c>
      <c r="W1382" s="2" t="s">
        <v>3435</v>
      </c>
      <c r="X1382" s="2" t="s">
        <v>507</v>
      </c>
    </row>
    <row r="1383" customFormat="false" ht="15" hidden="false" customHeight="false" outlineLevel="0" collapsed="false">
      <c r="A1383" s="2" t="n">
        <v>1635</v>
      </c>
      <c r="B1383" s="2" t="s">
        <v>7046</v>
      </c>
      <c r="C1383" s="2" t="s">
        <v>7137</v>
      </c>
      <c r="D1383" s="2" t="s">
        <v>1130</v>
      </c>
      <c r="E1383" s="2" t="s">
        <v>3598</v>
      </c>
      <c r="F1383" s="2"/>
      <c r="G1383" s="2" t="s">
        <v>3834</v>
      </c>
      <c r="H1383" s="2" t="s">
        <v>3593</v>
      </c>
      <c r="I1383" s="2" t="s">
        <v>172</v>
      </c>
      <c r="J1383" s="2" t="n">
        <v>-6.9847</v>
      </c>
      <c r="K1383" s="2" t="n">
        <v>110.3852</v>
      </c>
      <c r="L1383" s="2" t="s">
        <v>124</v>
      </c>
      <c r="M1383" s="2" t="s">
        <v>60</v>
      </c>
      <c r="N1383" s="2"/>
      <c r="O1383" s="2" t="s">
        <v>7152</v>
      </c>
      <c r="P1383" s="2" t="s">
        <v>4668</v>
      </c>
      <c r="Q1383" s="2" t="s">
        <v>62</v>
      </c>
      <c r="R1383" s="2" t="n">
        <v>0.45</v>
      </c>
      <c r="S1383" s="2" t="s">
        <v>7153</v>
      </c>
      <c r="T1383" s="2" t="s">
        <v>803</v>
      </c>
      <c r="U1383" s="2" t="s">
        <v>7154</v>
      </c>
      <c r="V1383" s="2" t="s">
        <v>745</v>
      </c>
      <c r="W1383" s="2" t="s">
        <v>3088</v>
      </c>
      <c r="X1383" s="2" t="s">
        <v>507</v>
      </c>
    </row>
    <row r="1384" customFormat="false" ht="15" hidden="false" customHeight="false" outlineLevel="0" collapsed="false">
      <c r="A1384" s="2" t="n">
        <v>1636</v>
      </c>
      <c r="B1384" s="2" t="s">
        <v>7046</v>
      </c>
      <c r="C1384" s="2" t="s">
        <v>7155</v>
      </c>
      <c r="D1384" s="2" t="s">
        <v>134</v>
      </c>
      <c r="E1384" s="2" t="s">
        <v>5536</v>
      </c>
      <c r="F1384" s="2" t="s">
        <v>861</v>
      </c>
      <c r="G1384" s="2" t="s">
        <v>3592</v>
      </c>
      <c r="H1384" s="2" t="s">
        <v>3593</v>
      </c>
      <c r="I1384" s="2" t="s">
        <v>172</v>
      </c>
      <c r="J1384" s="2" t="n">
        <v>-6.97</v>
      </c>
      <c r="K1384" s="2" t="n">
        <v>110.4225</v>
      </c>
      <c r="L1384" s="2" t="s">
        <v>124</v>
      </c>
      <c r="M1384" s="2" t="s">
        <v>60</v>
      </c>
      <c r="N1384" s="2" t="s">
        <v>3818</v>
      </c>
      <c r="O1384" s="2" t="s">
        <v>7156</v>
      </c>
      <c r="P1384" s="2" t="s">
        <v>2625</v>
      </c>
      <c r="Q1384" s="2" t="s">
        <v>110</v>
      </c>
      <c r="R1384" s="2" t="n">
        <v>0.7</v>
      </c>
      <c r="S1384" s="2" t="s">
        <v>7157</v>
      </c>
      <c r="T1384" s="2" t="s">
        <v>7158</v>
      </c>
      <c r="U1384" s="2" t="s">
        <v>7159</v>
      </c>
      <c r="V1384" s="2" t="s">
        <v>7160</v>
      </c>
      <c r="W1384" s="2" t="s">
        <v>1204</v>
      </c>
      <c r="X1384" s="2" t="s">
        <v>507</v>
      </c>
    </row>
    <row r="1385" customFormat="false" ht="15" hidden="false" customHeight="false" outlineLevel="0" collapsed="false">
      <c r="A1385" s="2" t="n">
        <v>1637</v>
      </c>
      <c r="B1385" s="2" t="s">
        <v>7046</v>
      </c>
      <c r="C1385" s="2" t="s">
        <v>5535</v>
      </c>
      <c r="D1385" s="2" t="s">
        <v>134</v>
      </c>
      <c r="E1385" s="2" t="s">
        <v>7161</v>
      </c>
      <c r="F1385" s="2" t="s">
        <v>861</v>
      </c>
      <c r="G1385" s="2" t="s">
        <v>3592</v>
      </c>
      <c r="H1385" s="2" t="s">
        <v>3593</v>
      </c>
      <c r="I1385" s="2" t="s">
        <v>172</v>
      </c>
      <c r="J1385" s="2" t="n">
        <v>-6.97</v>
      </c>
      <c r="K1385" s="2" t="n">
        <v>110.4225</v>
      </c>
      <c r="L1385" s="2" t="s">
        <v>124</v>
      </c>
      <c r="M1385" s="2" t="s">
        <v>60</v>
      </c>
      <c r="N1385" s="2" t="s">
        <v>3818</v>
      </c>
      <c r="O1385" s="2" t="s">
        <v>7162</v>
      </c>
      <c r="P1385" s="2" t="s">
        <v>2558</v>
      </c>
      <c r="Q1385" s="2" t="s">
        <v>110</v>
      </c>
      <c r="R1385" s="2" t="n">
        <v>0.8</v>
      </c>
      <c r="S1385" s="2" t="s">
        <v>7163</v>
      </c>
      <c r="T1385" s="2" t="s">
        <v>7147</v>
      </c>
      <c r="U1385" s="2" t="s">
        <v>7164</v>
      </c>
      <c r="V1385" s="2" t="s">
        <v>7054</v>
      </c>
      <c r="W1385" s="2" t="s">
        <v>1648</v>
      </c>
      <c r="X1385" s="2" t="s">
        <v>507</v>
      </c>
    </row>
    <row r="1386" customFormat="false" ht="15" hidden="false" customHeight="false" outlineLevel="0" collapsed="false">
      <c r="A1386" s="2" t="n">
        <v>1638</v>
      </c>
      <c r="B1386" s="2" t="s">
        <v>7046</v>
      </c>
      <c r="C1386" s="2" t="s">
        <v>7165</v>
      </c>
      <c r="D1386" s="2" t="s">
        <v>134</v>
      </c>
      <c r="E1386" s="2" t="s">
        <v>3598</v>
      </c>
      <c r="F1386" s="2"/>
      <c r="G1386" s="2"/>
      <c r="H1386" s="2" t="s">
        <v>3593</v>
      </c>
      <c r="I1386" s="2" t="s">
        <v>172</v>
      </c>
      <c r="J1386" s="2" t="n">
        <v>-7.005</v>
      </c>
      <c r="K1386" s="2" t="n">
        <v>110.438</v>
      </c>
      <c r="L1386" s="2" t="s">
        <v>101</v>
      </c>
      <c r="M1386" s="2" t="s">
        <v>60</v>
      </c>
      <c r="N1386" s="2"/>
      <c r="O1386" s="2" t="s">
        <v>7166</v>
      </c>
      <c r="P1386" s="2"/>
      <c r="Q1386" s="2" t="s">
        <v>62</v>
      </c>
      <c r="R1386" s="2" t="n">
        <v>0.7</v>
      </c>
      <c r="S1386" s="2" t="s">
        <v>7167</v>
      </c>
      <c r="T1386" s="2" t="s">
        <v>1168</v>
      </c>
      <c r="U1386" s="2" t="s">
        <v>7168</v>
      </c>
      <c r="V1386" s="2" t="s">
        <v>7169</v>
      </c>
      <c r="W1386" s="2" t="s">
        <v>1424</v>
      </c>
      <c r="X1386" s="2" t="s">
        <v>507</v>
      </c>
    </row>
    <row r="1387" customFormat="false" ht="15" hidden="false" customHeight="false" outlineLevel="0" collapsed="false">
      <c r="A1387" s="2" t="n">
        <v>1639</v>
      </c>
      <c r="B1387" s="2" t="s">
        <v>7046</v>
      </c>
      <c r="C1387" s="2" t="s">
        <v>7155</v>
      </c>
      <c r="D1387" s="2" t="s">
        <v>134</v>
      </c>
      <c r="E1387" s="2" t="s">
        <v>3693</v>
      </c>
      <c r="F1387" s="2" t="s">
        <v>861</v>
      </c>
      <c r="G1387" s="2" t="s">
        <v>3592</v>
      </c>
      <c r="H1387" s="2" t="s">
        <v>3593</v>
      </c>
      <c r="I1387" s="2" t="s">
        <v>172</v>
      </c>
      <c r="J1387" s="2" t="n">
        <v>-6.97</v>
      </c>
      <c r="K1387" s="2" t="n">
        <v>110.4225</v>
      </c>
      <c r="L1387" s="2" t="s">
        <v>124</v>
      </c>
      <c r="M1387" s="2" t="s">
        <v>60</v>
      </c>
      <c r="N1387" s="2" t="s">
        <v>3818</v>
      </c>
      <c r="O1387" s="2" t="s">
        <v>7170</v>
      </c>
      <c r="P1387" s="2" t="s">
        <v>2558</v>
      </c>
      <c r="Q1387" s="2" t="s">
        <v>110</v>
      </c>
      <c r="R1387" s="2" t="n">
        <v>0.7</v>
      </c>
      <c r="S1387" s="2" t="s">
        <v>7171</v>
      </c>
      <c r="T1387" s="2" t="s">
        <v>7172</v>
      </c>
      <c r="U1387" s="2" t="s">
        <v>7173</v>
      </c>
      <c r="V1387" s="2" t="s">
        <v>6734</v>
      </c>
      <c r="W1387" s="2" t="s">
        <v>662</v>
      </c>
      <c r="X1387" s="2" t="s">
        <v>507</v>
      </c>
    </row>
    <row r="1388" customFormat="false" ht="15" hidden="false" customHeight="false" outlineLevel="0" collapsed="false">
      <c r="A1388" s="2" t="n">
        <v>1640</v>
      </c>
      <c r="B1388" s="2" t="s">
        <v>7046</v>
      </c>
      <c r="C1388" s="2" t="s">
        <v>5535</v>
      </c>
      <c r="D1388" s="2" t="s">
        <v>134</v>
      </c>
      <c r="E1388" s="2" t="s">
        <v>3693</v>
      </c>
      <c r="F1388" s="2" t="s">
        <v>861</v>
      </c>
      <c r="G1388" s="2" t="s">
        <v>3592</v>
      </c>
      <c r="H1388" s="2" t="s">
        <v>3593</v>
      </c>
      <c r="I1388" s="2" t="s">
        <v>172</v>
      </c>
      <c r="J1388" s="2" t="n">
        <v>-6.97</v>
      </c>
      <c r="K1388" s="2" t="n">
        <v>110.4225</v>
      </c>
      <c r="L1388" s="2" t="s">
        <v>124</v>
      </c>
      <c r="M1388" s="2" t="s">
        <v>60</v>
      </c>
      <c r="N1388" s="2" t="s">
        <v>3818</v>
      </c>
      <c r="O1388" s="2" t="s">
        <v>7174</v>
      </c>
      <c r="P1388" s="2"/>
      <c r="Q1388" s="2" t="s">
        <v>110</v>
      </c>
      <c r="R1388" s="2" t="n">
        <v>0.45</v>
      </c>
      <c r="S1388" s="2" t="s">
        <v>7175</v>
      </c>
      <c r="T1388" s="2" t="s">
        <v>7176</v>
      </c>
      <c r="U1388" s="2" t="s">
        <v>7177</v>
      </c>
      <c r="V1388" s="2" t="s">
        <v>7178</v>
      </c>
      <c r="W1388" s="2" t="s">
        <v>2846</v>
      </c>
      <c r="X1388" s="2" t="s">
        <v>507</v>
      </c>
    </row>
    <row r="1389" customFormat="false" ht="15" hidden="false" customHeight="false" outlineLevel="0" collapsed="false">
      <c r="A1389" s="2" t="n">
        <v>1641</v>
      </c>
      <c r="B1389" s="2" t="s">
        <v>7046</v>
      </c>
      <c r="C1389" s="2" t="s">
        <v>5535</v>
      </c>
      <c r="D1389" s="2" t="s">
        <v>134</v>
      </c>
      <c r="E1389" s="2" t="s">
        <v>3693</v>
      </c>
      <c r="F1389" s="2" t="s">
        <v>861</v>
      </c>
      <c r="G1389" s="2" t="s">
        <v>3592</v>
      </c>
      <c r="H1389" s="2" t="s">
        <v>3593</v>
      </c>
      <c r="I1389" s="2" t="s">
        <v>172</v>
      </c>
      <c r="J1389" s="2" t="n">
        <v>-6.97</v>
      </c>
      <c r="K1389" s="2" t="n">
        <v>110.4225</v>
      </c>
      <c r="L1389" s="2" t="s">
        <v>124</v>
      </c>
      <c r="M1389" s="2" t="s">
        <v>60</v>
      </c>
      <c r="N1389" s="2" t="s">
        <v>3818</v>
      </c>
      <c r="O1389" s="2" t="s">
        <v>7179</v>
      </c>
      <c r="P1389" s="2" t="s">
        <v>2672</v>
      </c>
      <c r="Q1389" s="2" t="s">
        <v>110</v>
      </c>
      <c r="R1389" s="2" t="n">
        <v>0.7</v>
      </c>
      <c r="S1389" s="2" t="s">
        <v>7180</v>
      </c>
      <c r="T1389" s="2" t="s">
        <v>3858</v>
      </c>
      <c r="U1389" s="2" t="s">
        <v>7181</v>
      </c>
      <c r="V1389" s="2" t="s">
        <v>420</v>
      </c>
      <c r="W1389" s="2" t="s">
        <v>686</v>
      </c>
      <c r="X1389" s="2" t="s">
        <v>160</v>
      </c>
    </row>
    <row r="1390" customFormat="false" ht="15" hidden="false" customHeight="false" outlineLevel="0" collapsed="false">
      <c r="A1390" s="2" t="n">
        <v>1643</v>
      </c>
      <c r="B1390" s="2" t="s">
        <v>7046</v>
      </c>
      <c r="C1390" s="2" t="s">
        <v>5535</v>
      </c>
      <c r="D1390" s="2" t="s">
        <v>134</v>
      </c>
      <c r="E1390" s="2" t="s">
        <v>5536</v>
      </c>
      <c r="F1390" s="2" t="s">
        <v>861</v>
      </c>
      <c r="G1390" s="2" t="s">
        <v>3592</v>
      </c>
      <c r="H1390" s="2" t="s">
        <v>3593</v>
      </c>
      <c r="I1390" s="2" t="s">
        <v>172</v>
      </c>
      <c r="J1390" s="2" t="n">
        <v>-6.968</v>
      </c>
      <c r="K1390" s="2" t="n">
        <v>110.424</v>
      </c>
      <c r="L1390" s="2" t="s">
        <v>59</v>
      </c>
      <c r="M1390" s="2" t="s">
        <v>60</v>
      </c>
      <c r="N1390" s="2"/>
      <c r="O1390" s="2" t="s">
        <v>7182</v>
      </c>
      <c r="P1390" s="2" t="s">
        <v>2672</v>
      </c>
      <c r="Q1390" s="2" t="s">
        <v>110</v>
      </c>
      <c r="R1390" s="2" t="n">
        <v>0.75</v>
      </c>
      <c r="S1390" s="2" t="s">
        <v>7183</v>
      </c>
      <c r="T1390" s="2" t="s">
        <v>7184</v>
      </c>
      <c r="U1390" s="2" t="s">
        <v>7185</v>
      </c>
      <c r="V1390" s="2" t="s">
        <v>7186</v>
      </c>
      <c r="W1390" s="2" t="s">
        <v>2825</v>
      </c>
      <c r="X1390" s="2" t="s">
        <v>507</v>
      </c>
    </row>
    <row r="1391" customFormat="false" ht="15" hidden="false" customHeight="false" outlineLevel="0" collapsed="false">
      <c r="A1391" s="2" t="n">
        <v>1644</v>
      </c>
      <c r="B1391" s="2" t="s">
        <v>7046</v>
      </c>
      <c r="C1391" s="2" t="s">
        <v>5535</v>
      </c>
      <c r="D1391" s="2" t="s">
        <v>134</v>
      </c>
      <c r="E1391" s="2" t="s">
        <v>5536</v>
      </c>
      <c r="F1391" s="2" t="s">
        <v>861</v>
      </c>
      <c r="G1391" s="2" t="s">
        <v>3592</v>
      </c>
      <c r="H1391" s="2" t="s">
        <v>3593</v>
      </c>
      <c r="I1391" s="2" t="s">
        <v>172</v>
      </c>
      <c r="J1391" s="2" t="n">
        <v>-6.968</v>
      </c>
      <c r="K1391" s="2" t="n">
        <v>110.424</v>
      </c>
      <c r="L1391" s="2" t="s">
        <v>59</v>
      </c>
      <c r="M1391" s="2" t="s">
        <v>60</v>
      </c>
      <c r="N1391" s="2"/>
      <c r="O1391" s="2" t="s">
        <v>7187</v>
      </c>
      <c r="P1391" s="2" t="s">
        <v>2625</v>
      </c>
      <c r="Q1391" s="2" t="s">
        <v>110</v>
      </c>
      <c r="R1391" s="2" t="n">
        <v>0.7</v>
      </c>
      <c r="S1391" s="2" t="s">
        <v>7188</v>
      </c>
      <c r="T1391" s="2" t="s">
        <v>7189</v>
      </c>
      <c r="U1391" s="2" t="s">
        <v>7190</v>
      </c>
      <c r="V1391" s="2" t="s">
        <v>7191</v>
      </c>
      <c r="W1391" s="2" t="s">
        <v>204</v>
      </c>
      <c r="X1391" s="2" t="s">
        <v>507</v>
      </c>
    </row>
    <row r="1392" customFormat="false" ht="15" hidden="false" customHeight="false" outlineLevel="0" collapsed="false">
      <c r="A1392" s="2" t="n">
        <v>1645</v>
      </c>
      <c r="B1392" s="2" t="s">
        <v>7046</v>
      </c>
      <c r="C1392" s="2" t="s">
        <v>5535</v>
      </c>
      <c r="D1392" s="2" t="s">
        <v>134</v>
      </c>
      <c r="E1392" s="2" t="s">
        <v>3693</v>
      </c>
      <c r="F1392" s="2" t="s">
        <v>861</v>
      </c>
      <c r="G1392" s="2" t="s">
        <v>3592</v>
      </c>
      <c r="H1392" s="2" t="s">
        <v>3593</v>
      </c>
      <c r="I1392" s="2" t="s">
        <v>172</v>
      </c>
      <c r="J1392" s="2" t="n">
        <v>-6.97</v>
      </c>
      <c r="K1392" s="2" t="n">
        <v>110.4225</v>
      </c>
      <c r="L1392" s="2" t="s">
        <v>124</v>
      </c>
      <c r="M1392" s="2" t="s">
        <v>60</v>
      </c>
      <c r="N1392" s="2" t="s">
        <v>3818</v>
      </c>
      <c r="O1392" s="2" t="s">
        <v>7192</v>
      </c>
      <c r="P1392" s="2" t="s">
        <v>7193</v>
      </c>
      <c r="Q1392" s="2" t="s">
        <v>110</v>
      </c>
      <c r="R1392" s="2" t="n">
        <v>0.8</v>
      </c>
      <c r="S1392" s="2" t="s">
        <v>7194</v>
      </c>
      <c r="T1392" s="2" t="s">
        <v>7195</v>
      </c>
      <c r="U1392" s="2" t="s">
        <v>7196</v>
      </c>
      <c r="V1392" s="2" t="s">
        <v>745</v>
      </c>
      <c r="W1392" s="2" t="s">
        <v>4314</v>
      </c>
      <c r="X1392" s="2" t="s">
        <v>507</v>
      </c>
    </row>
    <row r="1393" customFormat="false" ht="15" hidden="false" customHeight="false" outlineLevel="0" collapsed="false">
      <c r="A1393" s="2" t="n">
        <v>1646</v>
      </c>
      <c r="B1393" s="2" t="s">
        <v>7046</v>
      </c>
      <c r="C1393" s="2" t="s">
        <v>5535</v>
      </c>
      <c r="D1393" s="2" t="s">
        <v>134</v>
      </c>
      <c r="E1393" s="2" t="s">
        <v>3693</v>
      </c>
      <c r="F1393" s="2" t="s">
        <v>861</v>
      </c>
      <c r="G1393" s="2" t="s">
        <v>3592</v>
      </c>
      <c r="H1393" s="2" t="s">
        <v>3593</v>
      </c>
      <c r="I1393" s="2" t="s">
        <v>172</v>
      </c>
      <c r="J1393" s="2" t="n">
        <v>-6.97</v>
      </c>
      <c r="K1393" s="2" t="n">
        <v>110.4225</v>
      </c>
      <c r="L1393" s="2" t="s">
        <v>124</v>
      </c>
      <c r="M1393" s="2" t="s">
        <v>60</v>
      </c>
      <c r="N1393" s="2" t="s">
        <v>3818</v>
      </c>
      <c r="O1393" s="2" t="s">
        <v>7197</v>
      </c>
      <c r="P1393" s="2" t="s">
        <v>2672</v>
      </c>
      <c r="Q1393" s="2" t="s">
        <v>110</v>
      </c>
      <c r="R1393" s="2" t="n">
        <v>0.7</v>
      </c>
      <c r="S1393" s="2" t="s">
        <v>7198</v>
      </c>
      <c r="T1393" s="2" t="s">
        <v>3858</v>
      </c>
      <c r="U1393" s="2" t="s">
        <v>7199</v>
      </c>
      <c r="V1393" s="2" t="s">
        <v>7200</v>
      </c>
      <c r="W1393" s="2" t="s">
        <v>2162</v>
      </c>
      <c r="X1393" s="2" t="s">
        <v>507</v>
      </c>
    </row>
    <row r="1394" customFormat="false" ht="15" hidden="false" customHeight="false" outlineLevel="0" collapsed="false">
      <c r="A1394" s="2" t="n">
        <v>1647</v>
      </c>
      <c r="B1394" s="2" t="s">
        <v>7046</v>
      </c>
      <c r="C1394" s="2" t="s">
        <v>5535</v>
      </c>
      <c r="D1394" s="2" t="s">
        <v>134</v>
      </c>
      <c r="E1394" s="2" t="s">
        <v>7161</v>
      </c>
      <c r="F1394" s="2" t="s">
        <v>861</v>
      </c>
      <c r="G1394" s="2" t="s">
        <v>3592</v>
      </c>
      <c r="H1394" s="2" t="s">
        <v>3593</v>
      </c>
      <c r="I1394" s="2" t="s">
        <v>172</v>
      </c>
      <c r="J1394" s="2" t="n">
        <v>-6.97</v>
      </c>
      <c r="K1394" s="2" t="n">
        <v>110.4225</v>
      </c>
      <c r="L1394" s="2" t="s">
        <v>124</v>
      </c>
      <c r="M1394" s="2" t="s">
        <v>60</v>
      </c>
      <c r="N1394" s="2" t="s">
        <v>3818</v>
      </c>
      <c r="O1394" s="2" t="s">
        <v>7201</v>
      </c>
      <c r="P1394" s="2" t="s">
        <v>2625</v>
      </c>
      <c r="Q1394" s="2" t="s">
        <v>110</v>
      </c>
      <c r="R1394" s="2" t="n">
        <v>0.7</v>
      </c>
      <c r="S1394" s="2" t="s">
        <v>7202</v>
      </c>
      <c r="T1394" s="2" t="s">
        <v>7147</v>
      </c>
      <c r="U1394" s="2" t="s">
        <v>7203</v>
      </c>
      <c r="V1394" s="2" t="s">
        <v>420</v>
      </c>
      <c r="W1394" s="2" t="s">
        <v>1358</v>
      </c>
      <c r="X1394" s="2" t="s">
        <v>507</v>
      </c>
    </row>
    <row r="1395" customFormat="false" ht="15" hidden="false" customHeight="false" outlineLevel="0" collapsed="false">
      <c r="A1395" s="2" t="n">
        <v>1649</v>
      </c>
      <c r="B1395" s="2" t="s">
        <v>7046</v>
      </c>
      <c r="C1395" s="2" t="s">
        <v>7204</v>
      </c>
      <c r="D1395" s="2" t="s">
        <v>134</v>
      </c>
      <c r="E1395" s="2" t="s">
        <v>7205</v>
      </c>
      <c r="F1395" s="2" t="s">
        <v>861</v>
      </c>
      <c r="G1395" s="2" t="s">
        <v>3592</v>
      </c>
      <c r="H1395" s="2" t="s">
        <v>3593</v>
      </c>
      <c r="I1395" s="2" t="s">
        <v>172</v>
      </c>
      <c r="J1395" s="2" t="n">
        <v>-6.97</v>
      </c>
      <c r="K1395" s="2" t="n">
        <v>110.4225</v>
      </c>
      <c r="L1395" s="2" t="s">
        <v>124</v>
      </c>
      <c r="M1395" s="2" t="s">
        <v>60</v>
      </c>
      <c r="N1395" s="2" t="s">
        <v>3818</v>
      </c>
      <c r="O1395" s="2" t="s">
        <v>7206</v>
      </c>
      <c r="P1395" s="2" t="s">
        <v>1946</v>
      </c>
      <c r="Q1395" s="2" t="s">
        <v>110</v>
      </c>
      <c r="R1395" s="2" t="n">
        <v>0.85</v>
      </c>
      <c r="S1395" s="2" t="s">
        <v>7207</v>
      </c>
      <c r="T1395" s="2" t="s">
        <v>803</v>
      </c>
      <c r="U1395" s="2" t="s">
        <v>7208</v>
      </c>
      <c r="V1395" s="2" t="s">
        <v>7186</v>
      </c>
      <c r="W1395" s="2" t="s">
        <v>2370</v>
      </c>
      <c r="X1395" s="2" t="s">
        <v>507</v>
      </c>
    </row>
    <row r="1396" customFormat="false" ht="15" hidden="false" customHeight="false" outlineLevel="0" collapsed="false">
      <c r="A1396" s="2" t="n">
        <v>1651</v>
      </c>
      <c r="B1396" s="2" t="s">
        <v>7209</v>
      </c>
      <c r="C1396" s="2" t="s">
        <v>3818</v>
      </c>
      <c r="D1396" s="2" t="s">
        <v>351</v>
      </c>
      <c r="E1396" s="2" t="s">
        <v>7210</v>
      </c>
      <c r="F1396" s="2" t="s">
        <v>861</v>
      </c>
      <c r="G1396" s="2" t="s">
        <v>3592</v>
      </c>
      <c r="H1396" s="2" t="s">
        <v>3593</v>
      </c>
      <c r="I1396" s="2" t="s">
        <v>172</v>
      </c>
      <c r="J1396" s="2" t="n">
        <v>-6.97</v>
      </c>
      <c r="K1396" s="2" t="n">
        <v>110.4225</v>
      </c>
      <c r="L1396" s="2" t="s">
        <v>124</v>
      </c>
      <c r="M1396" s="2" t="s">
        <v>60</v>
      </c>
      <c r="N1396" s="2"/>
      <c r="O1396" s="2" t="s">
        <v>7211</v>
      </c>
      <c r="P1396" s="2" t="s">
        <v>2019</v>
      </c>
      <c r="Q1396" s="2" t="s">
        <v>62</v>
      </c>
      <c r="R1396" s="2" t="n">
        <v>0.75</v>
      </c>
      <c r="S1396" s="2" t="s">
        <v>7212</v>
      </c>
      <c r="T1396" s="2" t="s">
        <v>743</v>
      </c>
      <c r="U1396" s="2" t="s">
        <v>7213</v>
      </c>
      <c r="V1396" s="2" t="s">
        <v>420</v>
      </c>
      <c r="W1396" s="2" t="s">
        <v>4606</v>
      </c>
      <c r="X1396" s="2" t="s">
        <v>507</v>
      </c>
    </row>
    <row r="1397" customFormat="false" ht="15" hidden="false" customHeight="false" outlineLevel="0" collapsed="false">
      <c r="A1397" s="2" t="n">
        <v>1651</v>
      </c>
      <c r="B1397" s="2" t="s">
        <v>7209</v>
      </c>
      <c r="C1397" s="2" t="s">
        <v>7214</v>
      </c>
      <c r="D1397" s="2" t="s">
        <v>53</v>
      </c>
      <c r="E1397" s="2" t="s">
        <v>7215</v>
      </c>
      <c r="F1397" s="2" t="s">
        <v>861</v>
      </c>
      <c r="G1397" s="2" t="s">
        <v>3592</v>
      </c>
      <c r="H1397" s="2" t="s">
        <v>3593</v>
      </c>
      <c r="I1397" s="2" t="s">
        <v>172</v>
      </c>
      <c r="J1397" s="2" t="n">
        <v>-6.97</v>
      </c>
      <c r="K1397" s="2" t="n">
        <v>110.4225</v>
      </c>
      <c r="L1397" s="2" t="s">
        <v>124</v>
      </c>
      <c r="M1397" s="2" t="s">
        <v>60</v>
      </c>
      <c r="N1397" s="2" t="s">
        <v>3818</v>
      </c>
      <c r="O1397" s="2" t="s">
        <v>7216</v>
      </c>
      <c r="P1397" s="2"/>
      <c r="Q1397" s="2" t="s">
        <v>62</v>
      </c>
      <c r="R1397" s="2" t="n">
        <v>0.7</v>
      </c>
      <c r="S1397" s="2" t="s">
        <v>7212</v>
      </c>
      <c r="T1397" s="2" t="s">
        <v>743</v>
      </c>
      <c r="U1397" s="2" t="s">
        <v>7213</v>
      </c>
      <c r="V1397" s="2" t="s">
        <v>420</v>
      </c>
      <c r="W1397" s="2" t="s">
        <v>4606</v>
      </c>
      <c r="X1397" s="2" t="s">
        <v>507</v>
      </c>
    </row>
    <row r="1398" customFormat="false" ht="15" hidden="false" customHeight="false" outlineLevel="0" collapsed="false">
      <c r="A1398" s="2" t="n">
        <v>1652</v>
      </c>
      <c r="B1398" s="2" t="s">
        <v>7209</v>
      </c>
      <c r="C1398" s="2" t="s">
        <v>3818</v>
      </c>
      <c r="D1398" s="2" t="s">
        <v>351</v>
      </c>
      <c r="E1398" s="2" t="s">
        <v>3593</v>
      </c>
      <c r="F1398" s="2" t="s">
        <v>861</v>
      </c>
      <c r="G1398" s="2" t="s">
        <v>3592</v>
      </c>
      <c r="H1398" s="2" t="s">
        <v>3593</v>
      </c>
      <c r="I1398" s="2" t="s">
        <v>172</v>
      </c>
      <c r="J1398" s="2" t="n">
        <v>-6.9685</v>
      </c>
      <c r="K1398" s="2" t="n">
        <v>110.4244</v>
      </c>
      <c r="L1398" s="2" t="s">
        <v>124</v>
      </c>
      <c r="M1398" s="2" t="s">
        <v>60</v>
      </c>
      <c r="N1398" s="2"/>
      <c r="O1398" s="2" t="s">
        <v>7217</v>
      </c>
      <c r="P1398" s="2" t="s">
        <v>3820</v>
      </c>
      <c r="Q1398" s="2" t="s">
        <v>110</v>
      </c>
      <c r="R1398" s="2" t="n">
        <v>0.45</v>
      </c>
      <c r="S1398" s="2" t="s">
        <v>7218</v>
      </c>
      <c r="T1398" s="2" t="s">
        <v>7219</v>
      </c>
      <c r="U1398" s="2" t="s">
        <v>7220</v>
      </c>
      <c r="V1398" s="2" t="s">
        <v>7221</v>
      </c>
      <c r="W1398" s="2" t="s">
        <v>421</v>
      </c>
      <c r="X1398" s="2" t="s">
        <v>507</v>
      </c>
    </row>
    <row r="1399" customFormat="false" ht="15" hidden="false" customHeight="false" outlineLevel="0" collapsed="false">
      <c r="A1399" s="2" t="n">
        <v>1660</v>
      </c>
      <c r="B1399" s="2" t="s">
        <v>7209</v>
      </c>
      <c r="C1399" s="2" t="s">
        <v>7222</v>
      </c>
      <c r="D1399" s="2" t="s">
        <v>121</v>
      </c>
      <c r="E1399" s="2" t="s">
        <v>7223</v>
      </c>
      <c r="F1399" s="2" t="s">
        <v>3842</v>
      </c>
      <c r="G1399" s="2" t="s">
        <v>3843</v>
      </c>
      <c r="H1399" s="2" t="s">
        <v>3593</v>
      </c>
      <c r="I1399" s="2" t="s">
        <v>172</v>
      </c>
      <c r="J1399" s="2" t="n">
        <v>-6.9681</v>
      </c>
      <c r="K1399" s="2" t="n">
        <v>110.427</v>
      </c>
      <c r="L1399" s="2" t="s">
        <v>124</v>
      </c>
      <c r="M1399" s="2" t="s">
        <v>60</v>
      </c>
      <c r="N1399" s="2"/>
      <c r="O1399" s="2" t="s">
        <v>7224</v>
      </c>
      <c r="P1399" s="2" t="s">
        <v>3845</v>
      </c>
      <c r="Q1399" s="2" t="s">
        <v>62</v>
      </c>
      <c r="R1399" s="2" t="n">
        <v>0.8</v>
      </c>
      <c r="S1399" s="2" t="s">
        <v>7225</v>
      </c>
      <c r="T1399" s="2" t="s">
        <v>7052</v>
      </c>
      <c r="U1399" s="2" t="s">
        <v>7226</v>
      </c>
      <c r="V1399" s="2" t="s">
        <v>745</v>
      </c>
      <c r="W1399" s="2" t="s">
        <v>1627</v>
      </c>
      <c r="X1399" s="2" t="s">
        <v>507</v>
      </c>
    </row>
    <row r="1400" customFormat="false" ht="15" hidden="false" customHeight="false" outlineLevel="0" collapsed="false">
      <c r="A1400" s="2" t="n">
        <v>1661</v>
      </c>
      <c r="B1400" s="2" t="s">
        <v>7209</v>
      </c>
      <c r="C1400" s="2" t="s">
        <v>7227</v>
      </c>
      <c r="D1400" s="2" t="s">
        <v>121</v>
      </c>
      <c r="E1400" s="2" t="s">
        <v>7228</v>
      </c>
      <c r="F1400" s="2"/>
      <c r="G1400" s="2" t="s">
        <v>1132</v>
      </c>
      <c r="H1400" s="2" t="s">
        <v>1062</v>
      </c>
      <c r="I1400" s="2" t="s">
        <v>172</v>
      </c>
      <c r="J1400" s="2" t="n">
        <v>-7.215</v>
      </c>
      <c r="K1400" s="2" t="n">
        <v>110.36</v>
      </c>
      <c r="L1400" s="2" t="s">
        <v>84</v>
      </c>
      <c r="M1400" s="2" t="s">
        <v>60</v>
      </c>
      <c r="N1400" s="2"/>
      <c r="O1400" s="2" t="s">
        <v>7229</v>
      </c>
      <c r="P1400" s="2" t="s">
        <v>4790</v>
      </c>
      <c r="Q1400" s="2" t="s">
        <v>62</v>
      </c>
      <c r="R1400" s="2" t="n">
        <v>0.8</v>
      </c>
      <c r="S1400" s="2" t="s">
        <v>7230</v>
      </c>
      <c r="T1400" s="2" t="s">
        <v>1563</v>
      </c>
      <c r="U1400" s="2" t="s">
        <v>7231</v>
      </c>
      <c r="V1400" s="2" t="s">
        <v>745</v>
      </c>
      <c r="W1400" s="2" t="s">
        <v>2613</v>
      </c>
      <c r="X1400" s="2" t="s">
        <v>507</v>
      </c>
    </row>
    <row r="1401" customFormat="false" ht="15" hidden="false" customHeight="false" outlineLevel="0" collapsed="false">
      <c r="A1401" s="2" t="n">
        <v>1662</v>
      </c>
      <c r="B1401" s="2" t="s">
        <v>7209</v>
      </c>
      <c r="C1401" s="2" t="s">
        <v>7232</v>
      </c>
      <c r="D1401" s="2" t="s">
        <v>121</v>
      </c>
      <c r="E1401" s="2" t="s">
        <v>7233</v>
      </c>
      <c r="F1401" s="2"/>
      <c r="G1401" s="2"/>
      <c r="H1401" s="2" t="s">
        <v>3593</v>
      </c>
      <c r="I1401" s="2" t="s">
        <v>172</v>
      </c>
      <c r="J1401" s="2" t="n">
        <v>-7.005</v>
      </c>
      <c r="K1401" s="2" t="n">
        <v>110.438</v>
      </c>
      <c r="L1401" s="2" t="s">
        <v>101</v>
      </c>
      <c r="M1401" s="2" t="s">
        <v>60</v>
      </c>
      <c r="N1401" s="2" t="s">
        <v>7234</v>
      </c>
      <c r="O1401" s="2" t="s">
        <v>7235</v>
      </c>
      <c r="P1401" s="2" t="s">
        <v>7236</v>
      </c>
      <c r="Q1401" s="2" t="s">
        <v>62</v>
      </c>
      <c r="R1401" s="2" t="n">
        <v>0.7</v>
      </c>
      <c r="S1401" s="2" t="s">
        <v>7237</v>
      </c>
      <c r="T1401" s="2" t="s">
        <v>3858</v>
      </c>
      <c r="U1401" s="2" t="s">
        <v>7238</v>
      </c>
      <c r="V1401" s="2" t="s">
        <v>420</v>
      </c>
      <c r="W1401" s="2" t="s">
        <v>190</v>
      </c>
      <c r="X1401" s="2" t="s">
        <v>507</v>
      </c>
    </row>
    <row r="1402" customFormat="false" ht="15" hidden="false" customHeight="false" outlineLevel="0" collapsed="false">
      <c r="A1402" s="2" t="n">
        <v>1662</v>
      </c>
      <c r="B1402" s="2" t="s">
        <v>7209</v>
      </c>
      <c r="C1402" s="2" t="s">
        <v>7239</v>
      </c>
      <c r="D1402" s="2" t="s">
        <v>121</v>
      </c>
      <c r="E1402" s="2" t="s">
        <v>7240</v>
      </c>
      <c r="F1402" s="2" t="s">
        <v>3866</v>
      </c>
      <c r="G1402" s="2" t="s">
        <v>3592</v>
      </c>
      <c r="H1402" s="2" t="s">
        <v>3593</v>
      </c>
      <c r="I1402" s="2" t="s">
        <v>172</v>
      </c>
      <c r="J1402" s="2" t="n">
        <v>-6.9811</v>
      </c>
      <c r="K1402" s="2" t="n">
        <v>110.4146</v>
      </c>
      <c r="L1402" s="2" t="s">
        <v>124</v>
      </c>
      <c r="M1402" s="2" t="s">
        <v>60</v>
      </c>
      <c r="N1402" s="2" t="s">
        <v>7241</v>
      </c>
      <c r="O1402" s="2" t="s">
        <v>7242</v>
      </c>
      <c r="P1402" s="2" t="s">
        <v>7243</v>
      </c>
      <c r="Q1402" s="2" t="s">
        <v>62</v>
      </c>
      <c r="R1402" s="2" t="n">
        <v>0.7</v>
      </c>
      <c r="S1402" s="2" t="s">
        <v>7237</v>
      </c>
      <c r="T1402" s="2" t="s">
        <v>3858</v>
      </c>
      <c r="U1402" s="2" t="s">
        <v>7238</v>
      </c>
      <c r="V1402" s="2" t="s">
        <v>420</v>
      </c>
      <c r="W1402" s="2" t="s">
        <v>190</v>
      </c>
      <c r="X1402" s="2" t="s">
        <v>507</v>
      </c>
    </row>
    <row r="1403" customFormat="false" ht="15" hidden="false" customHeight="false" outlineLevel="0" collapsed="false">
      <c r="A1403" s="2" t="n">
        <v>1663</v>
      </c>
      <c r="B1403" s="2" t="s">
        <v>7209</v>
      </c>
      <c r="C1403" s="2" t="s">
        <v>7239</v>
      </c>
      <c r="D1403" s="2" t="s">
        <v>121</v>
      </c>
      <c r="E1403" s="2" t="s">
        <v>7244</v>
      </c>
      <c r="F1403" s="2" t="s">
        <v>3866</v>
      </c>
      <c r="G1403" s="2" t="s">
        <v>3592</v>
      </c>
      <c r="H1403" s="2" t="s">
        <v>3593</v>
      </c>
      <c r="I1403" s="2" t="s">
        <v>172</v>
      </c>
      <c r="J1403" s="2" t="n">
        <v>-6.9811</v>
      </c>
      <c r="K1403" s="2" t="n">
        <v>110.4146</v>
      </c>
      <c r="L1403" s="2" t="s">
        <v>124</v>
      </c>
      <c r="M1403" s="2" t="s">
        <v>60</v>
      </c>
      <c r="N1403" s="2" t="s">
        <v>7241</v>
      </c>
      <c r="O1403" s="2" t="s">
        <v>7245</v>
      </c>
      <c r="P1403" s="2" t="s">
        <v>7243</v>
      </c>
      <c r="Q1403" s="2" t="s">
        <v>62</v>
      </c>
      <c r="R1403" s="2" t="n">
        <v>0.7</v>
      </c>
      <c r="S1403" s="2" t="s">
        <v>7246</v>
      </c>
      <c r="T1403" s="2" t="s">
        <v>7247</v>
      </c>
      <c r="U1403" s="2" t="s">
        <v>7248</v>
      </c>
      <c r="V1403" s="2" t="s">
        <v>5030</v>
      </c>
      <c r="W1403" s="2" t="s">
        <v>5802</v>
      </c>
      <c r="X1403" s="2" t="s">
        <v>507</v>
      </c>
    </row>
    <row r="1404" customFormat="false" ht="15" hidden="false" customHeight="false" outlineLevel="0" collapsed="false">
      <c r="A1404" s="2" t="n">
        <v>1663</v>
      </c>
      <c r="B1404" s="2" t="s">
        <v>7209</v>
      </c>
      <c r="C1404" s="2" t="s">
        <v>7249</v>
      </c>
      <c r="D1404" s="2" t="s">
        <v>121</v>
      </c>
      <c r="E1404" s="2" t="s">
        <v>7250</v>
      </c>
      <c r="F1404" s="2"/>
      <c r="G1404" s="2"/>
      <c r="H1404" s="2" t="s">
        <v>3593</v>
      </c>
      <c r="I1404" s="2" t="s">
        <v>172</v>
      </c>
      <c r="J1404" s="2" t="n">
        <v>-7.005</v>
      </c>
      <c r="K1404" s="2" t="n">
        <v>110.438</v>
      </c>
      <c r="L1404" s="2" t="s">
        <v>101</v>
      </c>
      <c r="M1404" s="2" t="s">
        <v>60</v>
      </c>
      <c r="N1404" s="2" t="s">
        <v>7251</v>
      </c>
      <c r="O1404" s="2" t="s">
        <v>7252</v>
      </c>
      <c r="P1404" s="2" t="s">
        <v>7253</v>
      </c>
      <c r="Q1404" s="2" t="s">
        <v>62</v>
      </c>
      <c r="R1404" s="2" t="n">
        <v>0.7</v>
      </c>
      <c r="S1404" s="2" t="s">
        <v>7246</v>
      </c>
      <c r="T1404" s="2" t="s">
        <v>7247</v>
      </c>
      <c r="U1404" s="2" t="s">
        <v>7248</v>
      </c>
      <c r="V1404" s="2" t="s">
        <v>5030</v>
      </c>
      <c r="W1404" s="2" t="s">
        <v>5802</v>
      </c>
      <c r="X1404" s="2" t="s">
        <v>507</v>
      </c>
    </row>
    <row r="1405" customFormat="false" ht="15" hidden="false" customHeight="false" outlineLevel="0" collapsed="false">
      <c r="A1405" s="2" t="n">
        <v>1663</v>
      </c>
      <c r="B1405" s="2" t="s">
        <v>7209</v>
      </c>
      <c r="C1405" s="2" t="s">
        <v>7254</v>
      </c>
      <c r="D1405" s="2" t="s">
        <v>121</v>
      </c>
      <c r="E1405" s="2" t="s">
        <v>7255</v>
      </c>
      <c r="F1405" s="2" t="s">
        <v>3833</v>
      </c>
      <c r="G1405" s="2" t="s">
        <v>3834</v>
      </c>
      <c r="H1405" s="2" t="s">
        <v>3593</v>
      </c>
      <c r="I1405" s="2" t="s">
        <v>172</v>
      </c>
      <c r="J1405" s="2" t="n">
        <v>-6.96</v>
      </c>
      <c r="K1405" s="2" t="n">
        <v>110.392</v>
      </c>
      <c r="L1405" s="2" t="s">
        <v>59</v>
      </c>
      <c r="M1405" s="2" t="s">
        <v>60</v>
      </c>
      <c r="N1405" s="2" t="s">
        <v>7256</v>
      </c>
      <c r="O1405" s="2" t="s">
        <v>7257</v>
      </c>
      <c r="P1405" s="2" t="s">
        <v>7258</v>
      </c>
      <c r="Q1405" s="2" t="s">
        <v>62</v>
      </c>
      <c r="R1405" s="2" t="n">
        <v>0.7</v>
      </c>
      <c r="S1405" s="2" t="s">
        <v>7246</v>
      </c>
      <c r="T1405" s="2" t="s">
        <v>7247</v>
      </c>
      <c r="U1405" s="2" t="s">
        <v>7248</v>
      </c>
      <c r="V1405" s="2" t="s">
        <v>5030</v>
      </c>
      <c r="W1405" s="2" t="s">
        <v>5802</v>
      </c>
      <c r="X1405" s="2" t="s">
        <v>507</v>
      </c>
    </row>
    <row r="1406" customFormat="false" ht="15" hidden="false" customHeight="false" outlineLevel="0" collapsed="false">
      <c r="A1406" s="2" t="n">
        <v>1663</v>
      </c>
      <c r="B1406" s="2" t="s">
        <v>7209</v>
      </c>
      <c r="C1406" s="2" t="s">
        <v>7259</v>
      </c>
      <c r="D1406" s="2" t="s">
        <v>121</v>
      </c>
      <c r="E1406" s="2" t="s">
        <v>7260</v>
      </c>
      <c r="F1406" s="2" t="s">
        <v>7261</v>
      </c>
      <c r="G1406" s="2" t="s">
        <v>7027</v>
      </c>
      <c r="H1406" s="2" t="s">
        <v>3593</v>
      </c>
      <c r="I1406" s="2" t="s">
        <v>172</v>
      </c>
      <c r="J1406" s="2" t="n">
        <v>-6.993</v>
      </c>
      <c r="K1406" s="2" t="n">
        <v>110.418</v>
      </c>
      <c r="L1406" s="2" t="s">
        <v>59</v>
      </c>
      <c r="M1406" s="2" t="s">
        <v>60</v>
      </c>
      <c r="N1406" s="2"/>
      <c r="O1406" s="2" t="s">
        <v>7262</v>
      </c>
      <c r="P1406" s="2" t="s">
        <v>7263</v>
      </c>
      <c r="Q1406" s="2" t="s">
        <v>62</v>
      </c>
      <c r="R1406" s="2" t="n">
        <v>0.6</v>
      </c>
      <c r="S1406" s="2" t="s">
        <v>7246</v>
      </c>
      <c r="T1406" s="2" t="s">
        <v>7247</v>
      </c>
      <c r="U1406" s="2" t="s">
        <v>7248</v>
      </c>
      <c r="V1406" s="2" t="s">
        <v>5030</v>
      </c>
      <c r="W1406" s="2" t="s">
        <v>5802</v>
      </c>
      <c r="X1406" s="2" t="s">
        <v>507</v>
      </c>
    </row>
    <row r="1407" customFormat="false" ht="15" hidden="false" customHeight="false" outlineLevel="0" collapsed="false">
      <c r="A1407" s="2" t="n">
        <v>1664</v>
      </c>
      <c r="B1407" s="2" t="s">
        <v>7209</v>
      </c>
      <c r="C1407" s="2" t="s">
        <v>7264</v>
      </c>
      <c r="D1407" s="2" t="s">
        <v>53</v>
      </c>
      <c r="E1407" s="2" t="s">
        <v>7265</v>
      </c>
      <c r="F1407" s="2"/>
      <c r="G1407" s="2"/>
      <c r="H1407" s="2" t="s">
        <v>479</v>
      </c>
      <c r="I1407" s="2" t="s">
        <v>403</v>
      </c>
      <c r="J1407" s="2" t="n">
        <v>-5.148</v>
      </c>
      <c r="K1407" s="2" t="n">
        <v>119.432</v>
      </c>
      <c r="L1407" s="2" t="s">
        <v>101</v>
      </c>
      <c r="M1407" s="2" t="s">
        <v>60</v>
      </c>
      <c r="N1407" s="2" t="s">
        <v>7266</v>
      </c>
      <c r="O1407" s="2" t="s">
        <v>7267</v>
      </c>
      <c r="P1407" s="2"/>
      <c r="Q1407" s="2" t="s">
        <v>62</v>
      </c>
      <c r="R1407" s="2" t="n">
        <v>0.75</v>
      </c>
      <c r="S1407" s="2" t="s">
        <v>7268</v>
      </c>
      <c r="T1407" s="2" t="s">
        <v>5400</v>
      </c>
      <c r="U1407" s="2" t="s">
        <v>7269</v>
      </c>
      <c r="V1407" s="2" t="s">
        <v>7270</v>
      </c>
      <c r="W1407" s="2" t="s">
        <v>1045</v>
      </c>
      <c r="X1407" s="2" t="s">
        <v>507</v>
      </c>
    </row>
    <row r="1408" customFormat="false" ht="15" hidden="false" customHeight="false" outlineLevel="0" collapsed="false">
      <c r="A1408" s="2" t="n">
        <v>1665</v>
      </c>
      <c r="B1408" s="2" t="s">
        <v>7209</v>
      </c>
      <c r="C1408" s="2" t="s">
        <v>7271</v>
      </c>
      <c r="D1408" s="2" t="s">
        <v>53</v>
      </c>
      <c r="E1408" s="2" t="s">
        <v>7272</v>
      </c>
      <c r="F1408" s="2"/>
      <c r="G1408" s="2" t="s">
        <v>7273</v>
      </c>
      <c r="H1408" s="2" t="s">
        <v>950</v>
      </c>
      <c r="I1408" s="2" t="s">
        <v>184</v>
      </c>
      <c r="J1408" s="2" t="n">
        <v>-7.335</v>
      </c>
      <c r="K1408" s="2" t="n">
        <v>112.722</v>
      </c>
      <c r="L1408" s="2" t="s">
        <v>84</v>
      </c>
      <c r="M1408" s="2" t="s">
        <v>60</v>
      </c>
      <c r="N1408" s="2" t="s">
        <v>7274</v>
      </c>
      <c r="O1408" s="2" t="s">
        <v>7275</v>
      </c>
      <c r="P1408" s="2"/>
      <c r="Q1408" s="2" t="s">
        <v>62</v>
      </c>
      <c r="R1408" s="2" t="n">
        <v>0.75</v>
      </c>
      <c r="S1408" s="2" t="s">
        <v>7276</v>
      </c>
      <c r="T1408" s="2" t="s">
        <v>5387</v>
      </c>
      <c r="U1408" s="2" t="s">
        <v>7277</v>
      </c>
      <c r="V1408" s="2" t="s">
        <v>7278</v>
      </c>
      <c r="W1408" s="2" t="s">
        <v>3169</v>
      </c>
      <c r="X1408" s="2" t="s">
        <v>507</v>
      </c>
    </row>
    <row r="1409" customFormat="false" ht="15" hidden="false" customHeight="false" outlineLevel="0" collapsed="false">
      <c r="A1409" s="2" t="n">
        <v>1666</v>
      </c>
      <c r="B1409" s="2" t="s">
        <v>7209</v>
      </c>
      <c r="C1409" s="2" t="s">
        <v>7279</v>
      </c>
      <c r="D1409" s="2" t="s">
        <v>53</v>
      </c>
      <c r="E1409" s="2" t="s">
        <v>7280</v>
      </c>
      <c r="F1409" s="2"/>
      <c r="G1409" s="2"/>
      <c r="H1409" s="2" t="s">
        <v>950</v>
      </c>
      <c r="I1409" s="2" t="s">
        <v>184</v>
      </c>
      <c r="J1409" s="2" t="n">
        <v>-7.276</v>
      </c>
      <c r="K1409" s="2" t="n">
        <v>112.735</v>
      </c>
      <c r="L1409" s="2" t="s">
        <v>101</v>
      </c>
      <c r="M1409" s="2" t="s">
        <v>60</v>
      </c>
      <c r="N1409" s="2" t="s">
        <v>7281</v>
      </c>
      <c r="O1409" s="2" t="s">
        <v>7282</v>
      </c>
      <c r="P1409" s="2"/>
      <c r="Q1409" s="2" t="s">
        <v>110</v>
      </c>
      <c r="R1409" s="2" t="n">
        <v>0.85</v>
      </c>
      <c r="S1409" s="2" t="s">
        <v>7283</v>
      </c>
      <c r="T1409" s="2" t="s">
        <v>7284</v>
      </c>
      <c r="U1409" s="2" t="s">
        <v>7285</v>
      </c>
      <c r="V1409" s="2" t="s">
        <v>5030</v>
      </c>
      <c r="W1409" s="2" t="s">
        <v>3398</v>
      </c>
      <c r="X1409" s="2" t="s">
        <v>507</v>
      </c>
    </row>
    <row r="1410" customFormat="false" ht="15" hidden="false" customHeight="false" outlineLevel="0" collapsed="false">
      <c r="A1410" s="2" t="n">
        <v>1667</v>
      </c>
      <c r="B1410" s="2" t="s">
        <v>7209</v>
      </c>
      <c r="C1410" s="2" t="s">
        <v>7286</v>
      </c>
      <c r="D1410" s="2" t="s">
        <v>410</v>
      </c>
      <c r="E1410" s="2" t="s">
        <v>479</v>
      </c>
      <c r="F1410" s="2"/>
      <c r="G1410" s="2" t="s">
        <v>5353</v>
      </c>
      <c r="H1410" s="2" t="s">
        <v>479</v>
      </c>
      <c r="I1410" s="2" t="s">
        <v>403</v>
      </c>
      <c r="J1410" s="2" t="n">
        <v>-5.148</v>
      </c>
      <c r="K1410" s="2" t="n">
        <v>119.432</v>
      </c>
      <c r="L1410" s="2" t="s">
        <v>101</v>
      </c>
      <c r="M1410" s="2" t="s">
        <v>60</v>
      </c>
      <c r="N1410" s="2" t="s">
        <v>7287</v>
      </c>
      <c r="O1410" s="2" t="s">
        <v>7288</v>
      </c>
      <c r="P1410" s="2"/>
      <c r="Q1410" s="2" t="s">
        <v>62</v>
      </c>
      <c r="R1410" s="2" t="n">
        <v>0.7</v>
      </c>
      <c r="S1410" s="2" t="s">
        <v>7289</v>
      </c>
      <c r="T1410" s="2" t="s">
        <v>7290</v>
      </c>
      <c r="U1410" s="2" t="s">
        <v>7291</v>
      </c>
      <c r="V1410" s="2" t="s">
        <v>5030</v>
      </c>
      <c r="W1410" s="2" t="s">
        <v>1758</v>
      </c>
      <c r="X1410" s="2" t="s">
        <v>507</v>
      </c>
    </row>
    <row r="1411" customFormat="false" ht="15" hidden="false" customHeight="false" outlineLevel="0" collapsed="false">
      <c r="A1411" s="2" t="n">
        <v>1669</v>
      </c>
      <c r="B1411" s="2" t="s">
        <v>7209</v>
      </c>
      <c r="C1411" s="2" t="s">
        <v>7292</v>
      </c>
      <c r="D1411" s="2" t="s">
        <v>410</v>
      </c>
      <c r="E1411" s="2" t="s">
        <v>479</v>
      </c>
      <c r="F1411" s="2" t="s">
        <v>7293</v>
      </c>
      <c r="G1411" s="2" t="s">
        <v>7294</v>
      </c>
      <c r="H1411" s="2" t="s">
        <v>479</v>
      </c>
      <c r="I1411" s="2" t="s">
        <v>403</v>
      </c>
      <c r="J1411" s="2" t="n">
        <v>-5.144</v>
      </c>
      <c r="K1411" s="2" t="n">
        <v>119.4077</v>
      </c>
      <c r="L1411" s="2" t="s">
        <v>124</v>
      </c>
      <c r="M1411" s="2" t="s">
        <v>60</v>
      </c>
      <c r="N1411" s="2"/>
      <c r="O1411" s="2" t="s">
        <v>7295</v>
      </c>
      <c r="P1411" s="2"/>
      <c r="Q1411" s="2" t="s">
        <v>62</v>
      </c>
      <c r="R1411" s="2" t="n">
        <v>0.8</v>
      </c>
      <c r="S1411" s="2" t="s">
        <v>7296</v>
      </c>
      <c r="T1411" s="2" t="s">
        <v>7297</v>
      </c>
      <c r="U1411" s="2" t="s">
        <v>7298</v>
      </c>
      <c r="V1411" s="2" t="s">
        <v>420</v>
      </c>
      <c r="W1411" s="2" t="s">
        <v>5557</v>
      </c>
      <c r="X1411" s="2" t="s">
        <v>507</v>
      </c>
    </row>
    <row r="1412" customFormat="false" ht="15" hidden="false" customHeight="false" outlineLevel="0" collapsed="false">
      <c r="A1412" s="2" t="n">
        <v>1669</v>
      </c>
      <c r="B1412" s="2" t="s">
        <v>7209</v>
      </c>
      <c r="C1412" s="2" t="s">
        <v>7299</v>
      </c>
      <c r="D1412" s="2" t="s">
        <v>1130</v>
      </c>
      <c r="E1412" s="2" t="s">
        <v>479</v>
      </c>
      <c r="F1412" s="2" t="s">
        <v>7300</v>
      </c>
      <c r="G1412" s="2" t="s">
        <v>7294</v>
      </c>
      <c r="H1412" s="2" t="s">
        <v>479</v>
      </c>
      <c r="I1412" s="2" t="s">
        <v>403</v>
      </c>
      <c r="J1412" s="2" t="n">
        <v>-5.134</v>
      </c>
      <c r="K1412" s="2" t="n">
        <v>119.4053</v>
      </c>
      <c r="L1412" s="2" t="s">
        <v>124</v>
      </c>
      <c r="M1412" s="2" t="s">
        <v>60</v>
      </c>
      <c r="N1412" s="2"/>
      <c r="O1412" s="2" t="s">
        <v>7301</v>
      </c>
      <c r="P1412" s="2"/>
      <c r="Q1412" s="2" t="s">
        <v>62</v>
      </c>
      <c r="R1412" s="2" t="n">
        <v>0.8</v>
      </c>
      <c r="S1412" s="2" t="s">
        <v>7296</v>
      </c>
      <c r="T1412" s="2" t="s">
        <v>7297</v>
      </c>
      <c r="U1412" s="2" t="s">
        <v>7298</v>
      </c>
      <c r="V1412" s="2" t="s">
        <v>420</v>
      </c>
      <c r="W1412" s="2" t="s">
        <v>5557</v>
      </c>
      <c r="X1412" s="2" t="s">
        <v>507</v>
      </c>
    </row>
    <row r="1413" customFormat="false" ht="15" hidden="false" customHeight="false" outlineLevel="0" collapsed="false">
      <c r="A1413" s="2" t="n">
        <v>1669</v>
      </c>
      <c r="B1413" s="2" t="s">
        <v>7209</v>
      </c>
      <c r="C1413" s="2" t="s">
        <v>7302</v>
      </c>
      <c r="D1413" s="2" t="s">
        <v>351</v>
      </c>
      <c r="E1413" s="2" t="s">
        <v>7303</v>
      </c>
      <c r="F1413" s="2" t="s">
        <v>5124</v>
      </c>
      <c r="G1413" s="2" t="s">
        <v>5125</v>
      </c>
      <c r="H1413" s="2" t="s">
        <v>479</v>
      </c>
      <c r="I1413" s="2" t="s">
        <v>403</v>
      </c>
      <c r="J1413" s="2" t="n">
        <v>-5.156</v>
      </c>
      <c r="K1413" s="2" t="n">
        <v>119.397</v>
      </c>
      <c r="L1413" s="2" t="s">
        <v>59</v>
      </c>
      <c r="M1413" s="2" t="s">
        <v>60</v>
      </c>
      <c r="N1413" s="2" t="s">
        <v>7304</v>
      </c>
      <c r="O1413" s="2" t="s">
        <v>7305</v>
      </c>
      <c r="P1413" s="2"/>
      <c r="Q1413" s="2" t="s">
        <v>62</v>
      </c>
      <c r="R1413" s="2" t="n">
        <v>0.7</v>
      </c>
      <c r="S1413" s="2" t="s">
        <v>7296</v>
      </c>
      <c r="T1413" s="2" t="s">
        <v>7297</v>
      </c>
      <c r="U1413" s="2" t="s">
        <v>7298</v>
      </c>
      <c r="V1413" s="2" t="s">
        <v>420</v>
      </c>
      <c r="W1413" s="2" t="s">
        <v>5557</v>
      </c>
      <c r="X1413" s="2" t="s">
        <v>507</v>
      </c>
    </row>
    <row r="1414" customFormat="false" ht="15" hidden="false" customHeight="false" outlineLevel="0" collapsed="false">
      <c r="A1414" s="2" t="n">
        <v>1669</v>
      </c>
      <c r="B1414" s="2" t="s">
        <v>7209</v>
      </c>
      <c r="C1414" s="2" t="s">
        <v>7306</v>
      </c>
      <c r="D1414" s="2" t="s">
        <v>410</v>
      </c>
      <c r="E1414" s="2" t="s">
        <v>479</v>
      </c>
      <c r="F1414" s="2" t="s">
        <v>5124</v>
      </c>
      <c r="G1414" s="2" t="s">
        <v>5125</v>
      </c>
      <c r="H1414" s="2" t="s">
        <v>479</v>
      </c>
      <c r="I1414" s="2" t="s">
        <v>403</v>
      </c>
      <c r="J1414" s="2" t="n">
        <v>-5.156</v>
      </c>
      <c r="K1414" s="2" t="n">
        <v>119.397</v>
      </c>
      <c r="L1414" s="2" t="s">
        <v>59</v>
      </c>
      <c r="M1414" s="2" t="s">
        <v>60</v>
      </c>
      <c r="N1414" s="2"/>
      <c r="O1414" s="2" t="s">
        <v>7307</v>
      </c>
      <c r="P1414" s="2"/>
      <c r="Q1414" s="2" t="s">
        <v>62</v>
      </c>
      <c r="R1414" s="2" t="n">
        <v>0.65</v>
      </c>
      <c r="S1414" s="2" t="s">
        <v>7296</v>
      </c>
      <c r="T1414" s="2" t="s">
        <v>7297</v>
      </c>
      <c r="U1414" s="2" t="s">
        <v>7298</v>
      </c>
      <c r="V1414" s="2" t="s">
        <v>420</v>
      </c>
      <c r="W1414" s="2" t="s">
        <v>5557</v>
      </c>
      <c r="X1414" s="2" t="s">
        <v>507</v>
      </c>
    </row>
    <row r="1415" customFormat="false" ht="15" hidden="false" customHeight="false" outlineLevel="0" collapsed="false">
      <c r="A1415" s="2" t="n">
        <v>1669</v>
      </c>
      <c r="B1415" s="2" t="s">
        <v>7209</v>
      </c>
      <c r="C1415" s="2" t="s">
        <v>7308</v>
      </c>
      <c r="D1415" s="2" t="s">
        <v>410</v>
      </c>
      <c r="E1415" s="2" t="s">
        <v>5339</v>
      </c>
      <c r="F1415" s="2"/>
      <c r="G1415" s="2" t="s">
        <v>5353</v>
      </c>
      <c r="H1415" s="2" t="s">
        <v>479</v>
      </c>
      <c r="I1415" s="2" t="s">
        <v>403</v>
      </c>
      <c r="J1415" s="2" t="n">
        <v>-5.125</v>
      </c>
      <c r="K1415" s="2" t="n">
        <v>119.342</v>
      </c>
      <c r="L1415" s="2" t="s">
        <v>124</v>
      </c>
      <c r="M1415" s="2" t="s">
        <v>60</v>
      </c>
      <c r="N1415" s="2"/>
      <c r="O1415" s="2" t="s">
        <v>7309</v>
      </c>
      <c r="P1415" s="2"/>
      <c r="Q1415" s="2" t="s">
        <v>62</v>
      </c>
      <c r="R1415" s="2" t="n">
        <v>0.8</v>
      </c>
      <c r="S1415" s="2" t="s">
        <v>7296</v>
      </c>
      <c r="T1415" s="2" t="s">
        <v>7297</v>
      </c>
      <c r="U1415" s="2" t="s">
        <v>7298</v>
      </c>
      <c r="V1415" s="2" t="s">
        <v>420</v>
      </c>
      <c r="W1415" s="2" t="s">
        <v>5557</v>
      </c>
      <c r="X1415" s="2" t="s">
        <v>507</v>
      </c>
    </row>
    <row r="1416" customFormat="false" ht="15" hidden="false" customHeight="false" outlineLevel="0" collapsed="false">
      <c r="A1416" s="2" t="n">
        <v>1669</v>
      </c>
      <c r="B1416" s="2" t="s">
        <v>7209</v>
      </c>
      <c r="C1416" s="2" t="s">
        <v>7310</v>
      </c>
      <c r="D1416" s="2" t="s">
        <v>410</v>
      </c>
      <c r="E1416" s="2" t="s">
        <v>479</v>
      </c>
      <c r="F1416" s="2"/>
      <c r="G1416" s="2" t="s">
        <v>5125</v>
      </c>
      <c r="H1416" s="2" t="s">
        <v>479</v>
      </c>
      <c r="I1416" s="2" t="s">
        <v>403</v>
      </c>
      <c r="J1416" s="2" t="n">
        <v>-5.18</v>
      </c>
      <c r="K1416" s="2" t="n">
        <v>119.41</v>
      </c>
      <c r="L1416" s="2" t="s">
        <v>84</v>
      </c>
      <c r="M1416" s="2" t="s">
        <v>60</v>
      </c>
      <c r="N1416" s="2"/>
      <c r="O1416" s="2" t="s">
        <v>7311</v>
      </c>
      <c r="P1416" s="2"/>
      <c r="Q1416" s="2" t="s">
        <v>62</v>
      </c>
      <c r="R1416" s="2" t="n">
        <v>0.8</v>
      </c>
      <c r="S1416" s="2" t="s">
        <v>7296</v>
      </c>
      <c r="T1416" s="2" t="s">
        <v>7297</v>
      </c>
      <c r="U1416" s="2" t="s">
        <v>7298</v>
      </c>
      <c r="V1416" s="2" t="s">
        <v>420</v>
      </c>
      <c r="W1416" s="2" t="s">
        <v>5557</v>
      </c>
      <c r="X1416" s="2" t="s">
        <v>507</v>
      </c>
    </row>
    <row r="1417" customFormat="false" ht="15" hidden="false" customHeight="false" outlineLevel="0" collapsed="false">
      <c r="A1417" s="2" t="n">
        <v>1669</v>
      </c>
      <c r="B1417" s="2" t="s">
        <v>7209</v>
      </c>
      <c r="C1417" s="2" t="s">
        <v>7312</v>
      </c>
      <c r="D1417" s="2" t="s">
        <v>1140</v>
      </c>
      <c r="E1417" s="2" t="s">
        <v>479</v>
      </c>
      <c r="F1417" s="2" t="s">
        <v>5124</v>
      </c>
      <c r="G1417" s="2" t="s">
        <v>5125</v>
      </c>
      <c r="H1417" s="2" t="s">
        <v>479</v>
      </c>
      <c r="I1417" s="2" t="s">
        <v>403</v>
      </c>
      <c r="J1417" s="2" t="n">
        <v>-5.158</v>
      </c>
      <c r="K1417" s="2" t="n">
        <v>119.395</v>
      </c>
      <c r="L1417" s="2" t="s">
        <v>59</v>
      </c>
      <c r="M1417" s="2" t="s">
        <v>60</v>
      </c>
      <c r="N1417" s="2"/>
      <c r="O1417" s="2" t="s">
        <v>7313</v>
      </c>
      <c r="P1417" s="2"/>
      <c r="Q1417" s="2" t="s">
        <v>62</v>
      </c>
      <c r="R1417" s="2" t="n">
        <v>0.8</v>
      </c>
      <c r="S1417" s="2" t="s">
        <v>7296</v>
      </c>
      <c r="T1417" s="2" t="s">
        <v>7297</v>
      </c>
      <c r="U1417" s="2" t="s">
        <v>7298</v>
      </c>
      <c r="V1417" s="2" t="s">
        <v>420</v>
      </c>
      <c r="W1417" s="2" t="s">
        <v>5557</v>
      </c>
      <c r="X1417" s="2" t="s">
        <v>507</v>
      </c>
    </row>
    <row r="1418" customFormat="false" ht="15" hidden="false" customHeight="false" outlineLevel="0" collapsed="false">
      <c r="A1418" s="2" t="n">
        <v>1671</v>
      </c>
      <c r="B1418" s="2" t="s">
        <v>7209</v>
      </c>
      <c r="C1418" s="2" t="s">
        <v>7314</v>
      </c>
      <c r="D1418" s="2" t="s">
        <v>410</v>
      </c>
      <c r="E1418" s="2" t="s">
        <v>7315</v>
      </c>
      <c r="F1418" s="2" t="s">
        <v>7316</v>
      </c>
      <c r="G1418" s="2" t="s">
        <v>7317</v>
      </c>
      <c r="H1418" s="2" t="s">
        <v>479</v>
      </c>
      <c r="I1418" s="2" t="s">
        <v>403</v>
      </c>
      <c r="J1418" s="2" t="n">
        <v>-5.12</v>
      </c>
      <c r="K1418" s="2" t="n">
        <v>119.46</v>
      </c>
      <c r="L1418" s="2" t="s">
        <v>59</v>
      </c>
      <c r="M1418" s="2" t="s">
        <v>60</v>
      </c>
      <c r="N1418" s="2"/>
      <c r="O1418" s="2" t="s">
        <v>7318</v>
      </c>
      <c r="P1418" s="2" t="s">
        <v>7319</v>
      </c>
      <c r="Q1418" s="2" t="s">
        <v>62</v>
      </c>
      <c r="R1418" s="2" t="n">
        <v>0.65</v>
      </c>
      <c r="S1418" s="2" t="s">
        <v>7320</v>
      </c>
      <c r="T1418" s="2" t="s">
        <v>5381</v>
      </c>
      <c r="U1418" s="2" t="s">
        <v>7321</v>
      </c>
      <c r="V1418" s="2" t="s">
        <v>5487</v>
      </c>
      <c r="W1418" s="2" t="s">
        <v>4923</v>
      </c>
      <c r="X1418" s="2" t="s">
        <v>507</v>
      </c>
    </row>
    <row r="1419" customFormat="false" ht="15" hidden="false" customHeight="false" outlineLevel="0" collapsed="false">
      <c r="A1419" s="2" t="n">
        <v>1672</v>
      </c>
      <c r="B1419" s="2" t="s">
        <v>7209</v>
      </c>
      <c r="C1419" s="2" t="s">
        <v>7322</v>
      </c>
      <c r="D1419" s="2" t="s">
        <v>410</v>
      </c>
      <c r="E1419" s="2" t="s">
        <v>5339</v>
      </c>
      <c r="F1419" s="2"/>
      <c r="G1419" s="2" t="s">
        <v>5353</v>
      </c>
      <c r="H1419" s="2" t="s">
        <v>479</v>
      </c>
      <c r="I1419" s="2" t="s">
        <v>403</v>
      </c>
      <c r="J1419" s="2" t="n">
        <v>-5.148</v>
      </c>
      <c r="K1419" s="2" t="n">
        <v>119.432</v>
      </c>
      <c r="L1419" s="2" t="s">
        <v>101</v>
      </c>
      <c r="M1419" s="2" t="s">
        <v>60</v>
      </c>
      <c r="N1419" s="2" t="s">
        <v>7323</v>
      </c>
      <c r="O1419" s="2" t="s">
        <v>7324</v>
      </c>
      <c r="P1419" s="2"/>
      <c r="Q1419" s="2" t="s">
        <v>62</v>
      </c>
      <c r="R1419" s="2" t="n">
        <v>0.55</v>
      </c>
      <c r="S1419" s="2" t="s">
        <v>7325</v>
      </c>
      <c r="T1419" s="2" t="s">
        <v>580</v>
      </c>
      <c r="U1419" s="2" t="s">
        <v>7326</v>
      </c>
      <c r="V1419" s="2" t="s">
        <v>7327</v>
      </c>
      <c r="W1419" s="2" t="s">
        <v>1306</v>
      </c>
      <c r="X1419" s="2" t="s">
        <v>507</v>
      </c>
    </row>
    <row r="1420" customFormat="false" ht="15" hidden="false" customHeight="false" outlineLevel="0" collapsed="false">
      <c r="A1420" s="2" t="n">
        <v>1674</v>
      </c>
      <c r="B1420" s="2" t="s">
        <v>7209</v>
      </c>
      <c r="C1420" s="2" t="s">
        <v>7328</v>
      </c>
      <c r="D1420" s="2" t="s">
        <v>410</v>
      </c>
      <c r="E1420" s="2" t="s">
        <v>403</v>
      </c>
      <c r="F1420" s="2"/>
      <c r="G1420" s="2" t="s">
        <v>5357</v>
      </c>
      <c r="H1420" s="2" t="s">
        <v>5358</v>
      </c>
      <c r="I1420" s="2" t="s">
        <v>403</v>
      </c>
      <c r="J1420" s="2" t="n">
        <v>-5.58</v>
      </c>
      <c r="K1420" s="2" t="n">
        <v>120.43</v>
      </c>
      <c r="L1420" s="2" t="s">
        <v>84</v>
      </c>
      <c r="M1420" s="2" t="s">
        <v>1822</v>
      </c>
      <c r="N1420" s="2" t="s">
        <v>7329</v>
      </c>
      <c r="O1420" s="2" t="s">
        <v>7330</v>
      </c>
      <c r="P1420" s="2"/>
      <c r="Q1420" s="2" t="s">
        <v>62</v>
      </c>
      <c r="R1420" s="2" t="n">
        <v>0.5</v>
      </c>
      <c r="S1420" s="2" t="s">
        <v>7331</v>
      </c>
      <c r="T1420" s="2" t="s">
        <v>580</v>
      </c>
      <c r="U1420" s="2" t="s">
        <v>7332</v>
      </c>
      <c r="V1420" s="2" t="s">
        <v>7333</v>
      </c>
      <c r="W1420" s="2" t="s">
        <v>3646</v>
      </c>
      <c r="X1420" s="2" t="s">
        <v>507</v>
      </c>
    </row>
    <row r="1421" customFormat="false" ht="15" hidden="false" customHeight="false" outlineLevel="0" collapsed="false">
      <c r="A1421" s="2" t="n">
        <v>1675</v>
      </c>
      <c r="B1421" s="2" t="s">
        <v>7209</v>
      </c>
      <c r="C1421" s="2" t="s">
        <v>7334</v>
      </c>
      <c r="D1421" s="2" t="s">
        <v>1140</v>
      </c>
      <c r="E1421" s="2" t="s">
        <v>7335</v>
      </c>
      <c r="F1421" s="2" t="s">
        <v>5124</v>
      </c>
      <c r="G1421" s="2" t="s">
        <v>5125</v>
      </c>
      <c r="H1421" s="2" t="s">
        <v>479</v>
      </c>
      <c r="I1421" s="2" t="s">
        <v>403</v>
      </c>
      <c r="J1421" s="2" t="n">
        <v>-5.158</v>
      </c>
      <c r="K1421" s="2" t="n">
        <v>119.395</v>
      </c>
      <c r="L1421" s="2" t="s">
        <v>59</v>
      </c>
      <c r="M1421" s="2" t="s">
        <v>60</v>
      </c>
      <c r="N1421" s="2" t="s">
        <v>5123</v>
      </c>
      <c r="O1421" s="2" t="s">
        <v>7336</v>
      </c>
      <c r="P1421" s="2" t="s">
        <v>7337</v>
      </c>
      <c r="Q1421" s="2" t="s">
        <v>62</v>
      </c>
      <c r="R1421" s="2" t="n">
        <v>0.8</v>
      </c>
      <c r="S1421" s="2" t="s">
        <v>7338</v>
      </c>
      <c r="T1421" s="2" t="s">
        <v>963</v>
      </c>
      <c r="U1421" s="2" t="s">
        <v>7339</v>
      </c>
      <c r="V1421" s="2" t="s">
        <v>7340</v>
      </c>
      <c r="W1421" s="2" t="s">
        <v>6803</v>
      </c>
      <c r="X1421" s="2" t="s">
        <v>507</v>
      </c>
    </row>
    <row r="1422" customFormat="false" ht="15" hidden="false" customHeight="false" outlineLevel="0" collapsed="false">
      <c r="A1422" s="2" t="n">
        <v>1677</v>
      </c>
      <c r="B1422" s="2" t="s">
        <v>7209</v>
      </c>
      <c r="C1422" s="2" t="s">
        <v>7341</v>
      </c>
      <c r="D1422" s="2" t="s">
        <v>1130</v>
      </c>
      <c r="E1422" s="2" t="s">
        <v>7342</v>
      </c>
      <c r="F1422" s="2"/>
      <c r="G1422" s="2" t="s">
        <v>7294</v>
      </c>
      <c r="H1422" s="2" t="s">
        <v>479</v>
      </c>
      <c r="I1422" s="2" t="s">
        <v>403</v>
      </c>
      <c r="J1422" s="2" t="n">
        <v>-5.14</v>
      </c>
      <c r="K1422" s="2" t="n">
        <v>119.412</v>
      </c>
      <c r="L1422" s="2" t="s">
        <v>84</v>
      </c>
      <c r="M1422" s="2" t="s">
        <v>60</v>
      </c>
      <c r="N1422" s="2"/>
      <c r="O1422" s="2" t="s">
        <v>7343</v>
      </c>
      <c r="P1422" s="2" t="s">
        <v>5018</v>
      </c>
      <c r="Q1422" s="2" t="s">
        <v>62</v>
      </c>
      <c r="R1422" s="2" t="n">
        <v>0.45</v>
      </c>
      <c r="S1422" s="2" t="s">
        <v>7344</v>
      </c>
      <c r="T1422" s="2" t="s">
        <v>7345</v>
      </c>
      <c r="U1422" s="2" t="s">
        <v>7346</v>
      </c>
      <c r="V1422" s="2" t="s">
        <v>696</v>
      </c>
      <c r="W1422" s="2" t="s">
        <v>2158</v>
      </c>
      <c r="X1422" s="2" t="s">
        <v>507</v>
      </c>
    </row>
    <row r="1423" customFormat="false" ht="15" hidden="false" customHeight="false" outlineLevel="0" collapsed="false">
      <c r="A1423" s="2" t="n">
        <v>1679</v>
      </c>
      <c r="B1423" s="2" t="s">
        <v>7209</v>
      </c>
      <c r="C1423" s="2" t="s">
        <v>7347</v>
      </c>
      <c r="D1423" s="2" t="s">
        <v>351</v>
      </c>
      <c r="E1423" s="2" t="s">
        <v>7348</v>
      </c>
      <c r="F1423" s="2"/>
      <c r="G1423" s="2"/>
      <c r="H1423" s="2" t="s">
        <v>479</v>
      </c>
      <c r="I1423" s="2" t="s">
        <v>403</v>
      </c>
      <c r="J1423" s="2" t="n">
        <v>-5.148</v>
      </c>
      <c r="K1423" s="2" t="n">
        <v>119.432</v>
      </c>
      <c r="L1423" s="2" t="s">
        <v>101</v>
      </c>
      <c r="M1423" s="2" t="s">
        <v>60</v>
      </c>
      <c r="N1423" s="2" t="s">
        <v>7349</v>
      </c>
      <c r="O1423" s="2" t="s">
        <v>7350</v>
      </c>
      <c r="P1423" s="2" t="s">
        <v>7351</v>
      </c>
      <c r="Q1423" s="2" t="s">
        <v>110</v>
      </c>
      <c r="R1423" s="2" t="n">
        <v>0.35</v>
      </c>
      <c r="S1423" s="2" t="s">
        <v>7352</v>
      </c>
      <c r="T1423" s="2" t="s">
        <v>95</v>
      </c>
      <c r="U1423" s="2" t="s">
        <v>7353</v>
      </c>
      <c r="V1423" s="2" t="s">
        <v>7354</v>
      </c>
      <c r="W1423" s="2" t="s">
        <v>1365</v>
      </c>
      <c r="X1423" s="2" t="s">
        <v>507</v>
      </c>
    </row>
    <row r="1424" customFormat="false" ht="15" hidden="false" customHeight="false" outlineLevel="0" collapsed="false">
      <c r="A1424" s="2" t="n">
        <v>1685</v>
      </c>
      <c r="B1424" s="2" t="s">
        <v>7355</v>
      </c>
      <c r="C1424" s="2" t="s">
        <v>7356</v>
      </c>
      <c r="D1424" s="2" t="s">
        <v>121</v>
      </c>
      <c r="E1424" s="2" t="s">
        <v>7357</v>
      </c>
      <c r="F1424" s="2"/>
      <c r="G1424" s="2" t="s">
        <v>5125</v>
      </c>
      <c r="H1424" s="2" t="s">
        <v>479</v>
      </c>
      <c r="I1424" s="2" t="s">
        <v>403</v>
      </c>
      <c r="J1424" s="2" t="n">
        <v>-5.18</v>
      </c>
      <c r="K1424" s="2" t="n">
        <v>119.41</v>
      </c>
      <c r="L1424" s="2" t="s">
        <v>84</v>
      </c>
      <c r="M1424" s="2" t="s">
        <v>60</v>
      </c>
      <c r="N1424" s="2" t="s">
        <v>7358</v>
      </c>
      <c r="O1424" s="2" t="s">
        <v>7359</v>
      </c>
      <c r="P1424" s="2"/>
      <c r="Q1424" s="2" t="s">
        <v>62</v>
      </c>
      <c r="R1424" s="2" t="n">
        <v>0.75</v>
      </c>
      <c r="S1424" s="2" t="s">
        <v>7360</v>
      </c>
      <c r="T1424" s="2" t="s">
        <v>7361</v>
      </c>
      <c r="U1424" s="2" t="s">
        <v>7362</v>
      </c>
      <c r="V1424" s="2" t="s">
        <v>7354</v>
      </c>
      <c r="W1424" s="2" t="s">
        <v>2723</v>
      </c>
      <c r="X1424" s="2" t="s">
        <v>507</v>
      </c>
    </row>
    <row r="1425" customFormat="false" ht="15" hidden="false" customHeight="false" outlineLevel="0" collapsed="false">
      <c r="A1425" s="2" t="n">
        <v>1687</v>
      </c>
      <c r="B1425" s="2" t="s">
        <v>7355</v>
      </c>
      <c r="C1425" s="2" t="s">
        <v>7363</v>
      </c>
      <c r="D1425" s="2" t="s">
        <v>53</v>
      </c>
      <c r="E1425" s="2" t="s">
        <v>7364</v>
      </c>
      <c r="F1425" s="2"/>
      <c r="G1425" s="2" t="s">
        <v>7365</v>
      </c>
      <c r="H1425" s="2" t="s">
        <v>325</v>
      </c>
      <c r="I1425" s="2" t="s">
        <v>326</v>
      </c>
      <c r="J1425" s="2" t="n">
        <v>-3.03</v>
      </c>
      <c r="K1425" s="2" t="n">
        <v>104.745</v>
      </c>
      <c r="L1425" s="2" t="s">
        <v>84</v>
      </c>
      <c r="M1425" s="2" t="s">
        <v>60</v>
      </c>
      <c r="N1425" s="2"/>
      <c r="O1425" s="2" t="s">
        <v>7366</v>
      </c>
      <c r="P1425" s="2" t="s">
        <v>2798</v>
      </c>
      <c r="Q1425" s="2" t="s">
        <v>110</v>
      </c>
      <c r="R1425" s="2" t="n">
        <v>0.9</v>
      </c>
      <c r="S1425" s="2" t="s">
        <v>7367</v>
      </c>
      <c r="T1425" s="2" t="s">
        <v>95</v>
      </c>
      <c r="U1425" s="2" t="s">
        <v>7368</v>
      </c>
      <c r="V1425" s="2" t="s">
        <v>7333</v>
      </c>
      <c r="W1425" s="2" t="s">
        <v>2594</v>
      </c>
      <c r="X1425" s="2" t="s">
        <v>507</v>
      </c>
    </row>
    <row r="1426" customFormat="false" ht="15" hidden="false" customHeight="false" outlineLevel="0" collapsed="false">
      <c r="A1426" s="2" t="n">
        <v>1688</v>
      </c>
      <c r="B1426" s="2" t="s">
        <v>7355</v>
      </c>
      <c r="C1426" s="2" t="s">
        <v>6788</v>
      </c>
      <c r="D1426" s="2" t="s">
        <v>53</v>
      </c>
      <c r="E1426" s="2" t="s">
        <v>2741</v>
      </c>
      <c r="F1426" s="2"/>
      <c r="G1426" s="2"/>
      <c r="H1426" s="2" t="s">
        <v>325</v>
      </c>
      <c r="I1426" s="2" t="s">
        <v>326</v>
      </c>
      <c r="J1426" s="2" t="n">
        <v>-2.976</v>
      </c>
      <c r="K1426" s="2" t="n">
        <v>104.775</v>
      </c>
      <c r="L1426" s="2" t="s">
        <v>101</v>
      </c>
      <c r="M1426" s="2" t="s">
        <v>60</v>
      </c>
      <c r="N1426" s="2"/>
      <c r="O1426" s="2" t="s">
        <v>7369</v>
      </c>
      <c r="P1426" s="2" t="s">
        <v>7370</v>
      </c>
      <c r="Q1426" s="2" t="s">
        <v>110</v>
      </c>
      <c r="R1426" s="2" t="n">
        <v>0.6</v>
      </c>
      <c r="S1426" s="2" t="s">
        <v>7371</v>
      </c>
      <c r="T1426" s="2" t="s">
        <v>1351</v>
      </c>
      <c r="U1426" s="2" t="s">
        <v>7372</v>
      </c>
      <c r="V1426" s="2" t="s">
        <v>7373</v>
      </c>
      <c r="W1426" s="2" t="s">
        <v>2939</v>
      </c>
      <c r="X1426" s="2" t="s">
        <v>507</v>
      </c>
    </row>
    <row r="1427" customFormat="false" ht="15" hidden="false" customHeight="false" outlineLevel="0" collapsed="false">
      <c r="A1427" s="2" t="n">
        <v>1689</v>
      </c>
      <c r="B1427" s="2" t="s">
        <v>7355</v>
      </c>
      <c r="C1427" s="2" t="s">
        <v>7374</v>
      </c>
      <c r="D1427" s="2" t="s">
        <v>351</v>
      </c>
      <c r="E1427" s="2" t="s">
        <v>325</v>
      </c>
      <c r="F1427" s="2"/>
      <c r="G1427" s="2"/>
      <c r="H1427" s="2" t="s">
        <v>325</v>
      </c>
      <c r="I1427" s="2" t="s">
        <v>326</v>
      </c>
      <c r="J1427" s="2" t="n">
        <v>-2.9918</v>
      </c>
      <c r="K1427" s="2" t="n">
        <v>104.7636</v>
      </c>
      <c r="L1427" s="2" t="s">
        <v>124</v>
      </c>
      <c r="M1427" s="2" t="s">
        <v>60</v>
      </c>
      <c r="N1427" s="2" t="s">
        <v>7375</v>
      </c>
      <c r="O1427" s="2" t="s">
        <v>7376</v>
      </c>
      <c r="P1427" s="2"/>
      <c r="Q1427" s="2" t="s">
        <v>62</v>
      </c>
      <c r="R1427" s="2" t="n">
        <v>0.75</v>
      </c>
      <c r="S1427" s="2" t="s">
        <v>7377</v>
      </c>
      <c r="T1427" s="2" t="s">
        <v>5637</v>
      </c>
      <c r="U1427" s="2" t="s">
        <v>7378</v>
      </c>
      <c r="V1427" s="2" t="s">
        <v>420</v>
      </c>
      <c r="W1427" s="2" t="s">
        <v>783</v>
      </c>
      <c r="X1427" s="2" t="s">
        <v>507</v>
      </c>
    </row>
    <row r="1428" customFormat="false" ht="15" hidden="false" customHeight="false" outlineLevel="0" collapsed="false">
      <c r="A1428" s="2" t="n">
        <v>1690</v>
      </c>
      <c r="B1428" s="2" t="s">
        <v>7355</v>
      </c>
      <c r="C1428" s="2" t="s">
        <v>7374</v>
      </c>
      <c r="D1428" s="2" t="s">
        <v>351</v>
      </c>
      <c r="E1428" s="2" t="s">
        <v>325</v>
      </c>
      <c r="F1428" s="2"/>
      <c r="G1428" s="2"/>
      <c r="H1428" s="2" t="s">
        <v>325</v>
      </c>
      <c r="I1428" s="2" t="s">
        <v>326</v>
      </c>
      <c r="J1428" s="2" t="n">
        <v>-2.9918</v>
      </c>
      <c r="K1428" s="2" t="n">
        <v>104.7636</v>
      </c>
      <c r="L1428" s="2" t="s">
        <v>124</v>
      </c>
      <c r="M1428" s="2" t="s">
        <v>60</v>
      </c>
      <c r="N1428" s="2" t="s">
        <v>7375</v>
      </c>
      <c r="O1428" s="2" t="s">
        <v>7379</v>
      </c>
      <c r="P1428" s="2" t="s">
        <v>2154</v>
      </c>
      <c r="Q1428" s="2" t="s">
        <v>110</v>
      </c>
      <c r="R1428" s="2" t="n">
        <v>0.85</v>
      </c>
      <c r="S1428" s="2" t="s">
        <v>7380</v>
      </c>
      <c r="T1428" s="2" t="s">
        <v>95</v>
      </c>
      <c r="U1428" s="2" t="s">
        <v>7381</v>
      </c>
      <c r="V1428" s="2" t="s">
        <v>4380</v>
      </c>
      <c r="W1428" s="2" t="s">
        <v>3469</v>
      </c>
      <c r="X1428" s="2" t="s">
        <v>507</v>
      </c>
    </row>
    <row r="1429" customFormat="false" ht="15" hidden="false" customHeight="false" outlineLevel="0" collapsed="false">
      <c r="A1429" s="2" t="n">
        <v>1691</v>
      </c>
      <c r="B1429" s="2" t="s">
        <v>7355</v>
      </c>
      <c r="C1429" s="2" t="s">
        <v>7374</v>
      </c>
      <c r="D1429" s="2" t="s">
        <v>351</v>
      </c>
      <c r="E1429" s="2" t="s">
        <v>325</v>
      </c>
      <c r="F1429" s="2"/>
      <c r="G1429" s="2"/>
      <c r="H1429" s="2" t="s">
        <v>325</v>
      </c>
      <c r="I1429" s="2" t="s">
        <v>326</v>
      </c>
      <c r="J1429" s="2" t="n">
        <v>-2.9918</v>
      </c>
      <c r="K1429" s="2" t="n">
        <v>104.7636</v>
      </c>
      <c r="L1429" s="2" t="s">
        <v>124</v>
      </c>
      <c r="M1429" s="2" t="s">
        <v>60</v>
      </c>
      <c r="N1429" s="2" t="s">
        <v>7375</v>
      </c>
      <c r="O1429" s="2" t="s">
        <v>7382</v>
      </c>
      <c r="P1429" s="2"/>
      <c r="Q1429" s="2" t="s">
        <v>62</v>
      </c>
      <c r="R1429" s="2" t="n">
        <v>0.75</v>
      </c>
      <c r="S1429" s="2" t="s">
        <v>7383</v>
      </c>
      <c r="T1429" s="2" t="s">
        <v>2748</v>
      </c>
      <c r="U1429" s="2" t="s">
        <v>7384</v>
      </c>
      <c r="V1429" s="2" t="s">
        <v>7385</v>
      </c>
      <c r="W1429" s="2" t="s">
        <v>3206</v>
      </c>
      <c r="X1429" s="2" t="s">
        <v>507</v>
      </c>
    </row>
    <row r="1430" customFormat="false" ht="15" hidden="false" customHeight="false" outlineLevel="0" collapsed="false">
      <c r="A1430" s="2" t="n">
        <v>1691</v>
      </c>
      <c r="B1430" s="2" t="s">
        <v>7355</v>
      </c>
      <c r="C1430" s="2" t="s">
        <v>7386</v>
      </c>
      <c r="D1430" s="2" t="s">
        <v>351</v>
      </c>
      <c r="E1430" s="2" t="s">
        <v>325</v>
      </c>
      <c r="F1430" s="2" t="s">
        <v>7387</v>
      </c>
      <c r="G1430" s="2" t="s">
        <v>2735</v>
      </c>
      <c r="H1430" s="2" t="s">
        <v>325</v>
      </c>
      <c r="I1430" s="2" t="s">
        <v>326</v>
      </c>
      <c r="J1430" s="2" t="n">
        <v>-2.9884</v>
      </c>
      <c r="K1430" s="2" t="n">
        <v>104.7604</v>
      </c>
      <c r="L1430" s="2" t="s">
        <v>124</v>
      </c>
      <c r="M1430" s="2" t="s">
        <v>60</v>
      </c>
      <c r="N1430" s="2"/>
      <c r="O1430" s="2" t="s">
        <v>7388</v>
      </c>
      <c r="P1430" s="2"/>
      <c r="Q1430" s="2" t="s">
        <v>62</v>
      </c>
      <c r="R1430" s="2" t="n">
        <v>0.65</v>
      </c>
      <c r="S1430" s="2" t="s">
        <v>7383</v>
      </c>
      <c r="T1430" s="2" t="s">
        <v>2748</v>
      </c>
      <c r="U1430" s="2" t="s">
        <v>7384</v>
      </c>
      <c r="V1430" s="2" t="s">
        <v>7385</v>
      </c>
      <c r="W1430" s="2" t="s">
        <v>3206</v>
      </c>
      <c r="X1430" s="2" t="s">
        <v>507</v>
      </c>
    </row>
    <row r="1431" customFormat="false" ht="15" hidden="false" customHeight="false" outlineLevel="0" collapsed="false">
      <c r="A1431" s="2" t="n">
        <v>1691</v>
      </c>
      <c r="B1431" s="2" t="s">
        <v>7355</v>
      </c>
      <c r="C1431" s="2" t="s">
        <v>7389</v>
      </c>
      <c r="D1431" s="2" t="s">
        <v>1130</v>
      </c>
      <c r="E1431" s="2" t="s">
        <v>325</v>
      </c>
      <c r="F1431" s="2" t="s">
        <v>7390</v>
      </c>
      <c r="G1431" s="2" t="s">
        <v>7391</v>
      </c>
      <c r="H1431" s="2" t="s">
        <v>325</v>
      </c>
      <c r="I1431" s="2" t="s">
        <v>326</v>
      </c>
      <c r="J1431" s="2" t="n">
        <v>-2.979</v>
      </c>
      <c r="K1431" s="2" t="n">
        <v>104.787</v>
      </c>
      <c r="L1431" s="2" t="s">
        <v>59</v>
      </c>
      <c r="M1431" s="2" t="s">
        <v>60</v>
      </c>
      <c r="N1431" s="2"/>
      <c r="O1431" s="2" t="s">
        <v>7392</v>
      </c>
      <c r="P1431" s="2"/>
      <c r="Q1431" s="2" t="s">
        <v>62</v>
      </c>
      <c r="R1431" s="2" t="n">
        <v>0.65</v>
      </c>
      <c r="S1431" s="2" t="s">
        <v>7383</v>
      </c>
      <c r="T1431" s="2" t="s">
        <v>2748</v>
      </c>
      <c r="U1431" s="2" t="s">
        <v>7384</v>
      </c>
      <c r="V1431" s="2" t="s">
        <v>7385</v>
      </c>
      <c r="W1431" s="2" t="s">
        <v>3206</v>
      </c>
      <c r="X1431" s="2" t="s">
        <v>507</v>
      </c>
    </row>
    <row r="1432" customFormat="false" ht="15" hidden="false" customHeight="false" outlineLevel="0" collapsed="false">
      <c r="A1432" s="2" t="n">
        <v>1691</v>
      </c>
      <c r="B1432" s="2" t="s">
        <v>7355</v>
      </c>
      <c r="C1432" s="2" t="s">
        <v>7393</v>
      </c>
      <c r="D1432" s="2" t="s">
        <v>410</v>
      </c>
      <c r="E1432" s="2" t="s">
        <v>325</v>
      </c>
      <c r="F1432" s="2" t="s">
        <v>7394</v>
      </c>
      <c r="G1432" s="2" t="s">
        <v>7395</v>
      </c>
      <c r="H1432" s="2" t="s">
        <v>325</v>
      </c>
      <c r="I1432" s="2" t="s">
        <v>326</v>
      </c>
      <c r="J1432" s="2" t="n">
        <v>-2.997</v>
      </c>
      <c r="K1432" s="2" t="n">
        <v>104.763</v>
      </c>
      <c r="L1432" s="2" t="s">
        <v>59</v>
      </c>
      <c r="M1432" s="2" t="s">
        <v>60</v>
      </c>
      <c r="N1432" s="2"/>
      <c r="O1432" s="2" t="s">
        <v>7396</v>
      </c>
      <c r="P1432" s="2"/>
      <c r="Q1432" s="2" t="s">
        <v>62</v>
      </c>
      <c r="R1432" s="2" t="n">
        <v>0.65</v>
      </c>
      <c r="S1432" s="2" t="s">
        <v>7383</v>
      </c>
      <c r="T1432" s="2" t="s">
        <v>2748</v>
      </c>
      <c r="U1432" s="2" t="s">
        <v>7384</v>
      </c>
      <c r="V1432" s="2" t="s">
        <v>7385</v>
      </c>
      <c r="W1432" s="2" t="s">
        <v>3206</v>
      </c>
      <c r="X1432" s="2" t="s">
        <v>507</v>
      </c>
    </row>
    <row r="1433" customFormat="false" ht="15" hidden="false" customHeight="false" outlineLevel="0" collapsed="false">
      <c r="A1433" s="2" t="n">
        <v>1693</v>
      </c>
      <c r="B1433" s="2" t="s">
        <v>7355</v>
      </c>
      <c r="C1433" s="2" t="s">
        <v>7397</v>
      </c>
      <c r="D1433" s="2" t="s">
        <v>410</v>
      </c>
      <c r="E1433" s="2" t="s">
        <v>7398</v>
      </c>
      <c r="F1433" s="2"/>
      <c r="G1433" s="2" t="s">
        <v>2754</v>
      </c>
      <c r="H1433" s="2" t="s">
        <v>325</v>
      </c>
      <c r="I1433" s="2" t="s">
        <v>326</v>
      </c>
      <c r="J1433" s="2" t="n">
        <v>-2.93</v>
      </c>
      <c r="K1433" s="2" t="n">
        <v>104.72</v>
      </c>
      <c r="L1433" s="2" t="s">
        <v>84</v>
      </c>
      <c r="M1433" s="2" t="s">
        <v>60</v>
      </c>
      <c r="N1433" s="2"/>
      <c r="O1433" s="2" t="s">
        <v>7399</v>
      </c>
      <c r="P1433" s="2"/>
      <c r="Q1433" s="2" t="s">
        <v>62</v>
      </c>
      <c r="R1433" s="2" t="n">
        <v>0.8</v>
      </c>
      <c r="S1433" s="2" t="s">
        <v>7400</v>
      </c>
      <c r="T1433" s="2" t="s">
        <v>743</v>
      </c>
      <c r="U1433" s="2" t="s">
        <v>7401</v>
      </c>
      <c r="V1433" s="2" t="s">
        <v>3517</v>
      </c>
      <c r="W1433" s="2" t="s">
        <v>3888</v>
      </c>
      <c r="X1433" s="2" t="s">
        <v>507</v>
      </c>
    </row>
    <row r="1434" customFormat="false" ht="15" hidden="false" customHeight="false" outlineLevel="0" collapsed="false">
      <c r="A1434" s="2" t="n">
        <v>1693</v>
      </c>
      <c r="B1434" s="2" t="s">
        <v>7355</v>
      </c>
      <c r="C1434" s="2" t="s">
        <v>7402</v>
      </c>
      <c r="D1434" s="2" t="s">
        <v>410</v>
      </c>
      <c r="E1434" s="2" t="s">
        <v>7403</v>
      </c>
      <c r="F1434" s="2" t="s">
        <v>7404</v>
      </c>
      <c r="G1434" s="2" t="s">
        <v>7405</v>
      </c>
      <c r="H1434" s="2" t="s">
        <v>325</v>
      </c>
      <c r="I1434" s="2" t="s">
        <v>326</v>
      </c>
      <c r="J1434" s="2" t="n">
        <v>-2.992</v>
      </c>
      <c r="K1434" s="2" t="n">
        <v>104.731</v>
      </c>
      <c r="L1434" s="2" t="s">
        <v>124</v>
      </c>
      <c r="M1434" s="2" t="s">
        <v>60</v>
      </c>
      <c r="N1434" s="2" t="s">
        <v>7406</v>
      </c>
      <c r="O1434" s="2" t="s">
        <v>7407</v>
      </c>
      <c r="P1434" s="2"/>
      <c r="Q1434" s="2" t="s">
        <v>62</v>
      </c>
      <c r="R1434" s="2" t="n">
        <v>0.8</v>
      </c>
      <c r="S1434" s="2" t="s">
        <v>7400</v>
      </c>
      <c r="T1434" s="2" t="s">
        <v>743</v>
      </c>
      <c r="U1434" s="2" t="s">
        <v>7401</v>
      </c>
      <c r="V1434" s="2" t="s">
        <v>3517</v>
      </c>
      <c r="W1434" s="2" t="s">
        <v>3888</v>
      </c>
      <c r="X1434" s="2" t="s">
        <v>507</v>
      </c>
    </row>
    <row r="1435" customFormat="false" ht="15" hidden="false" customHeight="false" outlineLevel="0" collapsed="false">
      <c r="A1435" s="2" t="n">
        <v>1694</v>
      </c>
      <c r="B1435" s="2" t="s">
        <v>7355</v>
      </c>
      <c r="C1435" s="2" t="s">
        <v>7408</v>
      </c>
      <c r="D1435" s="2" t="s">
        <v>1130</v>
      </c>
      <c r="E1435" s="2" t="s">
        <v>325</v>
      </c>
      <c r="F1435" s="2" t="s">
        <v>7387</v>
      </c>
      <c r="G1435" s="2" t="s">
        <v>2735</v>
      </c>
      <c r="H1435" s="2" t="s">
        <v>325</v>
      </c>
      <c r="I1435" s="2" t="s">
        <v>326</v>
      </c>
      <c r="J1435" s="2" t="n">
        <v>-2.991</v>
      </c>
      <c r="K1435" s="2" t="n">
        <v>104.759</v>
      </c>
      <c r="L1435" s="2" t="s">
        <v>124</v>
      </c>
      <c r="M1435" s="2" t="s">
        <v>60</v>
      </c>
      <c r="N1435" s="2"/>
      <c r="O1435" s="2" t="s">
        <v>7409</v>
      </c>
      <c r="P1435" s="2"/>
      <c r="Q1435" s="2" t="s">
        <v>62</v>
      </c>
      <c r="R1435" s="2" t="n">
        <v>0.55</v>
      </c>
      <c r="S1435" s="2" t="s">
        <v>7410</v>
      </c>
      <c r="T1435" s="2" t="s">
        <v>176</v>
      </c>
      <c r="U1435" s="2" t="s">
        <v>7411</v>
      </c>
      <c r="V1435" s="2" t="s">
        <v>2926</v>
      </c>
      <c r="W1435" s="2" t="s">
        <v>686</v>
      </c>
      <c r="X1435" s="2" t="s">
        <v>507</v>
      </c>
    </row>
    <row r="1436" customFormat="false" ht="15" hidden="false" customHeight="false" outlineLevel="0" collapsed="false">
      <c r="A1436" s="2" t="n">
        <v>1694</v>
      </c>
      <c r="B1436" s="2" t="s">
        <v>7355</v>
      </c>
      <c r="C1436" s="2" t="s">
        <v>7412</v>
      </c>
      <c r="D1436" s="2" t="s">
        <v>351</v>
      </c>
      <c r="E1436" s="2" t="s">
        <v>325</v>
      </c>
      <c r="F1436" s="2"/>
      <c r="G1436" s="2"/>
      <c r="H1436" s="2" t="s">
        <v>325</v>
      </c>
      <c r="I1436" s="2" t="s">
        <v>326</v>
      </c>
      <c r="J1436" s="2" t="n">
        <v>-2.976</v>
      </c>
      <c r="K1436" s="2" t="n">
        <v>104.775</v>
      </c>
      <c r="L1436" s="2" t="s">
        <v>101</v>
      </c>
      <c r="M1436" s="2" t="s">
        <v>60</v>
      </c>
      <c r="N1436" s="2"/>
      <c r="O1436" s="2" t="s">
        <v>7413</v>
      </c>
      <c r="P1436" s="2"/>
      <c r="Q1436" s="2" t="s">
        <v>62</v>
      </c>
      <c r="R1436" s="2" t="n">
        <v>0.5</v>
      </c>
      <c r="S1436" s="2" t="s">
        <v>7410</v>
      </c>
      <c r="T1436" s="2" t="s">
        <v>176</v>
      </c>
      <c r="U1436" s="2" t="s">
        <v>7411</v>
      </c>
      <c r="V1436" s="2" t="s">
        <v>2926</v>
      </c>
      <c r="W1436" s="2" t="s">
        <v>686</v>
      </c>
      <c r="X1436" s="2" t="s">
        <v>507</v>
      </c>
    </row>
    <row r="1437" customFormat="false" ht="15" hidden="false" customHeight="false" outlineLevel="0" collapsed="false">
      <c r="A1437" s="2" t="n">
        <v>1696</v>
      </c>
      <c r="B1437" s="2" t="s">
        <v>7355</v>
      </c>
      <c r="C1437" s="2" t="s">
        <v>7414</v>
      </c>
      <c r="D1437" s="2" t="s">
        <v>410</v>
      </c>
      <c r="E1437" s="2" t="s">
        <v>7415</v>
      </c>
      <c r="F1437" s="2" t="s">
        <v>7416</v>
      </c>
      <c r="G1437" s="2" t="s">
        <v>2735</v>
      </c>
      <c r="H1437" s="2" t="s">
        <v>325</v>
      </c>
      <c r="I1437" s="2" t="s">
        <v>326</v>
      </c>
      <c r="J1437" s="2" t="n">
        <v>-2.985</v>
      </c>
      <c r="K1437" s="2" t="n">
        <v>104.748</v>
      </c>
      <c r="L1437" s="2" t="s">
        <v>59</v>
      </c>
      <c r="M1437" s="2" t="s">
        <v>60</v>
      </c>
      <c r="N1437" s="2"/>
      <c r="O1437" s="2" t="s">
        <v>7417</v>
      </c>
      <c r="P1437" s="2" t="s">
        <v>7006</v>
      </c>
      <c r="Q1437" s="2" t="s">
        <v>62</v>
      </c>
      <c r="R1437" s="2" t="n">
        <v>0.8</v>
      </c>
      <c r="S1437" s="2" t="s">
        <v>7418</v>
      </c>
      <c r="T1437" s="2" t="s">
        <v>95</v>
      </c>
      <c r="U1437" s="2" t="s">
        <v>7419</v>
      </c>
      <c r="V1437" s="2" t="s">
        <v>7420</v>
      </c>
      <c r="W1437" s="2" t="s">
        <v>2825</v>
      </c>
      <c r="X1437" s="2" t="s">
        <v>507</v>
      </c>
    </row>
    <row r="1438" customFormat="false" ht="15" hidden="false" customHeight="false" outlineLevel="0" collapsed="false">
      <c r="A1438" s="2" t="n">
        <v>1698</v>
      </c>
      <c r="B1438" s="2" t="s">
        <v>7355</v>
      </c>
      <c r="C1438" s="2" t="s">
        <v>7421</v>
      </c>
      <c r="D1438" s="2" t="s">
        <v>134</v>
      </c>
      <c r="E1438" s="2" t="s">
        <v>7422</v>
      </c>
      <c r="F1438" s="2"/>
      <c r="G1438" s="2" t="s">
        <v>2836</v>
      </c>
      <c r="H1438" s="2" t="s">
        <v>325</v>
      </c>
      <c r="I1438" s="2" t="s">
        <v>326</v>
      </c>
      <c r="J1438" s="2" t="n">
        <v>-3.0217</v>
      </c>
      <c r="K1438" s="2" t="n">
        <v>104.788</v>
      </c>
      <c r="L1438" s="2" t="s">
        <v>124</v>
      </c>
      <c r="M1438" s="2" t="s">
        <v>60</v>
      </c>
      <c r="N1438" s="2"/>
      <c r="O1438" s="2" t="s">
        <v>7423</v>
      </c>
      <c r="P1438" s="2" t="s">
        <v>7424</v>
      </c>
      <c r="Q1438" s="2" t="s">
        <v>110</v>
      </c>
      <c r="R1438" s="2" t="n">
        <v>0.9</v>
      </c>
      <c r="S1438" s="2" t="s">
        <v>7425</v>
      </c>
      <c r="T1438" s="2" t="s">
        <v>95</v>
      </c>
      <c r="U1438" s="2" t="s">
        <v>7426</v>
      </c>
      <c r="V1438" s="2" t="s">
        <v>3238</v>
      </c>
      <c r="W1438" s="2" t="s">
        <v>2399</v>
      </c>
      <c r="X1438" s="2" t="s">
        <v>507</v>
      </c>
    </row>
    <row r="1439" customFormat="false" ht="15" hidden="false" customHeight="false" outlineLevel="0" collapsed="false">
      <c r="A1439" s="2" t="n">
        <v>1700</v>
      </c>
      <c r="B1439" s="2" t="s">
        <v>7355</v>
      </c>
      <c r="C1439" s="2" t="s">
        <v>7374</v>
      </c>
      <c r="D1439" s="2" t="s">
        <v>351</v>
      </c>
      <c r="E1439" s="2" t="s">
        <v>325</v>
      </c>
      <c r="F1439" s="2"/>
      <c r="G1439" s="2"/>
      <c r="H1439" s="2" t="s">
        <v>325</v>
      </c>
      <c r="I1439" s="2" t="s">
        <v>326</v>
      </c>
      <c r="J1439" s="2" t="n">
        <v>-2.9918</v>
      </c>
      <c r="K1439" s="2" t="n">
        <v>104.7636</v>
      </c>
      <c r="L1439" s="2" t="s">
        <v>124</v>
      </c>
      <c r="M1439" s="2" t="s">
        <v>60</v>
      </c>
      <c r="N1439" s="2" t="s">
        <v>7375</v>
      </c>
      <c r="O1439" s="2" t="s">
        <v>7427</v>
      </c>
      <c r="P1439" s="2" t="s">
        <v>7428</v>
      </c>
      <c r="Q1439" s="2" t="s">
        <v>62</v>
      </c>
      <c r="R1439" s="2" t="n">
        <v>0.6</v>
      </c>
      <c r="S1439" s="2" t="s">
        <v>7429</v>
      </c>
      <c r="T1439" s="2" t="s">
        <v>2766</v>
      </c>
      <c r="U1439" s="2" t="s">
        <v>7430</v>
      </c>
      <c r="V1439" s="2" t="s">
        <v>7431</v>
      </c>
      <c r="W1439" s="2" t="s">
        <v>1750</v>
      </c>
      <c r="X1439" s="2" t="s">
        <v>507</v>
      </c>
    </row>
    <row r="1440" customFormat="false" ht="15" hidden="false" customHeight="false" outlineLevel="0" collapsed="false">
      <c r="A1440" s="2" t="n">
        <v>1700</v>
      </c>
      <c r="B1440" s="2" t="s">
        <v>7355</v>
      </c>
      <c r="C1440" s="2" t="s">
        <v>7432</v>
      </c>
      <c r="D1440" s="2" t="s">
        <v>351</v>
      </c>
      <c r="E1440" s="2" t="s">
        <v>325</v>
      </c>
      <c r="F1440" s="2" t="s">
        <v>7387</v>
      </c>
      <c r="G1440" s="2" t="s">
        <v>2735</v>
      </c>
      <c r="H1440" s="2" t="s">
        <v>325</v>
      </c>
      <c r="I1440" s="2" t="s">
        <v>326</v>
      </c>
      <c r="J1440" s="2" t="n">
        <v>-2.9884</v>
      </c>
      <c r="K1440" s="2" t="n">
        <v>104.7604</v>
      </c>
      <c r="L1440" s="2" t="s">
        <v>124</v>
      </c>
      <c r="M1440" s="2" t="s">
        <v>60</v>
      </c>
      <c r="N1440" s="2"/>
      <c r="O1440" s="2" t="s">
        <v>7427</v>
      </c>
      <c r="P1440" s="2" t="s">
        <v>7428</v>
      </c>
      <c r="Q1440" s="2" t="s">
        <v>62</v>
      </c>
      <c r="R1440" s="2" t="n">
        <v>0.6</v>
      </c>
      <c r="S1440" s="2" t="s">
        <v>7429</v>
      </c>
      <c r="T1440" s="2" t="s">
        <v>2766</v>
      </c>
      <c r="U1440" s="2" t="s">
        <v>7430</v>
      </c>
      <c r="V1440" s="2" t="s">
        <v>7431</v>
      </c>
      <c r="W1440" s="2" t="s">
        <v>1750</v>
      </c>
      <c r="X1440" s="2" t="s">
        <v>507</v>
      </c>
    </row>
    <row r="1441" customFormat="false" ht="15" hidden="false" customHeight="false" outlineLevel="0" collapsed="false">
      <c r="A1441" s="2" t="n">
        <v>1700</v>
      </c>
      <c r="B1441" s="2" t="s">
        <v>7355</v>
      </c>
      <c r="C1441" s="2" t="s">
        <v>7433</v>
      </c>
      <c r="D1441" s="2" t="s">
        <v>1130</v>
      </c>
      <c r="E1441" s="2" t="s">
        <v>325</v>
      </c>
      <c r="F1441" s="2" t="s">
        <v>7387</v>
      </c>
      <c r="G1441" s="2" t="s">
        <v>2735</v>
      </c>
      <c r="H1441" s="2" t="s">
        <v>325</v>
      </c>
      <c r="I1441" s="2" t="s">
        <v>326</v>
      </c>
      <c r="J1441" s="2" t="n">
        <v>-2.9908</v>
      </c>
      <c r="K1441" s="2" t="n">
        <v>104.7614</v>
      </c>
      <c r="L1441" s="2" t="s">
        <v>124</v>
      </c>
      <c r="M1441" s="2" t="s">
        <v>60</v>
      </c>
      <c r="N1441" s="2"/>
      <c r="O1441" s="2" t="s">
        <v>7427</v>
      </c>
      <c r="P1441" s="2" t="s">
        <v>7428</v>
      </c>
      <c r="Q1441" s="2" t="s">
        <v>62</v>
      </c>
      <c r="R1441" s="2" t="n">
        <v>0.7</v>
      </c>
      <c r="S1441" s="2" t="s">
        <v>7429</v>
      </c>
      <c r="T1441" s="2" t="s">
        <v>2766</v>
      </c>
      <c r="U1441" s="2" t="s">
        <v>7430</v>
      </c>
      <c r="V1441" s="2" t="s">
        <v>7431</v>
      </c>
      <c r="W1441" s="2" t="s">
        <v>1750</v>
      </c>
      <c r="X1441" s="2" t="s">
        <v>507</v>
      </c>
    </row>
    <row r="1442" customFormat="false" ht="15" hidden="false" customHeight="false" outlineLevel="0" collapsed="false">
      <c r="A1442" s="2" t="n">
        <v>1701</v>
      </c>
      <c r="B1442" s="2" t="s">
        <v>7355</v>
      </c>
      <c r="C1442" s="2" t="s">
        <v>7433</v>
      </c>
      <c r="D1442" s="2" t="s">
        <v>1130</v>
      </c>
      <c r="E1442" s="2" t="s">
        <v>325</v>
      </c>
      <c r="F1442" s="2" t="s">
        <v>7387</v>
      </c>
      <c r="G1442" s="2" t="s">
        <v>2735</v>
      </c>
      <c r="H1442" s="2" t="s">
        <v>325</v>
      </c>
      <c r="I1442" s="2" t="s">
        <v>326</v>
      </c>
      <c r="J1442" s="2" t="n">
        <v>-2.9908</v>
      </c>
      <c r="K1442" s="2" t="n">
        <v>104.7614</v>
      </c>
      <c r="L1442" s="2" t="s">
        <v>124</v>
      </c>
      <c r="M1442" s="2" t="s">
        <v>60</v>
      </c>
      <c r="N1442" s="2"/>
      <c r="O1442" s="2" t="s">
        <v>7434</v>
      </c>
      <c r="P1442" s="2" t="s">
        <v>7351</v>
      </c>
      <c r="Q1442" s="2" t="s">
        <v>62</v>
      </c>
      <c r="R1442" s="2" t="n">
        <v>0.6</v>
      </c>
      <c r="S1442" s="2" t="s">
        <v>7435</v>
      </c>
      <c r="T1442" s="2" t="s">
        <v>2748</v>
      </c>
      <c r="U1442" s="2" t="s">
        <v>7436</v>
      </c>
      <c r="V1442" s="2" t="s">
        <v>7437</v>
      </c>
      <c r="W1442" s="2" t="s">
        <v>132</v>
      </c>
      <c r="X1442" s="2" t="s">
        <v>507</v>
      </c>
    </row>
    <row r="1443" customFormat="false" ht="15" hidden="false" customHeight="false" outlineLevel="0" collapsed="false">
      <c r="A1443" s="2" t="n">
        <v>1707</v>
      </c>
      <c r="B1443" s="2" t="s">
        <v>7355</v>
      </c>
      <c r="C1443" s="2" t="s">
        <v>7438</v>
      </c>
      <c r="D1443" s="2" t="s">
        <v>351</v>
      </c>
      <c r="E1443" s="2" t="s">
        <v>7439</v>
      </c>
      <c r="F1443" s="2" t="s">
        <v>2814</v>
      </c>
      <c r="G1443" s="2" t="s">
        <v>334</v>
      </c>
      <c r="H1443" s="2" t="s">
        <v>325</v>
      </c>
      <c r="I1443" s="2" t="s">
        <v>326</v>
      </c>
      <c r="J1443" s="2" t="n">
        <v>-2.988</v>
      </c>
      <c r="K1443" s="2" t="n">
        <v>104.765</v>
      </c>
      <c r="L1443" s="2" t="s">
        <v>59</v>
      </c>
      <c r="M1443" s="2" t="s">
        <v>60</v>
      </c>
      <c r="N1443" s="2"/>
      <c r="O1443" s="2" t="s">
        <v>7440</v>
      </c>
      <c r="P1443" s="2"/>
      <c r="Q1443" s="2" t="s">
        <v>62</v>
      </c>
      <c r="R1443" s="2" t="n">
        <v>0.45</v>
      </c>
      <c r="S1443" s="2" t="s">
        <v>7441</v>
      </c>
      <c r="T1443" s="2" t="s">
        <v>7442</v>
      </c>
      <c r="U1443" s="2" t="s">
        <v>7443</v>
      </c>
      <c r="V1443" s="2" t="s">
        <v>7444</v>
      </c>
      <c r="W1443" s="2" t="s">
        <v>1735</v>
      </c>
      <c r="X1443" s="2" t="s">
        <v>507</v>
      </c>
    </row>
    <row r="1444" customFormat="false" ht="15" hidden="false" customHeight="false" outlineLevel="0" collapsed="false">
      <c r="A1444" s="2" t="n">
        <v>1710</v>
      </c>
      <c r="B1444" s="2" t="s">
        <v>7445</v>
      </c>
      <c r="C1444" s="2" t="s">
        <v>7446</v>
      </c>
      <c r="D1444" s="2" t="s">
        <v>351</v>
      </c>
      <c r="E1444" s="2" t="s">
        <v>7447</v>
      </c>
      <c r="F1444" s="2"/>
      <c r="G1444" s="2" t="s">
        <v>334</v>
      </c>
      <c r="H1444" s="2" t="s">
        <v>325</v>
      </c>
      <c r="I1444" s="2" t="s">
        <v>326</v>
      </c>
      <c r="J1444" s="2" t="n">
        <v>-2.975</v>
      </c>
      <c r="K1444" s="2" t="n">
        <v>104.755</v>
      </c>
      <c r="L1444" s="2" t="s">
        <v>84</v>
      </c>
      <c r="M1444" s="2" t="s">
        <v>60</v>
      </c>
      <c r="N1444" s="2" t="s">
        <v>7448</v>
      </c>
      <c r="O1444" s="2" t="s">
        <v>7449</v>
      </c>
      <c r="P1444" s="2" t="s">
        <v>6590</v>
      </c>
      <c r="Q1444" s="2" t="s">
        <v>110</v>
      </c>
      <c r="R1444" s="2" t="n">
        <v>0.5</v>
      </c>
      <c r="S1444" s="2" t="s">
        <v>7450</v>
      </c>
      <c r="T1444" s="2" t="s">
        <v>2830</v>
      </c>
      <c r="U1444" s="2" t="s">
        <v>7451</v>
      </c>
      <c r="V1444" s="2" t="s">
        <v>7452</v>
      </c>
      <c r="W1444" s="2" t="s">
        <v>487</v>
      </c>
      <c r="X1444" s="2" t="s">
        <v>507</v>
      </c>
    </row>
    <row r="1445" customFormat="false" ht="15" hidden="false" customHeight="false" outlineLevel="0" collapsed="false">
      <c r="A1445" s="2" t="n">
        <v>1716</v>
      </c>
      <c r="B1445" s="2" t="s">
        <v>7445</v>
      </c>
      <c r="C1445" s="2" t="s">
        <v>2841</v>
      </c>
      <c r="D1445" s="2" t="s">
        <v>351</v>
      </c>
      <c r="E1445" s="2" t="s">
        <v>325</v>
      </c>
      <c r="F1445" s="2" t="s">
        <v>2734</v>
      </c>
      <c r="G1445" s="2" t="s">
        <v>2735</v>
      </c>
      <c r="H1445" s="2" t="s">
        <v>325</v>
      </c>
      <c r="I1445" s="2" t="s">
        <v>326</v>
      </c>
      <c r="J1445" s="2" t="n">
        <v>-2.985</v>
      </c>
      <c r="K1445" s="2" t="n">
        <v>104.752</v>
      </c>
      <c r="L1445" s="2" t="s">
        <v>59</v>
      </c>
      <c r="M1445" s="2" t="s">
        <v>60</v>
      </c>
      <c r="N1445" s="2"/>
      <c r="O1445" s="2" t="s">
        <v>7453</v>
      </c>
      <c r="P1445" s="2" t="s">
        <v>7454</v>
      </c>
      <c r="Q1445" s="2" t="s">
        <v>110</v>
      </c>
      <c r="R1445" s="2" t="n">
        <v>0.75</v>
      </c>
      <c r="S1445" s="2" t="s">
        <v>7455</v>
      </c>
      <c r="T1445" s="2" t="s">
        <v>95</v>
      </c>
      <c r="U1445" s="2" t="s">
        <v>7456</v>
      </c>
      <c r="V1445" s="2" t="s">
        <v>7457</v>
      </c>
      <c r="W1445" s="2" t="s">
        <v>5557</v>
      </c>
      <c r="X1445" s="2" t="s">
        <v>507</v>
      </c>
    </row>
    <row r="1446" customFormat="false" ht="15" hidden="false" customHeight="false" outlineLevel="0" collapsed="false">
      <c r="A1446" s="2" t="n">
        <v>1718</v>
      </c>
      <c r="B1446" s="2" t="s">
        <v>7445</v>
      </c>
      <c r="C1446" s="2" t="s">
        <v>2860</v>
      </c>
      <c r="D1446" s="2" t="s">
        <v>121</v>
      </c>
      <c r="E1446" s="2" t="s">
        <v>2868</v>
      </c>
      <c r="F1446" s="2"/>
      <c r="G1446" s="2"/>
      <c r="H1446" s="2" t="s">
        <v>325</v>
      </c>
      <c r="I1446" s="2" t="s">
        <v>326</v>
      </c>
      <c r="J1446" s="2" t="n">
        <v>-2.976</v>
      </c>
      <c r="K1446" s="2" t="n">
        <v>104.775</v>
      </c>
      <c r="L1446" s="2" t="s">
        <v>101</v>
      </c>
      <c r="M1446" s="2" t="s">
        <v>60</v>
      </c>
      <c r="N1446" s="2" t="s">
        <v>2862</v>
      </c>
      <c r="O1446" s="2" t="s">
        <v>7458</v>
      </c>
      <c r="P1446" s="2" t="s">
        <v>2864</v>
      </c>
      <c r="Q1446" s="2" t="s">
        <v>62</v>
      </c>
      <c r="R1446" s="2" t="n">
        <v>0.8</v>
      </c>
      <c r="S1446" s="2" t="s">
        <v>7459</v>
      </c>
      <c r="T1446" s="2" t="s">
        <v>2766</v>
      </c>
      <c r="U1446" s="2" t="s">
        <v>7460</v>
      </c>
      <c r="V1446" s="2" t="s">
        <v>7461</v>
      </c>
      <c r="W1446" s="2" t="s">
        <v>370</v>
      </c>
      <c r="X1446" s="2" t="s">
        <v>507</v>
      </c>
    </row>
    <row r="1447" customFormat="false" ht="15" hidden="false" customHeight="false" outlineLevel="0" collapsed="false">
      <c r="A1447" s="2" t="n">
        <v>1719</v>
      </c>
      <c r="B1447" s="2" t="s">
        <v>7445</v>
      </c>
      <c r="C1447" s="2" t="s">
        <v>7462</v>
      </c>
      <c r="D1447" s="2" t="s">
        <v>53</v>
      </c>
      <c r="E1447" s="2" t="s">
        <v>7463</v>
      </c>
      <c r="F1447" s="2"/>
      <c r="G1447" s="2" t="s">
        <v>689</v>
      </c>
      <c r="H1447" s="2" t="s">
        <v>279</v>
      </c>
      <c r="I1447" s="2" t="s">
        <v>58</v>
      </c>
      <c r="J1447" s="2" t="n">
        <v>-6.4</v>
      </c>
      <c r="K1447" s="2" t="n">
        <v>106.845</v>
      </c>
      <c r="L1447" s="2" t="s">
        <v>84</v>
      </c>
      <c r="M1447" s="2" t="s">
        <v>60</v>
      </c>
      <c r="N1447" s="2" t="s">
        <v>7464</v>
      </c>
      <c r="O1447" s="2" t="s">
        <v>7465</v>
      </c>
      <c r="P1447" s="2"/>
      <c r="Q1447" s="2" t="s">
        <v>62</v>
      </c>
      <c r="R1447" s="2" t="n">
        <v>0.75</v>
      </c>
      <c r="S1447" s="2" t="s">
        <v>7466</v>
      </c>
      <c r="T1447" s="2" t="s">
        <v>64</v>
      </c>
      <c r="U1447" s="2" t="s">
        <v>7467</v>
      </c>
      <c r="V1447" s="2" t="s">
        <v>7457</v>
      </c>
      <c r="W1447" s="2" t="s">
        <v>2431</v>
      </c>
      <c r="X1447" s="2" t="s">
        <v>507</v>
      </c>
    </row>
    <row r="1448" customFormat="false" ht="15" hidden="false" customHeight="false" outlineLevel="0" collapsed="false">
      <c r="A1448" s="2" t="n">
        <v>1719</v>
      </c>
      <c r="B1448" s="2" t="s">
        <v>7445</v>
      </c>
      <c r="C1448" s="2" t="s">
        <v>7468</v>
      </c>
      <c r="D1448" s="2" t="s">
        <v>53</v>
      </c>
      <c r="E1448" s="2" t="s">
        <v>7469</v>
      </c>
      <c r="F1448" s="2"/>
      <c r="G1448" s="2"/>
      <c r="H1448" s="2" t="s">
        <v>279</v>
      </c>
      <c r="I1448" s="2" t="s">
        <v>58</v>
      </c>
      <c r="J1448" s="2" t="n">
        <v>-6.402</v>
      </c>
      <c r="K1448" s="2" t="n">
        <v>106.794</v>
      </c>
      <c r="L1448" s="2" t="s">
        <v>101</v>
      </c>
      <c r="M1448" s="2" t="s">
        <v>60</v>
      </c>
      <c r="N1448" s="2" t="s">
        <v>7470</v>
      </c>
      <c r="O1448" s="2" t="s">
        <v>7471</v>
      </c>
      <c r="P1448" s="2"/>
      <c r="Q1448" s="2" t="s">
        <v>62</v>
      </c>
      <c r="R1448" s="2" t="n">
        <v>0.7</v>
      </c>
      <c r="S1448" s="2" t="s">
        <v>7466</v>
      </c>
      <c r="T1448" s="2" t="s">
        <v>64</v>
      </c>
      <c r="U1448" s="2" t="s">
        <v>7467</v>
      </c>
      <c r="V1448" s="2" t="s">
        <v>7457</v>
      </c>
      <c r="W1448" s="2" t="s">
        <v>2431</v>
      </c>
      <c r="X1448" s="2" t="s">
        <v>507</v>
      </c>
    </row>
    <row r="1449" customFormat="false" ht="15" hidden="false" customHeight="false" outlineLevel="0" collapsed="false">
      <c r="A1449" s="2" t="n">
        <v>1719</v>
      </c>
      <c r="B1449" s="2" t="s">
        <v>7445</v>
      </c>
      <c r="C1449" s="2" t="s">
        <v>7472</v>
      </c>
      <c r="D1449" s="2" t="s">
        <v>53</v>
      </c>
      <c r="E1449" s="2" t="s">
        <v>7473</v>
      </c>
      <c r="F1449" s="2" t="s">
        <v>7474</v>
      </c>
      <c r="G1449" s="2" t="s">
        <v>689</v>
      </c>
      <c r="H1449" s="2" t="s">
        <v>279</v>
      </c>
      <c r="I1449" s="2" t="s">
        <v>58</v>
      </c>
      <c r="J1449" s="2" t="n">
        <v>-6.395</v>
      </c>
      <c r="K1449" s="2" t="n">
        <v>106.84</v>
      </c>
      <c r="L1449" s="2" t="s">
        <v>59</v>
      </c>
      <c r="M1449" s="2" t="s">
        <v>60</v>
      </c>
      <c r="N1449" s="2"/>
      <c r="O1449" s="2" t="s">
        <v>7475</v>
      </c>
      <c r="P1449" s="2"/>
      <c r="Q1449" s="2" t="s">
        <v>62</v>
      </c>
      <c r="R1449" s="2" t="n">
        <v>0.7</v>
      </c>
      <c r="S1449" s="2" t="s">
        <v>7466</v>
      </c>
      <c r="T1449" s="2" t="s">
        <v>64</v>
      </c>
      <c r="U1449" s="2" t="s">
        <v>7467</v>
      </c>
      <c r="V1449" s="2" t="s">
        <v>7457</v>
      </c>
      <c r="W1449" s="2" t="s">
        <v>2431</v>
      </c>
      <c r="X1449" s="2" t="s">
        <v>507</v>
      </c>
    </row>
    <row r="1450" customFormat="false" ht="15" hidden="false" customHeight="false" outlineLevel="0" collapsed="false">
      <c r="A1450" s="2" t="n">
        <v>1719</v>
      </c>
      <c r="B1450" s="2" t="s">
        <v>7445</v>
      </c>
      <c r="C1450" s="2" t="s">
        <v>7476</v>
      </c>
      <c r="D1450" s="2" t="s">
        <v>53</v>
      </c>
      <c r="E1450" s="2" t="s">
        <v>7477</v>
      </c>
      <c r="F1450" s="2"/>
      <c r="G1450" s="2" t="s">
        <v>7478</v>
      </c>
      <c r="H1450" s="2" t="s">
        <v>279</v>
      </c>
      <c r="I1450" s="2" t="s">
        <v>58</v>
      </c>
      <c r="J1450" s="2" t="n">
        <v>-6.405</v>
      </c>
      <c r="K1450" s="2" t="n">
        <v>106.8</v>
      </c>
      <c r="L1450" s="2" t="s">
        <v>84</v>
      </c>
      <c r="M1450" s="2" t="s">
        <v>60</v>
      </c>
      <c r="N1450" s="2"/>
      <c r="O1450" s="2" t="s">
        <v>7479</v>
      </c>
      <c r="P1450" s="2"/>
      <c r="Q1450" s="2" t="s">
        <v>62</v>
      </c>
      <c r="R1450" s="2" t="n">
        <v>0.7</v>
      </c>
      <c r="S1450" s="2" t="s">
        <v>7466</v>
      </c>
      <c r="T1450" s="2" t="s">
        <v>64</v>
      </c>
      <c r="U1450" s="2" t="s">
        <v>7467</v>
      </c>
      <c r="V1450" s="2" t="s">
        <v>7457</v>
      </c>
      <c r="W1450" s="2" t="s">
        <v>2431</v>
      </c>
      <c r="X1450" s="2" t="s">
        <v>507</v>
      </c>
    </row>
    <row r="1451" customFormat="false" ht="15" hidden="false" customHeight="false" outlineLevel="0" collapsed="false">
      <c r="A1451" s="2" t="n">
        <v>1719</v>
      </c>
      <c r="B1451" s="2" t="s">
        <v>7445</v>
      </c>
      <c r="C1451" s="2" t="s">
        <v>7480</v>
      </c>
      <c r="D1451" s="2" t="s">
        <v>53</v>
      </c>
      <c r="E1451" s="2" t="s">
        <v>7481</v>
      </c>
      <c r="F1451" s="2"/>
      <c r="G1451" s="2" t="s">
        <v>689</v>
      </c>
      <c r="H1451" s="2" t="s">
        <v>279</v>
      </c>
      <c r="I1451" s="2" t="s">
        <v>58</v>
      </c>
      <c r="J1451" s="2" t="n">
        <v>-6.4</v>
      </c>
      <c r="K1451" s="2" t="n">
        <v>106.845</v>
      </c>
      <c r="L1451" s="2" t="s">
        <v>84</v>
      </c>
      <c r="M1451" s="2" t="s">
        <v>60</v>
      </c>
      <c r="N1451" s="2" t="s">
        <v>7482</v>
      </c>
      <c r="O1451" s="2" t="s">
        <v>7483</v>
      </c>
      <c r="P1451" s="2"/>
      <c r="Q1451" s="2" t="s">
        <v>62</v>
      </c>
      <c r="R1451" s="2" t="n">
        <v>0.65</v>
      </c>
      <c r="S1451" s="2" t="s">
        <v>7466</v>
      </c>
      <c r="T1451" s="2" t="s">
        <v>64</v>
      </c>
      <c r="U1451" s="2" t="s">
        <v>7467</v>
      </c>
      <c r="V1451" s="2" t="s">
        <v>7457</v>
      </c>
      <c r="W1451" s="2" t="s">
        <v>2431</v>
      </c>
      <c r="X1451" s="2" t="s">
        <v>507</v>
      </c>
    </row>
    <row r="1452" customFormat="false" ht="15" hidden="false" customHeight="false" outlineLevel="0" collapsed="false">
      <c r="A1452" s="2" t="n">
        <v>1721</v>
      </c>
      <c r="B1452" s="2" t="s">
        <v>7445</v>
      </c>
      <c r="C1452" s="2" t="s">
        <v>7484</v>
      </c>
      <c r="D1452" s="2" t="s">
        <v>134</v>
      </c>
      <c r="E1452" s="2" t="s">
        <v>7469</v>
      </c>
      <c r="F1452" s="2"/>
      <c r="G1452" s="2"/>
      <c r="H1452" s="2" t="s">
        <v>279</v>
      </c>
      <c r="I1452" s="2" t="s">
        <v>58</v>
      </c>
      <c r="J1452" s="2" t="n">
        <v>-6.402</v>
      </c>
      <c r="K1452" s="2" t="n">
        <v>106.794</v>
      </c>
      <c r="L1452" s="2" t="s">
        <v>101</v>
      </c>
      <c r="M1452" s="2" t="s">
        <v>60</v>
      </c>
      <c r="N1452" s="2" t="s">
        <v>7470</v>
      </c>
      <c r="O1452" s="2" t="s">
        <v>7485</v>
      </c>
      <c r="P1452" s="2"/>
      <c r="Q1452" s="2" t="s">
        <v>62</v>
      </c>
      <c r="R1452" s="2" t="n">
        <v>0.5</v>
      </c>
      <c r="S1452" s="2" t="s">
        <v>7486</v>
      </c>
      <c r="T1452" s="2" t="s">
        <v>176</v>
      </c>
      <c r="U1452" s="2" t="s">
        <v>7487</v>
      </c>
      <c r="V1452" s="2" t="s">
        <v>7488</v>
      </c>
      <c r="W1452" s="2" t="s">
        <v>2158</v>
      </c>
      <c r="X1452" s="2" t="s">
        <v>507</v>
      </c>
    </row>
    <row r="1453" customFormat="false" ht="15" hidden="false" customHeight="false" outlineLevel="0" collapsed="false">
      <c r="A1453" s="2" t="n">
        <v>1722</v>
      </c>
      <c r="B1453" s="2" t="s">
        <v>7445</v>
      </c>
      <c r="C1453" s="2" t="s">
        <v>7489</v>
      </c>
      <c r="D1453" s="2" t="s">
        <v>134</v>
      </c>
      <c r="E1453" s="2" t="s">
        <v>290</v>
      </c>
      <c r="F1453" s="2"/>
      <c r="G1453" s="2"/>
      <c r="H1453" s="2" t="s">
        <v>279</v>
      </c>
      <c r="I1453" s="2" t="s">
        <v>58</v>
      </c>
      <c r="J1453" s="2" t="n">
        <v>-6.402</v>
      </c>
      <c r="K1453" s="2" t="n">
        <v>106.794</v>
      </c>
      <c r="L1453" s="2" t="s">
        <v>101</v>
      </c>
      <c r="M1453" s="2" t="s">
        <v>60</v>
      </c>
      <c r="N1453" s="2"/>
      <c r="O1453" s="2" t="s">
        <v>7490</v>
      </c>
      <c r="P1453" s="2" t="s">
        <v>7491</v>
      </c>
      <c r="Q1453" s="2" t="s">
        <v>110</v>
      </c>
      <c r="R1453" s="2" t="n">
        <v>0.8</v>
      </c>
      <c r="S1453" s="2" t="s">
        <v>7492</v>
      </c>
      <c r="T1453" s="2" t="s">
        <v>64</v>
      </c>
      <c r="U1453" s="2" t="s">
        <v>7493</v>
      </c>
      <c r="V1453" s="2" t="s">
        <v>7494</v>
      </c>
      <c r="W1453" s="2" t="s">
        <v>2149</v>
      </c>
      <c r="X1453" s="2" t="s">
        <v>507</v>
      </c>
    </row>
    <row r="1454" customFormat="false" ht="15" hidden="false" customHeight="false" outlineLevel="0" collapsed="false">
      <c r="A1454" s="2" t="n">
        <v>1723</v>
      </c>
      <c r="B1454" s="2" t="s">
        <v>7445</v>
      </c>
      <c r="C1454" s="2" t="s">
        <v>7495</v>
      </c>
      <c r="D1454" s="2" t="s">
        <v>410</v>
      </c>
      <c r="E1454" s="2" t="s">
        <v>7496</v>
      </c>
      <c r="F1454" s="2" t="s">
        <v>7497</v>
      </c>
      <c r="G1454" s="2" t="s">
        <v>689</v>
      </c>
      <c r="H1454" s="2" t="s">
        <v>279</v>
      </c>
      <c r="I1454" s="2" t="s">
        <v>58</v>
      </c>
      <c r="J1454" s="2" t="n">
        <v>-6.42</v>
      </c>
      <c r="K1454" s="2" t="n">
        <v>106.822</v>
      </c>
      <c r="L1454" s="2" t="s">
        <v>59</v>
      </c>
      <c r="M1454" s="2" t="s">
        <v>60</v>
      </c>
      <c r="N1454" s="2" t="s">
        <v>7498</v>
      </c>
      <c r="O1454" s="2" t="s">
        <v>7499</v>
      </c>
      <c r="P1454" s="2"/>
      <c r="Q1454" s="2" t="s">
        <v>62</v>
      </c>
      <c r="R1454" s="2" t="n">
        <v>0.75</v>
      </c>
      <c r="S1454" s="2" t="s">
        <v>7500</v>
      </c>
      <c r="T1454" s="2" t="s">
        <v>7501</v>
      </c>
      <c r="U1454" s="2" t="s">
        <v>7502</v>
      </c>
      <c r="V1454" s="2" t="s">
        <v>582</v>
      </c>
      <c r="W1454" s="2" t="s">
        <v>5570</v>
      </c>
      <c r="X1454" s="2" t="s">
        <v>507</v>
      </c>
    </row>
    <row r="1455" customFormat="false" ht="15" hidden="false" customHeight="false" outlineLevel="0" collapsed="false">
      <c r="A1455" s="2" t="n">
        <v>1723</v>
      </c>
      <c r="B1455" s="2" t="s">
        <v>7445</v>
      </c>
      <c r="C1455" s="2" t="s">
        <v>7503</v>
      </c>
      <c r="D1455" s="2" t="s">
        <v>410</v>
      </c>
      <c r="E1455" s="2" t="s">
        <v>290</v>
      </c>
      <c r="F1455" s="2"/>
      <c r="G1455" s="2"/>
      <c r="H1455" s="2" t="s">
        <v>279</v>
      </c>
      <c r="I1455" s="2" t="s">
        <v>58</v>
      </c>
      <c r="J1455" s="2" t="n">
        <v>-6.402</v>
      </c>
      <c r="K1455" s="2" t="n">
        <v>106.794</v>
      </c>
      <c r="L1455" s="2" t="s">
        <v>101</v>
      </c>
      <c r="M1455" s="2" t="s">
        <v>60</v>
      </c>
      <c r="N1455" s="2"/>
      <c r="O1455" s="2" t="s">
        <v>7504</v>
      </c>
      <c r="P1455" s="2"/>
      <c r="Q1455" s="2" t="s">
        <v>62</v>
      </c>
      <c r="R1455" s="2" t="n">
        <v>0.75</v>
      </c>
      <c r="S1455" s="2" t="s">
        <v>7500</v>
      </c>
      <c r="T1455" s="2" t="s">
        <v>7501</v>
      </c>
      <c r="U1455" s="2" t="s">
        <v>7502</v>
      </c>
      <c r="V1455" s="2" t="s">
        <v>582</v>
      </c>
      <c r="W1455" s="2" t="s">
        <v>5570</v>
      </c>
      <c r="X1455" s="2" t="s">
        <v>507</v>
      </c>
    </row>
    <row r="1456" customFormat="false" ht="15" hidden="false" customHeight="false" outlineLevel="0" collapsed="false">
      <c r="A1456" s="2" t="n">
        <v>1723</v>
      </c>
      <c r="B1456" s="2" t="s">
        <v>7445</v>
      </c>
      <c r="C1456" s="2" t="s">
        <v>7505</v>
      </c>
      <c r="D1456" s="2" t="s">
        <v>410</v>
      </c>
      <c r="E1456" s="2" t="s">
        <v>290</v>
      </c>
      <c r="F1456" s="2" t="s">
        <v>7506</v>
      </c>
      <c r="G1456" s="2" t="s">
        <v>286</v>
      </c>
      <c r="H1456" s="2" t="s">
        <v>279</v>
      </c>
      <c r="I1456" s="2" t="s">
        <v>58</v>
      </c>
      <c r="J1456" s="2" t="n">
        <v>-6.415</v>
      </c>
      <c r="K1456" s="2" t="n">
        <v>106.77</v>
      </c>
      <c r="L1456" s="2" t="s">
        <v>59</v>
      </c>
      <c r="M1456" s="2" t="s">
        <v>60</v>
      </c>
      <c r="N1456" s="2"/>
      <c r="O1456" s="2" t="s">
        <v>7507</v>
      </c>
      <c r="P1456" s="2"/>
      <c r="Q1456" s="2" t="s">
        <v>62</v>
      </c>
      <c r="R1456" s="2" t="n">
        <v>0.65</v>
      </c>
      <c r="S1456" s="2" t="s">
        <v>7500</v>
      </c>
      <c r="T1456" s="2" t="s">
        <v>7501</v>
      </c>
      <c r="U1456" s="2" t="s">
        <v>7502</v>
      </c>
      <c r="V1456" s="2" t="s">
        <v>582</v>
      </c>
      <c r="W1456" s="2" t="s">
        <v>5570</v>
      </c>
      <c r="X1456" s="2" t="s">
        <v>507</v>
      </c>
    </row>
    <row r="1457" customFormat="false" ht="15" hidden="false" customHeight="false" outlineLevel="0" collapsed="false">
      <c r="A1457" s="2" t="n">
        <v>1724</v>
      </c>
      <c r="B1457" s="2" t="s">
        <v>7445</v>
      </c>
      <c r="C1457" s="2" t="s">
        <v>7508</v>
      </c>
      <c r="D1457" s="2" t="s">
        <v>410</v>
      </c>
      <c r="E1457" s="2" t="s">
        <v>7509</v>
      </c>
      <c r="F1457" s="2"/>
      <c r="G1457" s="2" t="s">
        <v>7510</v>
      </c>
      <c r="H1457" s="2" t="s">
        <v>279</v>
      </c>
      <c r="I1457" s="2" t="s">
        <v>58</v>
      </c>
      <c r="J1457" s="2" t="n">
        <v>-6.395</v>
      </c>
      <c r="K1457" s="2" t="n">
        <v>106.745</v>
      </c>
      <c r="L1457" s="2" t="s">
        <v>84</v>
      </c>
      <c r="M1457" s="2" t="s">
        <v>60</v>
      </c>
      <c r="N1457" s="2" t="s">
        <v>7511</v>
      </c>
      <c r="O1457" s="2" t="s">
        <v>7512</v>
      </c>
      <c r="P1457" s="2" t="s">
        <v>3533</v>
      </c>
      <c r="Q1457" s="2" t="s">
        <v>110</v>
      </c>
      <c r="R1457" s="2" t="n">
        <v>0.85</v>
      </c>
      <c r="S1457" s="2" t="s">
        <v>7513</v>
      </c>
      <c r="T1457" s="2" t="s">
        <v>915</v>
      </c>
      <c r="U1457" s="2" t="s">
        <v>7514</v>
      </c>
      <c r="V1457" s="2" t="s">
        <v>7515</v>
      </c>
      <c r="W1457" s="2" t="s">
        <v>604</v>
      </c>
      <c r="X1457" s="2" t="s">
        <v>507</v>
      </c>
    </row>
    <row r="1458" customFormat="false" ht="15" hidden="false" customHeight="false" outlineLevel="0" collapsed="false">
      <c r="A1458" s="2" t="n">
        <v>1726</v>
      </c>
      <c r="B1458" s="2" t="s">
        <v>7445</v>
      </c>
      <c r="C1458" s="2" t="s">
        <v>7505</v>
      </c>
      <c r="D1458" s="2" t="s">
        <v>410</v>
      </c>
      <c r="E1458" s="2" t="s">
        <v>7516</v>
      </c>
      <c r="F1458" s="2" t="s">
        <v>7506</v>
      </c>
      <c r="G1458" s="2" t="s">
        <v>286</v>
      </c>
      <c r="H1458" s="2" t="s">
        <v>279</v>
      </c>
      <c r="I1458" s="2" t="s">
        <v>58</v>
      </c>
      <c r="J1458" s="2" t="n">
        <v>-6.415</v>
      </c>
      <c r="K1458" s="2" t="n">
        <v>106.77</v>
      </c>
      <c r="L1458" s="2" t="s">
        <v>59</v>
      </c>
      <c r="M1458" s="2" t="s">
        <v>60</v>
      </c>
      <c r="N1458" s="2"/>
      <c r="O1458" s="2" t="s">
        <v>7517</v>
      </c>
      <c r="P1458" s="2"/>
      <c r="Q1458" s="2" t="s">
        <v>62</v>
      </c>
      <c r="R1458" s="2" t="n">
        <v>0.8</v>
      </c>
      <c r="S1458" s="2" t="s">
        <v>7518</v>
      </c>
      <c r="T1458" s="2" t="s">
        <v>7501</v>
      </c>
      <c r="U1458" s="2" t="s">
        <v>7519</v>
      </c>
      <c r="V1458" s="2" t="s">
        <v>97</v>
      </c>
      <c r="W1458" s="2" t="s">
        <v>115</v>
      </c>
      <c r="X1458" s="2" t="s">
        <v>507</v>
      </c>
    </row>
    <row r="1459" customFormat="false" ht="15" hidden="false" customHeight="false" outlineLevel="0" collapsed="false">
      <c r="A1459" s="2" t="n">
        <v>1726</v>
      </c>
      <c r="B1459" s="2" t="s">
        <v>7445</v>
      </c>
      <c r="C1459" s="2" t="s">
        <v>7520</v>
      </c>
      <c r="D1459" s="2" t="s">
        <v>410</v>
      </c>
      <c r="E1459" s="2" t="s">
        <v>7521</v>
      </c>
      <c r="F1459" s="2" t="s">
        <v>7506</v>
      </c>
      <c r="G1459" s="2" t="s">
        <v>286</v>
      </c>
      <c r="H1459" s="2" t="s">
        <v>279</v>
      </c>
      <c r="I1459" s="2" t="s">
        <v>58</v>
      </c>
      <c r="J1459" s="2" t="n">
        <v>-6.415</v>
      </c>
      <c r="K1459" s="2" t="n">
        <v>106.77</v>
      </c>
      <c r="L1459" s="2" t="s">
        <v>59</v>
      </c>
      <c r="M1459" s="2" t="s">
        <v>60</v>
      </c>
      <c r="N1459" s="2"/>
      <c r="O1459" s="2" t="s">
        <v>7522</v>
      </c>
      <c r="P1459" s="2"/>
      <c r="Q1459" s="2" t="s">
        <v>62</v>
      </c>
      <c r="R1459" s="2" t="n">
        <v>0.8</v>
      </c>
      <c r="S1459" s="2" t="s">
        <v>7518</v>
      </c>
      <c r="T1459" s="2" t="s">
        <v>7501</v>
      </c>
      <c r="U1459" s="2" t="s">
        <v>7519</v>
      </c>
      <c r="V1459" s="2" t="s">
        <v>97</v>
      </c>
      <c r="W1459" s="2" t="s">
        <v>115</v>
      </c>
      <c r="X1459" s="2" t="s">
        <v>507</v>
      </c>
    </row>
    <row r="1460" customFormat="false" ht="15" hidden="false" customHeight="false" outlineLevel="0" collapsed="false">
      <c r="A1460" s="2" t="n">
        <v>1726</v>
      </c>
      <c r="B1460" s="2" t="s">
        <v>7445</v>
      </c>
      <c r="C1460" s="2" t="s">
        <v>7523</v>
      </c>
      <c r="D1460" s="2" t="s">
        <v>410</v>
      </c>
      <c r="E1460" s="2" t="s">
        <v>290</v>
      </c>
      <c r="F1460" s="2"/>
      <c r="G1460" s="2"/>
      <c r="H1460" s="2" t="s">
        <v>279</v>
      </c>
      <c r="I1460" s="2" t="s">
        <v>58</v>
      </c>
      <c r="J1460" s="2" t="n">
        <v>-6.402</v>
      </c>
      <c r="K1460" s="2" t="n">
        <v>106.794</v>
      </c>
      <c r="L1460" s="2" t="s">
        <v>101</v>
      </c>
      <c r="M1460" s="2" t="s">
        <v>60</v>
      </c>
      <c r="N1460" s="2"/>
      <c r="O1460" s="2" t="s">
        <v>7524</v>
      </c>
      <c r="P1460" s="2"/>
      <c r="Q1460" s="2" t="s">
        <v>62</v>
      </c>
      <c r="R1460" s="2" t="n">
        <v>0.7</v>
      </c>
      <c r="S1460" s="2" t="s">
        <v>7518</v>
      </c>
      <c r="T1460" s="2" t="s">
        <v>7501</v>
      </c>
      <c r="U1460" s="2" t="s">
        <v>7519</v>
      </c>
      <c r="V1460" s="2" t="s">
        <v>97</v>
      </c>
      <c r="W1460" s="2" t="s">
        <v>115</v>
      </c>
      <c r="X1460" s="2" t="s">
        <v>507</v>
      </c>
    </row>
    <row r="1461" customFormat="false" ht="15" hidden="false" customHeight="false" outlineLevel="0" collapsed="false">
      <c r="A1461" s="2" t="n">
        <v>1734</v>
      </c>
      <c r="B1461" s="2" t="s">
        <v>7445</v>
      </c>
      <c r="C1461" s="2" t="s">
        <v>7525</v>
      </c>
      <c r="D1461" s="2" t="s">
        <v>53</v>
      </c>
      <c r="E1461" s="2" t="s">
        <v>7526</v>
      </c>
      <c r="F1461" s="2" t="s">
        <v>7527</v>
      </c>
      <c r="G1461" s="2" t="s">
        <v>7528</v>
      </c>
      <c r="H1461" s="2" t="s">
        <v>153</v>
      </c>
      <c r="I1461" s="2" t="s">
        <v>58</v>
      </c>
      <c r="J1461" s="2" t="n">
        <v>-6.225</v>
      </c>
      <c r="K1461" s="2" t="n">
        <v>107</v>
      </c>
      <c r="L1461" s="2" t="s">
        <v>59</v>
      </c>
      <c r="M1461" s="2" t="s">
        <v>60</v>
      </c>
      <c r="N1461" s="2" t="s">
        <v>7529</v>
      </c>
      <c r="O1461" s="2" t="s">
        <v>7530</v>
      </c>
      <c r="P1461" s="2"/>
      <c r="Q1461" s="2" t="s">
        <v>110</v>
      </c>
      <c r="R1461" s="2" t="n">
        <v>0.7</v>
      </c>
      <c r="S1461" s="2" t="s">
        <v>7531</v>
      </c>
      <c r="T1461" s="2" t="s">
        <v>492</v>
      </c>
      <c r="U1461" s="2" t="s">
        <v>7532</v>
      </c>
      <c r="V1461" s="2" t="s">
        <v>7533</v>
      </c>
      <c r="W1461" s="2" t="s">
        <v>5519</v>
      </c>
      <c r="X1461" s="2" t="s">
        <v>507</v>
      </c>
    </row>
    <row r="1462" customFormat="false" ht="15" hidden="false" customHeight="false" outlineLevel="0" collapsed="false">
      <c r="A1462" s="2" t="n">
        <v>1734</v>
      </c>
      <c r="B1462" s="2" t="s">
        <v>7445</v>
      </c>
      <c r="C1462" s="2" t="s">
        <v>7534</v>
      </c>
      <c r="D1462" s="2" t="s">
        <v>53</v>
      </c>
      <c r="E1462" s="2" t="s">
        <v>7535</v>
      </c>
      <c r="F1462" s="2"/>
      <c r="G1462" s="2"/>
      <c r="H1462" s="2"/>
      <c r="I1462" s="2" t="s">
        <v>58</v>
      </c>
      <c r="J1462" s="2" t="n">
        <v>-6.92</v>
      </c>
      <c r="K1462" s="2" t="n">
        <v>107.6</v>
      </c>
      <c r="L1462" s="2" t="s">
        <v>239</v>
      </c>
      <c r="M1462" s="2" t="s">
        <v>340</v>
      </c>
      <c r="N1462" s="2" t="s">
        <v>7536</v>
      </c>
      <c r="O1462" s="2" t="s">
        <v>7537</v>
      </c>
      <c r="P1462" s="2"/>
      <c r="Q1462" s="2" t="s">
        <v>110</v>
      </c>
      <c r="R1462" s="2" t="n">
        <v>0.7</v>
      </c>
      <c r="S1462" s="2" t="s">
        <v>7531</v>
      </c>
      <c r="T1462" s="2" t="s">
        <v>492</v>
      </c>
      <c r="U1462" s="2" t="s">
        <v>7532</v>
      </c>
      <c r="V1462" s="2" t="s">
        <v>7533</v>
      </c>
      <c r="W1462" s="2" t="s">
        <v>5519</v>
      </c>
      <c r="X1462" s="2" t="s">
        <v>507</v>
      </c>
    </row>
    <row r="1463" customFormat="false" ht="15" hidden="false" customHeight="false" outlineLevel="0" collapsed="false">
      <c r="A1463" s="2" t="n">
        <v>1735</v>
      </c>
      <c r="B1463" s="2" t="s">
        <v>7445</v>
      </c>
      <c r="C1463" s="2" t="s">
        <v>7538</v>
      </c>
      <c r="D1463" s="2" t="s">
        <v>53</v>
      </c>
      <c r="E1463" s="2" t="s">
        <v>7535</v>
      </c>
      <c r="F1463" s="2"/>
      <c r="G1463" s="2"/>
      <c r="H1463" s="2"/>
      <c r="I1463" s="2" t="s">
        <v>58</v>
      </c>
      <c r="J1463" s="2" t="n">
        <v>-6.92</v>
      </c>
      <c r="K1463" s="2" t="n">
        <v>107.6</v>
      </c>
      <c r="L1463" s="2" t="s">
        <v>239</v>
      </c>
      <c r="M1463" s="2" t="s">
        <v>340</v>
      </c>
      <c r="N1463" s="2" t="s">
        <v>7536</v>
      </c>
      <c r="O1463" s="2" t="s">
        <v>7539</v>
      </c>
      <c r="P1463" s="2"/>
      <c r="Q1463" s="2" t="s">
        <v>62</v>
      </c>
      <c r="R1463" s="2" t="n">
        <v>0.7</v>
      </c>
      <c r="S1463" s="2" t="s">
        <v>7540</v>
      </c>
      <c r="T1463" s="2" t="s">
        <v>64</v>
      </c>
      <c r="U1463" s="2" t="s">
        <v>7541</v>
      </c>
      <c r="V1463" s="2" t="s">
        <v>420</v>
      </c>
      <c r="W1463" s="2" t="s">
        <v>1204</v>
      </c>
      <c r="X1463" s="2" t="s">
        <v>507</v>
      </c>
    </row>
    <row r="1464" customFormat="false" ht="15" hidden="false" customHeight="false" outlineLevel="0" collapsed="false">
      <c r="A1464" s="2" t="n">
        <v>1736</v>
      </c>
      <c r="B1464" s="2" t="s">
        <v>7445</v>
      </c>
      <c r="C1464" s="2" t="s">
        <v>7542</v>
      </c>
      <c r="D1464" s="2" t="s">
        <v>53</v>
      </c>
      <c r="E1464" s="2" t="s">
        <v>7543</v>
      </c>
      <c r="F1464" s="2" t="s">
        <v>7544</v>
      </c>
      <c r="G1464" s="2" t="s">
        <v>7545</v>
      </c>
      <c r="H1464" s="2" t="s">
        <v>153</v>
      </c>
      <c r="I1464" s="2" t="s">
        <v>58</v>
      </c>
      <c r="J1464" s="2" t="n">
        <v>-6.245</v>
      </c>
      <c r="K1464" s="2" t="n">
        <v>107.005</v>
      </c>
      <c r="L1464" s="2" t="s">
        <v>59</v>
      </c>
      <c r="M1464" s="2" t="s">
        <v>60</v>
      </c>
      <c r="N1464" s="2"/>
      <c r="O1464" s="2" t="s">
        <v>7546</v>
      </c>
      <c r="P1464" s="2"/>
      <c r="Q1464" s="2" t="s">
        <v>62</v>
      </c>
      <c r="R1464" s="2" t="n">
        <v>0.75</v>
      </c>
      <c r="S1464" s="2" t="s">
        <v>7547</v>
      </c>
      <c r="T1464" s="2" t="s">
        <v>64</v>
      </c>
      <c r="U1464" s="2" t="s">
        <v>7548</v>
      </c>
      <c r="V1464" s="2" t="s">
        <v>7549</v>
      </c>
      <c r="W1464" s="2" t="s">
        <v>3506</v>
      </c>
      <c r="X1464" s="2" t="s">
        <v>507</v>
      </c>
    </row>
    <row r="1465" customFormat="false" ht="15" hidden="false" customHeight="false" outlineLevel="0" collapsed="false">
      <c r="A1465" s="2" t="n">
        <v>1737</v>
      </c>
      <c r="B1465" s="2" t="s">
        <v>7445</v>
      </c>
      <c r="C1465" s="2" t="s">
        <v>7550</v>
      </c>
      <c r="D1465" s="2" t="s">
        <v>134</v>
      </c>
      <c r="E1465" s="2" t="s">
        <v>7551</v>
      </c>
      <c r="F1465" s="2"/>
      <c r="G1465" s="2" t="s">
        <v>7552</v>
      </c>
      <c r="H1465" s="2" t="s">
        <v>153</v>
      </c>
      <c r="I1465" s="2" t="s">
        <v>58</v>
      </c>
      <c r="J1465" s="2" t="n">
        <v>-6.3</v>
      </c>
      <c r="K1465" s="2" t="n">
        <v>107.035</v>
      </c>
      <c r="L1465" s="2" t="s">
        <v>84</v>
      </c>
      <c r="M1465" s="2" t="s">
        <v>60</v>
      </c>
      <c r="N1465" s="2" t="s">
        <v>7553</v>
      </c>
      <c r="O1465" s="2" t="s">
        <v>7554</v>
      </c>
      <c r="P1465" s="2"/>
      <c r="Q1465" s="2" t="s">
        <v>62</v>
      </c>
      <c r="R1465" s="2" t="n">
        <v>0.75</v>
      </c>
      <c r="S1465" s="2" t="s">
        <v>7555</v>
      </c>
      <c r="T1465" s="2" t="s">
        <v>112</v>
      </c>
      <c r="U1465" s="2" t="s">
        <v>7556</v>
      </c>
      <c r="V1465" s="2" t="s">
        <v>3517</v>
      </c>
      <c r="W1465" s="2" t="s">
        <v>132</v>
      </c>
      <c r="X1465" s="2" t="s">
        <v>507</v>
      </c>
    </row>
    <row r="1466" customFormat="false" ht="15" hidden="false" customHeight="false" outlineLevel="0" collapsed="false">
      <c r="A1466" s="2" t="n">
        <v>1737</v>
      </c>
      <c r="B1466" s="2" t="s">
        <v>7445</v>
      </c>
      <c r="C1466" s="2" t="s">
        <v>7557</v>
      </c>
      <c r="D1466" s="2" t="s">
        <v>134</v>
      </c>
      <c r="E1466" s="2" t="s">
        <v>7558</v>
      </c>
      <c r="F1466" s="2" t="s">
        <v>7559</v>
      </c>
      <c r="G1466" s="2" t="s">
        <v>7528</v>
      </c>
      <c r="H1466" s="2" t="s">
        <v>153</v>
      </c>
      <c r="I1466" s="2" t="s">
        <v>58</v>
      </c>
      <c r="J1466" s="2" t="n">
        <v>-6.2</v>
      </c>
      <c r="K1466" s="2" t="n">
        <v>107.02</v>
      </c>
      <c r="L1466" s="2" t="s">
        <v>59</v>
      </c>
      <c r="M1466" s="2" t="s">
        <v>60</v>
      </c>
      <c r="N1466" s="2"/>
      <c r="O1466" s="2" t="s">
        <v>7560</v>
      </c>
      <c r="P1466" s="2"/>
      <c r="Q1466" s="2" t="s">
        <v>62</v>
      </c>
      <c r="R1466" s="2" t="n">
        <v>0.65</v>
      </c>
      <c r="S1466" s="2" t="s">
        <v>7555</v>
      </c>
      <c r="T1466" s="2" t="s">
        <v>112</v>
      </c>
      <c r="U1466" s="2" t="s">
        <v>7556</v>
      </c>
      <c r="V1466" s="2" t="s">
        <v>3517</v>
      </c>
      <c r="W1466" s="2" t="s">
        <v>132</v>
      </c>
      <c r="X1466" s="2" t="s">
        <v>507</v>
      </c>
    </row>
    <row r="1467" customFormat="false" ht="15" hidden="false" customHeight="false" outlineLevel="0" collapsed="false">
      <c r="A1467" s="2" t="n">
        <v>1737</v>
      </c>
      <c r="B1467" s="2" t="s">
        <v>7445</v>
      </c>
      <c r="C1467" s="2" t="s">
        <v>7561</v>
      </c>
      <c r="D1467" s="2" t="s">
        <v>134</v>
      </c>
      <c r="E1467" s="2" t="s">
        <v>7535</v>
      </c>
      <c r="F1467" s="2"/>
      <c r="G1467" s="2"/>
      <c r="H1467" s="2"/>
      <c r="I1467" s="2" t="s">
        <v>58</v>
      </c>
      <c r="J1467" s="2" t="n">
        <v>-6.92</v>
      </c>
      <c r="K1467" s="2" t="n">
        <v>107.6</v>
      </c>
      <c r="L1467" s="2" t="s">
        <v>239</v>
      </c>
      <c r="M1467" s="2" t="s">
        <v>340</v>
      </c>
      <c r="N1467" s="2" t="s">
        <v>7536</v>
      </c>
      <c r="O1467" s="2" t="s">
        <v>7562</v>
      </c>
      <c r="P1467" s="2"/>
      <c r="Q1467" s="2" t="s">
        <v>62</v>
      </c>
      <c r="R1467" s="2" t="n">
        <v>0.65</v>
      </c>
      <c r="S1467" s="2" t="s">
        <v>7555</v>
      </c>
      <c r="T1467" s="2" t="s">
        <v>112</v>
      </c>
      <c r="U1467" s="2" t="s">
        <v>7556</v>
      </c>
      <c r="V1467" s="2" t="s">
        <v>3517</v>
      </c>
      <c r="W1467" s="2" t="s">
        <v>132</v>
      </c>
      <c r="X1467" s="2" t="s">
        <v>507</v>
      </c>
    </row>
    <row r="1468" customFormat="false" ht="15" hidden="false" customHeight="false" outlineLevel="0" collapsed="false">
      <c r="A1468" s="2" t="n">
        <v>1739</v>
      </c>
      <c r="B1468" s="2" t="s">
        <v>7445</v>
      </c>
      <c r="C1468" s="2" t="s">
        <v>7563</v>
      </c>
      <c r="D1468" s="2" t="s">
        <v>53</v>
      </c>
      <c r="E1468" s="2" t="s">
        <v>7564</v>
      </c>
      <c r="F1468" s="2" t="s">
        <v>7565</v>
      </c>
      <c r="G1468" s="2" t="s">
        <v>7552</v>
      </c>
      <c r="H1468" s="2" t="s">
        <v>153</v>
      </c>
      <c r="I1468" s="2" t="s">
        <v>58</v>
      </c>
      <c r="J1468" s="2" t="n">
        <v>-6.32</v>
      </c>
      <c r="K1468" s="2" t="n">
        <v>107.04</v>
      </c>
      <c r="L1468" s="2" t="s">
        <v>59</v>
      </c>
      <c r="M1468" s="2" t="s">
        <v>60</v>
      </c>
      <c r="N1468" s="2"/>
      <c r="O1468" s="2" t="s">
        <v>7566</v>
      </c>
      <c r="P1468" s="2"/>
      <c r="Q1468" s="2" t="s">
        <v>62</v>
      </c>
      <c r="R1468" s="2" t="n">
        <v>0.65</v>
      </c>
      <c r="S1468" s="2" t="s">
        <v>7567</v>
      </c>
      <c r="T1468" s="2" t="s">
        <v>64</v>
      </c>
      <c r="U1468" s="2" t="s">
        <v>7568</v>
      </c>
      <c r="V1468" s="2" t="s">
        <v>3517</v>
      </c>
      <c r="W1468" s="2" t="s">
        <v>2313</v>
      </c>
      <c r="X1468" s="2" t="s">
        <v>507</v>
      </c>
    </row>
    <row r="1469" customFormat="false" ht="15" hidden="false" customHeight="false" outlineLevel="0" collapsed="false">
      <c r="A1469" s="2" t="n">
        <v>1739</v>
      </c>
      <c r="B1469" s="2" t="s">
        <v>7445</v>
      </c>
      <c r="C1469" s="2" t="s">
        <v>7569</v>
      </c>
      <c r="D1469" s="2" t="s">
        <v>53</v>
      </c>
      <c r="E1469" s="2" t="s">
        <v>7535</v>
      </c>
      <c r="F1469" s="2"/>
      <c r="G1469" s="2"/>
      <c r="H1469" s="2"/>
      <c r="I1469" s="2" t="s">
        <v>58</v>
      </c>
      <c r="J1469" s="2" t="n">
        <v>-6.92</v>
      </c>
      <c r="K1469" s="2" t="n">
        <v>107.6</v>
      </c>
      <c r="L1469" s="2" t="s">
        <v>239</v>
      </c>
      <c r="M1469" s="2" t="s">
        <v>340</v>
      </c>
      <c r="N1469" s="2" t="s">
        <v>7536</v>
      </c>
      <c r="O1469" s="2" t="s">
        <v>7570</v>
      </c>
      <c r="P1469" s="2"/>
      <c r="Q1469" s="2" t="s">
        <v>62</v>
      </c>
      <c r="R1469" s="2" t="n">
        <v>0.65</v>
      </c>
      <c r="S1469" s="2" t="s">
        <v>7567</v>
      </c>
      <c r="T1469" s="2" t="s">
        <v>64</v>
      </c>
      <c r="U1469" s="2" t="s">
        <v>7568</v>
      </c>
      <c r="V1469" s="2" t="s">
        <v>3517</v>
      </c>
      <c r="W1469" s="2" t="s">
        <v>2313</v>
      </c>
      <c r="X1469" s="2" t="s">
        <v>507</v>
      </c>
    </row>
    <row r="1470" customFormat="false" ht="15" hidden="false" customHeight="false" outlineLevel="0" collapsed="false">
      <c r="A1470" s="2" t="n">
        <v>1739</v>
      </c>
      <c r="B1470" s="2" t="s">
        <v>7445</v>
      </c>
      <c r="C1470" s="2" t="s">
        <v>7571</v>
      </c>
      <c r="D1470" s="2" t="s">
        <v>53</v>
      </c>
      <c r="E1470" s="2" t="s">
        <v>7572</v>
      </c>
      <c r="F1470" s="2"/>
      <c r="G1470" s="2" t="s">
        <v>7545</v>
      </c>
      <c r="H1470" s="2" t="s">
        <v>153</v>
      </c>
      <c r="I1470" s="2" t="s">
        <v>58</v>
      </c>
      <c r="J1470" s="2" t="n">
        <v>-6.245</v>
      </c>
      <c r="K1470" s="2" t="n">
        <v>107.015</v>
      </c>
      <c r="L1470" s="2" t="s">
        <v>84</v>
      </c>
      <c r="M1470" s="2" t="s">
        <v>60</v>
      </c>
      <c r="N1470" s="2"/>
      <c r="O1470" s="2" t="s">
        <v>7573</v>
      </c>
      <c r="P1470" s="2"/>
      <c r="Q1470" s="2" t="s">
        <v>62</v>
      </c>
      <c r="R1470" s="2" t="n">
        <v>0.65</v>
      </c>
      <c r="S1470" s="2" t="s">
        <v>7567</v>
      </c>
      <c r="T1470" s="2" t="s">
        <v>64</v>
      </c>
      <c r="U1470" s="2" t="s">
        <v>7568</v>
      </c>
      <c r="V1470" s="2" t="s">
        <v>3517</v>
      </c>
      <c r="W1470" s="2" t="s">
        <v>2313</v>
      </c>
      <c r="X1470" s="2" t="s">
        <v>507</v>
      </c>
    </row>
    <row r="1471" customFormat="false" ht="15" hidden="false" customHeight="false" outlineLevel="0" collapsed="false">
      <c r="A1471" s="2" t="n">
        <v>1740</v>
      </c>
      <c r="B1471" s="2" t="s">
        <v>7574</v>
      </c>
      <c r="C1471" s="2" t="s">
        <v>7550</v>
      </c>
      <c r="D1471" s="2" t="s">
        <v>134</v>
      </c>
      <c r="E1471" s="2" t="s">
        <v>7575</v>
      </c>
      <c r="F1471" s="2"/>
      <c r="G1471" s="2" t="s">
        <v>7552</v>
      </c>
      <c r="H1471" s="2" t="s">
        <v>153</v>
      </c>
      <c r="I1471" s="2" t="s">
        <v>58</v>
      </c>
      <c r="J1471" s="2" t="n">
        <v>-6.3</v>
      </c>
      <c r="K1471" s="2" t="n">
        <v>107.035</v>
      </c>
      <c r="L1471" s="2" t="s">
        <v>84</v>
      </c>
      <c r="M1471" s="2" t="s">
        <v>60</v>
      </c>
      <c r="N1471" s="2" t="s">
        <v>7553</v>
      </c>
      <c r="O1471" s="2" t="s">
        <v>7576</v>
      </c>
      <c r="P1471" s="2" t="s">
        <v>7577</v>
      </c>
      <c r="Q1471" s="2" t="s">
        <v>62</v>
      </c>
      <c r="R1471" s="2" t="n">
        <v>0.8</v>
      </c>
      <c r="S1471" s="2" t="s">
        <v>7578</v>
      </c>
      <c r="T1471" s="2" t="s">
        <v>64</v>
      </c>
      <c r="U1471" s="2" t="s">
        <v>7579</v>
      </c>
      <c r="V1471" s="2" t="s">
        <v>7580</v>
      </c>
      <c r="W1471" s="2" t="s">
        <v>7581</v>
      </c>
      <c r="X1471" s="2" t="s">
        <v>507</v>
      </c>
    </row>
    <row r="1472" customFormat="false" ht="15" hidden="false" customHeight="false" outlineLevel="0" collapsed="false">
      <c r="A1472" s="2" t="n">
        <v>1743</v>
      </c>
      <c r="B1472" s="2" t="s">
        <v>7574</v>
      </c>
      <c r="C1472" s="2" t="s">
        <v>7582</v>
      </c>
      <c r="D1472" s="2" t="s">
        <v>1130</v>
      </c>
      <c r="E1472" s="2" t="s">
        <v>7583</v>
      </c>
      <c r="F1472" s="2" t="s">
        <v>7584</v>
      </c>
      <c r="G1472" s="2" t="s">
        <v>7585</v>
      </c>
      <c r="H1472" s="2" t="s">
        <v>7586</v>
      </c>
      <c r="I1472" s="2" t="s">
        <v>58</v>
      </c>
      <c r="J1472" s="2" t="n">
        <v>-6.262</v>
      </c>
      <c r="K1472" s="2" t="n">
        <v>107.06</v>
      </c>
      <c r="L1472" s="2" t="s">
        <v>59</v>
      </c>
      <c r="M1472" s="2" t="s">
        <v>60</v>
      </c>
      <c r="N1472" s="2"/>
      <c r="O1472" s="2" t="s">
        <v>7587</v>
      </c>
      <c r="P1472" s="2"/>
      <c r="Q1472" s="2" t="s">
        <v>62</v>
      </c>
      <c r="R1472" s="2" t="n">
        <v>0.7</v>
      </c>
      <c r="S1472" s="2" t="s">
        <v>7588</v>
      </c>
      <c r="T1472" s="2" t="s">
        <v>7589</v>
      </c>
      <c r="U1472" s="2" t="s">
        <v>7590</v>
      </c>
      <c r="V1472" s="2" t="s">
        <v>7591</v>
      </c>
      <c r="W1472" s="2" t="s">
        <v>98</v>
      </c>
      <c r="X1472" s="2" t="s">
        <v>507</v>
      </c>
    </row>
    <row r="1473" customFormat="false" ht="15" hidden="false" customHeight="false" outlineLevel="0" collapsed="false">
      <c r="A1473" s="2" t="n">
        <v>1751</v>
      </c>
      <c r="B1473" s="2" t="s">
        <v>7574</v>
      </c>
      <c r="C1473" s="2" t="s">
        <v>7592</v>
      </c>
      <c r="D1473" s="2" t="s">
        <v>53</v>
      </c>
      <c r="E1473" s="2" t="s">
        <v>7593</v>
      </c>
      <c r="F1473" s="2" t="s">
        <v>151</v>
      </c>
      <c r="G1473" s="2" t="s">
        <v>152</v>
      </c>
      <c r="H1473" s="2" t="s">
        <v>153</v>
      </c>
      <c r="I1473" s="2" t="s">
        <v>58</v>
      </c>
      <c r="J1473" s="2" t="n">
        <v>-6.265</v>
      </c>
      <c r="K1473" s="2" t="n">
        <v>106.975</v>
      </c>
      <c r="L1473" s="2" t="s">
        <v>59</v>
      </c>
      <c r="M1473" s="2" t="s">
        <v>60</v>
      </c>
      <c r="N1473" s="2" t="s">
        <v>7594</v>
      </c>
      <c r="O1473" s="2" t="s">
        <v>7595</v>
      </c>
      <c r="P1473" s="2"/>
      <c r="Q1473" s="2" t="s">
        <v>62</v>
      </c>
      <c r="R1473" s="2" t="n">
        <v>0.65</v>
      </c>
      <c r="S1473" s="2" t="s">
        <v>7596</v>
      </c>
      <c r="T1473" s="2" t="s">
        <v>112</v>
      </c>
      <c r="U1473" s="2" t="s">
        <v>7597</v>
      </c>
      <c r="V1473" s="2" t="s">
        <v>5487</v>
      </c>
      <c r="W1473" s="2" t="s">
        <v>795</v>
      </c>
      <c r="X1473" s="2" t="s">
        <v>507</v>
      </c>
    </row>
    <row r="1474" customFormat="false" ht="15" hidden="false" customHeight="false" outlineLevel="0" collapsed="false">
      <c r="A1474" s="2" t="n">
        <v>1751</v>
      </c>
      <c r="B1474" s="2" t="s">
        <v>7574</v>
      </c>
      <c r="C1474" s="2" t="s">
        <v>7598</v>
      </c>
      <c r="D1474" s="2" t="s">
        <v>53</v>
      </c>
      <c r="E1474" s="2" t="s">
        <v>7599</v>
      </c>
      <c r="F1474" s="2" t="s">
        <v>151</v>
      </c>
      <c r="G1474" s="2" t="s">
        <v>152</v>
      </c>
      <c r="H1474" s="2" t="s">
        <v>153</v>
      </c>
      <c r="I1474" s="2" t="s">
        <v>58</v>
      </c>
      <c r="J1474" s="2" t="n">
        <v>-6.265</v>
      </c>
      <c r="K1474" s="2" t="n">
        <v>106.975</v>
      </c>
      <c r="L1474" s="2" t="s">
        <v>59</v>
      </c>
      <c r="M1474" s="2" t="s">
        <v>60</v>
      </c>
      <c r="N1474" s="2" t="s">
        <v>7594</v>
      </c>
      <c r="O1474" s="2" t="s">
        <v>7600</v>
      </c>
      <c r="P1474" s="2"/>
      <c r="Q1474" s="2" t="s">
        <v>110</v>
      </c>
      <c r="R1474" s="2" t="n">
        <v>0.7</v>
      </c>
      <c r="S1474" s="2" t="s">
        <v>7596</v>
      </c>
      <c r="T1474" s="2" t="s">
        <v>112</v>
      </c>
      <c r="U1474" s="2" t="s">
        <v>7597</v>
      </c>
      <c r="V1474" s="2" t="s">
        <v>5487</v>
      </c>
      <c r="W1474" s="2" t="s">
        <v>795</v>
      </c>
      <c r="X1474" s="2" t="s">
        <v>507</v>
      </c>
    </row>
    <row r="1475" customFormat="false" ht="15" hidden="false" customHeight="false" outlineLevel="0" collapsed="false">
      <c r="A1475" s="2" t="n">
        <v>1751</v>
      </c>
      <c r="B1475" s="2" t="s">
        <v>7574</v>
      </c>
      <c r="C1475" s="2" t="s">
        <v>7601</v>
      </c>
      <c r="D1475" s="2" t="s">
        <v>53</v>
      </c>
      <c r="E1475" s="2" t="s">
        <v>7602</v>
      </c>
      <c r="F1475" s="2" t="s">
        <v>151</v>
      </c>
      <c r="G1475" s="2" t="s">
        <v>152</v>
      </c>
      <c r="H1475" s="2" t="s">
        <v>153</v>
      </c>
      <c r="I1475" s="2" t="s">
        <v>58</v>
      </c>
      <c r="J1475" s="2" t="n">
        <v>-6.265</v>
      </c>
      <c r="K1475" s="2" t="n">
        <v>106.975</v>
      </c>
      <c r="L1475" s="2" t="s">
        <v>59</v>
      </c>
      <c r="M1475" s="2" t="s">
        <v>60</v>
      </c>
      <c r="N1475" s="2" t="s">
        <v>7594</v>
      </c>
      <c r="O1475" s="2" t="s">
        <v>7603</v>
      </c>
      <c r="P1475" s="2"/>
      <c r="Q1475" s="2" t="s">
        <v>62</v>
      </c>
      <c r="R1475" s="2" t="n">
        <v>0.6</v>
      </c>
      <c r="S1475" s="2" t="s">
        <v>7596</v>
      </c>
      <c r="T1475" s="2" t="s">
        <v>112</v>
      </c>
      <c r="U1475" s="2" t="s">
        <v>7597</v>
      </c>
      <c r="V1475" s="2" t="s">
        <v>5487</v>
      </c>
      <c r="W1475" s="2" t="s">
        <v>795</v>
      </c>
      <c r="X1475" s="2" t="s">
        <v>507</v>
      </c>
    </row>
    <row r="1476" customFormat="false" ht="15" hidden="false" customHeight="false" outlineLevel="0" collapsed="false">
      <c r="A1476" s="2" t="n">
        <v>1756</v>
      </c>
      <c r="B1476" s="2" t="s">
        <v>7574</v>
      </c>
      <c r="C1476" s="2" t="s">
        <v>7604</v>
      </c>
      <c r="D1476" s="2" t="s">
        <v>121</v>
      </c>
      <c r="E1476" s="2" t="s">
        <v>7605</v>
      </c>
      <c r="F1476" s="2" t="s">
        <v>7606</v>
      </c>
      <c r="G1476" s="2" t="s">
        <v>152</v>
      </c>
      <c r="H1476" s="2" t="s">
        <v>153</v>
      </c>
      <c r="I1476" s="2" t="s">
        <v>58</v>
      </c>
      <c r="J1476" s="2" t="n">
        <v>-6.2382</v>
      </c>
      <c r="K1476" s="2" t="n">
        <v>106.9921</v>
      </c>
      <c r="L1476" s="2" t="s">
        <v>124</v>
      </c>
      <c r="M1476" s="2" t="s">
        <v>60</v>
      </c>
      <c r="N1476" s="2"/>
      <c r="O1476" s="2" t="s">
        <v>7607</v>
      </c>
      <c r="P1476" s="2" t="s">
        <v>6606</v>
      </c>
      <c r="Q1476" s="2" t="s">
        <v>62</v>
      </c>
      <c r="R1476" s="2" t="n">
        <v>0.75</v>
      </c>
      <c r="S1476" s="2" t="s">
        <v>7608</v>
      </c>
      <c r="T1476" s="2" t="s">
        <v>7609</v>
      </c>
      <c r="U1476" s="2" t="s">
        <v>7610</v>
      </c>
      <c r="V1476" s="2" t="s">
        <v>6996</v>
      </c>
      <c r="W1476" s="2" t="s">
        <v>5744</v>
      </c>
      <c r="X1476" s="2" t="s">
        <v>507</v>
      </c>
    </row>
    <row r="1477" customFormat="false" ht="15" hidden="false" customHeight="false" outlineLevel="0" collapsed="false">
      <c r="A1477" s="2" t="n">
        <v>1757</v>
      </c>
      <c r="B1477" s="2" t="s">
        <v>7574</v>
      </c>
      <c r="C1477" s="2" t="s">
        <v>7604</v>
      </c>
      <c r="D1477" s="2" t="s">
        <v>121</v>
      </c>
      <c r="E1477" s="2" t="s">
        <v>7611</v>
      </c>
      <c r="F1477" s="2" t="s">
        <v>7606</v>
      </c>
      <c r="G1477" s="2" t="s">
        <v>152</v>
      </c>
      <c r="H1477" s="2" t="s">
        <v>153</v>
      </c>
      <c r="I1477" s="2" t="s">
        <v>58</v>
      </c>
      <c r="J1477" s="2" t="n">
        <v>-6.2382</v>
      </c>
      <c r="K1477" s="2" t="n">
        <v>106.9921</v>
      </c>
      <c r="L1477" s="2" t="s">
        <v>124</v>
      </c>
      <c r="M1477" s="2" t="s">
        <v>60</v>
      </c>
      <c r="N1477" s="2"/>
      <c r="O1477" s="2" t="s">
        <v>7612</v>
      </c>
      <c r="P1477" s="2" t="s">
        <v>6606</v>
      </c>
      <c r="Q1477" s="2" t="s">
        <v>62</v>
      </c>
      <c r="R1477" s="2" t="n">
        <v>0.7</v>
      </c>
      <c r="S1477" s="2" t="s">
        <v>7613</v>
      </c>
      <c r="T1477" s="2" t="s">
        <v>7614</v>
      </c>
      <c r="U1477" s="2" t="s">
        <v>7615</v>
      </c>
      <c r="V1477" s="2" t="s">
        <v>7333</v>
      </c>
      <c r="W1477" s="2" t="s">
        <v>945</v>
      </c>
      <c r="X1477" s="2" t="s">
        <v>507</v>
      </c>
    </row>
    <row r="1478" customFormat="false" ht="15" hidden="false" customHeight="false" outlineLevel="0" collapsed="false">
      <c r="A1478" s="2" t="n">
        <v>1758</v>
      </c>
      <c r="B1478" s="2" t="s">
        <v>7574</v>
      </c>
      <c r="C1478" s="2" t="s">
        <v>7616</v>
      </c>
      <c r="D1478" s="2" t="s">
        <v>121</v>
      </c>
      <c r="E1478" s="2" t="s">
        <v>7617</v>
      </c>
      <c r="F1478" s="2" t="s">
        <v>7527</v>
      </c>
      <c r="G1478" s="2" t="s">
        <v>7528</v>
      </c>
      <c r="H1478" s="2" t="s">
        <v>153</v>
      </c>
      <c r="I1478" s="2" t="s">
        <v>58</v>
      </c>
      <c r="J1478" s="2" t="n">
        <v>-6.2257</v>
      </c>
      <c r="K1478" s="2" t="n">
        <v>107.0003</v>
      </c>
      <c r="L1478" s="2" t="s">
        <v>124</v>
      </c>
      <c r="M1478" s="2" t="s">
        <v>60</v>
      </c>
      <c r="N1478" s="2" t="s">
        <v>7618</v>
      </c>
      <c r="O1478" s="2" t="s">
        <v>7619</v>
      </c>
      <c r="P1478" s="2" t="s">
        <v>7620</v>
      </c>
      <c r="Q1478" s="2" t="s">
        <v>62</v>
      </c>
      <c r="R1478" s="2" t="n">
        <v>0.85</v>
      </c>
      <c r="S1478" s="2" t="s">
        <v>7621</v>
      </c>
      <c r="T1478" s="2" t="s">
        <v>710</v>
      </c>
      <c r="U1478" s="2" t="s">
        <v>7622</v>
      </c>
      <c r="V1478" s="2" t="s">
        <v>696</v>
      </c>
      <c r="W1478" s="2" t="s">
        <v>115</v>
      </c>
      <c r="X1478" s="2" t="s">
        <v>507</v>
      </c>
    </row>
    <row r="1479" customFormat="false" ht="15" hidden="false" customHeight="false" outlineLevel="0" collapsed="false">
      <c r="A1479" s="2" t="n">
        <v>1759</v>
      </c>
      <c r="B1479" s="2" t="s">
        <v>7574</v>
      </c>
      <c r="C1479" s="2" t="s">
        <v>7616</v>
      </c>
      <c r="D1479" s="2" t="s">
        <v>121</v>
      </c>
      <c r="E1479" s="2" t="s">
        <v>7623</v>
      </c>
      <c r="F1479" s="2" t="s">
        <v>7527</v>
      </c>
      <c r="G1479" s="2" t="s">
        <v>7528</v>
      </c>
      <c r="H1479" s="2" t="s">
        <v>153</v>
      </c>
      <c r="I1479" s="2" t="s">
        <v>58</v>
      </c>
      <c r="J1479" s="2" t="n">
        <v>-6.2257</v>
      </c>
      <c r="K1479" s="2" t="n">
        <v>107.0003</v>
      </c>
      <c r="L1479" s="2" t="s">
        <v>124</v>
      </c>
      <c r="M1479" s="2" t="s">
        <v>60</v>
      </c>
      <c r="N1479" s="2" t="s">
        <v>7618</v>
      </c>
      <c r="O1479" s="2" t="s">
        <v>7624</v>
      </c>
      <c r="P1479" s="2" t="s">
        <v>7620</v>
      </c>
      <c r="Q1479" s="2" t="s">
        <v>62</v>
      </c>
      <c r="R1479" s="2" t="n">
        <v>0.75</v>
      </c>
      <c r="S1479" s="2" t="s">
        <v>7625</v>
      </c>
      <c r="T1479" s="2" t="s">
        <v>2212</v>
      </c>
      <c r="U1479" s="2" t="s">
        <v>7626</v>
      </c>
      <c r="V1479" s="2" t="s">
        <v>745</v>
      </c>
      <c r="W1479" s="2" t="s">
        <v>115</v>
      </c>
      <c r="X1479" s="2" t="s">
        <v>507</v>
      </c>
    </row>
    <row r="1480" customFormat="false" ht="15" hidden="false" customHeight="false" outlineLevel="0" collapsed="false">
      <c r="A1480" s="2" t="n">
        <v>1759</v>
      </c>
      <c r="B1480" s="2" t="s">
        <v>7574</v>
      </c>
      <c r="C1480" s="2" t="s">
        <v>7627</v>
      </c>
      <c r="D1480" s="2" t="s">
        <v>53</v>
      </c>
      <c r="E1480" s="2" t="s">
        <v>7628</v>
      </c>
      <c r="F1480" s="2" t="s">
        <v>7527</v>
      </c>
      <c r="G1480" s="2" t="s">
        <v>7528</v>
      </c>
      <c r="H1480" s="2" t="s">
        <v>153</v>
      </c>
      <c r="I1480" s="2" t="s">
        <v>58</v>
      </c>
      <c r="J1480" s="2" t="n">
        <v>-6.2257</v>
      </c>
      <c r="K1480" s="2" t="n">
        <v>107.0003</v>
      </c>
      <c r="L1480" s="2" t="s">
        <v>124</v>
      </c>
      <c r="M1480" s="2" t="s">
        <v>60</v>
      </c>
      <c r="N1480" s="2" t="s">
        <v>7629</v>
      </c>
      <c r="O1480" s="2" t="s">
        <v>7630</v>
      </c>
      <c r="P1480" s="2" t="s">
        <v>1955</v>
      </c>
      <c r="Q1480" s="2" t="s">
        <v>62</v>
      </c>
      <c r="R1480" s="2" t="n">
        <v>0.6</v>
      </c>
      <c r="S1480" s="2" t="s">
        <v>7625</v>
      </c>
      <c r="T1480" s="2" t="s">
        <v>2212</v>
      </c>
      <c r="U1480" s="2" t="s">
        <v>7626</v>
      </c>
      <c r="V1480" s="2" t="s">
        <v>745</v>
      </c>
      <c r="W1480" s="2" t="s">
        <v>115</v>
      </c>
      <c r="X1480" s="2" t="s">
        <v>507</v>
      </c>
    </row>
    <row r="1481" customFormat="false" ht="15" hidden="false" customHeight="false" outlineLevel="0" collapsed="false">
      <c r="A1481" s="2" t="n">
        <v>1761</v>
      </c>
      <c r="B1481" s="2" t="s">
        <v>7574</v>
      </c>
      <c r="C1481" s="2" t="s">
        <v>7604</v>
      </c>
      <c r="D1481" s="2" t="s">
        <v>121</v>
      </c>
      <c r="E1481" s="2" t="s">
        <v>7605</v>
      </c>
      <c r="F1481" s="2" t="s">
        <v>7606</v>
      </c>
      <c r="G1481" s="2" t="s">
        <v>152</v>
      </c>
      <c r="H1481" s="2" t="s">
        <v>153</v>
      </c>
      <c r="I1481" s="2" t="s">
        <v>58</v>
      </c>
      <c r="J1481" s="2" t="n">
        <v>-6.2382</v>
      </c>
      <c r="K1481" s="2" t="n">
        <v>106.9921</v>
      </c>
      <c r="L1481" s="2" t="s">
        <v>124</v>
      </c>
      <c r="M1481" s="2" t="s">
        <v>60</v>
      </c>
      <c r="N1481" s="2"/>
      <c r="O1481" s="2" t="s">
        <v>7631</v>
      </c>
      <c r="P1481" s="2" t="s">
        <v>6606</v>
      </c>
      <c r="Q1481" s="2" t="s">
        <v>62</v>
      </c>
      <c r="R1481" s="2" t="n">
        <v>0.75</v>
      </c>
      <c r="S1481" s="2" t="s">
        <v>7632</v>
      </c>
      <c r="T1481" s="2" t="s">
        <v>7633</v>
      </c>
      <c r="U1481" s="2" t="s">
        <v>7634</v>
      </c>
      <c r="V1481" s="2" t="s">
        <v>7591</v>
      </c>
      <c r="W1481" s="2" t="s">
        <v>1923</v>
      </c>
      <c r="X1481" s="2" t="s">
        <v>507</v>
      </c>
    </row>
    <row r="1482" customFormat="false" ht="15" hidden="false" customHeight="false" outlineLevel="0" collapsed="false">
      <c r="A1482" s="2" t="n">
        <v>1764</v>
      </c>
      <c r="B1482" s="2" t="s">
        <v>7574</v>
      </c>
      <c r="C1482" s="2" t="s">
        <v>7635</v>
      </c>
      <c r="D1482" s="2" t="s">
        <v>351</v>
      </c>
      <c r="E1482" s="2" t="s">
        <v>7636</v>
      </c>
      <c r="F1482" s="2" t="s">
        <v>470</v>
      </c>
      <c r="G1482" s="2" t="s">
        <v>237</v>
      </c>
      <c r="H1482" s="2" t="s">
        <v>366</v>
      </c>
      <c r="I1482" s="2" t="s">
        <v>238</v>
      </c>
      <c r="J1482" s="2" t="n">
        <v>-6.176</v>
      </c>
      <c r="K1482" s="2" t="n">
        <v>106.632</v>
      </c>
      <c r="L1482" s="2" t="s">
        <v>59</v>
      </c>
      <c r="M1482" s="2" t="s">
        <v>60</v>
      </c>
      <c r="N1482" s="2"/>
      <c r="O1482" s="2" t="s">
        <v>7637</v>
      </c>
      <c r="P1482" s="2"/>
      <c r="Q1482" s="2" t="s">
        <v>62</v>
      </c>
      <c r="R1482" s="2" t="n">
        <v>0.65</v>
      </c>
      <c r="S1482" s="2" t="s">
        <v>7638</v>
      </c>
      <c r="T1482" s="2" t="s">
        <v>1168</v>
      </c>
      <c r="U1482" s="2" t="s">
        <v>7639</v>
      </c>
      <c r="V1482" s="2" t="s">
        <v>7640</v>
      </c>
      <c r="W1482" s="2" t="s">
        <v>3646</v>
      </c>
      <c r="X1482" s="2" t="s">
        <v>507</v>
      </c>
    </row>
    <row r="1483" customFormat="false" ht="15" hidden="false" customHeight="false" outlineLevel="0" collapsed="false">
      <c r="A1483" s="2" t="n">
        <v>1764</v>
      </c>
      <c r="B1483" s="2" t="s">
        <v>7574</v>
      </c>
      <c r="C1483" s="2" t="s">
        <v>7641</v>
      </c>
      <c r="D1483" s="2" t="s">
        <v>53</v>
      </c>
      <c r="E1483" s="2" t="s">
        <v>7642</v>
      </c>
      <c r="F1483" s="2" t="s">
        <v>470</v>
      </c>
      <c r="G1483" s="2" t="s">
        <v>237</v>
      </c>
      <c r="H1483" s="2" t="s">
        <v>366</v>
      </c>
      <c r="I1483" s="2" t="s">
        <v>238</v>
      </c>
      <c r="J1483" s="2" t="n">
        <v>-6.176</v>
      </c>
      <c r="K1483" s="2" t="n">
        <v>106.632</v>
      </c>
      <c r="L1483" s="2" t="s">
        <v>59</v>
      </c>
      <c r="M1483" s="2" t="s">
        <v>60</v>
      </c>
      <c r="N1483" s="2"/>
      <c r="O1483" s="2" t="s">
        <v>7643</v>
      </c>
      <c r="P1483" s="2"/>
      <c r="Q1483" s="2" t="s">
        <v>62</v>
      </c>
      <c r="R1483" s="2" t="n">
        <v>0.75</v>
      </c>
      <c r="S1483" s="2" t="s">
        <v>7638</v>
      </c>
      <c r="T1483" s="2" t="s">
        <v>1168</v>
      </c>
      <c r="U1483" s="2" t="s">
        <v>7639</v>
      </c>
      <c r="V1483" s="2" t="s">
        <v>7640</v>
      </c>
      <c r="W1483" s="2" t="s">
        <v>3646</v>
      </c>
      <c r="X1483" s="2" t="s">
        <v>507</v>
      </c>
    </row>
    <row r="1484" customFormat="false" ht="15" hidden="false" customHeight="false" outlineLevel="0" collapsed="false">
      <c r="A1484" s="2" t="n">
        <v>1764</v>
      </c>
      <c r="B1484" s="2" t="s">
        <v>7574</v>
      </c>
      <c r="C1484" s="2" t="s">
        <v>919</v>
      </c>
      <c r="D1484" s="2" t="s">
        <v>53</v>
      </c>
      <c r="E1484" s="2" t="s">
        <v>7644</v>
      </c>
      <c r="F1484" s="2" t="s">
        <v>470</v>
      </c>
      <c r="G1484" s="2" t="s">
        <v>237</v>
      </c>
      <c r="H1484" s="2" t="s">
        <v>366</v>
      </c>
      <c r="I1484" s="2" t="s">
        <v>238</v>
      </c>
      <c r="J1484" s="2" t="n">
        <v>-6.176</v>
      </c>
      <c r="K1484" s="2" t="n">
        <v>106.632</v>
      </c>
      <c r="L1484" s="2" t="s">
        <v>59</v>
      </c>
      <c r="M1484" s="2" t="s">
        <v>60</v>
      </c>
      <c r="N1484" s="2"/>
      <c r="O1484" s="2" t="s">
        <v>7645</v>
      </c>
      <c r="P1484" s="2"/>
      <c r="Q1484" s="2" t="s">
        <v>62</v>
      </c>
      <c r="R1484" s="2" t="n">
        <v>0.75</v>
      </c>
      <c r="S1484" s="2" t="s">
        <v>7638</v>
      </c>
      <c r="T1484" s="2" t="s">
        <v>1168</v>
      </c>
      <c r="U1484" s="2" t="s">
        <v>7639</v>
      </c>
      <c r="V1484" s="2" t="s">
        <v>7640</v>
      </c>
      <c r="W1484" s="2" t="s">
        <v>3646</v>
      </c>
      <c r="X1484" s="2" t="s">
        <v>507</v>
      </c>
    </row>
    <row r="1485" customFormat="false" ht="15" hidden="false" customHeight="false" outlineLevel="0" collapsed="false">
      <c r="A1485" s="2" t="n">
        <v>1766</v>
      </c>
      <c r="B1485" s="2" t="s">
        <v>7574</v>
      </c>
      <c r="C1485" s="2" t="s">
        <v>7646</v>
      </c>
      <c r="D1485" s="2" t="s">
        <v>53</v>
      </c>
      <c r="E1485" s="2" t="s">
        <v>7647</v>
      </c>
      <c r="F1485" s="2"/>
      <c r="G1485" s="2" t="s">
        <v>1814</v>
      </c>
      <c r="H1485" s="2" t="s">
        <v>1346</v>
      </c>
      <c r="I1485" s="2" t="s">
        <v>238</v>
      </c>
      <c r="J1485" s="2" t="n">
        <v>-6.24</v>
      </c>
      <c r="K1485" s="2" t="n">
        <v>106.615</v>
      </c>
      <c r="L1485" s="2" t="s">
        <v>84</v>
      </c>
      <c r="M1485" s="2" t="s">
        <v>60</v>
      </c>
      <c r="N1485" s="2" t="s">
        <v>7648</v>
      </c>
      <c r="O1485" s="2" t="s">
        <v>7649</v>
      </c>
      <c r="P1485" s="2" t="s">
        <v>7650</v>
      </c>
      <c r="Q1485" s="2" t="s">
        <v>62</v>
      </c>
      <c r="R1485" s="2" t="n">
        <v>0.7</v>
      </c>
      <c r="S1485" s="2" t="s">
        <v>7651</v>
      </c>
      <c r="T1485" s="2" t="s">
        <v>7652</v>
      </c>
      <c r="U1485" s="2" t="s">
        <v>7653</v>
      </c>
      <c r="V1485" s="2" t="s">
        <v>745</v>
      </c>
      <c r="W1485" s="2" t="s">
        <v>2431</v>
      </c>
      <c r="X1485" s="2" t="s">
        <v>507</v>
      </c>
    </row>
    <row r="1486" customFormat="false" ht="15" hidden="false" customHeight="false" outlineLevel="0" collapsed="false">
      <c r="A1486" s="2" t="n">
        <v>1767</v>
      </c>
      <c r="B1486" s="2" t="s">
        <v>7574</v>
      </c>
      <c r="C1486" s="2" t="s">
        <v>7654</v>
      </c>
      <c r="D1486" s="2" t="s">
        <v>410</v>
      </c>
      <c r="E1486" s="2" t="s">
        <v>366</v>
      </c>
      <c r="F1486" s="2"/>
      <c r="G1486" s="2" t="s">
        <v>550</v>
      </c>
      <c r="H1486" s="2" t="s">
        <v>366</v>
      </c>
      <c r="I1486" s="2" t="s">
        <v>238</v>
      </c>
      <c r="J1486" s="2" t="n">
        <v>-6.185</v>
      </c>
      <c r="K1486" s="2" t="n">
        <v>106.69</v>
      </c>
      <c r="L1486" s="2" t="s">
        <v>84</v>
      </c>
      <c r="M1486" s="2" t="s">
        <v>60</v>
      </c>
      <c r="N1486" s="2"/>
      <c r="O1486" s="2" t="s">
        <v>7655</v>
      </c>
      <c r="P1486" s="2"/>
      <c r="Q1486" s="2" t="s">
        <v>62</v>
      </c>
      <c r="R1486" s="2" t="n">
        <v>0.55</v>
      </c>
      <c r="S1486" s="2" t="s">
        <v>7656</v>
      </c>
      <c r="T1486" s="2" t="s">
        <v>963</v>
      </c>
      <c r="U1486" s="2" t="s">
        <v>7657</v>
      </c>
      <c r="V1486" s="2" t="s">
        <v>2979</v>
      </c>
      <c r="W1486" s="2" t="s">
        <v>1482</v>
      </c>
      <c r="X1486" s="2" t="s">
        <v>507</v>
      </c>
    </row>
    <row r="1487" customFormat="false" ht="15" hidden="false" customHeight="false" outlineLevel="0" collapsed="false">
      <c r="A1487" s="2" t="n">
        <v>1768</v>
      </c>
      <c r="B1487" s="2" t="s">
        <v>7574</v>
      </c>
      <c r="C1487" s="2" t="s">
        <v>7635</v>
      </c>
      <c r="D1487" s="2" t="s">
        <v>351</v>
      </c>
      <c r="E1487" s="2" t="s">
        <v>366</v>
      </c>
      <c r="F1487" s="2" t="s">
        <v>470</v>
      </c>
      <c r="G1487" s="2" t="s">
        <v>237</v>
      </c>
      <c r="H1487" s="2" t="s">
        <v>366</v>
      </c>
      <c r="I1487" s="2" t="s">
        <v>238</v>
      </c>
      <c r="J1487" s="2" t="n">
        <v>-6.176</v>
      </c>
      <c r="K1487" s="2" t="n">
        <v>106.632</v>
      </c>
      <c r="L1487" s="2" t="s">
        <v>59</v>
      </c>
      <c r="M1487" s="2" t="s">
        <v>60</v>
      </c>
      <c r="N1487" s="2"/>
      <c r="O1487" s="2" t="s">
        <v>7658</v>
      </c>
      <c r="P1487" s="2"/>
      <c r="Q1487" s="2" t="s">
        <v>62</v>
      </c>
      <c r="R1487" s="2" t="n">
        <v>0.7</v>
      </c>
      <c r="S1487" s="2" t="s">
        <v>7659</v>
      </c>
      <c r="T1487" s="2" t="s">
        <v>176</v>
      </c>
      <c r="U1487" s="2" t="s">
        <v>7660</v>
      </c>
      <c r="V1487" s="2" t="s">
        <v>745</v>
      </c>
      <c r="W1487" s="2" t="s">
        <v>3435</v>
      </c>
      <c r="X1487" s="2" t="s">
        <v>507</v>
      </c>
    </row>
    <row r="1488" customFormat="false" ht="15" hidden="false" customHeight="false" outlineLevel="0" collapsed="false">
      <c r="A1488" s="2" t="n">
        <v>1768</v>
      </c>
      <c r="B1488" s="2" t="s">
        <v>7574</v>
      </c>
      <c r="C1488" s="2" t="s">
        <v>7661</v>
      </c>
      <c r="D1488" s="2" t="s">
        <v>53</v>
      </c>
      <c r="E1488" s="2" t="s">
        <v>7662</v>
      </c>
      <c r="F1488" s="2" t="s">
        <v>470</v>
      </c>
      <c r="G1488" s="2" t="s">
        <v>237</v>
      </c>
      <c r="H1488" s="2" t="s">
        <v>366</v>
      </c>
      <c r="I1488" s="2" t="s">
        <v>238</v>
      </c>
      <c r="J1488" s="2" t="n">
        <v>-6.176</v>
      </c>
      <c r="K1488" s="2" t="n">
        <v>106.632</v>
      </c>
      <c r="L1488" s="2" t="s">
        <v>59</v>
      </c>
      <c r="M1488" s="2" t="s">
        <v>60</v>
      </c>
      <c r="N1488" s="2"/>
      <c r="O1488" s="2" t="s">
        <v>7663</v>
      </c>
      <c r="P1488" s="2"/>
      <c r="Q1488" s="2" t="s">
        <v>62</v>
      </c>
      <c r="R1488" s="2" t="n">
        <v>0.6</v>
      </c>
      <c r="S1488" s="2" t="s">
        <v>7659</v>
      </c>
      <c r="T1488" s="2" t="s">
        <v>176</v>
      </c>
      <c r="U1488" s="2" t="s">
        <v>7660</v>
      </c>
      <c r="V1488" s="2" t="s">
        <v>745</v>
      </c>
      <c r="W1488" s="2" t="s">
        <v>3435</v>
      </c>
      <c r="X1488" s="2" t="s">
        <v>507</v>
      </c>
    </row>
    <row r="1489" customFormat="false" ht="15" hidden="false" customHeight="false" outlineLevel="0" collapsed="false">
      <c r="A1489" s="2" t="n">
        <v>1772</v>
      </c>
      <c r="B1489" s="2" t="s">
        <v>7664</v>
      </c>
      <c r="C1489" s="2" t="s">
        <v>7665</v>
      </c>
      <c r="D1489" s="2" t="s">
        <v>351</v>
      </c>
      <c r="E1489" s="2" t="s">
        <v>7666</v>
      </c>
      <c r="F1489" s="2"/>
      <c r="G1489" s="2" t="s">
        <v>7667</v>
      </c>
      <c r="H1489" s="2" t="s">
        <v>251</v>
      </c>
      <c r="I1489" s="2" t="s">
        <v>238</v>
      </c>
      <c r="J1489" s="2" t="n">
        <v>-6.345</v>
      </c>
      <c r="K1489" s="2" t="n">
        <v>106.73</v>
      </c>
      <c r="L1489" s="2" t="s">
        <v>84</v>
      </c>
      <c r="M1489" s="2" t="s">
        <v>60</v>
      </c>
      <c r="N1489" s="2"/>
      <c r="O1489" s="2" t="s">
        <v>7668</v>
      </c>
      <c r="P1489" s="2" t="s">
        <v>7669</v>
      </c>
      <c r="Q1489" s="2" t="s">
        <v>110</v>
      </c>
      <c r="R1489" s="2" t="n">
        <v>0.7</v>
      </c>
      <c r="S1489" s="2" t="s">
        <v>7670</v>
      </c>
      <c r="T1489" s="2" t="s">
        <v>3479</v>
      </c>
      <c r="U1489" s="2" t="s">
        <v>7671</v>
      </c>
      <c r="V1489" s="2" t="s">
        <v>4313</v>
      </c>
      <c r="W1489" s="2" t="s">
        <v>512</v>
      </c>
      <c r="X1489" s="2" t="s">
        <v>507</v>
      </c>
    </row>
    <row r="1490" customFormat="false" ht="15" hidden="false" customHeight="false" outlineLevel="0" collapsed="false">
      <c r="A1490" s="2" t="n">
        <v>1774</v>
      </c>
      <c r="B1490" s="2" t="s">
        <v>7664</v>
      </c>
      <c r="C1490" s="2" t="s">
        <v>7665</v>
      </c>
      <c r="D1490" s="2" t="s">
        <v>351</v>
      </c>
      <c r="E1490" s="2" t="s">
        <v>7672</v>
      </c>
      <c r="F1490" s="2"/>
      <c r="G1490" s="2" t="s">
        <v>7667</v>
      </c>
      <c r="H1490" s="2" t="s">
        <v>251</v>
      </c>
      <c r="I1490" s="2" t="s">
        <v>238</v>
      </c>
      <c r="J1490" s="2" t="n">
        <v>-6.345</v>
      </c>
      <c r="K1490" s="2" t="n">
        <v>106.73</v>
      </c>
      <c r="L1490" s="2" t="s">
        <v>84</v>
      </c>
      <c r="M1490" s="2" t="s">
        <v>60</v>
      </c>
      <c r="N1490" s="2"/>
      <c r="O1490" s="2" t="s">
        <v>7673</v>
      </c>
      <c r="P1490" s="2" t="s">
        <v>3565</v>
      </c>
      <c r="Q1490" s="2" t="s">
        <v>110</v>
      </c>
      <c r="R1490" s="2" t="n">
        <v>0.7</v>
      </c>
      <c r="S1490" s="2" t="s">
        <v>7674</v>
      </c>
      <c r="T1490" s="2" t="s">
        <v>3573</v>
      </c>
      <c r="U1490" s="2" t="s">
        <v>7675</v>
      </c>
      <c r="V1490" s="2" t="s">
        <v>745</v>
      </c>
      <c r="W1490" s="2" t="s">
        <v>828</v>
      </c>
      <c r="X1490" s="2" t="s">
        <v>507</v>
      </c>
    </row>
    <row r="1491" customFormat="false" ht="15" hidden="false" customHeight="false" outlineLevel="0" collapsed="false">
      <c r="A1491" s="2" t="n">
        <v>1775</v>
      </c>
      <c r="B1491" s="2" t="s">
        <v>7664</v>
      </c>
      <c r="C1491" s="2" t="s">
        <v>7676</v>
      </c>
      <c r="D1491" s="2" t="s">
        <v>351</v>
      </c>
      <c r="E1491" s="2" t="s">
        <v>7677</v>
      </c>
      <c r="F1491" s="2"/>
      <c r="G1491" s="2" t="s">
        <v>237</v>
      </c>
      <c r="H1491" s="2" t="s">
        <v>366</v>
      </c>
      <c r="I1491" s="2" t="s">
        <v>238</v>
      </c>
      <c r="J1491" s="2" t="n">
        <v>-6.18</v>
      </c>
      <c r="K1491" s="2" t="n">
        <v>106.635</v>
      </c>
      <c r="L1491" s="2" t="s">
        <v>84</v>
      </c>
      <c r="M1491" s="2" t="s">
        <v>60</v>
      </c>
      <c r="N1491" s="2"/>
      <c r="O1491" s="2" t="s">
        <v>7678</v>
      </c>
      <c r="P1491" s="2" t="s">
        <v>2950</v>
      </c>
      <c r="Q1491" s="2" t="s">
        <v>62</v>
      </c>
      <c r="R1491" s="2" t="n">
        <v>0.5</v>
      </c>
      <c r="S1491" s="2" t="s">
        <v>7679</v>
      </c>
      <c r="T1491" s="2" t="s">
        <v>536</v>
      </c>
      <c r="U1491" s="2" t="s">
        <v>7680</v>
      </c>
      <c r="V1491" s="2" t="s">
        <v>745</v>
      </c>
      <c r="W1491" s="2" t="s">
        <v>1810</v>
      </c>
      <c r="X1491" s="2" t="s">
        <v>507</v>
      </c>
    </row>
    <row r="1492" customFormat="false" ht="15" hidden="false" customHeight="false" outlineLevel="0" collapsed="false">
      <c r="A1492" s="2" t="n">
        <v>1776</v>
      </c>
      <c r="B1492" s="2" t="s">
        <v>7664</v>
      </c>
      <c r="C1492" s="2" t="s">
        <v>7681</v>
      </c>
      <c r="D1492" s="2" t="s">
        <v>351</v>
      </c>
      <c r="E1492" s="2" t="s">
        <v>7682</v>
      </c>
      <c r="F1492" s="2"/>
      <c r="G1492" s="2" t="s">
        <v>7683</v>
      </c>
      <c r="H1492" s="2" t="s">
        <v>366</v>
      </c>
      <c r="I1492" s="2" t="s">
        <v>238</v>
      </c>
      <c r="J1492" s="2" t="n">
        <v>-6.145</v>
      </c>
      <c r="K1492" s="2" t="n">
        <v>106.64</v>
      </c>
      <c r="L1492" s="2" t="s">
        <v>84</v>
      </c>
      <c r="M1492" s="2" t="s">
        <v>60</v>
      </c>
      <c r="N1492" s="2"/>
      <c r="O1492" s="2" t="s">
        <v>7684</v>
      </c>
      <c r="P1492" s="2"/>
      <c r="Q1492" s="2" t="s">
        <v>62</v>
      </c>
      <c r="R1492" s="2" t="n">
        <v>0.7</v>
      </c>
      <c r="S1492" s="2" t="s">
        <v>7685</v>
      </c>
      <c r="T1492" s="2" t="s">
        <v>536</v>
      </c>
      <c r="U1492" s="2" t="s">
        <v>7686</v>
      </c>
      <c r="V1492" s="2" t="s">
        <v>5415</v>
      </c>
      <c r="W1492" s="2" t="s">
        <v>421</v>
      </c>
      <c r="X1492" s="2" t="s">
        <v>507</v>
      </c>
    </row>
    <row r="1493" customFormat="false" ht="15" hidden="false" customHeight="false" outlineLevel="0" collapsed="false">
      <c r="A1493" s="2" t="n">
        <v>1790</v>
      </c>
      <c r="B1493" s="2" t="s">
        <v>7664</v>
      </c>
      <c r="C1493" s="2" t="s">
        <v>7687</v>
      </c>
      <c r="D1493" s="2" t="s">
        <v>53</v>
      </c>
      <c r="E1493" s="2" t="s">
        <v>7688</v>
      </c>
      <c r="F1493" s="2" t="s">
        <v>7689</v>
      </c>
      <c r="G1493" s="2" t="s">
        <v>7690</v>
      </c>
      <c r="H1493" s="2" t="s">
        <v>296</v>
      </c>
      <c r="I1493" s="2" t="s">
        <v>58</v>
      </c>
      <c r="J1493" s="2" t="n">
        <v>-6.685</v>
      </c>
      <c r="K1493" s="2" t="n">
        <v>106.785</v>
      </c>
      <c r="L1493" s="2" t="s">
        <v>59</v>
      </c>
      <c r="M1493" s="2" t="s">
        <v>60</v>
      </c>
      <c r="N1493" s="2" t="s">
        <v>7691</v>
      </c>
      <c r="O1493" s="2" t="s">
        <v>7692</v>
      </c>
      <c r="P1493" s="2"/>
      <c r="Q1493" s="2" t="s">
        <v>62</v>
      </c>
      <c r="R1493" s="2" t="n">
        <v>0.75</v>
      </c>
      <c r="S1493" s="2" t="s">
        <v>7693</v>
      </c>
      <c r="T1493" s="2" t="s">
        <v>176</v>
      </c>
      <c r="U1493" s="2" t="s">
        <v>7694</v>
      </c>
      <c r="V1493" s="2" t="s">
        <v>7695</v>
      </c>
      <c r="W1493" s="2" t="s">
        <v>344</v>
      </c>
      <c r="X1493" s="2" t="s">
        <v>507</v>
      </c>
    </row>
    <row r="1494" customFormat="false" ht="15" hidden="false" customHeight="false" outlineLevel="0" collapsed="false">
      <c r="A1494" s="2" t="n">
        <v>1790</v>
      </c>
      <c r="B1494" s="2" t="s">
        <v>7664</v>
      </c>
      <c r="C1494" s="2" t="s">
        <v>7696</v>
      </c>
      <c r="D1494" s="2" t="s">
        <v>53</v>
      </c>
      <c r="E1494" s="2" t="s">
        <v>7697</v>
      </c>
      <c r="F1494" s="2" t="s">
        <v>7698</v>
      </c>
      <c r="G1494" s="2" t="s">
        <v>7699</v>
      </c>
      <c r="H1494" s="2" t="s">
        <v>296</v>
      </c>
      <c r="I1494" s="2" t="s">
        <v>58</v>
      </c>
      <c r="J1494" s="2" t="n">
        <v>-6.708</v>
      </c>
      <c r="K1494" s="2" t="n">
        <v>106.832</v>
      </c>
      <c r="L1494" s="2" t="s">
        <v>84</v>
      </c>
      <c r="M1494" s="2" t="s">
        <v>60</v>
      </c>
      <c r="N1494" s="2"/>
      <c r="O1494" s="2" t="s">
        <v>7700</v>
      </c>
      <c r="P1494" s="2"/>
      <c r="Q1494" s="2" t="s">
        <v>62</v>
      </c>
      <c r="R1494" s="2" t="n">
        <v>0.7</v>
      </c>
      <c r="S1494" s="2" t="s">
        <v>7693</v>
      </c>
      <c r="T1494" s="2" t="s">
        <v>176</v>
      </c>
      <c r="U1494" s="2" t="s">
        <v>7694</v>
      </c>
      <c r="V1494" s="2" t="s">
        <v>7695</v>
      </c>
      <c r="W1494" s="2" t="s">
        <v>344</v>
      </c>
      <c r="X1494" s="2" t="s">
        <v>507</v>
      </c>
    </row>
    <row r="1495" customFormat="false" ht="15" hidden="false" customHeight="false" outlineLevel="0" collapsed="false">
      <c r="A1495" s="2" t="n">
        <v>1790</v>
      </c>
      <c r="B1495" s="2" t="s">
        <v>7664</v>
      </c>
      <c r="C1495" s="2" t="s">
        <v>7701</v>
      </c>
      <c r="D1495" s="2" t="s">
        <v>1140</v>
      </c>
      <c r="E1495" s="2" t="s">
        <v>1141</v>
      </c>
      <c r="F1495" s="2"/>
      <c r="G1495" s="2"/>
      <c r="H1495" s="2"/>
      <c r="I1495" s="2" t="s">
        <v>58</v>
      </c>
      <c r="J1495" s="2" t="n">
        <v>-6.92</v>
      </c>
      <c r="K1495" s="2" t="n">
        <v>107.6</v>
      </c>
      <c r="L1495" s="2" t="s">
        <v>239</v>
      </c>
      <c r="M1495" s="2" t="s">
        <v>60</v>
      </c>
      <c r="N1495" s="2" t="s">
        <v>7702</v>
      </c>
      <c r="O1495" s="2" t="s">
        <v>7703</v>
      </c>
      <c r="P1495" s="2"/>
      <c r="Q1495" s="2" t="s">
        <v>62</v>
      </c>
      <c r="R1495" s="2" t="n">
        <v>0.4</v>
      </c>
      <c r="S1495" s="2" t="s">
        <v>7693</v>
      </c>
      <c r="T1495" s="2" t="s">
        <v>176</v>
      </c>
      <c r="U1495" s="2" t="s">
        <v>7694</v>
      </c>
      <c r="V1495" s="2" t="s">
        <v>7695</v>
      </c>
      <c r="W1495" s="2" t="s">
        <v>344</v>
      </c>
      <c r="X1495" s="2" t="s">
        <v>507</v>
      </c>
    </row>
    <row r="1496" customFormat="false" ht="15" hidden="false" customHeight="false" outlineLevel="0" collapsed="false">
      <c r="A1496" s="2" t="n">
        <v>1791</v>
      </c>
      <c r="B1496" s="2" t="s">
        <v>7664</v>
      </c>
      <c r="C1496" s="2" t="s">
        <v>7704</v>
      </c>
      <c r="D1496" s="2" t="s">
        <v>53</v>
      </c>
      <c r="E1496" s="2" t="s">
        <v>7705</v>
      </c>
      <c r="F1496" s="2" t="s">
        <v>7706</v>
      </c>
      <c r="G1496" s="2" t="s">
        <v>7707</v>
      </c>
      <c r="H1496" s="2" t="s">
        <v>296</v>
      </c>
      <c r="I1496" s="2" t="s">
        <v>58</v>
      </c>
      <c r="J1496" s="2" t="n">
        <v>-6.43</v>
      </c>
      <c r="K1496" s="2" t="n">
        <v>106.92</v>
      </c>
      <c r="L1496" s="2" t="s">
        <v>84</v>
      </c>
      <c r="M1496" s="2" t="s">
        <v>60</v>
      </c>
      <c r="N1496" s="2"/>
      <c r="O1496" s="2" t="s">
        <v>7708</v>
      </c>
      <c r="P1496" s="2"/>
      <c r="Q1496" s="2" t="s">
        <v>62</v>
      </c>
      <c r="R1496" s="2" t="n">
        <v>0.7</v>
      </c>
      <c r="S1496" s="2" t="s">
        <v>7709</v>
      </c>
      <c r="T1496" s="2" t="s">
        <v>418</v>
      </c>
      <c r="U1496" s="2" t="s">
        <v>7710</v>
      </c>
      <c r="V1496" s="2" t="s">
        <v>7695</v>
      </c>
      <c r="W1496" s="2" t="s">
        <v>1574</v>
      </c>
      <c r="X1496" s="2" t="s">
        <v>507</v>
      </c>
    </row>
    <row r="1497" customFormat="false" ht="15" hidden="false" customHeight="false" outlineLevel="0" collapsed="false">
      <c r="A1497" s="2" t="n">
        <v>1791</v>
      </c>
      <c r="B1497" s="2" t="s">
        <v>7664</v>
      </c>
      <c r="C1497" s="2" t="s">
        <v>7711</v>
      </c>
      <c r="D1497" s="2" t="s">
        <v>134</v>
      </c>
      <c r="E1497" s="2" t="s">
        <v>7712</v>
      </c>
      <c r="F1497" s="2" t="s">
        <v>7706</v>
      </c>
      <c r="G1497" s="2" t="s">
        <v>7707</v>
      </c>
      <c r="H1497" s="2" t="s">
        <v>296</v>
      </c>
      <c r="I1497" s="2" t="s">
        <v>58</v>
      </c>
      <c r="J1497" s="2" t="n">
        <v>-6.43</v>
      </c>
      <c r="K1497" s="2" t="n">
        <v>106.92</v>
      </c>
      <c r="L1497" s="2" t="s">
        <v>84</v>
      </c>
      <c r="M1497" s="2" t="s">
        <v>60</v>
      </c>
      <c r="N1497" s="2"/>
      <c r="O1497" s="2" t="s">
        <v>7713</v>
      </c>
      <c r="P1497" s="2"/>
      <c r="Q1497" s="2" t="s">
        <v>62</v>
      </c>
      <c r="R1497" s="2" t="n">
        <v>0.7</v>
      </c>
      <c r="S1497" s="2" t="s">
        <v>7709</v>
      </c>
      <c r="T1497" s="2" t="s">
        <v>418</v>
      </c>
      <c r="U1497" s="2" t="s">
        <v>7710</v>
      </c>
      <c r="V1497" s="2" t="s">
        <v>7695</v>
      </c>
      <c r="W1497" s="2" t="s">
        <v>1574</v>
      </c>
      <c r="X1497" s="2" t="s">
        <v>507</v>
      </c>
    </row>
    <row r="1498" customFormat="false" ht="15" hidden="false" customHeight="false" outlineLevel="0" collapsed="false">
      <c r="A1498" s="2" t="n">
        <v>1793</v>
      </c>
      <c r="B1498" s="2" t="s">
        <v>7664</v>
      </c>
      <c r="C1498" s="2" t="s">
        <v>7714</v>
      </c>
      <c r="D1498" s="2" t="s">
        <v>53</v>
      </c>
      <c r="E1498" s="2" t="s">
        <v>7715</v>
      </c>
      <c r="F1498" s="2"/>
      <c r="G1498" s="2" t="s">
        <v>56</v>
      </c>
      <c r="H1498" s="2" t="s">
        <v>57</v>
      </c>
      <c r="I1498" s="2" t="s">
        <v>58</v>
      </c>
      <c r="J1498" s="2" t="n">
        <v>-6.595</v>
      </c>
      <c r="K1498" s="2" t="n">
        <v>106.798</v>
      </c>
      <c r="L1498" s="2" t="s">
        <v>84</v>
      </c>
      <c r="M1498" s="2" t="s">
        <v>60</v>
      </c>
      <c r="N1498" s="2"/>
      <c r="O1498" s="2" t="s">
        <v>7716</v>
      </c>
      <c r="P1498" s="2"/>
      <c r="Q1498" s="2" t="s">
        <v>62</v>
      </c>
      <c r="R1498" s="2" t="n">
        <v>0.8</v>
      </c>
      <c r="S1498" s="2" t="s">
        <v>7717</v>
      </c>
      <c r="T1498" s="2" t="s">
        <v>1144</v>
      </c>
      <c r="U1498" s="2" t="s">
        <v>7718</v>
      </c>
      <c r="V1498" s="2" t="s">
        <v>97</v>
      </c>
      <c r="W1498" s="2" t="s">
        <v>3023</v>
      </c>
      <c r="X1498" s="2" t="s">
        <v>507</v>
      </c>
    </row>
    <row r="1499" customFormat="false" ht="15" hidden="false" customHeight="false" outlineLevel="0" collapsed="false">
      <c r="A1499" s="2" t="n">
        <v>1793</v>
      </c>
      <c r="B1499" s="2" t="s">
        <v>7664</v>
      </c>
      <c r="C1499" s="2" t="s">
        <v>7719</v>
      </c>
      <c r="D1499" s="2" t="s">
        <v>53</v>
      </c>
      <c r="E1499" s="2" t="s">
        <v>7720</v>
      </c>
      <c r="F1499" s="2" t="s">
        <v>7721</v>
      </c>
      <c r="G1499" s="2" t="s">
        <v>56</v>
      </c>
      <c r="H1499" s="2" t="s">
        <v>57</v>
      </c>
      <c r="I1499" s="2" t="s">
        <v>58</v>
      </c>
      <c r="J1499" s="2" t="n">
        <v>-6.595</v>
      </c>
      <c r="K1499" s="2" t="n">
        <v>106.798</v>
      </c>
      <c r="L1499" s="2" t="s">
        <v>84</v>
      </c>
      <c r="M1499" s="2" t="s">
        <v>60</v>
      </c>
      <c r="N1499" s="2"/>
      <c r="O1499" s="2" t="s">
        <v>7722</v>
      </c>
      <c r="P1499" s="2"/>
      <c r="Q1499" s="2" t="s">
        <v>62</v>
      </c>
      <c r="R1499" s="2" t="n">
        <v>0.8</v>
      </c>
      <c r="S1499" s="2" t="s">
        <v>7717</v>
      </c>
      <c r="T1499" s="2" t="s">
        <v>1144</v>
      </c>
      <c r="U1499" s="2" t="s">
        <v>7718</v>
      </c>
      <c r="V1499" s="2" t="s">
        <v>97</v>
      </c>
      <c r="W1499" s="2" t="s">
        <v>3023</v>
      </c>
      <c r="X1499" s="2" t="s">
        <v>507</v>
      </c>
    </row>
    <row r="1500" customFormat="false" ht="15" hidden="false" customHeight="false" outlineLevel="0" collapsed="false">
      <c r="A1500" s="2" t="n">
        <v>1793</v>
      </c>
      <c r="B1500" s="2" t="s">
        <v>7664</v>
      </c>
      <c r="C1500" s="2" t="s">
        <v>7723</v>
      </c>
      <c r="D1500" s="2" t="s">
        <v>53</v>
      </c>
      <c r="E1500" s="2" t="s">
        <v>7724</v>
      </c>
      <c r="F1500" s="2"/>
      <c r="G1500" s="2"/>
      <c r="H1500" s="2" t="s">
        <v>57</v>
      </c>
      <c r="I1500" s="2" t="s">
        <v>58</v>
      </c>
      <c r="J1500" s="2" t="n">
        <v>-6.597</v>
      </c>
      <c r="K1500" s="2" t="n">
        <v>106.806</v>
      </c>
      <c r="L1500" s="2" t="s">
        <v>101</v>
      </c>
      <c r="M1500" s="2" t="s">
        <v>60</v>
      </c>
      <c r="N1500" s="2"/>
      <c r="O1500" s="2" t="s">
        <v>7725</v>
      </c>
      <c r="P1500" s="2"/>
      <c r="Q1500" s="2" t="s">
        <v>62</v>
      </c>
      <c r="R1500" s="2" t="n">
        <v>0.75</v>
      </c>
      <c r="S1500" s="2" t="s">
        <v>7717</v>
      </c>
      <c r="T1500" s="2" t="s">
        <v>1144</v>
      </c>
      <c r="U1500" s="2" t="s">
        <v>7718</v>
      </c>
      <c r="V1500" s="2" t="s">
        <v>97</v>
      </c>
      <c r="W1500" s="2" t="s">
        <v>3023</v>
      </c>
      <c r="X1500" s="2" t="s">
        <v>507</v>
      </c>
    </row>
    <row r="1501" customFormat="false" ht="15" hidden="false" customHeight="false" outlineLevel="0" collapsed="false">
      <c r="A1501" s="2" t="n">
        <v>1794</v>
      </c>
      <c r="B1501" s="2" t="s">
        <v>7664</v>
      </c>
      <c r="C1501" s="2" t="s">
        <v>7726</v>
      </c>
      <c r="D1501" s="2" t="s">
        <v>53</v>
      </c>
      <c r="E1501" s="2" t="s">
        <v>7727</v>
      </c>
      <c r="F1501" s="2" t="s">
        <v>7728</v>
      </c>
      <c r="G1501" s="2" t="s">
        <v>7729</v>
      </c>
      <c r="H1501" s="2" t="s">
        <v>57</v>
      </c>
      <c r="I1501" s="2" t="s">
        <v>58</v>
      </c>
      <c r="J1501" s="2" t="n">
        <v>-6.555</v>
      </c>
      <c r="K1501" s="2" t="n">
        <v>106.79</v>
      </c>
      <c r="L1501" s="2" t="s">
        <v>84</v>
      </c>
      <c r="M1501" s="2" t="s">
        <v>60</v>
      </c>
      <c r="N1501" s="2"/>
      <c r="O1501" s="2" t="s">
        <v>7730</v>
      </c>
      <c r="P1501" s="2" t="s">
        <v>7731</v>
      </c>
      <c r="Q1501" s="2" t="s">
        <v>62</v>
      </c>
      <c r="R1501" s="2" t="n">
        <v>0.75</v>
      </c>
      <c r="S1501" s="2" t="s">
        <v>7732</v>
      </c>
      <c r="T1501" s="2" t="s">
        <v>7733</v>
      </c>
      <c r="U1501" s="2" t="s">
        <v>7734</v>
      </c>
      <c r="V1501" s="2" t="s">
        <v>582</v>
      </c>
      <c r="W1501" s="2" t="s">
        <v>768</v>
      </c>
      <c r="X1501" s="2" t="s">
        <v>507</v>
      </c>
    </row>
    <row r="1502" customFormat="false" ht="15" hidden="false" customHeight="false" outlineLevel="0" collapsed="false">
      <c r="A1502" s="2" t="n">
        <v>1795</v>
      </c>
      <c r="B1502" s="2" t="s">
        <v>7664</v>
      </c>
      <c r="C1502" s="2" t="s">
        <v>7735</v>
      </c>
      <c r="D1502" s="2" t="s">
        <v>53</v>
      </c>
      <c r="E1502" s="2" t="s">
        <v>7736</v>
      </c>
      <c r="F1502" s="2" t="s">
        <v>7737</v>
      </c>
      <c r="G1502" s="2" t="s">
        <v>7738</v>
      </c>
      <c r="H1502" s="2" t="s">
        <v>57</v>
      </c>
      <c r="I1502" s="2" t="s">
        <v>58</v>
      </c>
      <c r="J1502" s="2" t="n">
        <v>-6.615</v>
      </c>
      <c r="K1502" s="2" t="n">
        <v>106.825</v>
      </c>
      <c r="L1502" s="2" t="s">
        <v>84</v>
      </c>
      <c r="M1502" s="2" t="s">
        <v>60</v>
      </c>
      <c r="N1502" s="2"/>
      <c r="O1502" s="2" t="s">
        <v>7739</v>
      </c>
      <c r="P1502" s="2" t="s">
        <v>692</v>
      </c>
      <c r="Q1502" s="2" t="s">
        <v>62</v>
      </c>
      <c r="R1502" s="2" t="n">
        <v>0.7</v>
      </c>
      <c r="S1502" s="2" t="s">
        <v>7740</v>
      </c>
      <c r="T1502" s="2" t="s">
        <v>112</v>
      </c>
      <c r="U1502" s="2" t="s">
        <v>7741</v>
      </c>
      <c r="V1502" s="2" t="s">
        <v>97</v>
      </c>
      <c r="W1502" s="2" t="s">
        <v>3506</v>
      </c>
      <c r="X1502" s="2" t="s">
        <v>160</v>
      </c>
    </row>
    <row r="1503" customFormat="false" ht="15" hidden="false" customHeight="false" outlineLevel="0" collapsed="false">
      <c r="A1503" s="2" t="n">
        <v>1795</v>
      </c>
      <c r="B1503" s="2" t="s">
        <v>7664</v>
      </c>
      <c r="C1503" s="2" t="s">
        <v>7742</v>
      </c>
      <c r="D1503" s="2" t="s">
        <v>134</v>
      </c>
      <c r="E1503" s="2" t="s">
        <v>7743</v>
      </c>
      <c r="F1503" s="2" t="s">
        <v>7728</v>
      </c>
      <c r="G1503" s="2" t="s">
        <v>7729</v>
      </c>
      <c r="H1503" s="2" t="s">
        <v>57</v>
      </c>
      <c r="I1503" s="2" t="s">
        <v>58</v>
      </c>
      <c r="J1503" s="2" t="n">
        <v>-6.555</v>
      </c>
      <c r="K1503" s="2" t="n">
        <v>106.79</v>
      </c>
      <c r="L1503" s="2" t="s">
        <v>84</v>
      </c>
      <c r="M1503" s="2" t="s">
        <v>60</v>
      </c>
      <c r="N1503" s="2"/>
      <c r="O1503" s="2" t="s">
        <v>7744</v>
      </c>
      <c r="P1503" s="2" t="s">
        <v>692</v>
      </c>
      <c r="Q1503" s="2" t="s">
        <v>62</v>
      </c>
      <c r="R1503" s="2" t="n">
        <v>0.7</v>
      </c>
      <c r="S1503" s="2" t="s">
        <v>7740</v>
      </c>
      <c r="T1503" s="2" t="s">
        <v>112</v>
      </c>
      <c r="U1503" s="2" t="s">
        <v>7741</v>
      </c>
      <c r="V1503" s="2" t="s">
        <v>97</v>
      </c>
      <c r="W1503" s="2" t="s">
        <v>3506</v>
      </c>
      <c r="X1503" s="2" t="s">
        <v>160</v>
      </c>
    </row>
    <row r="1504" customFormat="false" ht="15" hidden="false" customHeight="false" outlineLevel="0" collapsed="false">
      <c r="A1504" s="2" t="n">
        <v>1795</v>
      </c>
      <c r="B1504" s="2" t="s">
        <v>7664</v>
      </c>
      <c r="C1504" s="2" t="s">
        <v>7745</v>
      </c>
      <c r="D1504" s="2" t="s">
        <v>53</v>
      </c>
      <c r="E1504" s="2" t="s">
        <v>57</v>
      </c>
      <c r="F1504" s="2"/>
      <c r="G1504" s="2"/>
      <c r="H1504" s="2" t="s">
        <v>57</v>
      </c>
      <c r="I1504" s="2" t="s">
        <v>58</v>
      </c>
      <c r="J1504" s="2" t="n">
        <v>-6.597</v>
      </c>
      <c r="K1504" s="2" t="n">
        <v>106.806</v>
      </c>
      <c r="L1504" s="2" t="s">
        <v>101</v>
      </c>
      <c r="M1504" s="2" t="s">
        <v>60</v>
      </c>
      <c r="N1504" s="2"/>
      <c r="O1504" s="2" t="s">
        <v>7746</v>
      </c>
      <c r="P1504" s="2" t="s">
        <v>692</v>
      </c>
      <c r="Q1504" s="2" t="s">
        <v>62</v>
      </c>
      <c r="R1504" s="2" t="n">
        <v>0.6</v>
      </c>
      <c r="S1504" s="2" t="s">
        <v>7740</v>
      </c>
      <c r="T1504" s="2" t="s">
        <v>112</v>
      </c>
      <c r="U1504" s="2" t="s">
        <v>7741</v>
      </c>
      <c r="V1504" s="2" t="s">
        <v>97</v>
      </c>
      <c r="W1504" s="2" t="s">
        <v>3506</v>
      </c>
      <c r="X1504" s="2" t="s">
        <v>160</v>
      </c>
    </row>
    <row r="1505" customFormat="false" ht="15" hidden="false" customHeight="false" outlineLevel="0" collapsed="false">
      <c r="A1505" s="2" t="n">
        <v>1796</v>
      </c>
      <c r="B1505" s="2" t="s">
        <v>7664</v>
      </c>
      <c r="C1505" s="2" t="s">
        <v>7747</v>
      </c>
      <c r="D1505" s="2" t="s">
        <v>53</v>
      </c>
      <c r="E1505" s="2" t="s">
        <v>7748</v>
      </c>
      <c r="F1505" s="2"/>
      <c r="G1505" s="2" t="s">
        <v>7749</v>
      </c>
      <c r="H1505" s="2" t="s">
        <v>57</v>
      </c>
      <c r="I1505" s="2" t="s">
        <v>58</v>
      </c>
      <c r="J1505" s="2" t="n">
        <v>-6.575</v>
      </c>
      <c r="K1505" s="2" t="n">
        <v>106.77</v>
      </c>
      <c r="L1505" s="2" t="s">
        <v>84</v>
      </c>
      <c r="M1505" s="2" t="s">
        <v>60</v>
      </c>
      <c r="N1505" s="2"/>
      <c r="O1505" s="2" t="s">
        <v>7750</v>
      </c>
      <c r="P1505" s="2"/>
      <c r="Q1505" s="2" t="s">
        <v>62</v>
      </c>
      <c r="R1505" s="2" t="n">
        <v>0.75</v>
      </c>
      <c r="S1505" s="2" t="s">
        <v>7751</v>
      </c>
      <c r="T1505" s="2" t="s">
        <v>64</v>
      </c>
      <c r="U1505" s="2" t="s">
        <v>7752</v>
      </c>
      <c r="V1505" s="2" t="s">
        <v>582</v>
      </c>
      <c r="W1505" s="2" t="s">
        <v>1045</v>
      </c>
      <c r="X1505" s="2" t="s">
        <v>507</v>
      </c>
    </row>
    <row r="1506" customFormat="false" ht="15" hidden="false" customHeight="false" outlineLevel="0" collapsed="false">
      <c r="A1506" s="2" t="n">
        <v>1796</v>
      </c>
      <c r="B1506" s="2" t="s">
        <v>7664</v>
      </c>
      <c r="C1506" s="2" t="s">
        <v>7753</v>
      </c>
      <c r="D1506" s="2" t="s">
        <v>53</v>
      </c>
      <c r="E1506" s="2" t="s">
        <v>7754</v>
      </c>
      <c r="F1506" s="2" t="s">
        <v>470</v>
      </c>
      <c r="G1506" s="2" t="s">
        <v>7738</v>
      </c>
      <c r="H1506" s="2" t="s">
        <v>57</v>
      </c>
      <c r="I1506" s="2" t="s">
        <v>58</v>
      </c>
      <c r="J1506" s="2" t="n">
        <v>-6.615</v>
      </c>
      <c r="K1506" s="2" t="n">
        <v>106.825</v>
      </c>
      <c r="L1506" s="2" t="s">
        <v>84</v>
      </c>
      <c r="M1506" s="2" t="s">
        <v>60</v>
      </c>
      <c r="N1506" s="2"/>
      <c r="O1506" s="2" t="s">
        <v>7755</v>
      </c>
      <c r="P1506" s="2"/>
      <c r="Q1506" s="2" t="s">
        <v>62</v>
      </c>
      <c r="R1506" s="2" t="n">
        <v>0.75</v>
      </c>
      <c r="S1506" s="2" t="s">
        <v>7751</v>
      </c>
      <c r="T1506" s="2" t="s">
        <v>64</v>
      </c>
      <c r="U1506" s="2" t="s">
        <v>7752</v>
      </c>
      <c r="V1506" s="2" t="s">
        <v>582</v>
      </c>
      <c r="W1506" s="2" t="s">
        <v>1045</v>
      </c>
      <c r="X1506" s="2" t="s">
        <v>507</v>
      </c>
    </row>
    <row r="1507" customFormat="false" ht="15" hidden="false" customHeight="false" outlineLevel="0" collapsed="false">
      <c r="A1507" s="2" t="n">
        <v>1796</v>
      </c>
      <c r="B1507" s="2" t="s">
        <v>7664</v>
      </c>
      <c r="C1507" s="2" t="s">
        <v>7756</v>
      </c>
      <c r="D1507" s="2" t="s">
        <v>53</v>
      </c>
      <c r="E1507" s="2" t="s">
        <v>1141</v>
      </c>
      <c r="F1507" s="2"/>
      <c r="G1507" s="2"/>
      <c r="H1507" s="2"/>
      <c r="I1507" s="2" t="s">
        <v>58</v>
      </c>
      <c r="J1507" s="2" t="n">
        <v>-6.92</v>
      </c>
      <c r="K1507" s="2" t="n">
        <v>107.6</v>
      </c>
      <c r="L1507" s="2" t="s">
        <v>239</v>
      </c>
      <c r="M1507" s="2" t="s">
        <v>60</v>
      </c>
      <c r="N1507" s="2" t="s">
        <v>7702</v>
      </c>
      <c r="O1507" s="2" t="s">
        <v>7757</v>
      </c>
      <c r="P1507" s="2"/>
      <c r="Q1507" s="2" t="s">
        <v>62</v>
      </c>
      <c r="R1507" s="2" t="n">
        <v>0.6</v>
      </c>
      <c r="S1507" s="2" t="s">
        <v>7751</v>
      </c>
      <c r="T1507" s="2" t="s">
        <v>64</v>
      </c>
      <c r="U1507" s="2" t="s">
        <v>7752</v>
      </c>
      <c r="V1507" s="2" t="s">
        <v>582</v>
      </c>
      <c r="W1507" s="2" t="s">
        <v>1045</v>
      </c>
      <c r="X1507" s="2" t="s">
        <v>507</v>
      </c>
    </row>
    <row r="1508" customFormat="false" ht="15" hidden="false" customHeight="false" outlineLevel="0" collapsed="false">
      <c r="A1508" s="2" t="n">
        <v>1797</v>
      </c>
      <c r="B1508" s="2" t="s">
        <v>7664</v>
      </c>
      <c r="C1508" s="2" t="s">
        <v>7758</v>
      </c>
      <c r="D1508" s="2" t="s">
        <v>53</v>
      </c>
      <c r="E1508" s="2" t="s">
        <v>57</v>
      </c>
      <c r="F1508" s="2" t="s">
        <v>7759</v>
      </c>
      <c r="G1508" s="2" t="s">
        <v>56</v>
      </c>
      <c r="H1508" s="2" t="s">
        <v>57</v>
      </c>
      <c r="I1508" s="2" t="s">
        <v>58</v>
      </c>
      <c r="J1508" s="2" t="n">
        <v>-6.595</v>
      </c>
      <c r="K1508" s="2" t="n">
        <v>106.798</v>
      </c>
      <c r="L1508" s="2" t="s">
        <v>84</v>
      </c>
      <c r="M1508" s="2" t="s">
        <v>60</v>
      </c>
      <c r="N1508" s="2"/>
      <c r="O1508" s="2" t="s">
        <v>7760</v>
      </c>
      <c r="P1508" s="2"/>
      <c r="Q1508" s="2" t="s">
        <v>62</v>
      </c>
      <c r="R1508" s="2" t="n">
        <v>0.7</v>
      </c>
      <c r="S1508" s="2" t="s">
        <v>7761</v>
      </c>
      <c r="T1508" s="2" t="s">
        <v>176</v>
      </c>
      <c r="U1508" s="2" t="s">
        <v>7762</v>
      </c>
      <c r="V1508" s="2" t="s">
        <v>420</v>
      </c>
      <c r="W1508" s="2" t="s">
        <v>271</v>
      </c>
      <c r="X1508" s="2" t="s">
        <v>507</v>
      </c>
    </row>
    <row r="1509" customFormat="false" ht="15" hidden="false" customHeight="false" outlineLevel="0" collapsed="false">
      <c r="A1509" s="2" t="n">
        <v>1797</v>
      </c>
      <c r="B1509" s="2" t="s">
        <v>7664</v>
      </c>
      <c r="C1509" s="2" t="s">
        <v>7763</v>
      </c>
      <c r="D1509" s="2" t="s">
        <v>53</v>
      </c>
      <c r="E1509" s="2" t="s">
        <v>7764</v>
      </c>
      <c r="F1509" s="2"/>
      <c r="G1509" s="2" t="s">
        <v>56</v>
      </c>
      <c r="H1509" s="2" t="s">
        <v>57</v>
      </c>
      <c r="I1509" s="2" t="s">
        <v>58</v>
      </c>
      <c r="J1509" s="2" t="n">
        <v>-6.595</v>
      </c>
      <c r="K1509" s="2" t="n">
        <v>106.798</v>
      </c>
      <c r="L1509" s="2" t="s">
        <v>84</v>
      </c>
      <c r="M1509" s="2" t="s">
        <v>60</v>
      </c>
      <c r="N1509" s="2"/>
      <c r="O1509" s="2" t="s">
        <v>7765</v>
      </c>
      <c r="P1509" s="2"/>
      <c r="Q1509" s="2" t="s">
        <v>62</v>
      </c>
      <c r="R1509" s="2" t="n">
        <v>0.7</v>
      </c>
      <c r="S1509" s="2" t="s">
        <v>7761</v>
      </c>
      <c r="T1509" s="2" t="s">
        <v>176</v>
      </c>
      <c r="U1509" s="2" t="s">
        <v>7762</v>
      </c>
      <c r="V1509" s="2" t="s">
        <v>420</v>
      </c>
      <c r="W1509" s="2" t="s">
        <v>271</v>
      </c>
      <c r="X1509" s="2" t="s">
        <v>507</v>
      </c>
    </row>
    <row r="1510" customFormat="false" ht="15" hidden="false" customHeight="false" outlineLevel="0" collapsed="false">
      <c r="A1510" s="2" t="n">
        <v>1797</v>
      </c>
      <c r="B1510" s="2" t="s">
        <v>7664</v>
      </c>
      <c r="C1510" s="2" t="s">
        <v>7766</v>
      </c>
      <c r="D1510" s="2" t="s">
        <v>134</v>
      </c>
      <c r="E1510" s="2" t="s">
        <v>57</v>
      </c>
      <c r="F1510" s="2"/>
      <c r="G1510" s="2"/>
      <c r="H1510" s="2" t="s">
        <v>57</v>
      </c>
      <c r="I1510" s="2" t="s">
        <v>58</v>
      </c>
      <c r="J1510" s="2" t="n">
        <v>-6.597</v>
      </c>
      <c r="K1510" s="2" t="n">
        <v>106.806</v>
      </c>
      <c r="L1510" s="2" t="s">
        <v>101</v>
      </c>
      <c r="M1510" s="2" t="s">
        <v>60</v>
      </c>
      <c r="N1510" s="2"/>
      <c r="O1510" s="2" t="s">
        <v>7767</v>
      </c>
      <c r="P1510" s="2"/>
      <c r="Q1510" s="2" t="s">
        <v>62</v>
      </c>
      <c r="R1510" s="2" t="n">
        <v>0.65</v>
      </c>
      <c r="S1510" s="2" t="s">
        <v>7761</v>
      </c>
      <c r="T1510" s="2" t="s">
        <v>176</v>
      </c>
      <c r="U1510" s="2" t="s">
        <v>7762</v>
      </c>
      <c r="V1510" s="2" t="s">
        <v>420</v>
      </c>
      <c r="W1510" s="2" t="s">
        <v>271</v>
      </c>
      <c r="X1510" s="2" t="s">
        <v>507</v>
      </c>
    </row>
    <row r="1511" customFormat="false" ht="15" hidden="false" customHeight="false" outlineLevel="0" collapsed="false">
      <c r="A1511" s="2" t="n">
        <v>1797</v>
      </c>
      <c r="B1511" s="2" t="s">
        <v>7664</v>
      </c>
      <c r="C1511" s="2" t="s">
        <v>7768</v>
      </c>
      <c r="D1511" s="2" t="s">
        <v>134</v>
      </c>
      <c r="E1511" s="2" t="s">
        <v>57</v>
      </c>
      <c r="F1511" s="2"/>
      <c r="G1511" s="2"/>
      <c r="H1511" s="2" t="s">
        <v>57</v>
      </c>
      <c r="I1511" s="2" t="s">
        <v>58</v>
      </c>
      <c r="J1511" s="2" t="n">
        <v>-6.597</v>
      </c>
      <c r="K1511" s="2" t="n">
        <v>106.806</v>
      </c>
      <c r="L1511" s="2" t="s">
        <v>101</v>
      </c>
      <c r="M1511" s="2" t="s">
        <v>60</v>
      </c>
      <c r="N1511" s="2"/>
      <c r="O1511" s="2" t="s">
        <v>7769</v>
      </c>
      <c r="P1511" s="2"/>
      <c r="Q1511" s="2" t="s">
        <v>62</v>
      </c>
      <c r="R1511" s="2" t="n">
        <v>0.6</v>
      </c>
      <c r="S1511" s="2" t="s">
        <v>7761</v>
      </c>
      <c r="T1511" s="2" t="s">
        <v>176</v>
      </c>
      <c r="U1511" s="2" t="s">
        <v>7762</v>
      </c>
      <c r="V1511" s="2" t="s">
        <v>420</v>
      </c>
      <c r="W1511" s="2" t="s">
        <v>271</v>
      </c>
      <c r="X1511" s="2" t="s">
        <v>507</v>
      </c>
    </row>
    <row r="1512" customFormat="false" ht="15" hidden="false" customHeight="false" outlineLevel="0" collapsed="false">
      <c r="A1512" s="2" t="n">
        <v>1797</v>
      </c>
      <c r="B1512" s="2" t="s">
        <v>7664</v>
      </c>
      <c r="C1512" s="2" t="s">
        <v>7770</v>
      </c>
      <c r="D1512" s="2" t="s">
        <v>53</v>
      </c>
      <c r="E1512" s="2" t="s">
        <v>57</v>
      </c>
      <c r="F1512" s="2"/>
      <c r="G1512" s="2"/>
      <c r="H1512" s="2" t="s">
        <v>57</v>
      </c>
      <c r="I1512" s="2" t="s">
        <v>58</v>
      </c>
      <c r="J1512" s="2" t="n">
        <v>-6.597</v>
      </c>
      <c r="K1512" s="2" t="n">
        <v>106.806</v>
      </c>
      <c r="L1512" s="2" t="s">
        <v>101</v>
      </c>
      <c r="M1512" s="2" t="s">
        <v>60</v>
      </c>
      <c r="N1512" s="2"/>
      <c r="O1512" s="2" t="s">
        <v>7771</v>
      </c>
      <c r="P1512" s="2"/>
      <c r="Q1512" s="2" t="s">
        <v>62</v>
      </c>
      <c r="R1512" s="2" t="n">
        <v>0.7</v>
      </c>
      <c r="S1512" s="2" t="s">
        <v>7761</v>
      </c>
      <c r="T1512" s="2" t="s">
        <v>176</v>
      </c>
      <c r="U1512" s="2" t="s">
        <v>7762</v>
      </c>
      <c r="V1512" s="2" t="s">
        <v>420</v>
      </c>
      <c r="W1512" s="2" t="s">
        <v>271</v>
      </c>
      <c r="X1512" s="2" t="s">
        <v>507</v>
      </c>
    </row>
    <row r="1513" customFormat="false" ht="15" hidden="false" customHeight="false" outlineLevel="0" collapsed="false">
      <c r="A1513" s="2" t="n">
        <v>1798</v>
      </c>
      <c r="B1513" s="2" t="s">
        <v>7664</v>
      </c>
      <c r="C1513" s="2" t="s">
        <v>7772</v>
      </c>
      <c r="D1513" s="2" t="s">
        <v>53</v>
      </c>
      <c r="E1513" s="2" t="s">
        <v>7773</v>
      </c>
      <c r="F1513" s="2" t="s">
        <v>1438</v>
      </c>
      <c r="G1513" s="2" t="s">
        <v>1439</v>
      </c>
      <c r="H1513" s="2" t="s">
        <v>57</v>
      </c>
      <c r="I1513" s="2" t="s">
        <v>58</v>
      </c>
      <c r="J1513" s="2" t="n">
        <v>-6.575</v>
      </c>
      <c r="K1513" s="2" t="n">
        <v>106.815</v>
      </c>
      <c r="L1513" s="2" t="s">
        <v>84</v>
      </c>
      <c r="M1513" s="2" t="s">
        <v>60</v>
      </c>
      <c r="N1513" s="2"/>
      <c r="O1513" s="2" t="s">
        <v>7774</v>
      </c>
      <c r="P1513" s="2"/>
      <c r="Q1513" s="2" t="s">
        <v>62</v>
      </c>
      <c r="R1513" s="2" t="n">
        <v>0.7</v>
      </c>
      <c r="S1513" s="2" t="s">
        <v>7775</v>
      </c>
      <c r="T1513" s="2" t="s">
        <v>112</v>
      </c>
      <c r="U1513" s="2" t="s">
        <v>7776</v>
      </c>
      <c r="V1513" s="2" t="s">
        <v>7777</v>
      </c>
      <c r="W1513" s="2" t="s">
        <v>421</v>
      </c>
      <c r="X1513" s="2" t="s">
        <v>507</v>
      </c>
    </row>
    <row r="1514" customFormat="false" ht="15" hidden="false" customHeight="false" outlineLevel="0" collapsed="false">
      <c r="A1514" s="2" t="n">
        <v>1798</v>
      </c>
      <c r="B1514" s="2" t="s">
        <v>7664</v>
      </c>
      <c r="C1514" s="2" t="s">
        <v>7778</v>
      </c>
      <c r="D1514" s="2" t="s">
        <v>53</v>
      </c>
      <c r="E1514" s="2" t="s">
        <v>7779</v>
      </c>
      <c r="F1514" s="2"/>
      <c r="G1514" s="2"/>
      <c r="H1514" s="2" t="s">
        <v>57</v>
      </c>
      <c r="I1514" s="2" t="s">
        <v>58</v>
      </c>
      <c r="J1514" s="2" t="n">
        <v>-6.597</v>
      </c>
      <c r="K1514" s="2" t="n">
        <v>106.806</v>
      </c>
      <c r="L1514" s="2" t="s">
        <v>101</v>
      </c>
      <c r="M1514" s="2" t="s">
        <v>60</v>
      </c>
      <c r="N1514" s="2"/>
      <c r="O1514" s="2" t="s">
        <v>7780</v>
      </c>
      <c r="P1514" s="2"/>
      <c r="Q1514" s="2" t="s">
        <v>62</v>
      </c>
      <c r="R1514" s="2" t="n">
        <v>0.7</v>
      </c>
      <c r="S1514" s="2" t="s">
        <v>7775</v>
      </c>
      <c r="T1514" s="2" t="s">
        <v>112</v>
      </c>
      <c r="U1514" s="2" t="s">
        <v>7776</v>
      </c>
      <c r="V1514" s="2" t="s">
        <v>7777</v>
      </c>
      <c r="W1514" s="2" t="s">
        <v>421</v>
      </c>
      <c r="X1514" s="2" t="s">
        <v>507</v>
      </c>
    </row>
    <row r="1515" customFormat="false" ht="15" hidden="false" customHeight="false" outlineLevel="0" collapsed="false">
      <c r="A1515" s="2" t="n">
        <v>1799</v>
      </c>
      <c r="B1515" s="2" t="s">
        <v>7664</v>
      </c>
      <c r="C1515" s="2" t="s">
        <v>307</v>
      </c>
      <c r="D1515" s="2" t="s">
        <v>53</v>
      </c>
      <c r="E1515" s="2" t="s">
        <v>7781</v>
      </c>
      <c r="F1515" s="2"/>
      <c r="G1515" s="2" t="s">
        <v>7738</v>
      </c>
      <c r="H1515" s="2" t="s">
        <v>57</v>
      </c>
      <c r="I1515" s="2" t="s">
        <v>58</v>
      </c>
      <c r="J1515" s="2" t="n">
        <v>-6.615</v>
      </c>
      <c r="K1515" s="2" t="n">
        <v>106.825</v>
      </c>
      <c r="L1515" s="2" t="s">
        <v>84</v>
      </c>
      <c r="M1515" s="2" t="s">
        <v>60</v>
      </c>
      <c r="N1515" s="2"/>
      <c r="O1515" s="2" t="s">
        <v>7782</v>
      </c>
      <c r="P1515" s="2"/>
      <c r="Q1515" s="2" t="s">
        <v>62</v>
      </c>
      <c r="R1515" s="2" t="n">
        <v>0.75</v>
      </c>
      <c r="S1515" s="2" t="s">
        <v>7783</v>
      </c>
      <c r="T1515" s="2" t="s">
        <v>112</v>
      </c>
      <c r="U1515" s="2" t="s">
        <v>7784</v>
      </c>
      <c r="V1515" s="2" t="s">
        <v>2345</v>
      </c>
      <c r="W1515" s="2" t="s">
        <v>370</v>
      </c>
      <c r="X1515" s="2" t="s">
        <v>507</v>
      </c>
    </row>
    <row r="1516" customFormat="false" ht="15" hidden="false" customHeight="false" outlineLevel="0" collapsed="false">
      <c r="A1516" s="2" t="n">
        <v>1799</v>
      </c>
      <c r="B1516" s="2" t="s">
        <v>7664</v>
      </c>
      <c r="C1516" s="2" t="s">
        <v>7785</v>
      </c>
      <c r="D1516" s="2" t="s">
        <v>53</v>
      </c>
      <c r="E1516" s="2" t="s">
        <v>7786</v>
      </c>
      <c r="F1516" s="2"/>
      <c r="G1516" s="2" t="s">
        <v>7729</v>
      </c>
      <c r="H1516" s="2" t="s">
        <v>57</v>
      </c>
      <c r="I1516" s="2" t="s">
        <v>58</v>
      </c>
      <c r="J1516" s="2" t="n">
        <v>-6.555</v>
      </c>
      <c r="K1516" s="2" t="n">
        <v>106.79</v>
      </c>
      <c r="L1516" s="2" t="s">
        <v>84</v>
      </c>
      <c r="M1516" s="2" t="s">
        <v>60</v>
      </c>
      <c r="N1516" s="2"/>
      <c r="O1516" s="2" t="s">
        <v>7787</v>
      </c>
      <c r="P1516" s="2"/>
      <c r="Q1516" s="2" t="s">
        <v>62</v>
      </c>
      <c r="R1516" s="2" t="n">
        <v>0.7</v>
      </c>
      <c r="S1516" s="2" t="s">
        <v>7783</v>
      </c>
      <c r="T1516" s="2" t="s">
        <v>112</v>
      </c>
      <c r="U1516" s="2" t="s">
        <v>7784</v>
      </c>
      <c r="V1516" s="2" t="s">
        <v>2345</v>
      </c>
      <c r="W1516" s="2" t="s">
        <v>370</v>
      </c>
      <c r="X1516" s="2" t="s">
        <v>507</v>
      </c>
    </row>
    <row r="1517" customFormat="false" ht="15" hidden="false" customHeight="false" outlineLevel="0" collapsed="false">
      <c r="A1517" s="2" t="n">
        <v>1800</v>
      </c>
      <c r="B1517" s="2" t="s">
        <v>7788</v>
      </c>
      <c r="C1517" s="2" t="s">
        <v>7789</v>
      </c>
      <c r="D1517" s="2" t="s">
        <v>53</v>
      </c>
      <c r="E1517" s="2" t="s">
        <v>7790</v>
      </c>
      <c r="F1517" s="2"/>
      <c r="G1517" s="2"/>
      <c r="H1517" s="2" t="s">
        <v>57</v>
      </c>
      <c r="I1517" s="2" t="s">
        <v>58</v>
      </c>
      <c r="J1517" s="2" t="n">
        <v>-6.597</v>
      </c>
      <c r="K1517" s="2" t="n">
        <v>106.806</v>
      </c>
      <c r="L1517" s="2" t="s">
        <v>101</v>
      </c>
      <c r="M1517" s="2" t="s">
        <v>60</v>
      </c>
      <c r="N1517" s="2"/>
      <c r="O1517" s="2" t="s">
        <v>7791</v>
      </c>
      <c r="P1517" s="2"/>
      <c r="Q1517" s="2" t="s">
        <v>62</v>
      </c>
      <c r="R1517" s="2" t="n">
        <v>0.55</v>
      </c>
      <c r="S1517" s="2" t="s">
        <v>7792</v>
      </c>
      <c r="T1517" s="2" t="s">
        <v>176</v>
      </c>
      <c r="U1517" s="2" t="s">
        <v>7793</v>
      </c>
      <c r="V1517" s="2" t="s">
        <v>7794</v>
      </c>
      <c r="W1517" s="2" t="s">
        <v>2158</v>
      </c>
      <c r="X1517" s="2" t="s">
        <v>507</v>
      </c>
    </row>
    <row r="1518" customFormat="false" ht="15" hidden="false" customHeight="false" outlineLevel="0" collapsed="false">
      <c r="A1518" s="2" t="n">
        <v>1801</v>
      </c>
      <c r="B1518" s="2" t="s">
        <v>7788</v>
      </c>
      <c r="C1518" s="2" t="s">
        <v>7795</v>
      </c>
      <c r="D1518" s="2" t="s">
        <v>134</v>
      </c>
      <c r="E1518" s="2" t="s">
        <v>7796</v>
      </c>
      <c r="F1518" s="2"/>
      <c r="G1518" s="2" t="s">
        <v>7729</v>
      </c>
      <c r="H1518" s="2" t="s">
        <v>57</v>
      </c>
      <c r="I1518" s="2" t="s">
        <v>58</v>
      </c>
      <c r="J1518" s="2" t="n">
        <v>-6.555</v>
      </c>
      <c r="K1518" s="2" t="n">
        <v>106.79</v>
      </c>
      <c r="L1518" s="2" t="s">
        <v>84</v>
      </c>
      <c r="M1518" s="2" t="s">
        <v>60</v>
      </c>
      <c r="N1518" s="2"/>
      <c r="O1518" s="2" t="s">
        <v>7797</v>
      </c>
      <c r="P1518" s="2"/>
      <c r="Q1518" s="2" t="s">
        <v>62</v>
      </c>
      <c r="R1518" s="2" t="n">
        <v>0.7</v>
      </c>
      <c r="S1518" s="2" t="s">
        <v>7798</v>
      </c>
      <c r="T1518" s="2" t="s">
        <v>64</v>
      </c>
      <c r="U1518" s="2" t="s">
        <v>7799</v>
      </c>
      <c r="V1518" s="2" t="s">
        <v>7800</v>
      </c>
      <c r="W1518" s="2" t="s">
        <v>421</v>
      </c>
      <c r="X1518" s="2" t="s">
        <v>507</v>
      </c>
    </row>
    <row r="1519" customFormat="false" ht="15" hidden="false" customHeight="false" outlineLevel="0" collapsed="false">
      <c r="A1519" s="2" t="n">
        <v>1801</v>
      </c>
      <c r="B1519" s="2" t="s">
        <v>7788</v>
      </c>
      <c r="C1519" s="2" t="s">
        <v>7801</v>
      </c>
      <c r="D1519" s="2" t="s">
        <v>134</v>
      </c>
      <c r="E1519" s="2" t="s">
        <v>7802</v>
      </c>
      <c r="F1519" s="2" t="s">
        <v>7803</v>
      </c>
      <c r="G1519" s="2" t="s">
        <v>7749</v>
      </c>
      <c r="H1519" s="2" t="s">
        <v>57</v>
      </c>
      <c r="I1519" s="2" t="s">
        <v>58</v>
      </c>
      <c r="J1519" s="2" t="n">
        <v>-6.575</v>
      </c>
      <c r="K1519" s="2" t="n">
        <v>106.77</v>
      </c>
      <c r="L1519" s="2" t="s">
        <v>84</v>
      </c>
      <c r="M1519" s="2" t="s">
        <v>60</v>
      </c>
      <c r="N1519" s="2"/>
      <c r="O1519" s="2" t="s">
        <v>7804</v>
      </c>
      <c r="P1519" s="2"/>
      <c r="Q1519" s="2" t="s">
        <v>62</v>
      </c>
      <c r="R1519" s="2" t="n">
        <v>0.7</v>
      </c>
      <c r="S1519" s="2" t="s">
        <v>7798</v>
      </c>
      <c r="T1519" s="2" t="s">
        <v>64</v>
      </c>
      <c r="U1519" s="2" t="s">
        <v>7799</v>
      </c>
      <c r="V1519" s="2" t="s">
        <v>7800</v>
      </c>
      <c r="W1519" s="2" t="s">
        <v>421</v>
      </c>
      <c r="X1519" s="2" t="s">
        <v>507</v>
      </c>
    </row>
    <row r="1520" customFormat="false" ht="15" hidden="false" customHeight="false" outlineLevel="0" collapsed="false">
      <c r="A1520" s="2" t="n">
        <v>1801</v>
      </c>
      <c r="B1520" s="2" t="s">
        <v>7788</v>
      </c>
      <c r="C1520" s="2" t="s">
        <v>7805</v>
      </c>
      <c r="D1520" s="2" t="s">
        <v>134</v>
      </c>
      <c r="E1520" s="2" t="s">
        <v>1141</v>
      </c>
      <c r="F1520" s="2"/>
      <c r="G1520" s="2"/>
      <c r="H1520" s="2"/>
      <c r="I1520" s="2" t="s">
        <v>58</v>
      </c>
      <c r="J1520" s="2" t="n">
        <v>-6.92</v>
      </c>
      <c r="K1520" s="2" t="n">
        <v>107.6</v>
      </c>
      <c r="L1520" s="2" t="s">
        <v>239</v>
      </c>
      <c r="M1520" s="2" t="s">
        <v>60</v>
      </c>
      <c r="N1520" s="2" t="s">
        <v>7702</v>
      </c>
      <c r="O1520" s="2" t="s">
        <v>7806</v>
      </c>
      <c r="P1520" s="2"/>
      <c r="Q1520" s="2" t="s">
        <v>62</v>
      </c>
      <c r="R1520" s="2" t="n">
        <v>0.6</v>
      </c>
      <c r="S1520" s="2" t="s">
        <v>7798</v>
      </c>
      <c r="T1520" s="2" t="s">
        <v>64</v>
      </c>
      <c r="U1520" s="2" t="s">
        <v>7799</v>
      </c>
      <c r="V1520" s="2" t="s">
        <v>7800</v>
      </c>
      <c r="W1520" s="2" t="s">
        <v>421</v>
      </c>
      <c r="X1520" s="2" t="s">
        <v>507</v>
      </c>
    </row>
    <row r="1521" customFormat="false" ht="15" hidden="false" customHeight="false" outlineLevel="0" collapsed="false">
      <c r="A1521" s="2" t="n">
        <v>1802</v>
      </c>
      <c r="B1521" s="2" t="s">
        <v>7788</v>
      </c>
      <c r="C1521" s="2" t="s">
        <v>7807</v>
      </c>
      <c r="D1521" s="2" t="s">
        <v>53</v>
      </c>
      <c r="E1521" s="2" t="s">
        <v>7808</v>
      </c>
      <c r="F1521" s="2"/>
      <c r="G1521" s="2"/>
      <c r="H1521" s="2" t="s">
        <v>296</v>
      </c>
      <c r="I1521" s="2" t="s">
        <v>58</v>
      </c>
      <c r="J1521" s="2" t="n">
        <v>-6.56</v>
      </c>
      <c r="K1521" s="2" t="n">
        <v>106.75</v>
      </c>
      <c r="L1521" s="2" t="s">
        <v>101</v>
      </c>
      <c r="M1521" s="2" t="s">
        <v>60</v>
      </c>
      <c r="N1521" s="2" t="s">
        <v>7809</v>
      </c>
      <c r="O1521" s="2" t="s">
        <v>7810</v>
      </c>
      <c r="P1521" s="2" t="s">
        <v>298</v>
      </c>
      <c r="Q1521" s="2" t="s">
        <v>62</v>
      </c>
      <c r="R1521" s="2" t="n">
        <v>0.5</v>
      </c>
      <c r="S1521" s="2" t="s">
        <v>7811</v>
      </c>
      <c r="T1521" s="2" t="s">
        <v>176</v>
      </c>
      <c r="U1521" s="2" t="s">
        <v>7812</v>
      </c>
      <c r="V1521" s="2" t="s">
        <v>7813</v>
      </c>
      <c r="W1521" s="2" t="s">
        <v>3169</v>
      </c>
      <c r="X1521" s="2" t="s">
        <v>507</v>
      </c>
    </row>
    <row r="1522" customFormat="false" ht="15" hidden="false" customHeight="false" outlineLevel="0" collapsed="false">
      <c r="A1522" s="2" t="n">
        <v>1804</v>
      </c>
      <c r="B1522" s="2" t="s">
        <v>7788</v>
      </c>
      <c r="C1522" s="2" t="s">
        <v>1436</v>
      </c>
      <c r="D1522" s="2" t="s">
        <v>351</v>
      </c>
      <c r="E1522" s="2" t="s">
        <v>57</v>
      </c>
      <c r="F1522" s="2"/>
      <c r="G1522" s="2" t="s">
        <v>7729</v>
      </c>
      <c r="H1522" s="2" t="s">
        <v>57</v>
      </c>
      <c r="I1522" s="2" t="s">
        <v>58</v>
      </c>
      <c r="J1522" s="2" t="n">
        <v>-6.555</v>
      </c>
      <c r="K1522" s="2" t="n">
        <v>106.79</v>
      </c>
      <c r="L1522" s="2" t="s">
        <v>84</v>
      </c>
      <c r="M1522" s="2" t="s">
        <v>60</v>
      </c>
      <c r="N1522" s="2"/>
      <c r="O1522" s="2" t="s">
        <v>7814</v>
      </c>
      <c r="P1522" s="2" t="s">
        <v>7815</v>
      </c>
      <c r="Q1522" s="2" t="s">
        <v>62</v>
      </c>
      <c r="R1522" s="2" t="n">
        <v>0.65</v>
      </c>
      <c r="S1522" s="2" t="s">
        <v>7816</v>
      </c>
      <c r="T1522" s="2" t="s">
        <v>963</v>
      </c>
      <c r="U1522" s="2" t="s">
        <v>7817</v>
      </c>
      <c r="V1522" s="2" t="s">
        <v>2214</v>
      </c>
      <c r="W1522" s="2" t="s">
        <v>3744</v>
      </c>
      <c r="X1522" s="2" t="s">
        <v>507</v>
      </c>
    </row>
    <row r="1523" customFormat="false" ht="15" hidden="false" customHeight="false" outlineLevel="0" collapsed="false">
      <c r="A1523" s="2" t="n">
        <v>1805</v>
      </c>
      <c r="B1523" s="2" t="s">
        <v>7788</v>
      </c>
      <c r="C1523" s="2" t="s">
        <v>7818</v>
      </c>
      <c r="D1523" s="2" t="s">
        <v>1140</v>
      </c>
      <c r="E1523" s="2" t="s">
        <v>7819</v>
      </c>
      <c r="F1523" s="2" t="s">
        <v>1019</v>
      </c>
      <c r="G1523" s="2" t="s">
        <v>1020</v>
      </c>
      <c r="H1523" s="2" t="s">
        <v>296</v>
      </c>
      <c r="I1523" s="2" t="s">
        <v>58</v>
      </c>
      <c r="J1523" s="2" t="n">
        <v>-6.7163</v>
      </c>
      <c r="K1523" s="2" t="n">
        <v>106.9504</v>
      </c>
      <c r="L1523" s="2" t="s">
        <v>124</v>
      </c>
      <c r="M1523" s="2" t="s">
        <v>60</v>
      </c>
      <c r="N1523" s="2"/>
      <c r="O1523" s="2" t="s">
        <v>7820</v>
      </c>
      <c r="P1523" s="2"/>
      <c r="Q1523" s="2" t="s">
        <v>62</v>
      </c>
      <c r="R1523" s="2" t="n">
        <v>0.8</v>
      </c>
      <c r="S1523" s="2" t="s">
        <v>7821</v>
      </c>
      <c r="T1523" s="2" t="s">
        <v>1023</v>
      </c>
      <c r="U1523" s="2" t="s">
        <v>7822</v>
      </c>
      <c r="V1523" s="2" t="s">
        <v>7823</v>
      </c>
      <c r="W1523" s="2" t="s">
        <v>3398</v>
      </c>
      <c r="X1523" s="2" t="s">
        <v>507</v>
      </c>
    </row>
    <row r="1524" customFormat="false" ht="15" hidden="false" customHeight="false" outlineLevel="0" collapsed="false">
      <c r="A1524" s="2" t="n">
        <v>1805</v>
      </c>
      <c r="B1524" s="2" t="s">
        <v>7788</v>
      </c>
      <c r="C1524" s="2" t="s">
        <v>7824</v>
      </c>
      <c r="D1524" s="2" t="s">
        <v>53</v>
      </c>
      <c r="E1524" s="2" t="s">
        <v>7825</v>
      </c>
      <c r="F1524" s="2" t="s">
        <v>1019</v>
      </c>
      <c r="G1524" s="2" t="s">
        <v>1020</v>
      </c>
      <c r="H1524" s="2" t="s">
        <v>296</v>
      </c>
      <c r="I1524" s="2" t="s">
        <v>58</v>
      </c>
      <c r="J1524" s="2" t="n">
        <v>-6.7163</v>
      </c>
      <c r="K1524" s="2" t="n">
        <v>106.9504</v>
      </c>
      <c r="L1524" s="2" t="s">
        <v>124</v>
      </c>
      <c r="M1524" s="2" t="s">
        <v>60</v>
      </c>
      <c r="N1524" s="2" t="s">
        <v>7826</v>
      </c>
      <c r="O1524" s="2" t="s">
        <v>7827</v>
      </c>
      <c r="P1524" s="2"/>
      <c r="Q1524" s="2" t="s">
        <v>62</v>
      </c>
      <c r="R1524" s="2" t="n">
        <v>0.45</v>
      </c>
      <c r="S1524" s="2" t="s">
        <v>7821</v>
      </c>
      <c r="T1524" s="2" t="s">
        <v>1023</v>
      </c>
      <c r="U1524" s="2" t="s">
        <v>7822</v>
      </c>
      <c r="V1524" s="2" t="s">
        <v>7823</v>
      </c>
      <c r="W1524" s="2" t="s">
        <v>3398</v>
      </c>
      <c r="X1524" s="2" t="s">
        <v>507</v>
      </c>
    </row>
    <row r="1525" customFormat="false" ht="15" hidden="false" customHeight="false" outlineLevel="0" collapsed="false">
      <c r="A1525" s="2" t="n">
        <v>1805</v>
      </c>
      <c r="B1525" s="2" t="s">
        <v>7788</v>
      </c>
      <c r="C1525" s="2" t="s">
        <v>7828</v>
      </c>
      <c r="D1525" s="2" t="s">
        <v>1140</v>
      </c>
      <c r="E1525" s="2" t="s">
        <v>1026</v>
      </c>
      <c r="F1525" s="2"/>
      <c r="G1525" s="2"/>
      <c r="H1525" s="2" t="s">
        <v>296</v>
      </c>
      <c r="I1525" s="2" t="s">
        <v>58</v>
      </c>
      <c r="J1525" s="2" t="n">
        <v>-6.56</v>
      </c>
      <c r="K1525" s="2" t="n">
        <v>106.75</v>
      </c>
      <c r="L1525" s="2" t="s">
        <v>101</v>
      </c>
      <c r="M1525" s="2" t="s">
        <v>60</v>
      </c>
      <c r="N1525" s="2" t="s">
        <v>1035</v>
      </c>
      <c r="O1525" s="2" t="s">
        <v>7829</v>
      </c>
      <c r="P1525" s="2"/>
      <c r="Q1525" s="2" t="s">
        <v>62</v>
      </c>
      <c r="R1525" s="2" t="n">
        <v>0.75</v>
      </c>
      <c r="S1525" s="2" t="s">
        <v>7821</v>
      </c>
      <c r="T1525" s="2" t="s">
        <v>1023</v>
      </c>
      <c r="U1525" s="2" t="s">
        <v>7822</v>
      </c>
      <c r="V1525" s="2" t="s">
        <v>7823</v>
      </c>
      <c r="W1525" s="2" t="s">
        <v>3398</v>
      </c>
      <c r="X1525" s="2" t="s">
        <v>507</v>
      </c>
    </row>
    <row r="1526" customFormat="false" ht="15" hidden="false" customHeight="false" outlineLevel="0" collapsed="false">
      <c r="A1526" s="2" t="n">
        <v>1805</v>
      </c>
      <c r="B1526" s="2" t="s">
        <v>7788</v>
      </c>
      <c r="C1526" s="2" t="s">
        <v>7830</v>
      </c>
      <c r="D1526" s="2" t="s">
        <v>410</v>
      </c>
      <c r="E1526" s="2" t="s">
        <v>1026</v>
      </c>
      <c r="F1526" s="2" t="s">
        <v>1027</v>
      </c>
      <c r="G1526" s="2" t="s">
        <v>1020</v>
      </c>
      <c r="H1526" s="2" t="s">
        <v>296</v>
      </c>
      <c r="I1526" s="2" t="s">
        <v>58</v>
      </c>
      <c r="J1526" s="2" t="n">
        <v>-6.69</v>
      </c>
      <c r="K1526" s="2" t="n">
        <v>106.95</v>
      </c>
      <c r="L1526" s="2" t="s">
        <v>84</v>
      </c>
      <c r="M1526" s="2" t="s">
        <v>60</v>
      </c>
      <c r="N1526" s="2" t="s">
        <v>1035</v>
      </c>
      <c r="O1526" s="2" t="s">
        <v>7831</v>
      </c>
      <c r="P1526" s="2"/>
      <c r="Q1526" s="2" t="s">
        <v>62</v>
      </c>
      <c r="R1526" s="2" t="n">
        <v>0.75</v>
      </c>
      <c r="S1526" s="2" t="s">
        <v>7821</v>
      </c>
      <c r="T1526" s="2" t="s">
        <v>1023</v>
      </c>
      <c r="U1526" s="2" t="s">
        <v>7822</v>
      </c>
      <c r="V1526" s="2" t="s">
        <v>7823</v>
      </c>
      <c r="W1526" s="2" t="s">
        <v>3398</v>
      </c>
      <c r="X1526" s="2" t="s">
        <v>507</v>
      </c>
    </row>
    <row r="1527" customFormat="false" ht="15" hidden="false" customHeight="false" outlineLevel="0" collapsed="false">
      <c r="A1527" s="2" t="n">
        <v>1807</v>
      </c>
      <c r="B1527" s="2" t="s">
        <v>7788</v>
      </c>
      <c r="C1527" s="2" t="s">
        <v>7832</v>
      </c>
      <c r="D1527" s="2" t="s">
        <v>410</v>
      </c>
      <c r="E1527" s="2" t="s">
        <v>7833</v>
      </c>
      <c r="F1527" s="2" t="s">
        <v>7834</v>
      </c>
      <c r="G1527" s="2" t="s">
        <v>1020</v>
      </c>
      <c r="H1527" s="2" t="s">
        <v>296</v>
      </c>
      <c r="I1527" s="2" t="s">
        <v>58</v>
      </c>
      <c r="J1527" s="2" t="n">
        <v>-6.69</v>
      </c>
      <c r="K1527" s="2" t="n">
        <v>106.95</v>
      </c>
      <c r="L1527" s="2" t="s">
        <v>84</v>
      </c>
      <c r="M1527" s="2" t="s">
        <v>60</v>
      </c>
      <c r="N1527" s="2"/>
      <c r="O1527" s="2" t="s">
        <v>7835</v>
      </c>
      <c r="P1527" s="2"/>
      <c r="Q1527" s="2" t="s">
        <v>62</v>
      </c>
      <c r="R1527" s="2" t="n">
        <v>0.8</v>
      </c>
      <c r="S1527" s="2" t="s">
        <v>7836</v>
      </c>
      <c r="T1527" s="2" t="s">
        <v>243</v>
      </c>
      <c r="U1527" s="2" t="s">
        <v>7837</v>
      </c>
      <c r="V1527" s="2" t="s">
        <v>7838</v>
      </c>
      <c r="W1527" s="2" t="s">
        <v>1113</v>
      </c>
      <c r="X1527" s="2" t="s">
        <v>507</v>
      </c>
    </row>
    <row r="1528" customFormat="false" ht="15" hidden="false" customHeight="false" outlineLevel="0" collapsed="false">
      <c r="A1528" s="2" t="n">
        <v>1807</v>
      </c>
      <c r="B1528" s="2" t="s">
        <v>7788</v>
      </c>
      <c r="C1528" s="2" t="s">
        <v>1148</v>
      </c>
      <c r="D1528" s="2" t="s">
        <v>410</v>
      </c>
      <c r="E1528" s="2" t="s">
        <v>57</v>
      </c>
      <c r="F1528" s="2" t="s">
        <v>911</v>
      </c>
      <c r="G1528" s="2" t="s">
        <v>56</v>
      </c>
      <c r="H1528" s="2" t="s">
        <v>57</v>
      </c>
      <c r="I1528" s="2" t="s">
        <v>58</v>
      </c>
      <c r="J1528" s="2" t="n">
        <v>-6.5976</v>
      </c>
      <c r="K1528" s="2" t="n">
        <v>106.7996</v>
      </c>
      <c r="L1528" s="2" t="s">
        <v>124</v>
      </c>
      <c r="M1528" s="2" t="s">
        <v>60</v>
      </c>
      <c r="N1528" s="2"/>
      <c r="O1528" s="2" t="s">
        <v>7839</v>
      </c>
      <c r="P1528" s="2"/>
      <c r="Q1528" s="2" t="s">
        <v>62</v>
      </c>
      <c r="R1528" s="2" t="n">
        <v>0.8</v>
      </c>
      <c r="S1528" s="2" t="s">
        <v>7836</v>
      </c>
      <c r="T1528" s="2" t="s">
        <v>243</v>
      </c>
      <c r="U1528" s="2" t="s">
        <v>7837</v>
      </c>
      <c r="V1528" s="2" t="s">
        <v>7838</v>
      </c>
      <c r="W1528" s="2" t="s">
        <v>1113</v>
      </c>
      <c r="X1528" s="2" t="s">
        <v>507</v>
      </c>
    </row>
    <row r="1529" customFormat="false" ht="15" hidden="false" customHeight="false" outlineLevel="0" collapsed="false">
      <c r="A1529" s="2" t="n">
        <v>1808</v>
      </c>
      <c r="B1529" s="2" t="s">
        <v>7788</v>
      </c>
      <c r="C1529" s="2" t="s">
        <v>1148</v>
      </c>
      <c r="D1529" s="2" t="s">
        <v>410</v>
      </c>
      <c r="E1529" s="2" t="s">
        <v>57</v>
      </c>
      <c r="F1529" s="2" t="s">
        <v>911</v>
      </c>
      <c r="G1529" s="2" t="s">
        <v>56</v>
      </c>
      <c r="H1529" s="2" t="s">
        <v>57</v>
      </c>
      <c r="I1529" s="2" t="s">
        <v>58</v>
      </c>
      <c r="J1529" s="2" t="n">
        <v>-6.5976</v>
      </c>
      <c r="K1529" s="2" t="n">
        <v>106.7996</v>
      </c>
      <c r="L1529" s="2" t="s">
        <v>124</v>
      </c>
      <c r="M1529" s="2" t="s">
        <v>60</v>
      </c>
      <c r="N1529" s="2"/>
      <c r="O1529" s="2" t="s">
        <v>7840</v>
      </c>
      <c r="P1529" s="2"/>
      <c r="Q1529" s="2" t="s">
        <v>62</v>
      </c>
      <c r="R1529" s="2" t="n">
        <v>0.75</v>
      </c>
      <c r="S1529" s="2" t="s">
        <v>7841</v>
      </c>
      <c r="T1529" s="2" t="s">
        <v>915</v>
      </c>
      <c r="U1529" s="2" t="s">
        <v>7842</v>
      </c>
      <c r="V1529" s="2" t="s">
        <v>2926</v>
      </c>
      <c r="W1529" s="2" t="s">
        <v>5557</v>
      </c>
      <c r="X1529" s="2" t="s">
        <v>507</v>
      </c>
    </row>
    <row r="1530" customFormat="false" ht="15" hidden="false" customHeight="false" outlineLevel="0" collapsed="false">
      <c r="A1530" s="2" t="n">
        <v>1808</v>
      </c>
      <c r="B1530" s="2" t="s">
        <v>7788</v>
      </c>
      <c r="C1530" s="2" t="s">
        <v>7843</v>
      </c>
      <c r="D1530" s="2" t="s">
        <v>1140</v>
      </c>
      <c r="E1530" s="2" t="s">
        <v>1141</v>
      </c>
      <c r="F1530" s="2" t="s">
        <v>1019</v>
      </c>
      <c r="G1530" s="2" t="s">
        <v>1020</v>
      </c>
      <c r="H1530" s="2" t="s">
        <v>296</v>
      </c>
      <c r="I1530" s="2" t="s">
        <v>58</v>
      </c>
      <c r="J1530" s="2" t="n">
        <v>-6.7163</v>
      </c>
      <c r="K1530" s="2" t="n">
        <v>106.9504</v>
      </c>
      <c r="L1530" s="2" t="s">
        <v>124</v>
      </c>
      <c r="M1530" s="2" t="s">
        <v>60</v>
      </c>
      <c r="N1530" s="2" t="s">
        <v>7844</v>
      </c>
      <c r="O1530" s="2" t="s">
        <v>7845</v>
      </c>
      <c r="P1530" s="2"/>
      <c r="Q1530" s="2" t="s">
        <v>62</v>
      </c>
      <c r="R1530" s="2" t="n">
        <v>0.7</v>
      </c>
      <c r="S1530" s="2" t="s">
        <v>7841</v>
      </c>
      <c r="T1530" s="2" t="s">
        <v>915</v>
      </c>
      <c r="U1530" s="2" t="s">
        <v>7842</v>
      </c>
      <c r="V1530" s="2" t="s">
        <v>2926</v>
      </c>
      <c r="W1530" s="2" t="s">
        <v>5557</v>
      </c>
      <c r="X1530" s="2" t="s">
        <v>507</v>
      </c>
    </row>
    <row r="1531" customFormat="false" ht="15" hidden="false" customHeight="false" outlineLevel="0" collapsed="false">
      <c r="A1531" s="2" t="n">
        <v>1808</v>
      </c>
      <c r="B1531" s="2" t="s">
        <v>7788</v>
      </c>
      <c r="C1531" s="2" t="s">
        <v>7846</v>
      </c>
      <c r="D1531" s="2" t="s">
        <v>1140</v>
      </c>
      <c r="E1531" s="2" t="s">
        <v>7847</v>
      </c>
      <c r="F1531" s="2"/>
      <c r="G1531" s="2"/>
      <c r="H1531" s="2" t="s">
        <v>57</v>
      </c>
      <c r="I1531" s="2" t="s">
        <v>58</v>
      </c>
      <c r="J1531" s="2" t="n">
        <v>-6.597</v>
      </c>
      <c r="K1531" s="2" t="n">
        <v>106.806</v>
      </c>
      <c r="L1531" s="2" t="s">
        <v>101</v>
      </c>
      <c r="M1531" s="2" t="s">
        <v>60</v>
      </c>
      <c r="N1531" s="2" t="s">
        <v>7848</v>
      </c>
      <c r="O1531" s="2" t="s">
        <v>7849</v>
      </c>
      <c r="P1531" s="2"/>
      <c r="Q1531" s="2" t="s">
        <v>62</v>
      </c>
      <c r="R1531" s="2" t="n">
        <v>0.6</v>
      </c>
      <c r="S1531" s="2" t="s">
        <v>7841</v>
      </c>
      <c r="T1531" s="2" t="s">
        <v>915</v>
      </c>
      <c r="U1531" s="2" t="s">
        <v>7842</v>
      </c>
      <c r="V1531" s="2" t="s">
        <v>2926</v>
      </c>
      <c r="W1531" s="2" t="s">
        <v>5557</v>
      </c>
      <c r="X1531" s="2" t="s">
        <v>507</v>
      </c>
    </row>
    <row r="1532" customFormat="false" ht="15" hidden="false" customHeight="false" outlineLevel="0" collapsed="false">
      <c r="A1532" s="2" t="n">
        <v>1808</v>
      </c>
      <c r="B1532" s="2" t="s">
        <v>7788</v>
      </c>
      <c r="C1532" s="2" t="s">
        <v>7850</v>
      </c>
      <c r="D1532" s="2" t="s">
        <v>351</v>
      </c>
      <c r="E1532" s="2" t="s">
        <v>7851</v>
      </c>
      <c r="F1532" s="2"/>
      <c r="G1532" s="2" t="s">
        <v>56</v>
      </c>
      <c r="H1532" s="2" t="s">
        <v>57</v>
      </c>
      <c r="I1532" s="2" t="s">
        <v>58</v>
      </c>
      <c r="J1532" s="2" t="n">
        <v>-6.595</v>
      </c>
      <c r="K1532" s="2" t="n">
        <v>106.798</v>
      </c>
      <c r="L1532" s="2" t="s">
        <v>84</v>
      </c>
      <c r="M1532" s="2" t="s">
        <v>60</v>
      </c>
      <c r="N1532" s="2"/>
      <c r="O1532" s="2" t="s">
        <v>7852</v>
      </c>
      <c r="P1532" s="2"/>
      <c r="Q1532" s="2" t="s">
        <v>62</v>
      </c>
      <c r="R1532" s="2" t="n">
        <v>0.7</v>
      </c>
      <c r="S1532" s="2" t="s">
        <v>7841</v>
      </c>
      <c r="T1532" s="2" t="s">
        <v>915</v>
      </c>
      <c r="U1532" s="2" t="s">
        <v>7842</v>
      </c>
      <c r="V1532" s="2" t="s">
        <v>2926</v>
      </c>
      <c r="W1532" s="2" t="s">
        <v>5557</v>
      </c>
      <c r="X1532" s="2" t="s">
        <v>507</v>
      </c>
    </row>
    <row r="1533" customFormat="false" ht="15" hidden="false" customHeight="false" outlineLevel="0" collapsed="false">
      <c r="A1533" s="2" t="n">
        <v>1808</v>
      </c>
      <c r="B1533" s="2" t="s">
        <v>7788</v>
      </c>
      <c r="C1533" s="2" t="s">
        <v>7853</v>
      </c>
      <c r="D1533" s="2" t="s">
        <v>53</v>
      </c>
      <c r="E1533" s="2" t="s">
        <v>7851</v>
      </c>
      <c r="F1533" s="2"/>
      <c r="G1533" s="2" t="s">
        <v>56</v>
      </c>
      <c r="H1533" s="2" t="s">
        <v>57</v>
      </c>
      <c r="I1533" s="2" t="s">
        <v>58</v>
      </c>
      <c r="J1533" s="2" t="n">
        <v>-6.595</v>
      </c>
      <c r="K1533" s="2" t="n">
        <v>106.798</v>
      </c>
      <c r="L1533" s="2" t="s">
        <v>84</v>
      </c>
      <c r="M1533" s="2" t="s">
        <v>60</v>
      </c>
      <c r="N1533" s="2"/>
      <c r="O1533" s="2" t="s">
        <v>7854</v>
      </c>
      <c r="P1533" s="2"/>
      <c r="Q1533" s="2" t="s">
        <v>62</v>
      </c>
      <c r="R1533" s="2" t="n">
        <v>0.7</v>
      </c>
      <c r="S1533" s="2" t="s">
        <v>7841</v>
      </c>
      <c r="T1533" s="2" t="s">
        <v>915</v>
      </c>
      <c r="U1533" s="2" t="s">
        <v>7842</v>
      </c>
      <c r="V1533" s="2" t="s">
        <v>2926</v>
      </c>
      <c r="W1533" s="2" t="s">
        <v>5557</v>
      </c>
      <c r="X1533" s="2" t="s">
        <v>507</v>
      </c>
    </row>
    <row r="1534" customFormat="false" ht="15" hidden="false" customHeight="false" outlineLevel="0" collapsed="false">
      <c r="A1534" s="2" t="n">
        <v>1808</v>
      </c>
      <c r="B1534" s="2" t="s">
        <v>7788</v>
      </c>
      <c r="C1534" s="2" t="s">
        <v>7855</v>
      </c>
      <c r="D1534" s="2" t="s">
        <v>53</v>
      </c>
      <c r="E1534" s="2" t="s">
        <v>7851</v>
      </c>
      <c r="F1534" s="2"/>
      <c r="G1534" s="2" t="s">
        <v>56</v>
      </c>
      <c r="H1534" s="2" t="s">
        <v>57</v>
      </c>
      <c r="I1534" s="2" t="s">
        <v>58</v>
      </c>
      <c r="J1534" s="2" t="n">
        <v>-6.595</v>
      </c>
      <c r="K1534" s="2" t="n">
        <v>106.798</v>
      </c>
      <c r="L1534" s="2" t="s">
        <v>84</v>
      </c>
      <c r="M1534" s="2" t="s">
        <v>60</v>
      </c>
      <c r="N1534" s="2"/>
      <c r="O1534" s="2" t="s">
        <v>7856</v>
      </c>
      <c r="P1534" s="2"/>
      <c r="Q1534" s="2" t="s">
        <v>62</v>
      </c>
      <c r="R1534" s="2" t="n">
        <v>0.7</v>
      </c>
      <c r="S1534" s="2" t="s">
        <v>7841</v>
      </c>
      <c r="T1534" s="2" t="s">
        <v>915</v>
      </c>
      <c r="U1534" s="2" t="s">
        <v>7842</v>
      </c>
      <c r="V1534" s="2" t="s">
        <v>2926</v>
      </c>
      <c r="W1534" s="2" t="s">
        <v>5557</v>
      </c>
      <c r="X1534" s="2" t="s">
        <v>507</v>
      </c>
    </row>
    <row r="1535" customFormat="false" ht="15" hidden="false" customHeight="false" outlineLevel="0" collapsed="false">
      <c r="A1535" s="2" t="n">
        <v>1808</v>
      </c>
      <c r="B1535" s="2" t="s">
        <v>7788</v>
      </c>
      <c r="C1535" s="2" t="s">
        <v>7857</v>
      </c>
      <c r="D1535" s="2" t="s">
        <v>53</v>
      </c>
      <c r="E1535" s="2" t="s">
        <v>7851</v>
      </c>
      <c r="F1535" s="2"/>
      <c r="G1535" s="2" t="s">
        <v>56</v>
      </c>
      <c r="H1535" s="2" t="s">
        <v>57</v>
      </c>
      <c r="I1535" s="2" t="s">
        <v>58</v>
      </c>
      <c r="J1535" s="2" t="n">
        <v>-6.595</v>
      </c>
      <c r="K1535" s="2" t="n">
        <v>106.798</v>
      </c>
      <c r="L1535" s="2" t="s">
        <v>84</v>
      </c>
      <c r="M1535" s="2" t="s">
        <v>60</v>
      </c>
      <c r="N1535" s="2"/>
      <c r="O1535" s="2" t="s">
        <v>7858</v>
      </c>
      <c r="P1535" s="2"/>
      <c r="Q1535" s="2" t="s">
        <v>62</v>
      </c>
      <c r="R1535" s="2" t="n">
        <v>0.7</v>
      </c>
      <c r="S1535" s="2" t="s">
        <v>7841</v>
      </c>
      <c r="T1535" s="2" t="s">
        <v>915</v>
      </c>
      <c r="U1535" s="2" t="s">
        <v>7842</v>
      </c>
      <c r="V1535" s="2" t="s">
        <v>2926</v>
      </c>
      <c r="W1535" s="2" t="s">
        <v>5557</v>
      </c>
      <c r="X1535" s="2" t="s">
        <v>507</v>
      </c>
    </row>
    <row r="1536" customFormat="false" ht="15" hidden="false" customHeight="false" outlineLevel="0" collapsed="false">
      <c r="A1536" s="2" t="n">
        <v>1808</v>
      </c>
      <c r="B1536" s="2" t="s">
        <v>7788</v>
      </c>
      <c r="C1536" s="2" t="s">
        <v>7859</v>
      </c>
      <c r="D1536" s="2" t="s">
        <v>410</v>
      </c>
      <c r="E1536" s="2" t="s">
        <v>1141</v>
      </c>
      <c r="F1536" s="2"/>
      <c r="G1536" s="2"/>
      <c r="H1536" s="2"/>
      <c r="I1536" s="2" t="s">
        <v>58</v>
      </c>
      <c r="J1536" s="2" t="n">
        <v>-6.92</v>
      </c>
      <c r="K1536" s="2" t="n">
        <v>107.6</v>
      </c>
      <c r="L1536" s="2" t="s">
        <v>239</v>
      </c>
      <c r="M1536" s="2" t="s">
        <v>60</v>
      </c>
      <c r="N1536" s="2" t="s">
        <v>7702</v>
      </c>
      <c r="O1536" s="2" t="s">
        <v>7860</v>
      </c>
      <c r="P1536" s="2"/>
      <c r="Q1536" s="2" t="s">
        <v>62</v>
      </c>
      <c r="R1536" s="2" t="n">
        <v>0.5</v>
      </c>
      <c r="S1536" s="2" t="s">
        <v>7841</v>
      </c>
      <c r="T1536" s="2" t="s">
        <v>915</v>
      </c>
      <c r="U1536" s="2" t="s">
        <v>7842</v>
      </c>
      <c r="V1536" s="2" t="s">
        <v>2926</v>
      </c>
      <c r="W1536" s="2" t="s">
        <v>5557</v>
      </c>
      <c r="X1536" s="2" t="s">
        <v>507</v>
      </c>
    </row>
    <row r="1537" customFormat="false" ht="15" hidden="false" customHeight="false" outlineLevel="0" collapsed="false">
      <c r="A1537" s="2" t="n">
        <v>1810</v>
      </c>
      <c r="B1537" s="2" t="s">
        <v>7788</v>
      </c>
      <c r="C1537" s="2" t="s">
        <v>7861</v>
      </c>
      <c r="D1537" s="2" t="s">
        <v>53</v>
      </c>
      <c r="E1537" s="2" t="s">
        <v>1141</v>
      </c>
      <c r="F1537" s="2"/>
      <c r="G1537" s="2"/>
      <c r="H1537" s="2"/>
      <c r="I1537" s="2" t="s">
        <v>58</v>
      </c>
      <c r="J1537" s="2" t="n">
        <v>-6.92</v>
      </c>
      <c r="K1537" s="2" t="n">
        <v>107.6</v>
      </c>
      <c r="L1537" s="2" t="s">
        <v>239</v>
      </c>
      <c r="M1537" s="2" t="s">
        <v>60</v>
      </c>
      <c r="N1537" s="2" t="s">
        <v>7702</v>
      </c>
      <c r="O1537" s="2" t="s">
        <v>7862</v>
      </c>
      <c r="P1537" s="2"/>
      <c r="Q1537" s="2" t="s">
        <v>62</v>
      </c>
      <c r="R1537" s="2" t="n">
        <v>0.5</v>
      </c>
      <c r="S1537" s="2" t="s">
        <v>7863</v>
      </c>
      <c r="T1537" s="2" t="s">
        <v>580</v>
      </c>
      <c r="U1537" s="2" t="s">
        <v>7864</v>
      </c>
      <c r="V1537" s="2" t="s">
        <v>7865</v>
      </c>
      <c r="W1537" s="2" t="s">
        <v>190</v>
      </c>
      <c r="X1537" s="2" t="s">
        <v>507</v>
      </c>
    </row>
    <row r="1538" customFormat="false" ht="15" hidden="false" customHeight="false" outlineLevel="0" collapsed="false">
      <c r="A1538" s="2" t="n">
        <v>1811</v>
      </c>
      <c r="B1538" s="2" t="s">
        <v>7788</v>
      </c>
      <c r="C1538" s="2" t="s">
        <v>7866</v>
      </c>
      <c r="D1538" s="2" t="s">
        <v>1130</v>
      </c>
      <c r="E1538" s="2" t="s">
        <v>7867</v>
      </c>
      <c r="F1538" s="2" t="s">
        <v>7868</v>
      </c>
      <c r="G1538" s="2" t="s">
        <v>309</v>
      </c>
      <c r="H1538" s="2" t="s">
        <v>57</v>
      </c>
      <c r="I1538" s="2" t="s">
        <v>58</v>
      </c>
      <c r="J1538" s="2" t="n">
        <v>-6.63</v>
      </c>
      <c r="K1538" s="2" t="n">
        <v>106.815</v>
      </c>
      <c r="L1538" s="2" t="s">
        <v>84</v>
      </c>
      <c r="M1538" s="2" t="s">
        <v>60</v>
      </c>
      <c r="N1538" s="2"/>
      <c r="O1538" s="2" t="s">
        <v>7869</v>
      </c>
      <c r="P1538" s="2" t="s">
        <v>4565</v>
      </c>
      <c r="Q1538" s="2" t="s">
        <v>62</v>
      </c>
      <c r="R1538" s="2" t="n">
        <v>0.75</v>
      </c>
      <c r="S1538" s="2" t="s">
        <v>7870</v>
      </c>
      <c r="T1538" s="2" t="s">
        <v>7871</v>
      </c>
      <c r="U1538" s="2" t="s">
        <v>7872</v>
      </c>
      <c r="V1538" s="2" t="s">
        <v>965</v>
      </c>
      <c r="W1538" s="2" t="s">
        <v>2825</v>
      </c>
      <c r="X1538" s="2" t="s">
        <v>507</v>
      </c>
    </row>
    <row r="1539" customFormat="false" ht="15" hidden="false" customHeight="false" outlineLevel="0" collapsed="false">
      <c r="A1539" s="2" t="n">
        <v>1812</v>
      </c>
      <c r="B1539" s="2" t="s">
        <v>7788</v>
      </c>
      <c r="C1539" s="2" t="s">
        <v>7873</v>
      </c>
      <c r="D1539" s="2" t="s">
        <v>410</v>
      </c>
      <c r="E1539" s="2" t="s">
        <v>3531</v>
      </c>
      <c r="F1539" s="2" t="s">
        <v>1220</v>
      </c>
      <c r="G1539" s="2" t="s">
        <v>1221</v>
      </c>
      <c r="H1539" s="2" t="s">
        <v>296</v>
      </c>
      <c r="I1539" s="2" t="s">
        <v>58</v>
      </c>
      <c r="J1539" s="2" t="n">
        <v>-6.57</v>
      </c>
      <c r="K1539" s="2" t="n">
        <v>106.9</v>
      </c>
      <c r="L1539" s="2" t="s">
        <v>84</v>
      </c>
      <c r="M1539" s="2" t="s">
        <v>340</v>
      </c>
      <c r="N1539" s="2"/>
      <c r="O1539" s="2" t="s">
        <v>7874</v>
      </c>
      <c r="P1539" s="2"/>
      <c r="Q1539" s="2" t="s">
        <v>62</v>
      </c>
      <c r="R1539" s="2" t="n">
        <v>0.8</v>
      </c>
      <c r="S1539" s="2" t="s">
        <v>7875</v>
      </c>
      <c r="T1539" s="2" t="s">
        <v>915</v>
      </c>
      <c r="U1539" s="2" t="s">
        <v>7876</v>
      </c>
      <c r="V1539" s="2" t="s">
        <v>7877</v>
      </c>
      <c r="W1539" s="2" t="s">
        <v>2825</v>
      </c>
      <c r="X1539" s="2" t="s">
        <v>507</v>
      </c>
    </row>
    <row r="1540" customFormat="false" ht="15" hidden="false" customHeight="false" outlineLevel="0" collapsed="false">
      <c r="A1540" s="2" t="n">
        <v>1813</v>
      </c>
      <c r="B1540" s="2" t="s">
        <v>7788</v>
      </c>
      <c r="C1540" s="2" t="s">
        <v>7878</v>
      </c>
      <c r="D1540" s="2" t="s">
        <v>1130</v>
      </c>
      <c r="E1540" s="2" t="s">
        <v>7867</v>
      </c>
      <c r="F1540" s="2" t="s">
        <v>7868</v>
      </c>
      <c r="G1540" s="2" t="s">
        <v>309</v>
      </c>
      <c r="H1540" s="2" t="s">
        <v>57</v>
      </c>
      <c r="I1540" s="2" t="s">
        <v>58</v>
      </c>
      <c r="J1540" s="2" t="n">
        <v>-6.63</v>
      </c>
      <c r="K1540" s="2" t="n">
        <v>106.815</v>
      </c>
      <c r="L1540" s="2" t="s">
        <v>84</v>
      </c>
      <c r="M1540" s="2" t="s">
        <v>60</v>
      </c>
      <c r="N1540" s="2"/>
      <c r="O1540" s="2" t="s">
        <v>7879</v>
      </c>
      <c r="P1540" s="2" t="s">
        <v>1685</v>
      </c>
      <c r="Q1540" s="2" t="s">
        <v>62</v>
      </c>
      <c r="R1540" s="2" t="n">
        <v>0.75</v>
      </c>
      <c r="S1540" s="2" t="s">
        <v>7880</v>
      </c>
      <c r="T1540" s="2" t="s">
        <v>7871</v>
      </c>
      <c r="U1540" s="2" t="s">
        <v>7881</v>
      </c>
      <c r="V1540" s="2" t="s">
        <v>7882</v>
      </c>
      <c r="W1540" s="2" t="s">
        <v>1306</v>
      </c>
      <c r="X1540" s="2" t="s">
        <v>507</v>
      </c>
    </row>
    <row r="1541" customFormat="false" ht="15" hidden="false" customHeight="false" outlineLevel="0" collapsed="false">
      <c r="A1541" s="2" t="n">
        <v>1814</v>
      </c>
      <c r="B1541" s="2" t="s">
        <v>7788</v>
      </c>
      <c r="C1541" s="2" t="s">
        <v>7883</v>
      </c>
      <c r="D1541" s="2" t="s">
        <v>1130</v>
      </c>
      <c r="E1541" s="2" t="s">
        <v>57</v>
      </c>
      <c r="F1541" s="2" t="s">
        <v>911</v>
      </c>
      <c r="G1541" s="2" t="s">
        <v>56</v>
      </c>
      <c r="H1541" s="2" t="s">
        <v>57</v>
      </c>
      <c r="I1541" s="2" t="s">
        <v>58</v>
      </c>
      <c r="J1541" s="2" t="n">
        <v>-6.6015</v>
      </c>
      <c r="K1541" s="2" t="n">
        <v>106.7972</v>
      </c>
      <c r="L1541" s="2" t="s">
        <v>124</v>
      </c>
      <c r="M1541" s="2" t="s">
        <v>60</v>
      </c>
      <c r="N1541" s="2" t="s">
        <v>7884</v>
      </c>
      <c r="O1541" s="2" t="s">
        <v>7885</v>
      </c>
      <c r="P1541" s="2" t="s">
        <v>2764</v>
      </c>
      <c r="Q1541" s="2" t="s">
        <v>62</v>
      </c>
      <c r="R1541" s="2" t="n">
        <v>0.75</v>
      </c>
      <c r="S1541" s="2" t="s">
        <v>7886</v>
      </c>
      <c r="T1541" s="2" t="s">
        <v>963</v>
      </c>
      <c r="U1541" s="2" t="s">
        <v>7887</v>
      </c>
      <c r="V1541" s="2" t="s">
        <v>7888</v>
      </c>
      <c r="W1541" s="2" t="s">
        <v>7889</v>
      </c>
      <c r="X1541" s="2" t="s">
        <v>507</v>
      </c>
    </row>
    <row r="1542" customFormat="false" ht="15" hidden="false" customHeight="false" outlineLevel="0" collapsed="false">
      <c r="A1542" s="2" t="n">
        <v>1815</v>
      </c>
      <c r="B1542" s="2" t="s">
        <v>7788</v>
      </c>
      <c r="C1542" s="2" t="s">
        <v>7890</v>
      </c>
      <c r="D1542" s="2" t="s">
        <v>351</v>
      </c>
      <c r="E1542" s="2" t="s">
        <v>7891</v>
      </c>
      <c r="F1542" s="2"/>
      <c r="G1542" s="2"/>
      <c r="H1542" s="2" t="s">
        <v>57</v>
      </c>
      <c r="I1542" s="2" t="s">
        <v>58</v>
      </c>
      <c r="J1542" s="2" t="n">
        <v>-6.597</v>
      </c>
      <c r="K1542" s="2" t="n">
        <v>106.806</v>
      </c>
      <c r="L1542" s="2" t="s">
        <v>101</v>
      </c>
      <c r="M1542" s="2" t="s">
        <v>60</v>
      </c>
      <c r="N1542" s="2"/>
      <c r="O1542" s="2" t="s">
        <v>7892</v>
      </c>
      <c r="P1542" s="2" t="s">
        <v>7893</v>
      </c>
      <c r="Q1542" s="2" t="s">
        <v>110</v>
      </c>
      <c r="R1542" s="2" t="n">
        <v>0.35</v>
      </c>
      <c r="S1542" s="2" t="s">
        <v>7894</v>
      </c>
      <c r="T1542" s="2" t="s">
        <v>694</v>
      </c>
      <c r="U1542" s="2" t="s">
        <v>7895</v>
      </c>
      <c r="V1542" s="2" t="s">
        <v>7896</v>
      </c>
      <c r="W1542" s="2" t="s">
        <v>918</v>
      </c>
      <c r="X1542" s="2" t="s">
        <v>507</v>
      </c>
    </row>
    <row r="1543" customFormat="false" ht="15" hidden="false" customHeight="false" outlineLevel="0" collapsed="false">
      <c r="A1543" s="2" t="n">
        <v>1817</v>
      </c>
      <c r="B1543" s="2" t="s">
        <v>7788</v>
      </c>
      <c r="C1543" s="2" t="s">
        <v>7890</v>
      </c>
      <c r="D1543" s="2" t="s">
        <v>351</v>
      </c>
      <c r="E1543" s="2" t="s">
        <v>57</v>
      </c>
      <c r="F1543" s="2"/>
      <c r="G1543" s="2"/>
      <c r="H1543" s="2" t="s">
        <v>57</v>
      </c>
      <c r="I1543" s="2" t="s">
        <v>58</v>
      </c>
      <c r="J1543" s="2" t="n">
        <v>-6.597</v>
      </c>
      <c r="K1543" s="2" t="n">
        <v>106.806</v>
      </c>
      <c r="L1543" s="2" t="s">
        <v>101</v>
      </c>
      <c r="M1543" s="2" t="s">
        <v>60</v>
      </c>
      <c r="N1543" s="2"/>
      <c r="O1543" s="2" t="s">
        <v>7897</v>
      </c>
      <c r="P1543" s="2" t="s">
        <v>7893</v>
      </c>
      <c r="Q1543" s="2" t="s">
        <v>62</v>
      </c>
      <c r="R1543" s="2" t="n">
        <v>0.3</v>
      </c>
      <c r="S1543" s="2" t="s">
        <v>7898</v>
      </c>
      <c r="T1543" s="2" t="s">
        <v>743</v>
      </c>
      <c r="U1543" s="2" t="s">
        <v>7899</v>
      </c>
      <c r="V1543" s="2" t="s">
        <v>7900</v>
      </c>
      <c r="W1543" s="2" t="s">
        <v>2399</v>
      </c>
      <c r="X1543" s="2" t="s">
        <v>507</v>
      </c>
    </row>
    <row r="1544" customFormat="false" ht="15" hidden="false" customHeight="false" outlineLevel="0" collapsed="false">
      <c r="A1544" s="2" t="n">
        <v>1818</v>
      </c>
      <c r="B1544" s="2" t="s">
        <v>7788</v>
      </c>
      <c r="C1544" s="2" t="s">
        <v>1436</v>
      </c>
      <c r="D1544" s="2" t="s">
        <v>351</v>
      </c>
      <c r="E1544" s="2" t="s">
        <v>1445</v>
      </c>
      <c r="F1544" s="2"/>
      <c r="G1544" s="2" t="s">
        <v>7729</v>
      </c>
      <c r="H1544" s="2" t="s">
        <v>57</v>
      </c>
      <c r="I1544" s="2" t="s">
        <v>58</v>
      </c>
      <c r="J1544" s="2" t="n">
        <v>-6.555</v>
      </c>
      <c r="K1544" s="2" t="n">
        <v>106.79</v>
      </c>
      <c r="L1544" s="2" t="s">
        <v>84</v>
      </c>
      <c r="M1544" s="2" t="s">
        <v>60</v>
      </c>
      <c r="N1544" s="2"/>
      <c r="O1544" s="2" t="s">
        <v>7901</v>
      </c>
      <c r="P1544" s="2" t="s">
        <v>7902</v>
      </c>
      <c r="Q1544" s="2" t="s">
        <v>62</v>
      </c>
      <c r="R1544" s="2" t="n">
        <v>0.85</v>
      </c>
      <c r="S1544" s="2" t="s">
        <v>7903</v>
      </c>
      <c r="T1544" s="2" t="s">
        <v>963</v>
      </c>
      <c r="U1544" s="2" t="s">
        <v>7904</v>
      </c>
      <c r="V1544" s="2" t="s">
        <v>97</v>
      </c>
      <c r="W1544" s="2" t="s">
        <v>3744</v>
      </c>
      <c r="X1544" s="2" t="s">
        <v>507</v>
      </c>
    </row>
    <row r="1545" customFormat="false" ht="15" hidden="false" customHeight="false" outlineLevel="0" collapsed="false">
      <c r="A1545" s="2" t="n">
        <v>1818</v>
      </c>
      <c r="B1545" s="2" t="s">
        <v>7788</v>
      </c>
      <c r="C1545" s="2" t="s">
        <v>7905</v>
      </c>
      <c r="D1545" s="2" t="s">
        <v>134</v>
      </c>
      <c r="E1545" s="2" t="s">
        <v>7906</v>
      </c>
      <c r="F1545" s="2"/>
      <c r="G1545" s="2" t="s">
        <v>7729</v>
      </c>
      <c r="H1545" s="2" t="s">
        <v>57</v>
      </c>
      <c r="I1545" s="2" t="s">
        <v>58</v>
      </c>
      <c r="J1545" s="2" t="n">
        <v>-6.555</v>
      </c>
      <c r="K1545" s="2" t="n">
        <v>106.79</v>
      </c>
      <c r="L1545" s="2" t="s">
        <v>84</v>
      </c>
      <c r="M1545" s="2" t="s">
        <v>60</v>
      </c>
      <c r="N1545" s="2"/>
      <c r="O1545" s="2" t="s">
        <v>7907</v>
      </c>
      <c r="P1545" s="2"/>
      <c r="Q1545" s="2" t="s">
        <v>62</v>
      </c>
      <c r="R1545" s="2" t="n">
        <v>0.6</v>
      </c>
      <c r="S1545" s="2" t="s">
        <v>7903</v>
      </c>
      <c r="T1545" s="2" t="s">
        <v>963</v>
      </c>
      <c r="U1545" s="2" t="s">
        <v>7904</v>
      </c>
      <c r="V1545" s="2" t="s">
        <v>97</v>
      </c>
      <c r="W1545" s="2" t="s">
        <v>3744</v>
      </c>
      <c r="X1545" s="2" t="s">
        <v>507</v>
      </c>
    </row>
    <row r="1546" customFormat="false" ht="15" hidden="false" customHeight="false" outlineLevel="0" collapsed="false">
      <c r="A1546" s="2" t="n">
        <v>1823</v>
      </c>
      <c r="B1546" s="2" t="s">
        <v>7788</v>
      </c>
      <c r="C1546" s="2" t="s">
        <v>7908</v>
      </c>
      <c r="D1546" s="2" t="s">
        <v>53</v>
      </c>
      <c r="E1546" s="2" t="s">
        <v>7909</v>
      </c>
      <c r="F1546" s="2"/>
      <c r="G1546" s="2"/>
      <c r="H1546" s="2"/>
      <c r="I1546" s="2"/>
      <c r="J1546" s="2"/>
      <c r="K1546" s="2"/>
      <c r="L1546" s="2"/>
      <c r="M1546" s="2"/>
      <c r="N1546" s="2" t="s">
        <v>7910</v>
      </c>
      <c r="O1546" s="2" t="s">
        <v>7911</v>
      </c>
      <c r="P1546" s="2"/>
      <c r="Q1546" s="2" t="s">
        <v>62</v>
      </c>
      <c r="R1546" s="2" t="n">
        <v>0.35</v>
      </c>
      <c r="S1546" s="2" t="s">
        <v>7912</v>
      </c>
      <c r="T1546" s="2" t="s">
        <v>841</v>
      </c>
      <c r="U1546" s="2" t="s">
        <v>7913</v>
      </c>
      <c r="V1546" s="2" t="s">
        <v>97</v>
      </c>
      <c r="W1546" s="2" t="s">
        <v>4314</v>
      </c>
      <c r="X1546" s="2" t="s">
        <v>507</v>
      </c>
    </row>
    <row r="1547" customFormat="false" ht="15" hidden="false" customHeight="false" outlineLevel="0" collapsed="false">
      <c r="A1547" s="2" t="n">
        <v>1823</v>
      </c>
      <c r="B1547" s="2" t="s">
        <v>7788</v>
      </c>
      <c r="C1547" s="2" t="s">
        <v>7914</v>
      </c>
      <c r="D1547" s="2" t="s">
        <v>53</v>
      </c>
      <c r="E1547" s="2" t="s">
        <v>7909</v>
      </c>
      <c r="F1547" s="2"/>
      <c r="G1547" s="2"/>
      <c r="H1547" s="2"/>
      <c r="I1547" s="2"/>
      <c r="J1547" s="2"/>
      <c r="K1547" s="2"/>
      <c r="L1547" s="2"/>
      <c r="M1547" s="2"/>
      <c r="N1547" s="2" t="s">
        <v>7910</v>
      </c>
      <c r="O1547" s="2" t="s">
        <v>7911</v>
      </c>
      <c r="P1547" s="2"/>
      <c r="Q1547" s="2" t="s">
        <v>62</v>
      </c>
      <c r="R1547" s="2" t="n">
        <v>0.35</v>
      </c>
      <c r="S1547" s="2" t="s">
        <v>7912</v>
      </c>
      <c r="T1547" s="2" t="s">
        <v>841</v>
      </c>
      <c r="U1547" s="2" t="s">
        <v>7913</v>
      </c>
      <c r="V1547" s="2" t="s">
        <v>97</v>
      </c>
      <c r="W1547" s="2" t="s">
        <v>4314</v>
      </c>
      <c r="X1547" s="2" t="s">
        <v>507</v>
      </c>
    </row>
    <row r="1548" customFormat="false" ht="15" hidden="false" customHeight="false" outlineLevel="0" collapsed="false">
      <c r="A1548" s="2" t="n">
        <v>1823</v>
      </c>
      <c r="B1548" s="2" t="s">
        <v>7788</v>
      </c>
      <c r="C1548" s="2" t="s">
        <v>7915</v>
      </c>
      <c r="D1548" s="2" t="s">
        <v>53</v>
      </c>
      <c r="E1548" s="2" t="s">
        <v>7909</v>
      </c>
      <c r="F1548" s="2"/>
      <c r="G1548" s="2"/>
      <c r="H1548" s="2"/>
      <c r="I1548" s="2"/>
      <c r="J1548" s="2"/>
      <c r="K1548" s="2"/>
      <c r="L1548" s="2"/>
      <c r="M1548" s="2"/>
      <c r="N1548" s="2" t="s">
        <v>7910</v>
      </c>
      <c r="O1548" s="2" t="s">
        <v>7911</v>
      </c>
      <c r="P1548" s="2"/>
      <c r="Q1548" s="2" t="s">
        <v>62</v>
      </c>
      <c r="R1548" s="2" t="n">
        <v>0.35</v>
      </c>
      <c r="S1548" s="2" t="s">
        <v>7912</v>
      </c>
      <c r="T1548" s="2" t="s">
        <v>841</v>
      </c>
      <c r="U1548" s="2" t="s">
        <v>7913</v>
      </c>
      <c r="V1548" s="2" t="s">
        <v>97</v>
      </c>
      <c r="W1548" s="2" t="s">
        <v>4314</v>
      </c>
      <c r="X1548" s="2" t="s">
        <v>507</v>
      </c>
    </row>
    <row r="1549" customFormat="false" ht="15" hidden="false" customHeight="false" outlineLevel="0" collapsed="false">
      <c r="A1549" s="2" t="n">
        <v>1823</v>
      </c>
      <c r="B1549" s="2" t="s">
        <v>7788</v>
      </c>
      <c r="C1549" s="2" t="s">
        <v>7916</v>
      </c>
      <c r="D1549" s="2" t="s">
        <v>53</v>
      </c>
      <c r="E1549" s="2" t="s">
        <v>7909</v>
      </c>
      <c r="F1549" s="2"/>
      <c r="G1549" s="2"/>
      <c r="H1549" s="2"/>
      <c r="I1549" s="2"/>
      <c r="J1549" s="2"/>
      <c r="K1549" s="2"/>
      <c r="L1549" s="2"/>
      <c r="M1549" s="2"/>
      <c r="N1549" s="2" t="s">
        <v>7910</v>
      </c>
      <c r="O1549" s="2" t="s">
        <v>7911</v>
      </c>
      <c r="P1549" s="2"/>
      <c r="Q1549" s="2" t="s">
        <v>62</v>
      </c>
      <c r="R1549" s="2" t="n">
        <v>0.35</v>
      </c>
      <c r="S1549" s="2" t="s">
        <v>7912</v>
      </c>
      <c r="T1549" s="2" t="s">
        <v>841</v>
      </c>
      <c r="U1549" s="2" t="s">
        <v>7913</v>
      </c>
      <c r="V1549" s="2" t="s">
        <v>97</v>
      </c>
      <c r="W1549" s="2" t="s">
        <v>4314</v>
      </c>
      <c r="X1549" s="2" t="s">
        <v>507</v>
      </c>
    </row>
    <row r="1550" customFormat="false" ht="15" hidden="false" customHeight="false" outlineLevel="0" collapsed="false">
      <c r="A1550" s="2" t="n">
        <v>1823</v>
      </c>
      <c r="B1550" s="2" t="s">
        <v>7788</v>
      </c>
      <c r="C1550" s="2" t="s">
        <v>7917</v>
      </c>
      <c r="D1550" s="2" t="s">
        <v>53</v>
      </c>
      <c r="E1550" s="2" t="s">
        <v>7909</v>
      </c>
      <c r="F1550" s="2"/>
      <c r="G1550" s="2"/>
      <c r="H1550" s="2"/>
      <c r="I1550" s="2"/>
      <c r="J1550" s="2"/>
      <c r="K1550" s="2"/>
      <c r="L1550" s="2"/>
      <c r="M1550" s="2"/>
      <c r="N1550" s="2" t="s">
        <v>7910</v>
      </c>
      <c r="O1550" s="2" t="s">
        <v>7911</v>
      </c>
      <c r="P1550" s="2"/>
      <c r="Q1550" s="2" t="s">
        <v>62</v>
      </c>
      <c r="R1550" s="2" t="n">
        <v>0.35</v>
      </c>
      <c r="S1550" s="2" t="s">
        <v>7912</v>
      </c>
      <c r="T1550" s="2" t="s">
        <v>841</v>
      </c>
      <c r="U1550" s="2" t="s">
        <v>7913</v>
      </c>
      <c r="V1550" s="2" t="s">
        <v>97</v>
      </c>
      <c r="W1550" s="2" t="s">
        <v>4314</v>
      </c>
      <c r="X1550" s="2" t="s">
        <v>507</v>
      </c>
    </row>
    <row r="1551" customFormat="false" ht="15" hidden="false" customHeight="false" outlineLevel="0" collapsed="false">
      <c r="A1551" s="2" t="n">
        <v>1823</v>
      </c>
      <c r="B1551" s="2" t="s">
        <v>7788</v>
      </c>
      <c r="C1551" s="2" t="s">
        <v>7918</v>
      </c>
      <c r="D1551" s="2" t="s">
        <v>53</v>
      </c>
      <c r="E1551" s="2" t="s">
        <v>7909</v>
      </c>
      <c r="F1551" s="2"/>
      <c r="G1551" s="2"/>
      <c r="H1551" s="2"/>
      <c r="I1551" s="2"/>
      <c r="J1551" s="2"/>
      <c r="K1551" s="2"/>
      <c r="L1551" s="2"/>
      <c r="M1551" s="2"/>
      <c r="N1551" s="2" t="s">
        <v>7910</v>
      </c>
      <c r="O1551" s="2" t="s">
        <v>7911</v>
      </c>
      <c r="P1551" s="2"/>
      <c r="Q1551" s="2" t="s">
        <v>62</v>
      </c>
      <c r="R1551" s="2" t="n">
        <v>0.35</v>
      </c>
      <c r="S1551" s="2" t="s">
        <v>7912</v>
      </c>
      <c r="T1551" s="2" t="s">
        <v>841</v>
      </c>
      <c r="U1551" s="2" t="s">
        <v>7913</v>
      </c>
      <c r="V1551" s="2" t="s">
        <v>97</v>
      </c>
      <c r="W1551" s="2" t="s">
        <v>4314</v>
      </c>
      <c r="X1551" s="2" t="s">
        <v>507</v>
      </c>
    </row>
    <row r="1552" customFormat="false" ht="15" hidden="false" customHeight="false" outlineLevel="0" collapsed="false">
      <c r="A1552" s="2" t="n">
        <v>1823</v>
      </c>
      <c r="B1552" s="2" t="s">
        <v>7788</v>
      </c>
      <c r="C1552" s="2" t="s">
        <v>7919</v>
      </c>
      <c r="D1552" s="2" t="s">
        <v>53</v>
      </c>
      <c r="E1552" s="2" t="s">
        <v>7909</v>
      </c>
      <c r="F1552" s="2"/>
      <c r="G1552" s="2"/>
      <c r="H1552" s="2"/>
      <c r="I1552" s="2"/>
      <c r="J1552" s="2"/>
      <c r="K1552" s="2"/>
      <c r="L1552" s="2"/>
      <c r="M1552" s="2"/>
      <c r="N1552" s="2" t="s">
        <v>7910</v>
      </c>
      <c r="O1552" s="2" t="s">
        <v>7911</v>
      </c>
      <c r="P1552" s="2"/>
      <c r="Q1552" s="2" t="s">
        <v>62</v>
      </c>
      <c r="R1552" s="2" t="n">
        <v>0.35</v>
      </c>
      <c r="S1552" s="2" t="s">
        <v>7912</v>
      </c>
      <c r="T1552" s="2" t="s">
        <v>841</v>
      </c>
      <c r="U1552" s="2" t="s">
        <v>7913</v>
      </c>
      <c r="V1552" s="2" t="s">
        <v>97</v>
      </c>
      <c r="W1552" s="2" t="s">
        <v>4314</v>
      </c>
      <c r="X1552" s="2" t="s">
        <v>507</v>
      </c>
    </row>
    <row r="1553" customFormat="false" ht="15" hidden="false" customHeight="false" outlineLevel="0" collapsed="false">
      <c r="A1553" s="2" t="n">
        <v>1823</v>
      </c>
      <c r="B1553" s="2" t="s">
        <v>7788</v>
      </c>
      <c r="C1553" s="2" t="s">
        <v>7920</v>
      </c>
      <c r="D1553" s="2" t="s">
        <v>53</v>
      </c>
      <c r="E1553" s="2" t="s">
        <v>7909</v>
      </c>
      <c r="F1553" s="2"/>
      <c r="G1553" s="2"/>
      <c r="H1553" s="2"/>
      <c r="I1553" s="2"/>
      <c r="J1553" s="2"/>
      <c r="K1553" s="2"/>
      <c r="L1553" s="2"/>
      <c r="M1553" s="2"/>
      <c r="N1553" s="2" t="s">
        <v>7910</v>
      </c>
      <c r="O1553" s="2" t="s">
        <v>7911</v>
      </c>
      <c r="P1553" s="2"/>
      <c r="Q1553" s="2" t="s">
        <v>62</v>
      </c>
      <c r="R1553" s="2" t="n">
        <v>0.35</v>
      </c>
      <c r="S1553" s="2" t="s">
        <v>7912</v>
      </c>
      <c r="T1553" s="2" t="s">
        <v>841</v>
      </c>
      <c r="U1553" s="2" t="s">
        <v>7913</v>
      </c>
      <c r="V1553" s="2" t="s">
        <v>97</v>
      </c>
      <c r="W1553" s="2" t="s">
        <v>4314</v>
      </c>
      <c r="X1553" s="2" t="s">
        <v>507</v>
      </c>
    </row>
    <row r="1554" customFormat="false" ht="15" hidden="false" customHeight="false" outlineLevel="0" collapsed="false">
      <c r="A1554" s="2" t="n">
        <v>1823</v>
      </c>
      <c r="B1554" s="2" t="s">
        <v>7788</v>
      </c>
      <c r="C1554" s="2" t="s">
        <v>7921</v>
      </c>
      <c r="D1554" s="2" t="s">
        <v>53</v>
      </c>
      <c r="E1554" s="2" t="s">
        <v>7909</v>
      </c>
      <c r="F1554" s="2"/>
      <c r="G1554" s="2"/>
      <c r="H1554" s="2"/>
      <c r="I1554" s="2"/>
      <c r="J1554" s="2"/>
      <c r="K1554" s="2"/>
      <c r="L1554" s="2"/>
      <c r="M1554" s="2"/>
      <c r="N1554" s="2" t="s">
        <v>7910</v>
      </c>
      <c r="O1554" s="2" t="s">
        <v>7911</v>
      </c>
      <c r="P1554" s="2"/>
      <c r="Q1554" s="2" t="s">
        <v>62</v>
      </c>
      <c r="R1554" s="2" t="n">
        <v>0.35</v>
      </c>
      <c r="S1554" s="2" t="s">
        <v>7912</v>
      </c>
      <c r="T1554" s="2" t="s">
        <v>841</v>
      </c>
      <c r="U1554" s="2" t="s">
        <v>7913</v>
      </c>
      <c r="V1554" s="2" t="s">
        <v>97</v>
      </c>
      <c r="W1554" s="2" t="s">
        <v>4314</v>
      </c>
      <c r="X1554" s="2" t="s">
        <v>507</v>
      </c>
    </row>
    <row r="1555" customFormat="false" ht="15" hidden="false" customHeight="false" outlineLevel="0" collapsed="false">
      <c r="A1555" s="2" t="n">
        <v>1824</v>
      </c>
      <c r="B1555" s="2" t="s">
        <v>7788</v>
      </c>
      <c r="C1555" s="2" t="s">
        <v>7922</v>
      </c>
      <c r="D1555" s="2" t="s">
        <v>53</v>
      </c>
      <c r="E1555" s="2" t="s">
        <v>7923</v>
      </c>
      <c r="F1555" s="2" t="s">
        <v>7924</v>
      </c>
      <c r="G1555" s="2" t="s">
        <v>862</v>
      </c>
      <c r="H1555" s="2" t="s">
        <v>224</v>
      </c>
      <c r="I1555" s="2" t="s">
        <v>184</v>
      </c>
      <c r="J1555" s="2" t="n">
        <v>-7.972</v>
      </c>
      <c r="K1555" s="2" t="n">
        <v>112.628</v>
      </c>
      <c r="L1555" s="2" t="s">
        <v>84</v>
      </c>
      <c r="M1555" s="2" t="s">
        <v>60</v>
      </c>
      <c r="N1555" s="2"/>
      <c r="O1555" s="2" t="s">
        <v>7925</v>
      </c>
      <c r="P1555" s="2"/>
      <c r="Q1555" s="2" t="s">
        <v>62</v>
      </c>
      <c r="R1555" s="2" t="n">
        <v>0.7</v>
      </c>
      <c r="S1555" s="2" t="s">
        <v>7926</v>
      </c>
      <c r="T1555" s="2" t="s">
        <v>112</v>
      </c>
      <c r="U1555" s="2" t="s">
        <v>7927</v>
      </c>
      <c r="V1555" s="2" t="s">
        <v>4313</v>
      </c>
      <c r="W1555" s="2" t="s">
        <v>783</v>
      </c>
      <c r="X1555" s="2" t="s">
        <v>507</v>
      </c>
    </row>
    <row r="1556" customFormat="false" ht="15" hidden="false" customHeight="false" outlineLevel="0" collapsed="false">
      <c r="A1556" s="2" t="n">
        <v>1824</v>
      </c>
      <c r="B1556" s="2" t="s">
        <v>7788</v>
      </c>
      <c r="C1556" s="2" t="s">
        <v>7928</v>
      </c>
      <c r="D1556" s="2" t="s">
        <v>53</v>
      </c>
      <c r="E1556" s="2" t="s">
        <v>7929</v>
      </c>
      <c r="F1556" s="2" t="s">
        <v>7930</v>
      </c>
      <c r="G1556" s="2" t="s">
        <v>7931</v>
      </c>
      <c r="H1556" s="2" t="s">
        <v>224</v>
      </c>
      <c r="I1556" s="2" t="s">
        <v>184</v>
      </c>
      <c r="J1556" s="2" t="n">
        <v>-8</v>
      </c>
      <c r="K1556" s="2" t="n">
        <v>112.615</v>
      </c>
      <c r="L1556" s="2" t="s">
        <v>84</v>
      </c>
      <c r="M1556" s="2" t="s">
        <v>60</v>
      </c>
      <c r="N1556" s="2"/>
      <c r="O1556" s="2" t="s">
        <v>7932</v>
      </c>
      <c r="P1556" s="2"/>
      <c r="Q1556" s="2" t="s">
        <v>62</v>
      </c>
      <c r="R1556" s="2" t="n">
        <v>0.7</v>
      </c>
      <c r="S1556" s="2" t="s">
        <v>7926</v>
      </c>
      <c r="T1556" s="2" t="s">
        <v>112</v>
      </c>
      <c r="U1556" s="2" t="s">
        <v>7927</v>
      </c>
      <c r="V1556" s="2" t="s">
        <v>4313</v>
      </c>
      <c r="W1556" s="2" t="s">
        <v>783</v>
      </c>
      <c r="X1556" s="2" t="s">
        <v>507</v>
      </c>
    </row>
    <row r="1557" customFormat="false" ht="15" hidden="false" customHeight="false" outlineLevel="0" collapsed="false">
      <c r="A1557" s="2" t="n">
        <v>1824</v>
      </c>
      <c r="B1557" s="2" t="s">
        <v>7788</v>
      </c>
      <c r="C1557" s="2" t="s">
        <v>7933</v>
      </c>
      <c r="D1557" s="2" t="s">
        <v>53</v>
      </c>
      <c r="E1557" s="2" t="s">
        <v>223</v>
      </c>
      <c r="F1557" s="2"/>
      <c r="G1557" s="2"/>
      <c r="H1557" s="2"/>
      <c r="I1557" s="2" t="s">
        <v>184</v>
      </c>
      <c r="J1557" s="2" t="n">
        <v>-7.536</v>
      </c>
      <c r="K1557" s="2" t="n">
        <v>112.238</v>
      </c>
      <c r="L1557" s="2" t="s">
        <v>239</v>
      </c>
      <c r="M1557" s="2" t="s">
        <v>60</v>
      </c>
      <c r="N1557" s="2" t="s">
        <v>838</v>
      </c>
      <c r="O1557" s="2" t="s">
        <v>7934</v>
      </c>
      <c r="P1557" s="2"/>
      <c r="Q1557" s="2" t="s">
        <v>62</v>
      </c>
      <c r="R1557" s="2" t="n">
        <v>0.7</v>
      </c>
      <c r="S1557" s="2" t="s">
        <v>7926</v>
      </c>
      <c r="T1557" s="2" t="s">
        <v>112</v>
      </c>
      <c r="U1557" s="2" t="s">
        <v>7927</v>
      </c>
      <c r="V1557" s="2" t="s">
        <v>4313</v>
      </c>
      <c r="W1557" s="2" t="s">
        <v>783</v>
      </c>
      <c r="X1557" s="2" t="s">
        <v>507</v>
      </c>
    </row>
    <row r="1558" customFormat="false" ht="15" hidden="false" customHeight="false" outlineLevel="0" collapsed="false">
      <c r="A1558" s="2" t="n">
        <v>1825</v>
      </c>
      <c r="B1558" s="2" t="s">
        <v>7788</v>
      </c>
      <c r="C1558" s="2" t="s">
        <v>7935</v>
      </c>
      <c r="D1558" s="2" t="s">
        <v>53</v>
      </c>
      <c r="E1558" s="2" t="s">
        <v>7936</v>
      </c>
      <c r="F1558" s="2"/>
      <c r="G1558" s="2" t="s">
        <v>862</v>
      </c>
      <c r="H1558" s="2" t="s">
        <v>224</v>
      </c>
      <c r="I1558" s="2" t="s">
        <v>184</v>
      </c>
      <c r="J1558" s="2" t="n">
        <v>-7.972</v>
      </c>
      <c r="K1558" s="2" t="n">
        <v>112.628</v>
      </c>
      <c r="L1558" s="2" t="s">
        <v>84</v>
      </c>
      <c r="M1558" s="2" t="s">
        <v>60</v>
      </c>
      <c r="N1558" s="2" t="s">
        <v>7937</v>
      </c>
      <c r="O1558" s="2" t="s">
        <v>7938</v>
      </c>
      <c r="P1558" s="2"/>
      <c r="Q1558" s="2" t="s">
        <v>62</v>
      </c>
      <c r="R1558" s="2" t="n">
        <v>0.75</v>
      </c>
      <c r="S1558" s="2" t="s">
        <v>7939</v>
      </c>
      <c r="T1558" s="2" t="s">
        <v>865</v>
      </c>
      <c r="U1558" s="2" t="s">
        <v>7940</v>
      </c>
      <c r="V1558" s="2" t="s">
        <v>7941</v>
      </c>
      <c r="W1558" s="2" t="s">
        <v>2162</v>
      </c>
      <c r="X1558" s="2" t="s">
        <v>507</v>
      </c>
    </row>
    <row r="1559" customFormat="false" ht="15" hidden="false" customHeight="false" outlineLevel="0" collapsed="false">
      <c r="A1559" s="2" t="n">
        <v>1826</v>
      </c>
      <c r="B1559" s="2" t="s">
        <v>7788</v>
      </c>
      <c r="C1559" s="2" t="s">
        <v>7942</v>
      </c>
      <c r="D1559" s="2" t="s">
        <v>53</v>
      </c>
      <c r="E1559" s="2" t="s">
        <v>7943</v>
      </c>
      <c r="F1559" s="2" t="s">
        <v>7944</v>
      </c>
      <c r="G1559" s="2" t="s">
        <v>862</v>
      </c>
      <c r="H1559" s="2" t="s">
        <v>224</v>
      </c>
      <c r="I1559" s="2" t="s">
        <v>184</v>
      </c>
      <c r="J1559" s="2" t="n">
        <v>-7.972</v>
      </c>
      <c r="K1559" s="2" t="n">
        <v>112.628</v>
      </c>
      <c r="L1559" s="2" t="s">
        <v>84</v>
      </c>
      <c r="M1559" s="2" t="s">
        <v>60</v>
      </c>
      <c r="N1559" s="2"/>
      <c r="O1559" s="2" t="s">
        <v>7945</v>
      </c>
      <c r="P1559" s="2"/>
      <c r="Q1559" s="2" t="s">
        <v>62</v>
      </c>
      <c r="R1559" s="2" t="n">
        <v>0.75</v>
      </c>
      <c r="S1559" s="2" t="s">
        <v>7946</v>
      </c>
      <c r="T1559" s="2" t="s">
        <v>187</v>
      </c>
      <c r="U1559" s="2" t="s">
        <v>7947</v>
      </c>
      <c r="V1559" s="2" t="s">
        <v>420</v>
      </c>
      <c r="W1559" s="2" t="s">
        <v>1482</v>
      </c>
      <c r="X1559" s="2" t="s">
        <v>507</v>
      </c>
    </row>
    <row r="1560" customFormat="false" ht="15" hidden="false" customHeight="false" outlineLevel="0" collapsed="false">
      <c r="A1560" s="2" t="n">
        <v>1826</v>
      </c>
      <c r="B1560" s="2" t="s">
        <v>7788</v>
      </c>
      <c r="C1560" s="2" t="s">
        <v>7948</v>
      </c>
      <c r="D1560" s="2" t="s">
        <v>53</v>
      </c>
      <c r="E1560" s="2" t="s">
        <v>7949</v>
      </c>
      <c r="F1560" s="2"/>
      <c r="G1560" s="2" t="s">
        <v>862</v>
      </c>
      <c r="H1560" s="2" t="s">
        <v>224</v>
      </c>
      <c r="I1560" s="2" t="s">
        <v>184</v>
      </c>
      <c r="J1560" s="2" t="n">
        <v>-7.972</v>
      </c>
      <c r="K1560" s="2" t="n">
        <v>112.628</v>
      </c>
      <c r="L1560" s="2" t="s">
        <v>84</v>
      </c>
      <c r="M1560" s="2" t="s">
        <v>60</v>
      </c>
      <c r="N1560" s="2"/>
      <c r="O1560" s="2" t="s">
        <v>7950</v>
      </c>
      <c r="P1560" s="2"/>
      <c r="Q1560" s="2" t="s">
        <v>62</v>
      </c>
      <c r="R1560" s="2" t="n">
        <v>0.7</v>
      </c>
      <c r="S1560" s="2" t="s">
        <v>7946</v>
      </c>
      <c r="T1560" s="2" t="s">
        <v>187</v>
      </c>
      <c r="U1560" s="2" t="s">
        <v>7947</v>
      </c>
      <c r="V1560" s="2" t="s">
        <v>420</v>
      </c>
      <c r="W1560" s="2" t="s">
        <v>1482</v>
      </c>
      <c r="X1560" s="2" t="s">
        <v>507</v>
      </c>
    </row>
    <row r="1561" customFormat="false" ht="15" hidden="false" customHeight="false" outlineLevel="0" collapsed="false">
      <c r="A1561" s="2" t="n">
        <v>1827</v>
      </c>
      <c r="B1561" s="2" t="s">
        <v>7788</v>
      </c>
      <c r="C1561" s="2" t="s">
        <v>7951</v>
      </c>
      <c r="D1561" s="2" t="s">
        <v>134</v>
      </c>
      <c r="E1561" s="2" t="s">
        <v>224</v>
      </c>
      <c r="F1561" s="2"/>
      <c r="G1561" s="2"/>
      <c r="H1561" s="2" t="s">
        <v>224</v>
      </c>
      <c r="I1561" s="2" t="s">
        <v>184</v>
      </c>
      <c r="J1561" s="2" t="n">
        <v>-7.978</v>
      </c>
      <c r="K1561" s="2" t="n">
        <v>112.63</v>
      </c>
      <c r="L1561" s="2" t="s">
        <v>101</v>
      </c>
      <c r="M1561" s="2" t="s">
        <v>60</v>
      </c>
      <c r="N1561" s="2"/>
      <c r="O1561" s="2" t="s">
        <v>7952</v>
      </c>
      <c r="P1561" s="2"/>
      <c r="Q1561" s="2" t="s">
        <v>62</v>
      </c>
      <c r="R1561" s="2" t="n">
        <v>0.5</v>
      </c>
      <c r="S1561" s="2" t="s">
        <v>7953</v>
      </c>
      <c r="T1561" s="2" t="s">
        <v>176</v>
      </c>
      <c r="U1561" s="2" t="s">
        <v>7954</v>
      </c>
      <c r="V1561" s="2" t="s">
        <v>7955</v>
      </c>
      <c r="W1561" s="2" t="s">
        <v>662</v>
      </c>
      <c r="X1561" s="2" t="s">
        <v>160</v>
      </c>
    </row>
    <row r="1562" customFormat="false" ht="15" hidden="false" customHeight="false" outlineLevel="0" collapsed="false">
      <c r="A1562" s="2" t="n">
        <v>1829</v>
      </c>
      <c r="B1562" s="2" t="s">
        <v>7788</v>
      </c>
      <c r="C1562" s="2" t="s">
        <v>7956</v>
      </c>
      <c r="D1562" s="2" t="s">
        <v>53</v>
      </c>
      <c r="E1562" s="2" t="s">
        <v>224</v>
      </c>
      <c r="F1562" s="2"/>
      <c r="G1562" s="2"/>
      <c r="H1562" s="2" t="s">
        <v>224</v>
      </c>
      <c r="I1562" s="2" t="s">
        <v>184</v>
      </c>
      <c r="J1562" s="2" t="n">
        <v>-7.978</v>
      </c>
      <c r="K1562" s="2" t="n">
        <v>112.63</v>
      </c>
      <c r="L1562" s="2" t="s">
        <v>101</v>
      </c>
      <c r="M1562" s="2" t="s">
        <v>60</v>
      </c>
      <c r="N1562" s="2"/>
      <c r="O1562" s="2" t="s">
        <v>7957</v>
      </c>
      <c r="P1562" s="2"/>
      <c r="Q1562" s="2" t="s">
        <v>62</v>
      </c>
      <c r="R1562" s="2" t="n">
        <v>0.6</v>
      </c>
      <c r="S1562" s="2" t="s">
        <v>7958</v>
      </c>
      <c r="T1562" s="2" t="s">
        <v>176</v>
      </c>
      <c r="U1562" s="2" t="s">
        <v>7959</v>
      </c>
      <c r="V1562" s="2" t="s">
        <v>7960</v>
      </c>
      <c r="W1562" s="2" t="s">
        <v>5388</v>
      </c>
      <c r="X1562" s="2" t="s">
        <v>507</v>
      </c>
    </row>
    <row r="1563" customFormat="false" ht="15" hidden="false" customHeight="false" outlineLevel="0" collapsed="false">
      <c r="A1563" s="2" t="n">
        <v>1834</v>
      </c>
      <c r="B1563" s="2" t="s">
        <v>7961</v>
      </c>
      <c r="C1563" s="2" t="s">
        <v>7962</v>
      </c>
      <c r="D1563" s="2" t="s">
        <v>1140</v>
      </c>
      <c r="E1563" s="2" t="s">
        <v>7963</v>
      </c>
      <c r="F1563" s="2"/>
      <c r="G1563" s="2"/>
      <c r="H1563" s="2" t="s">
        <v>807</v>
      </c>
      <c r="I1563" s="2" t="s">
        <v>184</v>
      </c>
      <c r="J1563" s="2" t="n">
        <v>-7.87</v>
      </c>
      <c r="K1563" s="2" t="n">
        <v>112.525</v>
      </c>
      <c r="L1563" s="2" t="s">
        <v>101</v>
      </c>
      <c r="M1563" s="2" t="s">
        <v>60</v>
      </c>
      <c r="N1563" s="2" t="s">
        <v>7964</v>
      </c>
      <c r="O1563" s="2" t="s">
        <v>7965</v>
      </c>
      <c r="P1563" s="2"/>
      <c r="Q1563" s="2" t="s">
        <v>62</v>
      </c>
      <c r="R1563" s="2" t="n">
        <v>0.75</v>
      </c>
      <c r="S1563" s="2" t="s">
        <v>7966</v>
      </c>
      <c r="T1563" s="2" t="s">
        <v>1236</v>
      </c>
      <c r="U1563" s="2" t="s">
        <v>7967</v>
      </c>
      <c r="V1563" s="2" t="s">
        <v>3330</v>
      </c>
      <c r="W1563" s="2" t="s">
        <v>2506</v>
      </c>
      <c r="X1563" s="2" t="s">
        <v>507</v>
      </c>
    </row>
    <row r="1564" customFormat="false" ht="15" hidden="false" customHeight="false" outlineLevel="0" collapsed="false">
      <c r="A1564" s="2" t="n">
        <v>1834</v>
      </c>
      <c r="B1564" s="2" t="s">
        <v>7961</v>
      </c>
      <c r="C1564" s="2" t="s">
        <v>7968</v>
      </c>
      <c r="D1564" s="2" t="s">
        <v>1130</v>
      </c>
      <c r="E1564" s="2" t="s">
        <v>7963</v>
      </c>
      <c r="F1564" s="2" t="s">
        <v>3904</v>
      </c>
      <c r="G1564" s="2" t="s">
        <v>4262</v>
      </c>
      <c r="H1564" s="2" t="s">
        <v>807</v>
      </c>
      <c r="I1564" s="2" t="s">
        <v>184</v>
      </c>
      <c r="J1564" s="2" t="n">
        <v>-7.8792</v>
      </c>
      <c r="K1564" s="2" t="n">
        <v>112.5196</v>
      </c>
      <c r="L1564" s="2" t="s">
        <v>124</v>
      </c>
      <c r="M1564" s="2" t="s">
        <v>60</v>
      </c>
      <c r="N1564" s="2"/>
      <c r="O1564" s="2" t="s">
        <v>7969</v>
      </c>
      <c r="P1564" s="2"/>
      <c r="Q1564" s="2" t="s">
        <v>62</v>
      </c>
      <c r="R1564" s="2" t="n">
        <v>0.75</v>
      </c>
      <c r="S1564" s="2" t="s">
        <v>7966</v>
      </c>
      <c r="T1564" s="2" t="s">
        <v>1236</v>
      </c>
      <c r="U1564" s="2" t="s">
        <v>7967</v>
      </c>
      <c r="V1564" s="2" t="s">
        <v>3330</v>
      </c>
      <c r="W1564" s="2" t="s">
        <v>2506</v>
      </c>
      <c r="X1564" s="2" t="s">
        <v>507</v>
      </c>
    </row>
    <row r="1565" customFormat="false" ht="15" hidden="false" customHeight="false" outlineLevel="0" collapsed="false">
      <c r="A1565" s="2" t="n">
        <v>1834</v>
      </c>
      <c r="B1565" s="2" t="s">
        <v>7961</v>
      </c>
      <c r="C1565" s="2" t="s">
        <v>7970</v>
      </c>
      <c r="D1565" s="2" t="s">
        <v>410</v>
      </c>
      <c r="E1565" s="2" t="s">
        <v>7971</v>
      </c>
      <c r="F1565" s="2" t="s">
        <v>7972</v>
      </c>
      <c r="G1565" s="2" t="s">
        <v>7973</v>
      </c>
      <c r="H1565" s="2" t="s">
        <v>4294</v>
      </c>
      <c r="I1565" s="2" t="s">
        <v>184</v>
      </c>
      <c r="J1565" s="2" t="n">
        <v>-8.403</v>
      </c>
      <c r="K1565" s="2" t="n">
        <v>112.5345</v>
      </c>
      <c r="L1565" s="2" t="s">
        <v>124</v>
      </c>
      <c r="M1565" s="2" t="s">
        <v>60</v>
      </c>
      <c r="N1565" s="2"/>
      <c r="O1565" s="2" t="s">
        <v>7974</v>
      </c>
      <c r="P1565" s="2"/>
      <c r="Q1565" s="2" t="s">
        <v>62</v>
      </c>
      <c r="R1565" s="2" t="n">
        <v>0.75</v>
      </c>
      <c r="S1565" s="2" t="s">
        <v>7966</v>
      </c>
      <c r="T1565" s="2" t="s">
        <v>1236</v>
      </c>
      <c r="U1565" s="2" t="s">
        <v>7967</v>
      </c>
      <c r="V1565" s="2" t="s">
        <v>3330</v>
      </c>
      <c r="W1565" s="2" t="s">
        <v>2506</v>
      </c>
      <c r="X1565" s="2" t="s">
        <v>507</v>
      </c>
    </row>
    <row r="1566" customFormat="false" ht="15" hidden="false" customHeight="false" outlineLevel="0" collapsed="false">
      <c r="A1566" s="2" t="n">
        <v>1834</v>
      </c>
      <c r="B1566" s="2" t="s">
        <v>7961</v>
      </c>
      <c r="C1566" s="2" t="s">
        <v>7975</v>
      </c>
      <c r="D1566" s="2" t="s">
        <v>410</v>
      </c>
      <c r="E1566" s="2" t="s">
        <v>7976</v>
      </c>
      <c r="F1566" s="2"/>
      <c r="G1566" s="2"/>
      <c r="H1566" s="2" t="s">
        <v>4294</v>
      </c>
      <c r="I1566" s="2" t="s">
        <v>184</v>
      </c>
      <c r="J1566" s="2" t="n">
        <v>-7.9425</v>
      </c>
      <c r="K1566" s="2" t="n">
        <v>112.953</v>
      </c>
      <c r="L1566" s="2" t="s">
        <v>124</v>
      </c>
      <c r="M1566" s="2" t="s">
        <v>60</v>
      </c>
      <c r="N1566" s="2" t="s">
        <v>7977</v>
      </c>
      <c r="O1566" s="2" t="s">
        <v>7978</v>
      </c>
      <c r="P1566" s="2"/>
      <c r="Q1566" s="2" t="s">
        <v>62</v>
      </c>
      <c r="R1566" s="2" t="n">
        <v>0.7</v>
      </c>
      <c r="S1566" s="2" t="s">
        <v>7966</v>
      </c>
      <c r="T1566" s="2" t="s">
        <v>1236</v>
      </c>
      <c r="U1566" s="2" t="s">
        <v>7967</v>
      </c>
      <c r="V1566" s="2" t="s">
        <v>3330</v>
      </c>
      <c r="W1566" s="2" t="s">
        <v>2506</v>
      </c>
      <c r="X1566" s="2" t="s">
        <v>507</v>
      </c>
    </row>
    <row r="1567" customFormat="false" ht="15" hidden="false" customHeight="false" outlineLevel="0" collapsed="false">
      <c r="A1567" s="2" t="n">
        <v>1835</v>
      </c>
      <c r="B1567" s="2" t="s">
        <v>7961</v>
      </c>
      <c r="C1567" s="2" t="s">
        <v>7979</v>
      </c>
      <c r="D1567" s="2" t="s">
        <v>1140</v>
      </c>
      <c r="E1567" s="2" t="s">
        <v>224</v>
      </c>
      <c r="F1567" s="2"/>
      <c r="G1567" s="2"/>
      <c r="H1567" s="2" t="s">
        <v>224</v>
      </c>
      <c r="I1567" s="2" t="s">
        <v>184</v>
      </c>
      <c r="J1567" s="2" t="n">
        <v>-7.978</v>
      </c>
      <c r="K1567" s="2" t="n">
        <v>112.63</v>
      </c>
      <c r="L1567" s="2" t="s">
        <v>101</v>
      </c>
      <c r="M1567" s="2" t="s">
        <v>340</v>
      </c>
      <c r="N1567" s="2"/>
      <c r="O1567" s="2" t="s">
        <v>7980</v>
      </c>
      <c r="P1567" s="2"/>
      <c r="Q1567" s="2" t="s">
        <v>62</v>
      </c>
      <c r="R1567" s="2" t="n">
        <v>0.75</v>
      </c>
      <c r="S1567" s="2" t="s">
        <v>7981</v>
      </c>
      <c r="T1567" s="2" t="s">
        <v>841</v>
      </c>
      <c r="U1567" s="2" t="s">
        <v>7982</v>
      </c>
      <c r="V1567" s="2" t="s">
        <v>7983</v>
      </c>
      <c r="W1567" s="2" t="s">
        <v>1768</v>
      </c>
      <c r="X1567" s="2" t="s">
        <v>507</v>
      </c>
    </row>
    <row r="1568" customFormat="false" ht="15" hidden="false" customHeight="false" outlineLevel="0" collapsed="false">
      <c r="A1568" s="2" t="n">
        <v>1836</v>
      </c>
      <c r="B1568" s="2" t="s">
        <v>7961</v>
      </c>
      <c r="C1568" s="2" t="s">
        <v>7984</v>
      </c>
      <c r="D1568" s="2" t="s">
        <v>134</v>
      </c>
      <c r="E1568" s="2" t="s">
        <v>7985</v>
      </c>
      <c r="F1568" s="2" t="s">
        <v>7986</v>
      </c>
      <c r="G1568" s="2" t="s">
        <v>7987</v>
      </c>
      <c r="H1568" s="2" t="s">
        <v>4294</v>
      </c>
      <c r="I1568" s="2" t="s">
        <v>184</v>
      </c>
      <c r="J1568" s="2" t="n">
        <v>-8.04</v>
      </c>
      <c r="K1568" s="2" t="n">
        <v>112.79</v>
      </c>
      <c r="L1568" s="2" t="s">
        <v>84</v>
      </c>
      <c r="M1568" s="2" t="s">
        <v>60</v>
      </c>
      <c r="N1568" s="2" t="s">
        <v>7988</v>
      </c>
      <c r="O1568" s="2" t="s">
        <v>7989</v>
      </c>
      <c r="P1568" s="2" t="s">
        <v>2996</v>
      </c>
      <c r="Q1568" s="2" t="s">
        <v>62</v>
      </c>
      <c r="R1568" s="2" t="n">
        <v>0.5</v>
      </c>
      <c r="S1568" s="2" t="s">
        <v>7990</v>
      </c>
      <c r="T1568" s="2" t="s">
        <v>7991</v>
      </c>
      <c r="U1568" s="2" t="s">
        <v>7992</v>
      </c>
      <c r="V1568" s="2" t="s">
        <v>7993</v>
      </c>
      <c r="W1568" s="2" t="s">
        <v>67</v>
      </c>
      <c r="X1568" s="2" t="s">
        <v>507</v>
      </c>
    </row>
    <row r="1569" customFormat="false" ht="15" hidden="false" customHeight="false" outlineLevel="0" collapsed="false">
      <c r="A1569" s="2" t="n">
        <v>1836</v>
      </c>
      <c r="B1569" s="2" t="s">
        <v>7961</v>
      </c>
      <c r="C1569" s="2" t="s">
        <v>7975</v>
      </c>
      <c r="D1569" s="2" t="s">
        <v>410</v>
      </c>
      <c r="E1569" s="2" t="s">
        <v>7994</v>
      </c>
      <c r="F1569" s="2"/>
      <c r="G1569" s="2"/>
      <c r="H1569" s="2" t="s">
        <v>4294</v>
      </c>
      <c r="I1569" s="2" t="s">
        <v>184</v>
      </c>
      <c r="J1569" s="2" t="n">
        <v>-7.9425</v>
      </c>
      <c r="K1569" s="2" t="n">
        <v>112.953</v>
      </c>
      <c r="L1569" s="2" t="s">
        <v>124</v>
      </c>
      <c r="M1569" s="2" t="s">
        <v>60</v>
      </c>
      <c r="N1569" s="2" t="s">
        <v>7995</v>
      </c>
      <c r="O1569" s="2" t="s">
        <v>7996</v>
      </c>
      <c r="P1569" s="2" t="s">
        <v>2996</v>
      </c>
      <c r="Q1569" s="2" t="s">
        <v>62</v>
      </c>
      <c r="R1569" s="2" t="n">
        <v>0.5</v>
      </c>
      <c r="S1569" s="2" t="s">
        <v>7990</v>
      </c>
      <c r="T1569" s="2" t="s">
        <v>7991</v>
      </c>
      <c r="U1569" s="2" t="s">
        <v>7992</v>
      </c>
      <c r="V1569" s="2" t="s">
        <v>7993</v>
      </c>
      <c r="W1569" s="2" t="s">
        <v>67</v>
      </c>
      <c r="X1569" s="2" t="s">
        <v>507</v>
      </c>
    </row>
    <row r="1570" customFormat="false" ht="15" hidden="false" customHeight="false" outlineLevel="0" collapsed="false">
      <c r="A1570" s="2" t="n">
        <v>1837</v>
      </c>
      <c r="B1570" s="2" t="s">
        <v>7961</v>
      </c>
      <c r="C1570" s="2" t="s">
        <v>7997</v>
      </c>
      <c r="D1570" s="2" t="s">
        <v>410</v>
      </c>
      <c r="E1570" s="2" t="s">
        <v>4294</v>
      </c>
      <c r="F1570" s="2" t="s">
        <v>7998</v>
      </c>
      <c r="G1570" s="2" t="s">
        <v>7999</v>
      </c>
      <c r="H1570" s="2" t="s">
        <v>4294</v>
      </c>
      <c r="I1570" s="2" t="s">
        <v>184</v>
      </c>
      <c r="J1570" s="2" t="n">
        <v>-8.2303</v>
      </c>
      <c r="K1570" s="2" t="n">
        <v>112.9177</v>
      </c>
      <c r="L1570" s="2" t="s">
        <v>124</v>
      </c>
      <c r="M1570" s="2" t="s">
        <v>60</v>
      </c>
      <c r="N1570" s="2" t="s">
        <v>8000</v>
      </c>
      <c r="O1570" s="2" t="s">
        <v>8001</v>
      </c>
      <c r="P1570" s="2" t="s">
        <v>8002</v>
      </c>
      <c r="Q1570" s="2" t="s">
        <v>62</v>
      </c>
      <c r="R1570" s="2" t="n">
        <v>0.6</v>
      </c>
      <c r="S1570" s="2" t="s">
        <v>8003</v>
      </c>
      <c r="T1570" s="2" t="s">
        <v>810</v>
      </c>
      <c r="U1570" s="2" t="s">
        <v>8004</v>
      </c>
      <c r="V1570" s="2" t="s">
        <v>3343</v>
      </c>
      <c r="W1570" s="2" t="s">
        <v>476</v>
      </c>
      <c r="X1570" s="2" t="s">
        <v>507</v>
      </c>
    </row>
    <row r="1571" customFormat="false" ht="15" hidden="false" customHeight="false" outlineLevel="0" collapsed="false">
      <c r="A1571" s="2" t="n">
        <v>1837</v>
      </c>
      <c r="B1571" s="2" t="s">
        <v>7961</v>
      </c>
      <c r="C1571" s="2" t="s">
        <v>8005</v>
      </c>
      <c r="D1571" s="2" t="s">
        <v>410</v>
      </c>
      <c r="E1571" s="2" t="s">
        <v>4294</v>
      </c>
      <c r="F1571" s="2"/>
      <c r="G1571" s="2"/>
      <c r="H1571" s="2" t="s">
        <v>4294</v>
      </c>
      <c r="I1571" s="2" t="s">
        <v>184</v>
      </c>
      <c r="J1571" s="2" t="n">
        <v>-7.9425</v>
      </c>
      <c r="K1571" s="2" t="n">
        <v>112.953</v>
      </c>
      <c r="L1571" s="2" t="s">
        <v>124</v>
      </c>
      <c r="M1571" s="2" t="s">
        <v>60</v>
      </c>
      <c r="N1571" s="2" t="s">
        <v>8006</v>
      </c>
      <c r="O1571" s="2" t="s">
        <v>8007</v>
      </c>
      <c r="P1571" s="2" t="s">
        <v>8002</v>
      </c>
      <c r="Q1571" s="2" t="s">
        <v>62</v>
      </c>
      <c r="R1571" s="2" t="n">
        <v>0.55</v>
      </c>
      <c r="S1571" s="2" t="s">
        <v>8003</v>
      </c>
      <c r="T1571" s="2" t="s">
        <v>810</v>
      </c>
      <c r="U1571" s="2" t="s">
        <v>8004</v>
      </c>
      <c r="V1571" s="2" t="s">
        <v>3343</v>
      </c>
      <c r="W1571" s="2" t="s">
        <v>476</v>
      </c>
      <c r="X1571" s="2" t="s">
        <v>507</v>
      </c>
    </row>
    <row r="1572" customFormat="false" ht="15" hidden="false" customHeight="false" outlineLevel="0" collapsed="false">
      <c r="A1572" s="2" t="n">
        <v>1838</v>
      </c>
      <c r="B1572" s="2" t="s">
        <v>7961</v>
      </c>
      <c r="C1572" s="2" t="s">
        <v>8008</v>
      </c>
      <c r="D1572" s="2" t="s">
        <v>121</v>
      </c>
      <c r="E1572" s="2" t="s">
        <v>8009</v>
      </c>
      <c r="F1572" s="2" t="s">
        <v>8010</v>
      </c>
      <c r="G1572" s="2" t="s">
        <v>8011</v>
      </c>
      <c r="H1572" s="2" t="s">
        <v>224</v>
      </c>
      <c r="I1572" s="2" t="s">
        <v>184</v>
      </c>
      <c r="J1572" s="2" t="n">
        <v>-8</v>
      </c>
      <c r="K1572" s="2" t="n">
        <v>112.66</v>
      </c>
      <c r="L1572" s="2" t="s">
        <v>84</v>
      </c>
      <c r="M1572" s="2" t="s">
        <v>60</v>
      </c>
      <c r="N1572" s="2"/>
      <c r="O1572" s="2" t="s">
        <v>8012</v>
      </c>
      <c r="P1572" s="2" t="s">
        <v>8013</v>
      </c>
      <c r="Q1572" s="2" t="s">
        <v>110</v>
      </c>
      <c r="R1572" s="2" t="n">
        <v>0.85</v>
      </c>
      <c r="S1572" s="2" t="s">
        <v>8014</v>
      </c>
      <c r="T1572" s="2" t="s">
        <v>865</v>
      </c>
      <c r="U1572" s="2" t="s">
        <v>8015</v>
      </c>
      <c r="V1572" s="2" t="s">
        <v>696</v>
      </c>
      <c r="W1572" s="2" t="s">
        <v>2013</v>
      </c>
      <c r="X1572" s="2" t="s">
        <v>507</v>
      </c>
    </row>
    <row r="1573" customFormat="false" ht="15" hidden="false" customHeight="false" outlineLevel="0" collapsed="false">
      <c r="A1573" s="2" t="n">
        <v>1839</v>
      </c>
      <c r="B1573" s="2" t="s">
        <v>7961</v>
      </c>
      <c r="C1573" s="2" t="s">
        <v>8016</v>
      </c>
      <c r="D1573" s="2" t="s">
        <v>410</v>
      </c>
      <c r="E1573" s="2" t="s">
        <v>7971</v>
      </c>
      <c r="F1573" s="2" t="s">
        <v>8017</v>
      </c>
      <c r="G1573" s="2" t="s">
        <v>2128</v>
      </c>
      <c r="H1573" s="2" t="s">
        <v>4294</v>
      </c>
      <c r="I1573" s="2" t="s">
        <v>184</v>
      </c>
      <c r="J1573" s="2" t="n">
        <v>-8.33</v>
      </c>
      <c r="K1573" s="2" t="n">
        <v>112.64</v>
      </c>
      <c r="L1573" s="2" t="s">
        <v>84</v>
      </c>
      <c r="M1573" s="2" t="s">
        <v>60</v>
      </c>
      <c r="N1573" s="2"/>
      <c r="O1573" s="2" t="s">
        <v>8018</v>
      </c>
      <c r="P1573" s="2" t="s">
        <v>6545</v>
      </c>
      <c r="Q1573" s="2" t="s">
        <v>110</v>
      </c>
      <c r="R1573" s="2" t="n">
        <v>0.55</v>
      </c>
      <c r="S1573" s="2" t="s">
        <v>8019</v>
      </c>
      <c r="T1573" s="2" t="s">
        <v>4378</v>
      </c>
      <c r="U1573" s="2" t="s">
        <v>8020</v>
      </c>
      <c r="V1573" s="2" t="s">
        <v>2948</v>
      </c>
      <c r="W1573" s="2" t="s">
        <v>1750</v>
      </c>
      <c r="X1573" s="2" t="s">
        <v>507</v>
      </c>
    </row>
    <row r="1574" customFormat="false" ht="15" hidden="false" customHeight="false" outlineLevel="0" collapsed="false">
      <c r="A1574" s="2" t="n">
        <v>1841</v>
      </c>
      <c r="B1574" s="2" t="s">
        <v>7961</v>
      </c>
      <c r="C1574" s="2" t="s">
        <v>8021</v>
      </c>
      <c r="D1574" s="2" t="s">
        <v>410</v>
      </c>
      <c r="E1574" s="2" t="s">
        <v>8022</v>
      </c>
      <c r="F1574" s="2" t="s">
        <v>8023</v>
      </c>
      <c r="G1574" s="2" t="s">
        <v>2128</v>
      </c>
      <c r="H1574" s="2" t="s">
        <v>4294</v>
      </c>
      <c r="I1574" s="2" t="s">
        <v>184</v>
      </c>
      <c r="J1574" s="2" t="n">
        <v>-8.33</v>
      </c>
      <c r="K1574" s="2" t="n">
        <v>112.64</v>
      </c>
      <c r="L1574" s="2" t="s">
        <v>84</v>
      </c>
      <c r="M1574" s="2" t="s">
        <v>340</v>
      </c>
      <c r="N1574" s="2"/>
      <c r="O1574" s="2" t="s">
        <v>8024</v>
      </c>
      <c r="P1574" s="2"/>
      <c r="Q1574" s="2" t="s">
        <v>62</v>
      </c>
      <c r="R1574" s="2" t="n">
        <v>0.85</v>
      </c>
      <c r="S1574" s="2" t="s">
        <v>8025</v>
      </c>
      <c r="T1574" s="2" t="s">
        <v>8026</v>
      </c>
      <c r="U1574" s="2" t="s">
        <v>8027</v>
      </c>
      <c r="V1574" s="2" t="s">
        <v>420</v>
      </c>
      <c r="W1574" s="2" t="s">
        <v>4206</v>
      </c>
      <c r="X1574" s="2" t="s">
        <v>507</v>
      </c>
    </row>
    <row r="1575" customFormat="false" ht="15" hidden="false" customHeight="false" outlineLevel="0" collapsed="false">
      <c r="A1575" s="2" t="n">
        <v>1842</v>
      </c>
      <c r="B1575" s="2" t="s">
        <v>7961</v>
      </c>
      <c r="C1575" s="2" t="s">
        <v>8028</v>
      </c>
      <c r="D1575" s="2" t="s">
        <v>410</v>
      </c>
      <c r="E1575" s="2" t="s">
        <v>8029</v>
      </c>
      <c r="F1575" s="2" t="s">
        <v>8017</v>
      </c>
      <c r="G1575" s="2" t="s">
        <v>2128</v>
      </c>
      <c r="H1575" s="2" t="s">
        <v>4294</v>
      </c>
      <c r="I1575" s="2" t="s">
        <v>184</v>
      </c>
      <c r="J1575" s="2" t="n">
        <v>-8.33</v>
      </c>
      <c r="K1575" s="2" t="n">
        <v>112.64</v>
      </c>
      <c r="L1575" s="2" t="s">
        <v>84</v>
      </c>
      <c r="M1575" s="2" t="s">
        <v>60</v>
      </c>
      <c r="N1575" s="2"/>
      <c r="O1575" s="2" t="s">
        <v>8030</v>
      </c>
      <c r="P1575" s="2" t="s">
        <v>6545</v>
      </c>
      <c r="Q1575" s="2" t="s">
        <v>110</v>
      </c>
      <c r="R1575" s="2" t="n">
        <v>0.5</v>
      </c>
      <c r="S1575" s="2" t="s">
        <v>8031</v>
      </c>
      <c r="T1575" s="2" t="s">
        <v>810</v>
      </c>
      <c r="U1575" s="2" t="s">
        <v>8032</v>
      </c>
      <c r="V1575" s="2" t="s">
        <v>8033</v>
      </c>
      <c r="W1575" s="2" t="s">
        <v>67</v>
      </c>
      <c r="X1575" s="2" t="s">
        <v>507</v>
      </c>
    </row>
    <row r="1576" customFormat="false" ht="15" hidden="false" customHeight="false" outlineLevel="0" collapsed="false">
      <c r="A1576" s="2" t="n">
        <v>1845</v>
      </c>
      <c r="B1576" s="2" t="s">
        <v>7961</v>
      </c>
      <c r="C1576" s="2" t="s">
        <v>6541</v>
      </c>
      <c r="D1576" s="2" t="s">
        <v>410</v>
      </c>
      <c r="E1576" s="2" t="s">
        <v>6542</v>
      </c>
      <c r="F1576" s="2"/>
      <c r="G1576" s="2" t="s">
        <v>6543</v>
      </c>
      <c r="H1576" s="2" t="s">
        <v>4294</v>
      </c>
      <c r="I1576" s="2" t="s">
        <v>184</v>
      </c>
      <c r="J1576" s="2" t="n">
        <v>-8.32</v>
      </c>
      <c r="K1576" s="2" t="n">
        <v>112.85</v>
      </c>
      <c r="L1576" s="2" t="s">
        <v>84</v>
      </c>
      <c r="M1576" s="2" t="s">
        <v>60</v>
      </c>
      <c r="N1576" s="2"/>
      <c r="O1576" s="2" t="s">
        <v>8034</v>
      </c>
      <c r="P1576" s="2" t="s">
        <v>6545</v>
      </c>
      <c r="Q1576" s="2" t="s">
        <v>62</v>
      </c>
      <c r="R1576" s="2" t="n">
        <v>0.5</v>
      </c>
      <c r="S1576" s="2" t="s">
        <v>8035</v>
      </c>
      <c r="T1576" s="2" t="s">
        <v>810</v>
      </c>
      <c r="U1576" s="2" t="s">
        <v>8036</v>
      </c>
      <c r="V1576" s="2" t="s">
        <v>97</v>
      </c>
      <c r="W1576" s="2" t="s">
        <v>3023</v>
      </c>
      <c r="X1576" s="2" t="s">
        <v>507</v>
      </c>
    </row>
    <row r="1577" customFormat="false" ht="15" hidden="false" customHeight="false" outlineLevel="0" collapsed="false">
      <c r="A1577" s="2" t="n">
        <v>1846</v>
      </c>
      <c r="B1577" s="2" t="s">
        <v>7961</v>
      </c>
      <c r="C1577" s="2" t="s">
        <v>8037</v>
      </c>
      <c r="D1577" s="2" t="s">
        <v>1140</v>
      </c>
      <c r="E1577" s="2" t="s">
        <v>223</v>
      </c>
      <c r="F1577" s="2" t="s">
        <v>8038</v>
      </c>
      <c r="G1577" s="2" t="s">
        <v>8039</v>
      </c>
      <c r="H1577" s="2" t="s">
        <v>4294</v>
      </c>
      <c r="I1577" s="2" t="s">
        <v>184</v>
      </c>
      <c r="J1577" s="2" t="n">
        <v>-7.9565</v>
      </c>
      <c r="K1577" s="2" t="n">
        <v>112.672</v>
      </c>
      <c r="L1577" s="2" t="s">
        <v>124</v>
      </c>
      <c r="M1577" s="2" t="s">
        <v>60</v>
      </c>
      <c r="N1577" s="2"/>
      <c r="O1577" s="2" t="s">
        <v>8040</v>
      </c>
      <c r="P1577" s="2" t="s">
        <v>2558</v>
      </c>
      <c r="Q1577" s="2" t="s">
        <v>110</v>
      </c>
      <c r="R1577" s="2" t="n">
        <v>0.5</v>
      </c>
      <c r="S1577" s="2" t="s">
        <v>8041</v>
      </c>
      <c r="T1577" s="2" t="s">
        <v>810</v>
      </c>
      <c r="U1577" s="2" t="s">
        <v>8042</v>
      </c>
      <c r="V1577" s="2" t="s">
        <v>8043</v>
      </c>
      <c r="W1577" s="2" t="s">
        <v>6109</v>
      </c>
      <c r="X1577" s="2" t="s">
        <v>507</v>
      </c>
    </row>
    <row r="1578" customFormat="false" ht="15" hidden="false" customHeight="false" outlineLevel="0" collapsed="false">
      <c r="A1578" s="2" t="n">
        <v>1850</v>
      </c>
      <c r="B1578" s="2" t="s">
        <v>7961</v>
      </c>
      <c r="C1578" s="2" t="s">
        <v>8044</v>
      </c>
      <c r="D1578" s="2" t="s">
        <v>1130</v>
      </c>
      <c r="E1578" s="2" t="s">
        <v>224</v>
      </c>
      <c r="F1578" s="2" t="s">
        <v>8045</v>
      </c>
      <c r="G1578" s="2" t="s">
        <v>8046</v>
      </c>
      <c r="H1578" s="2" t="s">
        <v>224</v>
      </c>
      <c r="I1578" s="2" t="s">
        <v>184</v>
      </c>
      <c r="J1578" s="2" t="n">
        <v>-7.945</v>
      </c>
      <c r="K1578" s="2" t="n">
        <v>112.62</v>
      </c>
      <c r="L1578" s="2" t="s">
        <v>84</v>
      </c>
      <c r="M1578" s="2" t="s">
        <v>60</v>
      </c>
      <c r="N1578" s="2"/>
      <c r="O1578" s="2" t="s">
        <v>8047</v>
      </c>
      <c r="P1578" s="2" t="s">
        <v>8048</v>
      </c>
      <c r="Q1578" s="2" t="s">
        <v>62</v>
      </c>
      <c r="R1578" s="2" t="n">
        <v>0.4</v>
      </c>
      <c r="S1578" s="2" t="s">
        <v>8049</v>
      </c>
      <c r="T1578" s="2" t="s">
        <v>8026</v>
      </c>
      <c r="U1578" s="2" t="s">
        <v>8050</v>
      </c>
      <c r="V1578" s="2" t="s">
        <v>8051</v>
      </c>
      <c r="W1578" s="2" t="s">
        <v>2901</v>
      </c>
      <c r="X1578" s="2" t="s">
        <v>507</v>
      </c>
    </row>
    <row r="1579" customFormat="false" ht="15" hidden="false" customHeight="false" outlineLevel="0" collapsed="false">
      <c r="A1579" s="2" t="n">
        <v>1851</v>
      </c>
      <c r="B1579" s="2" t="s">
        <v>7961</v>
      </c>
      <c r="C1579" s="2" t="s">
        <v>8052</v>
      </c>
      <c r="D1579" s="2" t="s">
        <v>134</v>
      </c>
      <c r="E1579" s="2" t="s">
        <v>8053</v>
      </c>
      <c r="F1579" s="2"/>
      <c r="G1579" s="2" t="s">
        <v>862</v>
      </c>
      <c r="H1579" s="2" t="s">
        <v>224</v>
      </c>
      <c r="I1579" s="2" t="s">
        <v>184</v>
      </c>
      <c r="J1579" s="2" t="n">
        <v>-7.972</v>
      </c>
      <c r="K1579" s="2" t="n">
        <v>112.628</v>
      </c>
      <c r="L1579" s="2" t="s">
        <v>84</v>
      </c>
      <c r="M1579" s="2" t="s">
        <v>60</v>
      </c>
      <c r="N1579" s="2"/>
      <c r="O1579" s="2" t="s">
        <v>8054</v>
      </c>
      <c r="P1579" s="2"/>
      <c r="Q1579" s="2" t="s">
        <v>110</v>
      </c>
      <c r="R1579" s="2" t="n">
        <v>0.8</v>
      </c>
      <c r="S1579" s="2" t="s">
        <v>8055</v>
      </c>
      <c r="T1579" s="2" t="s">
        <v>4347</v>
      </c>
      <c r="U1579" s="2" t="s">
        <v>8056</v>
      </c>
      <c r="V1579" s="2" t="s">
        <v>5729</v>
      </c>
      <c r="W1579" s="2" t="s">
        <v>3239</v>
      </c>
      <c r="X1579" s="2" t="s">
        <v>507</v>
      </c>
    </row>
    <row r="1580" customFormat="false" ht="15" hidden="false" customHeight="false" outlineLevel="0" collapsed="false">
      <c r="A1580" s="2" t="n">
        <v>1851</v>
      </c>
      <c r="B1580" s="2" t="s">
        <v>7961</v>
      </c>
      <c r="C1580" s="2" t="s">
        <v>8057</v>
      </c>
      <c r="D1580" s="2" t="s">
        <v>134</v>
      </c>
      <c r="E1580" s="2" t="s">
        <v>223</v>
      </c>
      <c r="F1580" s="2"/>
      <c r="G1580" s="2"/>
      <c r="H1580" s="2"/>
      <c r="I1580" s="2" t="s">
        <v>184</v>
      </c>
      <c r="J1580" s="2" t="n">
        <v>-7.536</v>
      </c>
      <c r="K1580" s="2" t="n">
        <v>112.238</v>
      </c>
      <c r="L1580" s="2" t="s">
        <v>239</v>
      </c>
      <c r="M1580" s="2" t="s">
        <v>60</v>
      </c>
      <c r="N1580" s="2" t="s">
        <v>838</v>
      </c>
      <c r="O1580" s="2" t="s">
        <v>8058</v>
      </c>
      <c r="P1580" s="2"/>
      <c r="Q1580" s="2" t="s">
        <v>110</v>
      </c>
      <c r="R1580" s="2" t="n">
        <v>0.75</v>
      </c>
      <c r="S1580" s="2" t="s">
        <v>8055</v>
      </c>
      <c r="T1580" s="2" t="s">
        <v>4347</v>
      </c>
      <c r="U1580" s="2" t="s">
        <v>8056</v>
      </c>
      <c r="V1580" s="2" t="s">
        <v>5729</v>
      </c>
      <c r="W1580" s="2" t="s">
        <v>3239</v>
      </c>
      <c r="X1580" s="2" t="s">
        <v>507</v>
      </c>
    </row>
    <row r="1581" customFormat="false" ht="15" hidden="false" customHeight="false" outlineLevel="0" collapsed="false">
      <c r="A1581" s="2" t="n">
        <v>1851</v>
      </c>
      <c r="B1581" s="2" t="s">
        <v>7961</v>
      </c>
      <c r="C1581" s="2" t="s">
        <v>8059</v>
      </c>
      <c r="D1581" s="2" t="s">
        <v>134</v>
      </c>
      <c r="E1581" s="2" t="s">
        <v>223</v>
      </c>
      <c r="F1581" s="2"/>
      <c r="G1581" s="2"/>
      <c r="H1581" s="2"/>
      <c r="I1581" s="2" t="s">
        <v>184</v>
      </c>
      <c r="J1581" s="2" t="n">
        <v>-7.536</v>
      </c>
      <c r="K1581" s="2" t="n">
        <v>112.238</v>
      </c>
      <c r="L1581" s="2" t="s">
        <v>239</v>
      </c>
      <c r="M1581" s="2" t="s">
        <v>60</v>
      </c>
      <c r="N1581" s="2" t="s">
        <v>838</v>
      </c>
      <c r="O1581" s="2" t="s">
        <v>8060</v>
      </c>
      <c r="P1581" s="2"/>
      <c r="Q1581" s="2" t="s">
        <v>110</v>
      </c>
      <c r="R1581" s="2" t="n">
        <v>0.75</v>
      </c>
      <c r="S1581" s="2" t="s">
        <v>8055</v>
      </c>
      <c r="T1581" s="2" t="s">
        <v>4347</v>
      </c>
      <c r="U1581" s="2" t="s">
        <v>8056</v>
      </c>
      <c r="V1581" s="2" t="s">
        <v>5729</v>
      </c>
      <c r="W1581" s="2" t="s">
        <v>3239</v>
      </c>
      <c r="X1581" s="2" t="s">
        <v>507</v>
      </c>
    </row>
    <row r="1582" customFormat="false" ht="15" hidden="false" customHeight="false" outlineLevel="0" collapsed="false">
      <c r="A1582" s="2" t="n">
        <v>1852</v>
      </c>
      <c r="B1582" s="2" t="s">
        <v>7961</v>
      </c>
      <c r="C1582" s="2" t="s">
        <v>8061</v>
      </c>
      <c r="D1582" s="2" t="s">
        <v>351</v>
      </c>
      <c r="E1582" s="2" t="s">
        <v>224</v>
      </c>
      <c r="F1582" s="2" t="s">
        <v>7944</v>
      </c>
      <c r="G1582" s="2" t="s">
        <v>862</v>
      </c>
      <c r="H1582" s="2" t="s">
        <v>224</v>
      </c>
      <c r="I1582" s="2" t="s">
        <v>184</v>
      </c>
      <c r="J1582" s="2" t="n">
        <v>-7.9826</v>
      </c>
      <c r="K1582" s="2" t="n">
        <v>112.6308</v>
      </c>
      <c r="L1582" s="2" t="s">
        <v>124</v>
      </c>
      <c r="M1582" s="2" t="s">
        <v>60</v>
      </c>
      <c r="N1582" s="2"/>
      <c r="O1582" s="2" t="s">
        <v>8062</v>
      </c>
      <c r="P1582" s="2"/>
      <c r="Q1582" s="2" t="s">
        <v>110</v>
      </c>
      <c r="R1582" s="2" t="n">
        <v>0.45</v>
      </c>
      <c r="S1582" s="2" t="s">
        <v>8063</v>
      </c>
      <c r="T1582" s="2" t="s">
        <v>8064</v>
      </c>
      <c r="U1582" s="2" t="s">
        <v>8065</v>
      </c>
      <c r="V1582" s="2" t="s">
        <v>8066</v>
      </c>
      <c r="W1582" s="2" t="s">
        <v>2379</v>
      </c>
      <c r="X1582" s="2" t="s">
        <v>507</v>
      </c>
    </row>
    <row r="1583" customFormat="false" ht="15" hidden="false" customHeight="false" outlineLevel="0" collapsed="false">
      <c r="A1583" s="2" t="n">
        <v>1853</v>
      </c>
      <c r="B1583" s="2" t="s">
        <v>7961</v>
      </c>
      <c r="C1583" s="2" t="s">
        <v>859</v>
      </c>
      <c r="D1583" s="2" t="s">
        <v>410</v>
      </c>
      <c r="E1583" s="2" t="s">
        <v>8067</v>
      </c>
      <c r="F1583" s="2" t="s">
        <v>861</v>
      </c>
      <c r="G1583" s="2" t="s">
        <v>862</v>
      </c>
      <c r="H1583" s="2" t="s">
        <v>224</v>
      </c>
      <c r="I1583" s="2" t="s">
        <v>184</v>
      </c>
      <c r="J1583" s="2" t="n">
        <v>-7.972</v>
      </c>
      <c r="K1583" s="2" t="n">
        <v>112.628</v>
      </c>
      <c r="L1583" s="2" t="s">
        <v>84</v>
      </c>
      <c r="M1583" s="2" t="s">
        <v>60</v>
      </c>
      <c r="N1583" s="2"/>
      <c r="O1583" s="2" t="s">
        <v>8068</v>
      </c>
      <c r="P1583" s="2" t="s">
        <v>8069</v>
      </c>
      <c r="Q1583" s="2" t="s">
        <v>62</v>
      </c>
      <c r="R1583" s="2" t="n">
        <v>0.55</v>
      </c>
      <c r="S1583" s="2" t="s">
        <v>8070</v>
      </c>
      <c r="T1583" s="2" t="s">
        <v>1866</v>
      </c>
      <c r="U1583" s="2" t="s">
        <v>8071</v>
      </c>
      <c r="V1583" s="2" t="s">
        <v>8072</v>
      </c>
      <c r="W1583" s="2" t="s">
        <v>1810</v>
      </c>
      <c r="X1583" s="2" t="s">
        <v>507</v>
      </c>
    </row>
    <row r="1584" customFormat="false" ht="15" hidden="false" customHeight="false" outlineLevel="0" collapsed="false">
      <c r="A1584" s="2" t="n">
        <v>1854</v>
      </c>
      <c r="B1584" s="2" t="s">
        <v>7961</v>
      </c>
      <c r="C1584" s="2" t="s">
        <v>8073</v>
      </c>
      <c r="D1584" s="2" t="s">
        <v>351</v>
      </c>
      <c r="E1584" s="2" t="s">
        <v>224</v>
      </c>
      <c r="F1584" s="2" t="s">
        <v>6773</v>
      </c>
      <c r="G1584" s="2" t="s">
        <v>862</v>
      </c>
      <c r="H1584" s="2" t="s">
        <v>224</v>
      </c>
      <c r="I1584" s="2" t="s">
        <v>184</v>
      </c>
      <c r="J1584" s="2" t="n">
        <v>-7.9567</v>
      </c>
      <c r="K1584" s="2" t="n">
        <v>112.618</v>
      </c>
      <c r="L1584" s="2" t="s">
        <v>124</v>
      </c>
      <c r="M1584" s="2" t="s">
        <v>60</v>
      </c>
      <c r="N1584" s="2"/>
      <c r="O1584" s="2" t="s">
        <v>8074</v>
      </c>
      <c r="P1584" s="2"/>
      <c r="Q1584" s="2" t="s">
        <v>110</v>
      </c>
      <c r="R1584" s="2" t="n">
        <v>0.5</v>
      </c>
      <c r="S1584" s="2" t="s">
        <v>8075</v>
      </c>
      <c r="T1584" s="2" t="s">
        <v>865</v>
      </c>
      <c r="U1584" s="2" t="s">
        <v>8076</v>
      </c>
      <c r="V1584" s="2" t="s">
        <v>5487</v>
      </c>
      <c r="W1584" s="2" t="s">
        <v>795</v>
      </c>
      <c r="X1584" s="2" t="s">
        <v>507</v>
      </c>
    </row>
    <row r="1585" customFormat="false" ht="15" hidden="false" customHeight="false" outlineLevel="0" collapsed="false">
      <c r="A1585" s="2" t="n">
        <v>1856</v>
      </c>
      <c r="B1585" s="2" t="s">
        <v>7961</v>
      </c>
      <c r="C1585" s="2" t="s">
        <v>8077</v>
      </c>
      <c r="D1585" s="2" t="s">
        <v>53</v>
      </c>
      <c r="E1585" s="2" t="s">
        <v>224</v>
      </c>
      <c r="F1585" s="2" t="s">
        <v>862</v>
      </c>
      <c r="G1585" s="2" t="s">
        <v>862</v>
      </c>
      <c r="H1585" s="2" t="s">
        <v>224</v>
      </c>
      <c r="I1585" s="2" t="s">
        <v>184</v>
      </c>
      <c r="J1585" s="2" t="n">
        <v>-7.972</v>
      </c>
      <c r="K1585" s="2" t="n">
        <v>112.628</v>
      </c>
      <c r="L1585" s="2" t="s">
        <v>84</v>
      </c>
      <c r="M1585" s="2" t="s">
        <v>60</v>
      </c>
      <c r="N1585" s="2"/>
      <c r="O1585" s="2" t="s">
        <v>8078</v>
      </c>
      <c r="P1585" s="2"/>
      <c r="Q1585" s="2" t="s">
        <v>62</v>
      </c>
      <c r="R1585" s="2" t="n">
        <v>0.7</v>
      </c>
      <c r="S1585" s="2" t="s">
        <v>8079</v>
      </c>
      <c r="T1585" s="2" t="s">
        <v>865</v>
      </c>
      <c r="U1585" s="2" t="s">
        <v>8080</v>
      </c>
      <c r="V1585" s="2" t="s">
        <v>646</v>
      </c>
      <c r="W1585" s="2" t="s">
        <v>776</v>
      </c>
      <c r="X1585" s="2" t="s">
        <v>507</v>
      </c>
    </row>
    <row r="1586" customFormat="false" ht="15" hidden="false" customHeight="false" outlineLevel="0" collapsed="false">
      <c r="A1586" s="2" t="n">
        <v>1856</v>
      </c>
      <c r="B1586" s="2" t="s">
        <v>7961</v>
      </c>
      <c r="C1586" s="2" t="s">
        <v>8081</v>
      </c>
      <c r="D1586" s="2" t="s">
        <v>134</v>
      </c>
      <c r="E1586" s="2" t="s">
        <v>8082</v>
      </c>
      <c r="F1586" s="2" t="s">
        <v>862</v>
      </c>
      <c r="G1586" s="2" t="s">
        <v>862</v>
      </c>
      <c r="H1586" s="2" t="s">
        <v>224</v>
      </c>
      <c r="I1586" s="2" t="s">
        <v>184</v>
      </c>
      <c r="J1586" s="2" t="n">
        <v>-7.972</v>
      </c>
      <c r="K1586" s="2" t="n">
        <v>112.628</v>
      </c>
      <c r="L1586" s="2" t="s">
        <v>84</v>
      </c>
      <c r="M1586" s="2" t="s">
        <v>60</v>
      </c>
      <c r="N1586" s="2"/>
      <c r="O1586" s="2" t="s">
        <v>8083</v>
      </c>
      <c r="P1586" s="2"/>
      <c r="Q1586" s="2" t="s">
        <v>62</v>
      </c>
      <c r="R1586" s="2" t="n">
        <v>0.6</v>
      </c>
      <c r="S1586" s="2" t="s">
        <v>8079</v>
      </c>
      <c r="T1586" s="2" t="s">
        <v>865</v>
      </c>
      <c r="U1586" s="2" t="s">
        <v>8080</v>
      </c>
      <c r="V1586" s="2" t="s">
        <v>646</v>
      </c>
      <c r="W1586" s="2" t="s">
        <v>776</v>
      </c>
      <c r="X1586" s="2" t="s">
        <v>507</v>
      </c>
    </row>
    <row r="1587" customFormat="false" ht="15" hidden="false" customHeight="false" outlineLevel="0" collapsed="false">
      <c r="A1587" s="2" t="n">
        <v>1856</v>
      </c>
      <c r="B1587" s="2" t="s">
        <v>7961</v>
      </c>
      <c r="C1587" s="2" t="s">
        <v>8084</v>
      </c>
      <c r="D1587" s="2" t="s">
        <v>53</v>
      </c>
      <c r="E1587" s="2" t="s">
        <v>8082</v>
      </c>
      <c r="F1587" s="2" t="s">
        <v>862</v>
      </c>
      <c r="G1587" s="2" t="s">
        <v>862</v>
      </c>
      <c r="H1587" s="2" t="s">
        <v>224</v>
      </c>
      <c r="I1587" s="2" t="s">
        <v>184</v>
      </c>
      <c r="J1587" s="2" t="n">
        <v>-7.972</v>
      </c>
      <c r="K1587" s="2" t="n">
        <v>112.628</v>
      </c>
      <c r="L1587" s="2" t="s">
        <v>84</v>
      </c>
      <c r="M1587" s="2" t="s">
        <v>60</v>
      </c>
      <c r="N1587" s="2"/>
      <c r="O1587" s="2" t="s">
        <v>8085</v>
      </c>
      <c r="P1587" s="2"/>
      <c r="Q1587" s="2" t="s">
        <v>62</v>
      </c>
      <c r="R1587" s="2" t="n">
        <v>0.55</v>
      </c>
      <c r="S1587" s="2" t="s">
        <v>8079</v>
      </c>
      <c r="T1587" s="2" t="s">
        <v>865</v>
      </c>
      <c r="U1587" s="2" t="s">
        <v>8080</v>
      </c>
      <c r="V1587" s="2" t="s">
        <v>646</v>
      </c>
      <c r="W1587" s="2" t="s">
        <v>776</v>
      </c>
      <c r="X1587" s="2" t="s">
        <v>507</v>
      </c>
    </row>
    <row r="1588" customFormat="false" ht="15" hidden="false" customHeight="false" outlineLevel="0" collapsed="false">
      <c r="A1588" s="2" t="n">
        <v>1857</v>
      </c>
      <c r="B1588" s="2" t="s">
        <v>7961</v>
      </c>
      <c r="C1588" s="2" t="s">
        <v>8086</v>
      </c>
      <c r="D1588" s="2" t="s">
        <v>53</v>
      </c>
      <c r="E1588" s="2" t="s">
        <v>8082</v>
      </c>
      <c r="F1588" s="2" t="s">
        <v>862</v>
      </c>
      <c r="G1588" s="2" t="s">
        <v>862</v>
      </c>
      <c r="H1588" s="2" t="s">
        <v>224</v>
      </c>
      <c r="I1588" s="2" t="s">
        <v>184</v>
      </c>
      <c r="J1588" s="2" t="n">
        <v>-7.972</v>
      </c>
      <c r="K1588" s="2" t="n">
        <v>112.628</v>
      </c>
      <c r="L1588" s="2" t="s">
        <v>84</v>
      </c>
      <c r="M1588" s="2" t="s">
        <v>60</v>
      </c>
      <c r="N1588" s="2"/>
      <c r="O1588" s="2" t="s">
        <v>8087</v>
      </c>
      <c r="P1588" s="2"/>
      <c r="Q1588" s="2" t="s">
        <v>110</v>
      </c>
      <c r="R1588" s="2" t="n">
        <v>0.8</v>
      </c>
      <c r="S1588" s="2" t="s">
        <v>8088</v>
      </c>
      <c r="T1588" s="2" t="s">
        <v>8026</v>
      </c>
      <c r="U1588" s="2" t="s">
        <v>8089</v>
      </c>
      <c r="V1588" s="2" t="s">
        <v>8090</v>
      </c>
      <c r="W1588" s="2" t="s">
        <v>3823</v>
      </c>
      <c r="X1588" s="2" t="s">
        <v>507</v>
      </c>
    </row>
    <row r="1589" customFormat="false" ht="15" hidden="false" customHeight="false" outlineLevel="0" collapsed="false">
      <c r="A1589" s="2" t="n">
        <v>1858</v>
      </c>
      <c r="B1589" s="2" t="s">
        <v>7961</v>
      </c>
      <c r="C1589" s="2" t="s">
        <v>8091</v>
      </c>
      <c r="D1589" s="2" t="s">
        <v>53</v>
      </c>
      <c r="E1589" s="2" t="s">
        <v>224</v>
      </c>
      <c r="F1589" s="2"/>
      <c r="G1589" s="2"/>
      <c r="H1589" s="2" t="s">
        <v>224</v>
      </c>
      <c r="I1589" s="2" t="s">
        <v>184</v>
      </c>
      <c r="J1589" s="2" t="n">
        <v>-7.978</v>
      </c>
      <c r="K1589" s="2" t="n">
        <v>112.63</v>
      </c>
      <c r="L1589" s="2" t="s">
        <v>101</v>
      </c>
      <c r="M1589" s="2" t="s">
        <v>60</v>
      </c>
      <c r="N1589" s="2"/>
      <c r="O1589" s="2" t="s">
        <v>8092</v>
      </c>
      <c r="P1589" s="2"/>
      <c r="Q1589" s="2" t="s">
        <v>62</v>
      </c>
      <c r="R1589" s="2" t="n">
        <v>0.5</v>
      </c>
      <c r="S1589" s="2" t="s">
        <v>8093</v>
      </c>
      <c r="T1589" s="2" t="s">
        <v>841</v>
      </c>
      <c r="U1589" s="2" t="s">
        <v>8094</v>
      </c>
      <c r="V1589" s="2" t="s">
        <v>4313</v>
      </c>
      <c r="W1589" s="2" t="s">
        <v>2431</v>
      </c>
      <c r="X1589" s="2" t="s">
        <v>507</v>
      </c>
    </row>
    <row r="1590" customFormat="false" ht="15" hidden="false" customHeight="false" outlineLevel="0" collapsed="false">
      <c r="A1590" s="2" t="n">
        <v>1860</v>
      </c>
      <c r="B1590" s="2" t="s">
        <v>8095</v>
      </c>
      <c r="C1590" s="2" t="s">
        <v>8096</v>
      </c>
      <c r="D1590" s="2" t="s">
        <v>134</v>
      </c>
      <c r="E1590" s="2" t="s">
        <v>8097</v>
      </c>
      <c r="F1590" s="2"/>
      <c r="G1590" s="2" t="s">
        <v>8046</v>
      </c>
      <c r="H1590" s="2" t="s">
        <v>224</v>
      </c>
      <c r="I1590" s="2" t="s">
        <v>184</v>
      </c>
      <c r="J1590" s="2" t="n">
        <v>-7.945</v>
      </c>
      <c r="K1590" s="2" t="n">
        <v>112.62</v>
      </c>
      <c r="L1590" s="2" t="s">
        <v>84</v>
      </c>
      <c r="M1590" s="2" t="s">
        <v>60</v>
      </c>
      <c r="N1590" s="2"/>
      <c r="O1590" s="2" t="s">
        <v>8098</v>
      </c>
      <c r="P1590" s="2"/>
      <c r="Q1590" s="2" t="s">
        <v>62</v>
      </c>
      <c r="R1590" s="2" t="n">
        <v>0.7</v>
      </c>
      <c r="S1590" s="2" t="s">
        <v>8099</v>
      </c>
      <c r="T1590" s="2" t="s">
        <v>865</v>
      </c>
      <c r="U1590" s="2" t="s">
        <v>8100</v>
      </c>
      <c r="V1590" s="2" t="s">
        <v>745</v>
      </c>
      <c r="W1590" s="2" t="s">
        <v>190</v>
      </c>
      <c r="X1590" s="2" t="s">
        <v>507</v>
      </c>
    </row>
    <row r="1591" customFormat="false" ht="15" hidden="false" customHeight="false" outlineLevel="0" collapsed="false">
      <c r="A1591" s="2" t="n">
        <v>1863</v>
      </c>
      <c r="B1591" s="2" t="s">
        <v>8095</v>
      </c>
      <c r="C1591" s="2" t="s">
        <v>8101</v>
      </c>
      <c r="D1591" s="2" t="s">
        <v>121</v>
      </c>
      <c r="E1591" s="2" t="s">
        <v>8102</v>
      </c>
      <c r="F1591" s="2" t="s">
        <v>6773</v>
      </c>
      <c r="G1591" s="2" t="s">
        <v>862</v>
      </c>
      <c r="H1591" s="2" t="s">
        <v>224</v>
      </c>
      <c r="I1591" s="2" t="s">
        <v>184</v>
      </c>
      <c r="J1591" s="2" t="n">
        <v>-7.9567</v>
      </c>
      <c r="K1591" s="2" t="n">
        <v>112.618</v>
      </c>
      <c r="L1591" s="2" t="s">
        <v>124</v>
      </c>
      <c r="M1591" s="2" t="s">
        <v>60</v>
      </c>
      <c r="N1591" s="2" t="s">
        <v>8103</v>
      </c>
      <c r="O1591" s="2" t="s">
        <v>8104</v>
      </c>
      <c r="P1591" s="2" t="s">
        <v>5005</v>
      </c>
      <c r="Q1591" s="2" t="s">
        <v>62</v>
      </c>
      <c r="R1591" s="2" t="n">
        <v>0.8</v>
      </c>
      <c r="S1591" s="2" t="s">
        <v>8105</v>
      </c>
      <c r="T1591" s="2" t="s">
        <v>865</v>
      </c>
      <c r="U1591" s="2" t="s">
        <v>8106</v>
      </c>
      <c r="V1591" s="2" t="s">
        <v>4380</v>
      </c>
      <c r="W1591" s="2" t="s">
        <v>1397</v>
      </c>
      <c r="X1591" s="2" t="s">
        <v>507</v>
      </c>
    </row>
    <row r="1592" customFormat="false" ht="15" hidden="false" customHeight="false" outlineLevel="0" collapsed="false">
      <c r="A1592" s="2" t="n">
        <v>1864</v>
      </c>
      <c r="B1592" s="2" t="s">
        <v>8095</v>
      </c>
      <c r="C1592" s="2" t="s">
        <v>8107</v>
      </c>
      <c r="D1592" s="2" t="s">
        <v>121</v>
      </c>
      <c r="E1592" s="2" t="s">
        <v>8108</v>
      </c>
      <c r="F1592" s="2" t="s">
        <v>7930</v>
      </c>
      <c r="G1592" s="2" t="s">
        <v>7931</v>
      </c>
      <c r="H1592" s="2" t="s">
        <v>224</v>
      </c>
      <c r="I1592" s="2" t="s">
        <v>184</v>
      </c>
      <c r="J1592" s="2" t="n">
        <v>-8</v>
      </c>
      <c r="K1592" s="2" t="n">
        <v>112.615</v>
      </c>
      <c r="L1592" s="2" t="s">
        <v>84</v>
      </c>
      <c r="M1592" s="2" t="s">
        <v>60</v>
      </c>
      <c r="N1592" s="2"/>
      <c r="O1592" s="2" t="s">
        <v>8109</v>
      </c>
      <c r="P1592" s="2" t="s">
        <v>8110</v>
      </c>
      <c r="Q1592" s="2" t="s">
        <v>62</v>
      </c>
      <c r="R1592" s="2" t="n">
        <v>0.8</v>
      </c>
      <c r="S1592" s="2" t="s">
        <v>8111</v>
      </c>
      <c r="T1592" s="2" t="s">
        <v>8112</v>
      </c>
      <c r="U1592" s="2" t="s">
        <v>8113</v>
      </c>
      <c r="V1592" s="2" t="s">
        <v>2070</v>
      </c>
      <c r="W1592" s="2" t="s">
        <v>6601</v>
      </c>
      <c r="X1592" s="2" t="s">
        <v>507</v>
      </c>
    </row>
    <row r="1593" customFormat="false" ht="15" hidden="false" customHeight="false" outlineLevel="0" collapsed="false">
      <c r="A1593" s="2" t="n">
        <v>1865</v>
      </c>
      <c r="B1593" s="2" t="s">
        <v>8095</v>
      </c>
      <c r="C1593" s="2" t="s">
        <v>8114</v>
      </c>
      <c r="D1593" s="2" t="s">
        <v>121</v>
      </c>
      <c r="E1593" s="2" t="s">
        <v>8115</v>
      </c>
      <c r="F1593" s="2"/>
      <c r="G1593" s="2"/>
      <c r="H1593" s="2"/>
      <c r="I1593" s="2" t="s">
        <v>184</v>
      </c>
      <c r="J1593" s="2" t="n">
        <v>-7.536</v>
      </c>
      <c r="K1593" s="2" t="n">
        <v>112.238</v>
      </c>
      <c r="L1593" s="2" t="s">
        <v>239</v>
      </c>
      <c r="M1593" s="2" t="s">
        <v>60</v>
      </c>
      <c r="N1593" s="2" t="s">
        <v>838</v>
      </c>
      <c r="O1593" s="2" t="s">
        <v>8116</v>
      </c>
      <c r="P1593" s="2" t="s">
        <v>6597</v>
      </c>
      <c r="Q1593" s="2" t="s">
        <v>62</v>
      </c>
      <c r="R1593" s="2" t="n">
        <v>0.45</v>
      </c>
      <c r="S1593" s="2" t="s">
        <v>8117</v>
      </c>
      <c r="T1593" s="2" t="s">
        <v>8026</v>
      </c>
      <c r="U1593" s="2" t="s">
        <v>8118</v>
      </c>
      <c r="V1593" s="2" t="s">
        <v>6878</v>
      </c>
      <c r="W1593" s="2" t="s">
        <v>115</v>
      </c>
      <c r="X1593" s="2" t="s">
        <v>507</v>
      </c>
    </row>
    <row r="1594" customFormat="false" ht="15" hidden="false" customHeight="false" outlineLevel="0" collapsed="false">
      <c r="A1594" s="2" t="n">
        <v>1870</v>
      </c>
      <c r="B1594" s="2" t="s">
        <v>8095</v>
      </c>
      <c r="C1594" s="2" t="s">
        <v>8119</v>
      </c>
      <c r="D1594" s="2" t="s">
        <v>53</v>
      </c>
      <c r="E1594" s="2" t="s">
        <v>8120</v>
      </c>
      <c r="F1594" s="2" t="s">
        <v>988</v>
      </c>
      <c r="G1594" s="2" t="s">
        <v>990</v>
      </c>
      <c r="H1594" s="2" t="s">
        <v>576</v>
      </c>
      <c r="I1594" s="2" t="s">
        <v>577</v>
      </c>
      <c r="J1594" s="2" t="n">
        <v>-8.648</v>
      </c>
      <c r="K1594" s="2" t="n">
        <v>115.138</v>
      </c>
      <c r="L1594" s="2" t="s">
        <v>59</v>
      </c>
      <c r="M1594" s="2" t="s">
        <v>340</v>
      </c>
      <c r="N1594" s="2"/>
      <c r="O1594" s="2" t="s">
        <v>8121</v>
      </c>
      <c r="P1594" s="2"/>
      <c r="Q1594" s="2" t="s">
        <v>62</v>
      </c>
      <c r="R1594" s="2" t="n">
        <v>0.75</v>
      </c>
      <c r="S1594" s="2" t="s">
        <v>8122</v>
      </c>
      <c r="T1594" s="2" t="s">
        <v>112</v>
      </c>
      <c r="U1594" s="2" t="s">
        <v>8123</v>
      </c>
      <c r="V1594" s="2" t="s">
        <v>8124</v>
      </c>
      <c r="W1594" s="2" t="s">
        <v>2489</v>
      </c>
      <c r="X1594" s="2" t="s">
        <v>507</v>
      </c>
    </row>
    <row r="1595" customFormat="false" ht="15" hidden="false" customHeight="false" outlineLevel="0" collapsed="false">
      <c r="A1595" s="2" t="n">
        <v>1870</v>
      </c>
      <c r="B1595" s="2" t="s">
        <v>8095</v>
      </c>
      <c r="C1595" s="2" t="s">
        <v>8125</v>
      </c>
      <c r="D1595" s="2" t="s">
        <v>53</v>
      </c>
      <c r="E1595" s="2" t="s">
        <v>8126</v>
      </c>
      <c r="F1595" s="2" t="s">
        <v>8127</v>
      </c>
      <c r="G1595" s="2" t="s">
        <v>992</v>
      </c>
      <c r="H1595" s="2" t="s">
        <v>994</v>
      </c>
      <c r="I1595" s="2" t="s">
        <v>577</v>
      </c>
      <c r="J1595" s="2" t="n">
        <v>-8.495</v>
      </c>
      <c r="K1595" s="2" t="n">
        <v>115.25</v>
      </c>
      <c r="L1595" s="2" t="s">
        <v>59</v>
      </c>
      <c r="M1595" s="2" t="s">
        <v>340</v>
      </c>
      <c r="N1595" s="2"/>
      <c r="O1595" s="2" t="s">
        <v>8128</v>
      </c>
      <c r="P1595" s="2"/>
      <c r="Q1595" s="2" t="s">
        <v>62</v>
      </c>
      <c r="R1595" s="2" t="n">
        <v>0.8</v>
      </c>
      <c r="S1595" s="2" t="s">
        <v>8122</v>
      </c>
      <c r="T1595" s="2" t="s">
        <v>112</v>
      </c>
      <c r="U1595" s="2" t="s">
        <v>8123</v>
      </c>
      <c r="V1595" s="2" t="s">
        <v>8124</v>
      </c>
      <c r="W1595" s="2" t="s">
        <v>2489</v>
      </c>
      <c r="X1595" s="2" t="s">
        <v>507</v>
      </c>
    </row>
    <row r="1596" customFormat="false" ht="15" hidden="false" customHeight="false" outlineLevel="0" collapsed="false">
      <c r="A1596" s="2" t="n">
        <v>1871</v>
      </c>
      <c r="B1596" s="2" t="s">
        <v>8095</v>
      </c>
      <c r="C1596" s="2" t="s">
        <v>8129</v>
      </c>
      <c r="D1596" s="2" t="s">
        <v>53</v>
      </c>
      <c r="E1596" s="2" t="s">
        <v>8130</v>
      </c>
      <c r="F1596" s="2"/>
      <c r="G1596" s="2"/>
      <c r="H1596" s="2" t="s">
        <v>4433</v>
      </c>
      <c r="I1596" s="2" t="s">
        <v>577</v>
      </c>
      <c r="J1596" s="2" t="n">
        <v>-8.65</v>
      </c>
      <c r="K1596" s="2" t="n">
        <v>115.22</v>
      </c>
      <c r="L1596" s="2" t="s">
        <v>101</v>
      </c>
      <c r="M1596" s="2" t="s">
        <v>340</v>
      </c>
      <c r="N1596" s="2"/>
      <c r="O1596" s="2" t="s">
        <v>8131</v>
      </c>
      <c r="P1596" s="2"/>
      <c r="Q1596" s="2" t="s">
        <v>62</v>
      </c>
      <c r="R1596" s="2" t="n">
        <v>0.6</v>
      </c>
      <c r="S1596" s="2" t="s">
        <v>8132</v>
      </c>
      <c r="T1596" s="2" t="s">
        <v>176</v>
      </c>
      <c r="U1596" s="2" t="s">
        <v>8133</v>
      </c>
      <c r="V1596" s="2" t="s">
        <v>8134</v>
      </c>
      <c r="W1596" s="2" t="s">
        <v>6601</v>
      </c>
      <c r="X1596" s="2" t="s">
        <v>507</v>
      </c>
    </row>
    <row r="1597" customFormat="false" ht="15" hidden="false" customHeight="false" outlineLevel="0" collapsed="false">
      <c r="A1597" s="2" t="n">
        <v>1872</v>
      </c>
      <c r="B1597" s="2" t="s">
        <v>8095</v>
      </c>
      <c r="C1597" s="2" t="s">
        <v>8135</v>
      </c>
      <c r="D1597" s="2" t="s">
        <v>53</v>
      </c>
      <c r="E1597" s="2" t="s">
        <v>8136</v>
      </c>
      <c r="F1597" s="2"/>
      <c r="G1597" s="2" t="s">
        <v>4440</v>
      </c>
      <c r="H1597" s="2" t="s">
        <v>4433</v>
      </c>
      <c r="I1597" s="2" t="s">
        <v>577</v>
      </c>
      <c r="J1597" s="2" t="n">
        <v>-8.66</v>
      </c>
      <c r="K1597" s="2" t="n">
        <v>115.195</v>
      </c>
      <c r="L1597" s="2" t="s">
        <v>84</v>
      </c>
      <c r="M1597" s="2" t="s">
        <v>60</v>
      </c>
      <c r="N1597" s="2"/>
      <c r="O1597" s="2" t="s">
        <v>8137</v>
      </c>
      <c r="P1597" s="2" t="s">
        <v>5373</v>
      </c>
      <c r="Q1597" s="2" t="s">
        <v>62</v>
      </c>
      <c r="R1597" s="2" t="n">
        <v>0.8</v>
      </c>
      <c r="S1597" s="2" t="s">
        <v>8138</v>
      </c>
      <c r="T1597" s="2" t="s">
        <v>743</v>
      </c>
      <c r="U1597" s="2" t="s">
        <v>8139</v>
      </c>
      <c r="V1597" s="2" t="s">
        <v>420</v>
      </c>
      <c r="W1597" s="2" t="s">
        <v>2852</v>
      </c>
      <c r="X1597" s="2" t="s">
        <v>507</v>
      </c>
    </row>
    <row r="1598" customFormat="false" ht="15" hidden="false" customHeight="false" outlineLevel="0" collapsed="false">
      <c r="A1598" s="2" t="n">
        <v>1874</v>
      </c>
      <c r="B1598" s="2" t="s">
        <v>8095</v>
      </c>
      <c r="C1598" s="2" t="s">
        <v>8140</v>
      </c>
      <c r="D1598" s="2" t="s">
        <v>53</v>
      </c>
      <c r="E1598" s="2" t="s">
        <v>8141</v>
      </c>
      <c r="F1598" s="2"/>
      <c r="G1598" s="2" t="s">
        <v>4432</v>
      </c>
      <c r="H1598" s="2" t="s">
        <v>4433</v>
      </c>
      <c r="I1598" s="2" t="s">
        <v>577</v>
      </c>
      <c r="J1598" s="2" t="n">
        <v>-8.7</v>
      </c>
      <c r="K1598" s="2" t="n">
        <v>115.23</v>
      </c>
      <c r="L1598" s="2" t="s">
        <v>84</v>
      </c>
      <c r="M1598" s="2" t="s">
        <v>60</v>
      </c>
      <c r="N1598" s="2" t="s">
        <v>8142</v>
      </c>
      <c r="O1598" s="2" t="s">
        <v>8143</v>
      </c>
      <c r="P1598" s="2"/>
      <c r="Q1598" s="2" t="s">
        <v>62</v>
      </c>
      <c r="R1598" s="2" t="n">
        <v>0.75</v>
      </c>
      <c r="S1598" s="2" t="s">
        <v>8144</v>
      </c>
      <c r="T1598" s="2" t="s">
        <v>156</v>
      </c>
      <c r="U1598" s="2" t="s">
        <v>8145</v>
      </c>
      <c r="V1598" s="2" t="s">
        <v>8146</v>
      </c>
      <c r="W1598" s="2" t="s">
        <v>67</v>
      </c>
      <c r="X1598" s="2" t="s">
        <v>507</v>
      </c>
    </row>
    <row r="1599" customFormat="false" ht="15" hidden="false" customHeight="false" outlineLevel="0" collapsed="false">
      <c r="A1599" s="2" t="n">
        <v>1874</v>
      </c>
      <c r="B1599" s="2" t="s">
        <v>8095</v>
      </c>
      <c r="C1599" s="2" t="s">
        <v>8147</v>
      </c>
      <c r="D1599" s="2" t="s">
        <v>53</v>
      </c>
      <c r="E1599" s="2" t="s">
        <v>4517</v>
      </c>
      <c r="F1599" s="2"/>
      <c r="G1599" s="2" t="s">
        <v>4432</v>
      </c>
      <c r="H1599" s="2" t="s">
        <v>4433</v>
      </c>
      <c r="I1599" s="2" t="s">
        <v>577</v>
      </c>
      <c r="J1599" s="2" t="n">
        <v>-8.7</v>
      </c>
      <c r="K1599" s="2" t="n">
        <v>115.23</v>
      </c>
      <c r="L1599" s="2" t="s">
        <v>84</v>
      </c>
      <c r="M1599" s="2" t="s">
        <v>60</v>
      </c>
      <c r="N1599" s="2" t="s">
        <v>8142</v>
      </c>
      <c r="O1599" s="2" t="s">
        <v>8148</v>
      </c>
      <c r="P1599" s="2"/>
      <c r="Q1599" s="2" t="s">
        <v>62</v>
      </c>
      <c r="R1599" s="2" t="n">
        <v>0.65</v>
      </c>
      <c r="S1599" s="2" t="s">
        <v>8144</v>
      </c>
      <c r="T1599" s="2" t="s">
        <v>156</v>
      </c>
      <c r="U1599" s="2" t="s">
        <v>8145</v>
      </c>
      <c r="V1599" s="2" t="s">
        <v>8146</v>
      </c>
      <c r="W1599" s="2" t="s">
        <v>67</v>
      </c>
      <c r="X1599" s="2" t="s">
        <v>507</v>
      </c>
    </row>
    <row r="1600" customFormat="false" ht="15" hidden="false" customHeight="false" outlineLevel="0" collapsed="false">
      <c r="A1600" s="2" t="n">
        <v>1877</v>
      </c>
      <c r="B1600" s="2" t="s">
        <v>8095</v>
      </c>
      <c r="C1600" s="2" t="s">
        <v>8149</v>
      </c>
      <c r="D1600" s="2" t="s">
        <v>410</v>
      </c>
      <c r="E1600" s="2" t="s">
        <v>8150</v>
      </c>
      <c r="F1600" s="2"/>
      <c r="G1600" s="2" t="s">
        <v>4432</v>
      </c>
      <c r="H1600" s="2" t="s">
        <v>4433</v>
      </c>
      <c r="I1600" s="2" t="s">
        <v>577</v>
      </c>
      <c r="J1600" s="2" t="n">
        <v>-8.7</v>
      </c>
      <c r="K1600" s="2" t="n">
        <v>115.23</v>
      </c>
      <c r="L1600" s="2" t="s">
        <v>84</v>
      </c>
      <c r="M1600" s="2" t="s">
        <v>60</v>
      </c>
      <c r="N1600" s="2" t="s">
        <v>8142</v>
      </c>
      <c r="O1600" s="2" t="s">
        <v>8151</v>
      </c>
      <c r="P1600" s="2" t="s">
        <v>109</v>
      </c>
      <c r="Q1600" s="2" t="s">
        <v>62</v>
      </c>
      <c r="R1600" s="2" t="n">
        <v>0.45</v>
      </c>
      <c r="S1600" s="2" t="s">
        <v>8152</v>
      </c>
      <c r="T1600" s="2" t="s">
        <v>8153</v>
      </c>
      <c r="U1600" s="2" t="s">
        <v>8154</v>
      </c>
      <c r="V1600" s="2" t="s">
        <v>4313</v>
      </c>
      <c r="W1600" s="2" t="s">
        <v>813</v>
      </c>
      <c r="X1600" s="2" t="s">
        <v>507</v>
      </c>
    </row>
    <row r="1601" customFormat="false" ht="15" hidden="false" customHeight="false" outlineLevel="0" collapsed="false">
      <c r="A1601" s="2" t="n">
        <v>1878</v>
      </c>
      <c r="B1601" s="2" t="s">
        <v>8095</v>
      </c>
      <c r="C1601" s="2" t="s">
        <v>8155</v>
      </c>
      <c r="D1601" s="2" t="s">
        <v>410</v>
      </c>
      <c r="E1601" s="2" t="s">
        <v>8156</v>
      </c>
      <c r="F1601" s="2" t="s">
        <v>8157</v>
      </c>
      <c r="G1601" s="2" t="s">
        <v>4432</v>
      </c>
      <c r="H1601" s="2" t="s">
        <v>4433</v>
      </c>
      <c r="I1601" s="2" t="s">
        <v>577</v>
      </c>
      <c r="J1601" s="2" t="n">
        <v>-8.7</v>
      </c>
      <c r="K1601" s="2" t="n">
        <v>115.23</v>
      </c>
      <c r="L1601" s="2" t="s">
        <v>84</v>
      </c>
      <c r="M1601" s="2" t="s">
        <v>60</v>
      </c>
      <c r="N1601" s="2"/>
      <c r="O1601" s="2" t="s">
        <v>8158</v>
      </c>
      <c r="P1601" s="2" t="s">
        <v>2558</v>
      </c>
      <c r="Q1601" s="2" t="s">
        <v>110</v>
      </c>
      <c r="R1601" s="2" t="n">
        <v>0.85</v>
      </c>
      <c r="S1601" s="2" t="s">
        <v>8159</v>
      </c>
      <c r="T1601" s="2" t="s">
        <v>8160</v>
      </c>
      <c r="U1601" s="2" t="s">
        <v>8161</v>
      </c>
      <c r="V1601" s="2" t="s">
        <v>8162</v>
      </c>
      <c r="W1601" s="2" t="s">
        <v>2037</v>
      </c>
      <c r="X1601" s="2" t="s">
        <v>507</v>
      </c>
    </row>
    <row r="1602" customFormat="false" ht="15" hidden="false" customHeight="false" outlineLevel="0" collapsed="false">
      <c r="A1602" s="2" t="n">
        <v>1878</v>
      </c>
      <c r="B1602" s="2" t="s">
        <v>8095</v>
      </c>
      <c r="C1602" s="2" t="s">
        <v>8163</v>
      </c>
      <c r="D1602" s="2" t="s">
        <v>410</v>
      </c>
      <c r="E1602" s="2" t="s">
        <v>8164</v>
      </c>
      <c r="F1602" s="2" t="s">
        <v>8165</v>
      </c>
      <c r="G1602" s="2" t="s">
        <v>4454</v>
      </c>
      <c r="H1602" s="2" t="s">
        <v>576</v>
      </c>
      <c r="I1602" s="2" t="s">
        <v>577</v>
      </c>
      <c r="J1602" s="2" t="n">
        <v>-8.8291</v>
      </c>
      <c r="K1602" s="2" t="n">
        <v>115.0849</v>
      </c>
      <c r="L1602" s="2" t="s">
        <v>124</v>
      </c>
      <c r="M1602" s="2" t="s">
        <v>60</v>
      </c>
      <c r="N1602" s="2"/>
      <c r="O1602" s="2" t="s">
        <v>8166</v>
      </c>
      <c r="P1602" s="2"/>
      <c r="Q1602" s="2" t="s">
        <v>62</v>
      </c>
      <c r="R1602" s="2" t="n">
        <v>0.7</v>
      </c>
      <c r="S1602" s="2" t="s">
        <v>8159</v>
      </c>
      <c r="T1602" s="2" t="s">
        <v>8160</v>
      </c>
      <c r="U1602" s="2" t="s">
        <v>8161</v>
      </c>
      <c r="V1602" s="2" t="s">
        <v>8162</v>
      </c>
      <c r="W1602" s="2" t="s">
        <v>2037</v>
      </c>
      <c r="X1602" s="2" t="s">
        <v>507</v>
      </c>
    </row>
    <row r="1603" customFormat="false" ht="15" hidden="false" customHeight="false" outlineLevel="0" collapsed="false">
      <c r="A1603" s="2" t="n">
        <v>1878</v>
      </c>
      <c r="B1603" s="2" t="s">
        <v>8095</v>
      </c>
      <c r="C1603" s="2" t="s">
        <v>8167</v>
      </c>
      <c r="D1603" s="2" t="s">
        <v>410</v>
      </c>
      <c r="E1603" s="2" t="s">
        <v>8164</v>
      </c>
      <c r="F1603" s="2" t="s">
        <v>8168</v>
      </c>
      <c r="G1603" s="2" t="s">
        <v>4454</v>
      </c>
      <c r="H1603" s="2" t="s">
        <v>576</v>
      </c>
      <c r="I1603" s="2" t="s">
        <v>577</v>
      </c>
      <c r="J1603" s="2" t="n">
        <v>-8.8456</v>
      </c>
      <c r="K1603" s="2" t="n">
        <v>115.188</v>
      </c>
      <c r="L1603" s="2" t="s">
        <v>124</v>
      </c>
      <c r="M1603" s="2" t="s">
        <v>60</v>
      </c>
      <c r="N1603" s="2"/>
      <c r="O1603" s="2" t="s">
        <v>8169</v>
      </c>
      <c r="P1603" s="2"/>
      <c r="Q1603" s="2" t="s">
        <v>62</v>
      </c>
      <c r="R1603" s="2" t="n">
        <v>0.7</v>
      </c>
      <c r="S1603" s="2" t="s">
        <v>8159</v>
      </c>
      <c r="T1603" s="2" t="s">
        <v>8160</v>
      </c>
      <c r="U1603" s="2" t="s">
        <v>8161</v>
      </c>
      <c r="V1603" s="2" t="s">
        <v>8162</v>
      </c>
      <c r="W1603" s="2" t="s">
        <v>2037</v>
      </c>
      <c r="X1603" s="2" t="s">
        <v>507</v>
      </c>
    </row>
    <row r="1604" customFormat="false" ht="15" hidden="false" customHeight="false" outlineLevel="0" collapsed="false">
      <c r="A1604" s="2" t="n">
        <v>1878</v>
      </c>
      <c r="B1604" s="2" t="s">
        <v>8095</v>
      </c>
      <c r="C1604" s="2" t="s">
        <v>8170</v>
      </c>
      <c r="D1604" s="2" t="s">
        <v>410</v>
      </c>
      <c r="E1604" s="2" t="s">
        <v>8164</v>
      </c>
      <c r="F1604" s="2" t="s">
        <v>8165</v>
      </c>
      <c r="G1604" s="2" t="s">
        <v>4454</v>
      </c>
      <c r="H1604" s="2" t="s">
        <v>576</v>
      </c>
      <c r="I1604" s="2" t="s">
        <v>577</v>
      </c>
      <c r="J1604" s="2" t="n">
        <v>-8.811</v>
      </c>
      <c r="K1604" s="2" t="n">
        <v>115.103</v>
      </c>
      <c r="L1604" s="2" t="s">
        <v>124</v>
      </c>
      <c r="M1604" s="2" t="s">
        <v>60</v>
      </c>
      <c r="N1604" s="2"/>
      <c r="O1604" s="2" t="s">
        <v>8171</v>
      </c>
      <c r="P1604" s="2"/>
      <c r="Q1604" s="2" t="s">
        <v>62</v>
      </c>
      <c r="R1604" s="2" t="n">
        <v>0.7</v>
      </c>
      <c r="S1604" s="2" t="s">
        <v>8159</v>
      </c>
      <c r="T1604" s="2" t="s">
        <v>8160</v>
      </c>
      <c r="U1604" s="2" t="s">
        <v>8161</v>
      </c>
      <c r="V1604" s="2" t="s">
        <v>8162</v>
      </c>
      <c r="W1604" s="2" t="s">
        <v>2037</v>
      </c>
      <c r="X1604" s="2" t="s">
        <v>507</v>
      </c>
    </row>
    <row r="1605" customFormat="false" ht="15" hidden="false" customHeight="false" outlineLevel="0" collapsed="false">
      <c r="A1605" s="2" t="n">
        <v>1878</v>
      </c>
      <c r="B1605" s="2" t="s">
        <v>8095</v>
      </c>
      <c r="C1605" s="2" t="s">
        <v>8172</v>
      </c>
      <c r="D1605" s="2" t="s">
        <v>410</v>
      </c>
      <c r="E1605" s="2" t="s">
        <v>8173</v>
      </c>
      <c r="F1605" s="2" t="s">
        <v>8174</v>
      </c>
      <c r="G1605" s="2" t="s">
        <v>8175</v>
      </c>
      <c r="H1605" s="2" t="s">
        <v>994</v>
      </c>
      <c r="I1605" s="2" t="s">
        <v>577</v>
      </c>
      <c r="J1605" s="2" t="n">
        <v>-8.4153</v>
      </c>
      <c r="K1605" s="2" t="n">
        <v>115.3155</v>
      </c>
      <c r="L1605" s="2" t="s">
        <v>124</v>
      </c>
      <c r="M1605" s="2" t="s">
        <v>60</v>
      </c>
      <c r="N1605" s="2"/>
      <c r="O1605" s="2" t="s">
        <v>8176</v>
      </c>
      <c r="P1605" s="2"/>
      <c r="Q1605" s="2" t="s">
        <v>62</v>
      </c>
      <c r="R1605" s="2" t="n">
        <v>0.7</v>
      </c>
      <c r="S1605" s="2" t="s">
        <v>8159</v>
      </c>
      <c r="T1605" s="2" t="s">
        <v>8160</v>
      </c>
      <c r="U1605" s="2" t="s">
        <v>8161</v>
      </c>
      <c r="V1605" s="2" t="s">
        <v>8162</v>
      </c>
      <c r="W1605" s="2" t="s">
        <v>2037</v>
      </c>
      <c r="X1605" s="2" t="s">
        <v>507</v>
      </c>
    </row>
    <row r="1606" customFormat="false" ht="15" hidden="false" customHeight="false" outlineLevel="0" collapsed="false">
      <c r="A1606" s="2" t="n">
        <v>1878</v>
      </c>
      <c r="B1606" s="2" t="s">
        <v>8095</v>
      </c>
      <c r="C1606" s="2" t="s">
        <v>8177</v>
      </c>
      <c r="D1606" s="2" t="s">
        <v>410</v>
      </c>
      <c r="E1606" s="2" t="s">
        <v>8173</v>
      </c>
      <c r="F1606" s="2" t="s">
        <v>8178</v>
      </c>
      <c r="G1606" s="2" t="s">
        <v>8179</v>
      </c>
      <c r="H1606" s="2" t="s">
        <v>994</v>
      </c>
      <c r="I1606" s="2" t="s">
        <v>577</v>
      </c>
      <c r="J1606" s="2" t="n">
        <v>-8.5753</v>
      </c>
      <c r="K1606" s="2" t="n">
        <v>115.2893</v>
      </c>
      <c r="L1606" s="2" t="s">
        <v>124</v>
      </c>
      <c r="M1606" s="2" t="s">
        <v>60</v>
      </c>
      <c r="N1606" s="2"/>
      <c r="O1606" s="2" t="s">
        <v>8180</v>
      </c>
      <c r="P1606" s="2"/>
      <c r="Q1606" s="2" t="s">
        <v>62</v>
      </c>
      <c r="R1606" s="2" t="n">
        <v>0.65</v>
      </c>
      <c r="S1606" s="2" t="s">
        <v>8159</v>
      </c>
      <c r="T1606" s="2" t="s">
        <v>8160</v>
      </c>
      <c r="U1606" s="2" t="s">
        <v>8161</v>
      </c>
      <c r="V1606" s="2" t="s">
        <v>8162</v>
      </c>
      <c r="W1606" s="2" t="s">
        <v>2037</v>
      </c>
      <c r="X1606" s="2" t="s">
        <v>507</v>
      </c>
    </row>
    <row r="1607" customFormat="false" ht="15" hidden="false" customHeight="false" outlineLevel="0" collapsed="false">
      <c r="A1607" s="2" t="n">
        <v>1881</v>
      </c>
      <c r="B1607" s="2" t="s">
        <v>8095</v>
      </c>
      <c r="C1607" s="2" t="s">
        <v>8181</v>
      </c>
      <c r="D1607" s="2" t="s">
        <v>410</v>
      </c>
      <c r="E1607" s="2" t="s">
        <v>8130</v>
      </c>
      <c r="F1607" s="2" t="s">
        <v>8182</v>
      </c>
      <c r="G1607" s="2" t="s">
        <v>4446</v>
      </c>
      <c r="H1607" s="2" t="s">
        <v>4433</v>
      </c>
      <c r="I1607" s="2" t="s">
        <v>577</v>
      </c>
      <c r="J1607" s="2" t="n">
        <v>-8.62</v>
      </c>
      <c r="K1607" s="2" t="n">
        <v>115.21</v>
      </c>
      <c r="L1607" s="2" t="s">
        <v>84</v>
      </c>
      <c r="M1607" s="2" t="s">
        <v>60</v>
      </c>
      <c r="N1607" s="2"/>
      <c r="O1607" s="2" t="s">
        <v>8183</v>
      </c>
      <c r="P1607" s="2"/>
      <c r="Q1607" s="2" t="s">
        <v>62</v>
      </c>
      <c r="R1607" s="2" t="n">
        <v>0.7</v>
      </c>
      <c r="S1607" s="2" t="s">
        <v>8184</v>
      </c>
      <c r="T1607" s="2" t="s">
        <v>963</v>
      </c>
      <c r="U1607" s="2" t="s">
        <v>8185</v>
      </c>
      <c r="V1607" s="2" t="s">
        <v>1160</v>
      </c>
      <c r="W1607" s="2" t="s">
        <v>1501</v>
      </c>
      <c r="X1607" s="2" t="s">
        <v>507</v>
      </c>
    </row>
    <row r="1608" customFormat="false" ht="15" hidden="false" customHeight="false" outlineLevel="0" collapsed="false">
      <c r="A1608" s="2" t="n">
        <v>1881</v>
      </c>
      <c r="B1608" s="2" t="s">
        <v>8095</v>
      </c>
      <c r="C1608" s="2" t="s">
        <v>8186</v>
      </c>
      <c r="D1608" s="2" t="s">
        <v>410</v>
      </c>
      <c r="E1608" s="2" t="s">
        <v>8130</v>
      </c>
      <c r="F1608" s="2"/>
      <c r="G1608" s="2"/>
      <c r="H1608" s="2" t="s">
        <v>4433</v>
      </c>
      <c r="I1608" s="2" t="s">
        <v>577</v>
      </c>
      <c r="J1608" s="2" t="n">
        <v>-8.65</v>
      </c>
      <c r="K1608" s="2" t="n">
        <v>115.22</v>
      </c>
      <c r="L1608" s="2" t="s">
        <v>101</v>
      </c>
      <c r="M1608" s="2" t="s">
        <v>340</v>
      </c>
      <c r="N1608" s="2"/>
      <c r="O1608" s="2" t="s">
        <v>8187</v>
      </c>
      <c r="P1608" s="2"/>
      <c r="Q1608" s="2" t="s">
        <v>62</v>
      </c>
      <c r="R1608" s="2" t="n">
        <v>0.65</v>
      </c>
      <c r="S1608" s="2" t="s">
        <v>8184</v>
      </c>
      <c r="T1608" s="2" t="s">
        <v>963</v>
      </c>
      <c r="U1608" s="2" t="s">
        <v>8185</v>
      </c>
      <c r="V1608" s="2" t="s">
        <v>1160</v>
      </c>
      <c r="W1608" s="2" t="s">
        <v>1501</v>
      </c>
      <c r="X1608" s="2" t="s">
        <v>507</v>
      </c>
    </row>
    <row r="1609" customFormat="false" ht="15" hidden="false" customHeight="false" outlineLevel="0" collapsed="false">
      <c r="A1609" s="2" t="n">
        <v>1881</v>
      </c>
      <c r="B1609" s="2" t="s">
        <v>8095</v>
      </c>
      <c r="C1609" s="2" t="s">
        <v>8188</v>
      </c>
      <c r="D1609" s="2" t="s">
        <v>410</v>
      </c>
      <c r="E1609" s="2" t="s">
        <v>8130</v>
      </c>
      <c r="F1609" s="2" t="s">
        <v>8189</v>
      </c>
      <c r="G1609" s="2" t="s">
        <v>4767</v>
      </c>
      <c r="H1609" s="2" t="s">
        <v>4433</v>
      </c>
      <c r="I1609" s="2" t="s">
        <v>577</v>
      </c>
      <c r="J1609" s="2" t="n">
        <v>-8.64</v>
      </c>
      <c r="K1609" s="2" t="n">
        <v>115.245</v>
      </c>
      <c r="L1609" s="2" t="s">
        <v>84</v>
      </c>
      <c r="M1609" s="2" t="s">
        <v>60</v>
      </c>
      <c r="N1609" s="2"/>
      <c r="O1609" s="2" t="s">
        <v>8190</v>
      </c>
      <c r="P1609" s="2"/>
      <c r="Q1609" s="2" t="s">
        <v>62</v>
      </c>
      <c r="R1609" s="2" t="n">
        <v>0.6</v>
      </c>
      <c r="S1609" s="2" t="s">
        <v>8184</v>
      </c>
      <c r="T1609" s="2" t="s">
        <v>963</v>
      </c>
      <c r="U1609" s="2" t="s">
        <v>8185</v>
      </c>
      <c r="V1609" s="2" t="s">
        <v>1160</v>
      </c>
      <c r="W1609" s="2" t="s">
        <v>1501</v>
      </c>
      <c r="X1609" s="2" t="s">
        <v>507</v>
      </c>
    </row>
    <row r="1610" customFormat="false" ht="15" hidden="false" customHeight="false" outlineLevel="0" collapsed="false">
      <c r="A1610" s="2" t="n">
        <v>1883</v>
      </c>
      <c r="B1610" s="2" t="s">
        <v>8095</v>
      </c>
      <c r="C1610" s="2" t="s">
        <v>8191</v>
      </c>
      <c r="D1610" s="2" t="s">
        <v>121</v>
      </c>
      <c r="E1610" s="2" t="s">
        <v>8164</v>
      </c>
      <c r="F1610" s="2"/>
      <c r="G1610" s="2"/>
      <c r="H1610" s="2" t="s">
        <v>576</v>
      </c>
      <c r="I1610" s="2" t="s">
        <v>577</v>
      </c>
      <c r="J1610" s="2" t="n">
        <v>-8.58</v>
      </c>
      <c r="K1610" s="2" t="n">
        <v>115.18</v>
      </c>
      <c r="L1610" s="2" t="s">
        <v>101</v>
      </c>
      <c r="M1610" s="2" t="s">
        <v>340</v>
      </c>
      <c r="N1610" s="2"/>
      <c r="O1610" s="2" t="s">
        <v>8192</v>
      </c>
      <c r="P1610" s="2" t="s">
        <v>109</v>
      </c>
      <c r="Q1610" s="2" t="s">
        <v>62</v>
      </c>
      <c r="R1610" s="2" t="n">
        <v>0.6</v>
      </c>
      <c r="S1610" s="2" t="s">
        <v>8193</v>
      </c>
      <c r="T1610" s="2" t="s">
        <v>8194</v>
      </c>
      <c r="U1610" s="2" t="s">
        <v>8195</v>
      </c>
      <c r="V1610" s="2" t="s">
        <v>1160</v>
      </c>
      <c r="W1610" s="2" t="s">
        <v>1774</v>
      </c>
      <c r="X1610" s="2" t="s">
        <v>507</v>
      </c>
    </row>
    <row r="1611" customFormat="false" ht="15" hidden="false" customHeight="false" outlineLevel="0" collapsed="false">
      <c r="A1611" s="2" t="n">
        <v>1884</v>
      </c>
      <c r="B1611" s="2" t="s">
        <v>8095</v>
      </c>
      <c r="C1611" s="2" t="s">
        <v>8196</v>
      </c>
      <c r="D1611" s="2" t="s">
        <v>1130</v>
      </c>
      <c r="E1611" s="2" t="s">
        <v>8197</v>
      </c>
      <c r="F1611" s="2"/>
      <c r="G1611" s="2" t="s">
        <v>8198</v>
      </c>
      <c r="H1611" s="2" t="s">
        <v>8199</v>
      </c>
      <c r="I1611" s="2" t="s">
        <v>577</v>
      </c>
      <c r="J1611" s="2" t="n">
        <v>-8.23</v>
      </c>
      <c r="K1611" s="2" t="n">
        <v>115.33</v>
      </c>
      <c r="L1611" s="2" t="s">
        <v>84</v>
      </c>
      <c r="M1611" s="2" t="s">
        <v>60</v>
      </c>
      <c r="N1611" s="2" t="s">
        <v>8200</v>
      </c>
      <c r="O1611" s="2" t="s">
        <v>8201</v>
      </c>
      <c r="P1611" s="2" t="s">
        <v>8202</v>
      </c>
      <c r="Q1611" s="2" t="s">
        <v>110</v>
      </c>
      <c r="R1611" s="2" t="n">
        <v>0.4</v>
      </c>
      <c r="S1611" s="2" t="s">
        <v>8203</v>
      </c>
      <c r="T1611" s="2" t="s">
        <v>8204</v>
      </c>
      <c r="U1611" s="2" t="s">
        <v>8205</v>
      </c>
      <c r="V1611" s="2" t="s">
        <v>1500</v>
      </c>
      <c r="W1611" s="2" t="s">
        <v>476</v>
      </c>
      <c r="X1611" s="2" t="s">
        <v>507</v>
      </c>
    </row>
    <row r="1612" customFormat="false" ht="15" hidden="false" customHeight="false" outlineLevel="0" collapsed="false">
      <c r="A1612" s="2" t="n">
        <v>1896</v>
      </c>
      <c r="B1612" s="2" t="s">
        <v>8206</v>
      </c>
      <c r="C1612" s="2" t="s">
        <v>8207</v>
      </c>
      <c r="D1612" s="2" t="s">
        <v>121</v>
      </c>
      <c r="E1612" s="2" t="s">
        <v>8208</v>
      </c>
      <c r="F1612" s="2"/>
      <c r="G1612" s="2"/>
      <c r="H1612" s="2" t="s">
        <v>4433</v>
      </c>
      <c r="I1612" s="2" t="s">
        <v>577</v>
      </c>
      <c r="J1612" s="2" t="n">
        <v>-8.65</v>
      </c>
      <c r="K1612" s="2" t="n">
        <v>115.22</v>
      </c>
      <c r="L1612" s="2" t="s">
        <v>101</v>
      </c>
      <c r="M1612" s="2" t="s">
        <v>340</v>
      </c>
      <c r="N1612" s="2"/>
      <c r="O1612" s="2" t="s">
        <v>8209</v>
      </c>
      <c r="P1612" s="2" t="s">
        <v>109</v>
      </c>
      <c r="Q1612" s="2" t="s">
        <v>62</v>
      </c>
      <c r="R1612" s="2" t="n">
        <v>0.6</v>
      </c>
      <c r="S1612" s="2" t="s">
        <v>8210</v>
      </c>
      <c r="T1612" s="2" t="s">
        <v>8194</v>
      </c>
      <c r="U1612" s="2" t="s">
        <v>8211</v>
      </c>
      <c r="V1612" s="2" t="s">
        <v>1160</v>
      </c>
      <c r="W1612" s="2" t="s">
        <v>1964</v>
      </c>
      <c r="X1612" s="2" t="s">
        <v>507</v>
      </c>
    </row>
    <row r="1613" customFormat="false" ht="15" hidden="false" customHeight="false" outlineLevel="0" collapsed="false">
      <c r="A1613" s="2" t="n">
        <v>1900</v>
      </c>
      <c r="B1613" s="2" t="s">
        <v>8206</v>
      </c>
      <c r="C1613" s="2" t="s">
        <v>8212</v>
      </c>
      <c r="D1613" s="2" t="s">
        <v>121</v>
      </c>
      <c r="E1613" s="2" t="s">
        <v>8130</v>
      </c>
      <c r="F1613" s="2"/>
      <c r="G1613" s="2"/>
      <c r="H1613" s="2" t="s">
        <v>4433</v>
      </c>
      <c r="I1613" s="2" t="s">
        <v>577</v>
      </c>
      <c r="J1613" s="2" t="n">
        <v>-8.65</v>
      </c>
      <c r="K1613" s="2" t="n">
        <v>115.22</v>
      </c>
      <c r="L1613" s="2" t="s">
        <v>101</v>
      </c>
      <c r="M1613" s="2" t="s">
        <v>340</v>
      </c>
      <c r="N1613" s="2"/>
      <c r="O1613" s="2" t="s">
        <v>8213</v>
      </c>
      <c r="P1613" s="2" t="s">
        <v>4998</v>
      </c>
      <c r="Q1613" s="2" t="s">
        <v>62</v>
      </c>
      <c r="R1613" s="2" t="n">
        <v>0.5</v>
      </c>
      <c r="S1613" s="2" t="s">
        <v>8214</v>
      </c>
      <c r="T1613" s="2" t="s">
        <v>8194</v>
      </c>
      <c r="U1613" s="2" t="s">
        <v>8215</v>
      </c>
      <c r="V1613" s="2" t="s">
        <v>745</v>
      </c>
      <c r="W1613" s="2" t="s">
        <v>67</v>
      </c>
      <c r="X1613" s="2" t="s">
        <v>507</v>
      </c>
    </row>
    <row r="1614" customFormat="false" ht="15" hidden="false" customHeight="false" outlineLevel="0" collapsed="false">
      <c r="A1614" s="2" t="n">
        <v>1903</v>
      </c>
      <c r="B1614" s="2" t="s">
        <v>8206</v>
      </c>
      <c r="C1614" s="2" t="s">
        <v>8216</v>
      </c>
      <c r="D1614" s="2" t="s">
        <v>53</v>
      </c>
      <c r="E1614" s="2" t="s">
        <v>8217</v>
      </c>
      <c r="F1614" s="2"/>
      <c r="G1614" s="2" t="s">
        <v>8218</v>
      </c>
      <c r="H1614" s="2" t="s">
        <v>587</v>
      </c>
      <c r="I1614" s="2" t="s">
        <v>588</v>
      </c>
      <c r="J1614" s="2" t="n">
        <v>-5.385</v>
      </c>
      <c r="K1614" s="2" t="n">
        <v>105.278</v>
      </c>
      <c r="L1614" s="2" t="s">
        <v>84</v>
      </c>
      <c r="M1614" s="2" t="s">
        <v>60</v>
      </c>
      <c r="N1614" s="2"/>
      <c r="O1614" s="2" t="s">
        <v>8219</v>
      </c>
      <c r="P1614" s="2"/>
      <c r="Q1614" s="2" t="s">
        <v>62</v>
      </c>
      <c r="R1614" s="2" t="n">
        <v>0.75</v>
      </c>
      <c r="S1614" s="2" t="s">
        <v>8220</v>
      </c>
      <c r="T1614" s="2" t="s">
        <v>95</v>
      </c>
      <c r="U1614" s="2" t="s">
        <v>8221</v>
      </c>
      <c r="V1614" s="2" t="s">
        <v>3238</v>
      </c>
      <c r="W1614" s="2" t="s">
        <v>2196</v>
      </c>
      <c r="X1614" s="2" t="s">
        <v>507</v>
      </c>
    </row>
    <row r="1615" customFormat="false" ht="15" hidden="false" customHeight="false" outlineLevel="0" collapsed="false">
      <c r="A1615" s="2" t="n">
        <v>1904</v>
      </c>
      <c r="B1615" s="2" t="s">
        <v>8206</v>
      </c>
      <c r="C1615" s="2" t="s">
        <v>8222</v>
      </c>
      <c r="D1615" s="2" t="s">
        <v>53</v>
      </c>
      <c r="E1615" s="2" t="s">
        <v>8223</v>
      </c>
      <c r="F1615" s="2"/>
      <c r="G1615" s="2"/>
      <c r="H1615" s="2" t="s">
        <v>587</v>
      </c>
      <c r="I1615" s="2" t="s">
        <v>588</v>
      </c>
      <c r="J1615" s="2" t="n">
        <v>-5.43</v>
      </c>
      <c r="K1615" s="2" t="n">
        <v>105.262</v>
      </c>
      <c r="L1615" s="2" t="s">
        <v>101</v>
      </c>
      <c r="M1615" s="2" t="s">
        <v>60</v>
      </c>
      <c r="N1615" s="2"/>
      <c r="O1615" s="2" t="s">
        <v>8224</v>
      </c>
      <c r="P1615" s="2"/>
      <c r="Q1615" s="2" t="s">
        <v>62</v>
      </c>
      <c r="R1615" s="2" t="n">
        <v>0.7</v>
      </c>
      <c r="S1615" s="2" t="s">
        <v>8225</v>
      </c>
      <c r="T1615" s="2" t="s">
        <v>592</v>
      </c>
      <c r="U1615" s="2" t="s">
        <v>8226</v>
      </c>
      <c r="V1615" s="2" t="s">
        <v>745</v>
      </c>
      <c r="W1615" s="2" t="s">
        <v>190</v>
      </c>
      <c r="X1615" s="2" t="s">
        <v>507</v>
      </c>
    </row>
    <row r="1616" customFormat="false" ht="15" hidden="false" customHeight="false" outlineLevel="0" collapsed="false">
      <c r="A1616" s="2" t="n">
        <v>1904</v>
      </c>
      <c r="B1616" s="2" t="s">
        <v>8206</v>
      </c>
      <c r="C1616" s="2" t="s">
        <v>8227</v>
      </c>
      <c r="D1616" s="2" t="s">
        <v>53</v>
      </c>
      <c r="E1616" s="2" t="s">
        <v>8228</v>
      </c>
      <c r="F1616" s="2"/>
      <c r="G1616" s="2" t="s">
        <v>8229</v>
      </c>
      <c r="H1616" s="2" t="s">
        <v>587</v>
      </c>
      <c r="I1616" s="2" t="s">
        <v>588</v>
      </c>
      <c r="J1616" s="2" t="n">
        <v>-5.38</v>
      </c>
      <c r="K1616" s="2" t="n">
        <v>105.305</v>
      </c>
      <c r="L1616" s="2" t="s">
        <v>84</v>
      </c>
      <c r="M1616" s="2" t="s">
        <v>60</v>
      </c>
      <c r="N1616" s="2" t="s">
        <v>8230</v>
      </c>
      <c r="O1616" s="2" t="s">
        <v>8231</v>
      </c>
      <c r="P1616" s="2"/>
      <c r="Q1616" s="2" t="s">
        <v>62</v>
      </c>
      <c r="R1616" s="2" t="n">
        <v>0.7</v>
      </c>
      <c r="S1616" s="2" t="s">
        <v>8225</v>
      </c>
      <c r="T1616" s="2" t="s">
        <v>592</v>
      </c>
      <c r="U1616" s="2" t="s">
        <v>8226</v>
      </c>
      <c r="V1616" s="2" t="s">
        <v>745</v>
      </c>
      <c r="W1616" s="2" t="s">
        <v>190</v>
      </c>
      <c r="X1616" s="2" t="s">
        <v>507</v>
      </c>
    </row>
    <row r="1617" customFormat="false" ht="15" hidden="false" customHeight="false" outlineLevel="0" collapsed="false">
      <c r="A1617" s="2" t="n">
        <v>1905</v>
      </c>
      <c r="B1617" s="2" t="s">
        <v>8206</v>
      </c>
      <c r="C1617" s="2" t="s">
        <v>8232</v>
      </c>
      <c r="D1617" s="2" t="s">
        <v>53</v>
      </c>
      <c r="E1617" s="2" t="s">
        <v>3055</v>
      </c>
      <c r="F1617" s="2"/>
      <c r="G1617" s="2"/>
      <c r="H1617" s="2" t="s">
        <v>587</v>
      </c>
      <c r="I1617" s="2" t="s">
        <v>588</v>
      </c>
      <c r="J1617" s="2" t="n">
        <v>-5.43</v>
      </c>
      <c r="K1617" s="2" t="n">
        <v>105.262</v>
      </c>
      <c r="L1617" s="2" t="s">
        <v>101</v>
      </c>
      <c r="M1617" s="2" t="s">
        <v>60</v>
      </c>
      <c r="N1617" s="2"/>
      <c r="O1617" s="2" t="s">
        <v>8233</v>
      </c>
      <c r="P1617" s="2"/>
      <c r="Q1617" s="2" t="s">
        <v>62</v>
      </c>
      <c r="R1617" s="2" t="n">
        <v>0.6</v>
      </c>
      <c r="S1617" s="2" t="s">
        <v>8234</v>
      </c>
      <c r="T1617" s="2" t="s">
        <v>1168</v>
      </c>
      <c r="U1617" s="2" t="s">
        <v>8235</v>
      </c>
      <c r="V1617" s="2" t="s">
        <v>420</v>
      </c>
      <c r="W1617" s="2" t="s">
        <v>4606</v>
      </c>
      <c r="X1617" s="2" t="s">
        <v>507</v>
      </c>
    </row>
    <row r="1618" customFormat="false" ht="15" hidden="false" customHeight="false" outlineLevel="0" collapsed="false">
      <c r="A1618" s="2" t="n">
        <v>1907</v>
      </c>
      <c r="B1618" s="2" t="s">
        <v>8206</v>
      </c>
      <c r="C1618" s="2" t="s">
        <v>8236</v>
      </c>
      <c r="D1618" s="2" t="s">
        <v>134</v>
      </c>
      <c r="E1618" s="2" t="s">
        <v>3055</v>
      </c>
      <c r="F1618" s="2"/>
      <c r="G1618" s="2"/>
      <c r="H1618" s="2" t="s">
        <v>587</v>
      </c>
      <c r="I1618" s="2" t="s">
        <v>588</v>
      </c>
      <c r="J1618" s="2" t="n">
        <v>-5.43</v>
      </c>
      <c r="K1618" s="2" t="n">
        <v>105.262</v>
      </c>
      <c r="L1618" s="2" t="s">
        <v>101</v>
      </c>
      <c r="M1618" s="2" t="s">
        <v>60</v>
      </c>
      <c r="N1618" s="2"/>
      <c r="O1618" s="2" t="s">
        <v>8237</v>
      </c>
      <c r="P1618" s="2"/>
      <c r="Q1618" s="2" t="s">
        <v>62</v>
      </c>
      <c r="R1618" s="2" t="n">
        <v>0.8</v>
      </c>
      <c r="S1618" s="2" t="s">
        <v>8238</v>
      </c>
      <c r="T1618" s="2" t="s">
        <v>592</v>
      </c>
      <c r="U1618" s="2" t="s">
        <v>8239</v>
      </c>
      <c r="V1618" s="2" t="s">
        <v>745</v>
      </c>
      <c r="W1618" s="2" t="s">
        <v>751</v>
      </c>
      <c r="X1618" s="2" t="s">
        <v>507</v>
      </c>
    </row>
    <row r="1619" customFormat="false" ht="15" hidden="false" customHeight="false" outlineLevel="0" collapsed="false">
      <c r="A1619" s="2" t="n">
        <v>1908</v>
      </c>
      <c r="B1619" s="2" t="s">
        <v>8206</v>
      </c>
      <c r="C1619" s="2" t="s">
        <v>8240</v>
      </c>
      <c r="D1619" s="2" t="s">
        <v>134</v>
      </c>
      <c r="E1619" s="2" t="s">
        <v>3055</v>
      </c>
      <c r="F1619" s="2"/>
      <c r="G1619" s="2"/>
      <c r="H1619" s="2" t="s">
        <v>587</v>
      </c>
      <c r="I1619" s="2" t="s">
        <v>588</v>
      </c>
      <c r="J1619" s="2" t="n">
        <v>-5.43</v>
      </c>
      <c r="K1619" s="2" t="n">
        <v>105.262</v>
      </c>
      <c r="L1619" s="2" t="s">
        <v>101</v>
      </c>
      <c r="M1619" s="2" t="s">
        <v>60</v>
      </c>
      <c r="N1619" s="2"/>
      <c r="O1619" s="2" t="s">
        <v>8241</v>
      </c>
      <c r="P1619" s="2" t="s">
        <v>8242</v>
      </c>
      <c r="Q1619" s="2" t="s">
        <v>62</v>
      </c>
      <c r="R1619" s="2" t="n">
        <v>0.55</v>
      </c>
      <c r="S1619" s="2" t="s">
        <v>8243</v>
      </c>
      <c r="T1619" s="2" t="s">
        <v>592</v>
      </c>
      <c r="U1619" s="2" t="s">
        <v>8244</v>
      </c>
      <c r="V1619" s="2" t="s">
        <v>745</v>
      </c>
      <c r="W1619" s="2" t="s">
        <v>190</v>
      </c>
      <c r="X1619" s="2" t="s">
        <v>507</v>
      </c>
    </row>
    <row r="1620" customFormat="false" ht="15" hidden="false" customHeight="false" outlineLevel="0" collapsed="false">
      <c r="A1620" s="2" t="n">
        <v>1908</v>
      </c>
      <c r="B1620" s="2" t="s">
        <v>8206</v>
      </c>
      <c r="C1620" s="2" t="s">
        <v>8245</v>
      </c>
      <c r="D1620" s="2" t="s">
        <v>134</v>
      </c>
      <c r="E1620" s="2" t="s">
        <v>3055</v>
      </c>
      <c r="F1620" s="2"/>
      <c r="G1620" s="2"/>
      <c r="H1620" s="2" t="s">
        <v>587</v>
      </c>
      <c r="I1620" s="2" t="s">
        <v>588</v>
      </c>
      <c r="J1620" s="2" t="n">
        <v>-5.43</v>
      </c>
      <c r="K1620" s="2" t="n">
        <v>105.262</v>
      </c>
      <c r="L1620" s="2" t="s">
        <v>101</v>
      </c>
      <c r="M1620" s="2" t="s">
        <v>60</v>
      </c>
      <c r="N1620" s="2"/>
      <c r="O1620" s="2" t="s">
        <v>8246</v>
      </c>
      <c r="P1620" s="2" t="s">
        <v>8247</v>
      </c>
      <c r="Q1620" s="2" t="s">
        <v>62</v>
      </c>
      <c r="R1620" s="2" t="n">
        <v>0.55</v>
      </c>
      <c r="S1620" s="2" t="s">
        <v>8243</v>
      </c>
      <c r="T1620" s="2" t="s">
        <v>592</v>
      </c>
      <c r="U1620" s="2" t="s">
        <v>8244</v>
      </c>
      <c r="V1620" s="2" t="s">
        <v>745</v>
      </c>
      <c r="W1620" s="2" t="s">
        <v>190</v>
      </c>
      <c r="X1620" s="2" t="s">
        <v>507</v>
      </c>
    </row>
    <row r="1621" customFormat="false" ht="15" hidden="false" customHeight="false" outlineLevel="0" collapsed="false">
      <c r="A1621" s="2" t="n">
        <v>1908</v>
      </c>
      <c r="B1621" s="2" t="s">
        <v>8206</v>
      </c>
      <c r="C1621" s="2" t="s">
        <v>8248</v>
      </c>
      <c r="D1621" s="2" t="s">
        <v>134</v>
      </c>
      <c r="E1621" s="2" t="s">
        <v>3055</v>
      </c>
      <c r="F1621" s="2"/>
      <c r="G1621" s="2"/>
      <c r="H1621" s="2" t="s">
        <v>587</v>
      </c>
      <c r="I1621" s="2" t="s">
        <v>588</v>
      </c>
      <c r="J1621" s="2" t="n">
        <v>-5.43</v>
      </c>
      <c r="K1621" s="2" t="n">
        <v>105.262</v>
      </c>
      <c r="L1621" s="2" t="s">
        <v>101</v>
      </c>
      <c r="M1621" s="2" t="s">
        <v>60</v>
      </c>
      <c r="N1621" s="2"/>
      <c r="O1621" s="2" t="s">
        <v>8249</v>
      </c>
      <c r="P1621" s="2" t="s">
        <v>4777</v>
      </c>
      <c r="Q1621" s="2" t="s">
        <v>62</v>
      </c>
      <c r="R1621" s="2" t="n">
        <v>0.5</v>
      </c>
      <c r="S1621" s="2" t="s">
        <v>8243</v>
      </c>
      <c r="T1621" s="2" t="s">
        <v>592</v>
      </c>
      <c r="U1621" s="2" t="s">
        <v>8244</v>
      </c>
      <c r="V1621" s="2" t="s">
        <v>745</v>
      </c>
      <c r="W1621" s="2" t="s">
        <v>190</v>
      </c>
      <c r="X1621" s="2" t="s">
        <v>507</v>
      </c>
    </row>
    <row r="1622" customFormat="false" ht="15" hidden="false" customHeight="false" outlineLevel="0" collapsed="false">
      <c r="A1622" s="2" t="n">
        <v>1909</v>
      </c>
      <c r="B1622" s="2" t="s">
        <v>8206</v>
      </c>
      <c r="C1622" s="2" t="s">
        <v>8250</v>
      </c>
      <c r="D1622" s="2" t="s">
        <v>53</v>
      </c>
      <c r="E1622" s="2" t="s">
        <v>8251</v>
      </c>
      <c r="F1622" s="2"/>
      <c r="G1622" s="2" t="s">
        <v>8252</v>
      </c>
      <c r="H1622" s="2" t="s">
        <v>587</v>
      </c>
      <c r="I1622" s="2" t="s">
        <v>588</v>
      </c>
      <c r="J1622" s="2" t="n">
        <v>-5.425</v>
      </c>
      <c r="K1622" s="2" t="n">
        <v>105.255</v>
      </c>
      <c r="L1622" s="2" t="s">
        <v>84</v>
      </c>
      <c r="M1622" s="2" t="s">
        <v>60</v>
      </c>
      <c r="N1622" s="2"/>
      <c r="O1622" s="2" t="s">
        <v>8253</v>
      </c>
      <c r="P1622" s="2"/>
      <c r="Q1622" s="2" t="s">
        <v>62</v>
      </c>
      <c r="R1622" s="2" t="n">
        <v>0.7</v>
      </c>
      <c r="S1622" s="2" t="s">
        <v>8254</v>
      </c>
      <c r="T1622" s="2" t="s">
        <v>592</v>
      </c>
      <c r="U1622" s="2" t="s">
        <v>8255</v>
      </c>
      <c r="V1622" s="2" t="s">
        <v>745</v>
      </c>
      <c r="W1622" s="2" t="s">
        <v>430</v>
      </c>
      <c r="X1622" s="2" t="s">
        <v>507</v>
      </c>
    </row>
    <row r="1623" customFormat="false" ht="15" hidden="false" customHeight="false" outlineLevel="0" collapsed="false">
      <c r="A1623" s="2" t="n">
        <v>1909</v>
      </c>
      <c r="B1623" s="2" t="s">
        <v>8206</v>
      </c>
      <c r="C1623" s="2" t="s">
        <v>8256</v>
      </c>
      <c r="D1623" s="2" t="s">
        <v>53</v>
      </c>
      <c r="E1623" s="2" t="s">
        <v>8257</v>
      </c>
      <c r="F1623" s="2"/>
      <c r="G1623" s="2" t="s">
        <v>8229</v>
      </c>
      <c r="H1623" s="2" t="s">
        <v>587</v>
      </c>
      <c r="I1623" s="2" t="s">
        <v>588</v>
      </c>
      <c r="J1623" s="2" t="n">
        <v>-5.38</v>
      </c>
      <c r="K1623" s="2" t="n">
        <v>105.305</v>
      </c>
      <c r="L1623" s="2" t="s">
        <v>84</v>
      </c>
      <c r="M1623" s="2" t="s">
        <v>60</v>
      </c>
      <c r="N1623" s="2"/>
      <c r="O1623" s="2" t="s">
        <v>8258</v>
      </c>
      <c r="P1623" s="2"/>
      <c r="Q1623" s="2" t="s">
        <v>62</v>
      </c>
      <c r="R1623" s="2" t="n">
        <v>0.7</v>
      </c>
      <c r="S1623" s="2" t="s">
        <v>8254</v>
      </c>
      <c r="T1623" s="2" t="s">
        <v>592</v>
      </c>
      <c r="U1623" s="2" t="s">
        <v>8255</v>
      </c>
      <c r="V1623" s="2" t="s">
        <v>745</v>
      </c>
      <c r="W1623" s="2" t="s">
        <v>430</v>
      </c>
      <c r="X1623" s="2" t="s">
        <v>507</v>
      </c>
    </row>
    <row r="1624" customFormat="false" ht="15" hidden="false" customHeight="false" outlineLevel="0" collapsed="false">
      <c r="A1624" s="2" t="n">
        <v>1909</v>
      </c>
      <c r="B1624" s="2" t="s">
        <v>8206</v>
      </c>
      <c r="C1624" s="2" t="s">
        <v>8259</v>
      </c>
      <c r="D1624" s="2" t="s">
        <v>53</v>
      </c>
      <c r="E1624" s="2" t="s">
        <v>8260</v>
      </c>
      <c r="F1624" s="2" t="s">
        <v>1844</v>
      </c>
      <c r="G1624" s="2" t="s">
        <v>3133</v>
      </c>
      <c r="H1624" s="2" t="s">
        <v>587</v>
      </c>
      <c r="I1624" s="2" t="s">
        <v>588</v>
      </c>
      <c r="J1624" s="2" t="n">
        <v>-5.365</v>
      </c>
      <c r="K1624" s="2" t="n">
        <v>105.245</v>
      </c>
      <c r="L1624" s="2" t="s">
        <v>59</v>
      </c>
      <c r="M1624" s="2" t="s">
        <v>60</v>
      </c>
      <c r="N1624" s="2" t="s">
        <v>8261</v>
      </c>
      <c r="O1624" s="2" t="s">
        <v>8262</v>
      </c>
      <c r="P1624" s="2"/>
      <c r="Q1624" s="2" t="s">
        <v>62</v>
      </c>
      <c r="R1624" s="2" t="n">
        <v>0.7</v>
      </c>
      <c r="S1624" s="2" t="s">
        <v>8254</v>
      </c>
      <c r="T1624" s="2" t="s">
        <v>592</v>
      </c>
      <c r="U1624" s="2" t="s">
        <v>8255</v>
      </c>
      <c r="V1624" s="2" t="s">
        <v>745</v>
      </c>
      <c r="W1624" s="2" t="s">
        <v>430</v>
      </c>
      <c r="X1624" s="2" t="s">
        <v>507</v>
      </c>
    </row>
    <row r="1625" customFormat="false" ht="15" hidden="false" customHeight="false" outlineLevel="0" collapsed="false">
      <c r="A1625" s="2" t="n">
        <v>1910</v>
      </c>
      <c r="B1625" s="2" t="s">
        <v>8206</v>
      </c>
      <c r="C1625" s="2" t="s">
        <v>3096</v>
      </c>
      <c r="D1625" s="2" t="s">
        <v>410</v>
      </c>
      <c r="E1625" s="2" t="s">
        <v>3055</v>
      </c>
      <c r="F1625" s="2"/>
      <c r="G1625" s="2"/>
      <c r="H1625" s="2" t="s">
        <v>587</v>
      </c>
      <c r="I1625" s="2" t="s">
        <v>588</v>
      </c>
      <c r="J1625" s="2" t="n">
        <v>-5.43</v>
      </c>
      <c r="K1625" s="2" t="n">
        <v>105.262</v>
      </c>
      <c r="L1625" s="2" t="s">
        <v>101</v>
      </c>
      <c r="M1625" s="2" t="s">
        <v>60</v>
      </c>
      <c r="N1625" s="2"/>
      <c r="O1625" s="2" t="s">
        <v>8263</v>
      </c>
      <c r="P1625" s="2"/>
      <c r="Q1625" s="2" t="s">
        <v>62</v>
      </c>
      <c r="R1625" s="2" t="n">
        <v>0.8</v>
      </c>
      <c r="S1625" s="2" t="s">
        <v>8264</v>
      </c>
      <c r="T1625" s="2" t="s">
        <v>176</v>
      </c>
      <c r="U1625" s="2" t="s">
        <v>8265</v>
      </c>
      <c r="V1625" s="2" t="s">
        <v>7960</v>
      </c>
      <c r="W1625" s="2" t="s">
        <v>805</v>
      </c>
      <c r="X1625" s="2" t="s">
        <v>507</v>
      </c>
    </row>
    <row r="1626" customFormat="false" ht="15" hidden="false" customHeight="false" outlineLevel="0" collapsed="false">
      <c r="A1626" s="2" t="n">
        <v>1911</v>
      </c>
      <c r="B1626" s="2" t="s">
        <v>8206</v>
      </c>
      <c r="C1626" s="2" t="s">
        <v>3109</v>
      </c>
      <c r="D1626" s="2" t="s">
        <v>410</v>
      </c>
      <c r="E1626" s="2" t="s">
        <v>3074</v>
      </c>
      <c r="F1626" s="2"/>
      <c r="G1626" s="2"/>
      <c r="H1626" s="2" t="s">
        <v>1184</v>
      </c>
      <c r="I1626" s="2" t="s">
        <v>588</v>
      </c>
      <c r="J1626" s="2" t="n">
        <v>-5.493</v>
      </c>
      <c r="K1626" s="2" t="n">
        <v>105.08</v>
      </c>
      <c r="L1626" s="2" t="s">
        <v>101</v>
      </c>
      <c r="M1626" s="2" t="s">
        <v>340</v>
      </c>
      <c r="N1626" s="2"/>
      <c r="O1626" s="2" t="s">
        <v>8266</v>
      </c>
      <c r="P1626" s="2" t="s">
        <v>4852</v>
      </c>
      <c r="Q1626" s="2" t="s">
        <v>110</v>
      </c>
      <c r="R1626" s="2" t="n">
        <v>0.9</v>
      </c>
      <c r="S1626" s="2" t="s">
        <v>8267</v>
      </c>
      <c r="T1626" s="2" t="s">
        <v>3228</v>
      </c>
      <c r="U1626" s="2" t="s">
        <v>8268</v>
      </c>
      <c r="V1626" s="2" t="s">
        <v>745</v>
      </c>
      <c r="W1626" s="2" t="s">
        <v>2204</v>
      </c>
      <c r="X1626" s="2" t="s">
        <v>507</v>
      </c>
    </row>
    <row r="1627" customFormat="false" ht="15" hidden="false" customHeight="false" outlineLevel="0" collapsed="false">
      <c r="A1627" s="2" t="n">
        <v>1913</v>
      </c>
      <c r="B1627" s="2" t="s">
        <v>8206</v>
      </c>
      <c r="C1627" s="2" t="s">
        <v>8269</v>
      </c>
      <c r="D1627" s="2" t="s">
        <v>1130</v>
      </c>
      <c r="E1627" s="2" t="s">
        <v>830</v>
      </c>
      <c r="F1627" s="2" t="s">
        <v>3295</v>
      </c>
      <c r="G1627" s="2" t="s">
        <v>3295</v>
      </c>
      <c r="H1627" s="2" t="s">
        <v>73</v>
      </c>
      <c r="I1627" s="2" t="s">
        <v>74</v>
      </c>
      <c r="J1627" s="2" t="n">
        <v>-6.1762</v>
      </c>
      <c r="K1627" s="2" t="n">
        <v>106.8217</v>
      </c>
      <c r="L1627" s="2" t="s">
        <v>124</v>
      </c>
      <c r="M1627" s="2" t="s">
        <v>1822</v>
      </c>
      <c r="N1627" s="2"/>
      <c r="O1627" s="2" t="s">
        <v>8270</v>
      </c>
      <c r="P1627" s="2" t="s">
        <v>2720</v>
      </c>
      <c r="Q1627" s="2" t="s">
        <v>62</v>
      </c>
      <c r="R1627" s="2" t="n">
        <v>0.5</v>
      </c>
      <c r="S1627" s="2" t="s">
        <v>8271</v>
      </c>
      <c r="T1627" s="2" t="s">
        <v>8272</v>
      </c>
      <c r="U1627" s="2" t="s">
        <v>8273</v>
      </c>
      <c r="V1627" s="2" t="s">
        <v>8274</v>
      </c>
      <c r="W1627" s="2" t="s">
        <v>8275</v>
      </c>
      <c r="X1627" s="2" t="s">
        <v>507</v>
      </c>
    </row>
    <row r="1628" customFormat="false" ht="15" hidden="false" customHeight="false" outlineLevel="0" collapsed="false">
      <c r="A1628" s="2" t="n">
        <v>1914</v>
      </c>
      <c r="B1628" s="2" t="s">
        <v>8206</v>
      </c>
      <c r="C1628" s="2" t="s">
        <v>8276</v>
      </c>
      <c r="D1628" s="2" t="s">
        <v>1130</v>
      </c>
      <c r="E1628" s="2" t="s">
        <v>8277</v>
      </c>
      <c r="F1628" s="2" t="s">
        <v>8278</v>
      </c>
      <c r="G1628" s="2" t="s">
        <v>8279</v>
      </c>
      <c r="H1628" s="2" t="s">
        <v>587</v>
      </c>
      <c r="I1628" s="2" t="s">
        <v>588</v>
      </c>
      <c r="J1628" s="2" t="n">
        <v>-5.363</v>
      </c>
      <c r="K1628" s="2" t="n">
        <v>105.243</v>
      </c>
      <c r="L1628" s="2" t="s">
        <v>59</v>
      </c>
      <c r="M1628" s="2" t="s">
        <v>60</v>
      </c>
      <c r="N1628" s="2"/>
      <c r="O1628" s="2" t="s">
        <v>8280</v>
      </c>
      <c r="P1628" s="2"/>
      <c r="Q1628" s="2" t="s">
        <v>62</v>
      </c>
      <c r="R1628" s="2" t="n">
        <v>0.85</v>
      </c>
      <c r="S1628" s="2" t="s">
        <v>8281</v>
      </c>
      <c r="T1628" s="2" t="s">
        <v>8282</v>
      </c>
      <c r="U1628" s="2" t="s">
        <v>8283</v>
      </c>
      <c r="V1628" s="2" t="s">
        <v>8284</v>
      </c>
      <c r="W1628" s="2" t="s">
        <v>3398</v>
      </c>
      <c r="X1628" s="2" t="s">
        <v>507</v>
      </c>
    </row>
    <row r="1629" customFormat="false" ht="15" hidden="false" customHeight="false" outlineLevel="0" collapsed="false">
      <c r="A1629" s="2" t="n">
        <v>1923</v>
      </c>
      <c r="B1629" s="2" t="s">
        <v>8285</v>
      </c>
      <c r="C1629" s="2" t="s">
        <v>8286</v>
      </c>
      <c r="D1629" s="2" t="s">
        <v>121</v>
      </c>
      <c r="E1629" s="2" t="s">
        <v>8287</v>
      </c>
      <c r="F1629" s="2"/>
      <c r="G1629" s="2"/>
      <c r="H1629" s="2" t="s">
        <v>587</v>
      </c>
      <c r="I1629" s="2" t="s">
        <v>588</v>
      </c>
      <c r="J1629" s="2" t="n">
        <v>-5.43</v>
      </c>
      <c r="K1629" s="2" t="n">
        <v>105.262</v>
      </c>
      <c r="L1629" s="2" t="s">
        <v>101</v>
      </c>
      <c r="M1629" s="2" t="s">
        <v>60</v>
      </c>
      <c r="N1629" s="2"/>
      <c r="O1629" s="2" t="s">
        <v>8288</v>
      </c>
      <c r="P1629" s="2" t="s">
        <v>1685</v>
      </c>
      <c r="Q1629" s="2" t="s">
        <v>62</v>
      </c>
      <c r="R1629" s="2" t="n">
        <v>0.55</v>
      </c>
      <c r="S1629" s="2" t="s">
        <v>8289</v>
      </c>
      <c r="T1629" s="2" t="s">
        <v>3228</v>
      </c>
      <c r="U1629" s="2" t="s">
        <v>8290</v>
      </c>
      <c r="V1629" s="2" t="s">
        <v>6718</v>
      </c>
      <c r="W1629" s="2" t="s">
        <v>159</v>
      </c>
      <c r="X1629" s="2" t="s">
        <v>507</v>
      </c>
    </row>
    <row r="1630" customFormat="false" ht="15" hidden="false" customHeight="false" outlineLevel="0" collapsed="false">
      <c r="A1630" s="2" t="n">
        <v>1931</v>
      </c>
      <c r="B1630" s="2" t="s">
        <v>8285</v>
      </c>
      <c r="C1630" s="2" t="s">
        <v>8291</v>
      </c>
      <c r="D1630" s="2" t="s">
        <v>53</v>
      </c>
      <c r="E1630" s="2" t="s">
        <v>8292</v>
      </c>
      <c r="F1630" s="2" t="s">
        <v>424</v>
      </c>
      <c r="G1630" s="2" t="s">
        <v>425</v>
      </c>
      <c r="H1630" s="2" t="s">
        <v>426</v>
      </c>
      <c r="I1630" s="2" t="s">
        <v>74</v>
      </c>
      <c r="J1630" s="2" t="n">
        <v>-6.244</v>
      </c>
      <c r="K1630" s="2" t="n">
        <v>106.7995</v>
      </c>
      <c r="L1630" s="2" t="s">
        <v>124</v>
      </c>
      <c r="M1630" s="2" t="s">
        <v>60</v>
      </c>
      <c r="N1630" s="2" t="s">
        <v>6011</v>
      </c>
      <c r="O1630" s="2" t="s">
        <v>8293</v>
      </c>
      <c r="P1630" s="2"/>
      <c r="Q1630" s="2" t="s">
        <v>62</v>
      </c>
      <c r="R1630" s="2" t="n">
        <v>0.75</v>
      </c>
      <c r="S1630" s="2" t="s">
        <v>8294</v>
      </c>
      <c r="T1630" s="2" t="s">
        <v>64</v>
      </c>
      <c r="U1630" s="2" t="s">
        <v>8295</v>
      </c>
      <c r="V1630" s="2" t="s">
        <v>3330</v>
      </c>
      <c r="W1630" s="2" t="s">
        <v>1429</v>
      </c>
      <c r="X1630" s="2" t="s">
        <v>507</v>
      </c>
    </row>
    <row r="1631" customFormat="false" ht="15" hidden="false" customHeight="false" outlineLevel="0" collapsed="false">
      <c r="A1631" s="2" t="n">
        <v>1932</v>
      </c>
      <c r="B1631" s="2" t="s">
        <v>8285</v>
      </c>
      <c r="C1631" s="2" t="s">
        <v>8296</v>
      </c>
      <c r="D1631" s="2" t="s">
        <v>53</v>
      </c>
      <c r="E1631" s="2" t="s">
        <v>8297</v>
      </c>
      <c r="F1631" s="2" t="s">
        <v>1886</v>
      </c>
      <c r="G1631" s="2" t="s">
        <v>3365</v>
      </c>
      <c r="H1631" s="2" t="s">
        <v>73</v>
      </c>
      <c r="I1631" s="2" t="s">
        <v>74</v>
      </c>
      <c r="J1631" s="2" t="n">
        <v>-6.165</v>
      </c>
      <c r="K1631" s="2" t="n">
        <v>106.834</v>
      </c>
      <c r="L1631" s="2" t="s">
        <v>59</v>
      </c>
      <c r="M1631" s="2" t="s">
        <v>60</v>
      </c>
      <c r="N1631" s="2"/>
      <c r="O1631" s="2" t="s">
        <v>8298</v>
      </c>
      <c r="P1631" s="2"/>
      <c r="Q1631" s="2" t="s">
        <v>62</v>
      </c>
      <c r="R1631" s="2" t="n">
        <v>0.75</v>
      </c>
      <c r="S1631" s="2" t="s">
        <v>8299</v>
      </c>
      <c r="T1631" s="2" t="s">
        <v>64</v>
      </c>
      <c r="U1631" s="2" t="s">
        <v>8300</v>
      </c>
      <c r="V1631" s="2" t="s">
        <v>8301</v>
      </c>
      <c r="W1631" s="2" t="s">
        <v>1365</v>
      </c>
      <c r="X1631" s="2" t="s">
        <v>507</v>
      </c>
    </row>
    <row r="1632" customFormat="false" ht="15" hidden="false" customHeight="false" outlineLevel="0" collapsed="false">
      <c r="A1632" s="2" t="n">
        <v>1932</v>
      </c>
      <c r="B1632" s="2" t="s">
        <v>8285</v>
      </c>
      <c r="C1632" s="2" t="s">
        <v>8302</v>
      </c>
      <c r="D1632" s="2" t="s">
        <v>53</v>
      </c>
      <c r="E1632" s="2" t="s">
        <v>8303</v>
      </c>
      <c r="F1632" s="2" t="s">
        <v>424</v>
      </c>
      <c r="G1632" s="2" t="s">
        <v>425</v>
      </c>
      <c r="H1632" s="2" t="s">
        <v>426</v>
      </c>
      <c r="I1632" s="2" t="s">
        <v>74</v>
      </c>
      <c r="J1632" s="2" t="n">
        <v>-6.244</v>
      </c>
      <c r="K1632" s="2" t="n">
        <v>106.7995</v>
      </c>
      <c r="L1632" s="2" t="s">
        <v>124</v>
      </c>
      <c r="M1632" s="2" t="s">
        <v>60</v>
      </c>
      <c r="N1632" s="2" t="s">
        <v>6011</v>
      </c>
      <c r="O1632" s="2" t="s">
        <v>8304</v>
      </c>
      <c r="P1632" s="2" t="s">
        <v>8305</v>
      </c>
      <c r="Q1632" s="2" t="s">
        <v>110</v>
      </c>
      <c r="R1632" s="2" t="n">
        <v>0.8</v>
      </c>
      <c r="S1632" s="2" t="s">
        <v>8299</v>
      </c>
      <c r="T1632" s="2" t="s">
        <v>64</v>
      </c>
      <c r="U1632" s="2" t="s">
        <v>8300</v>
      </c>
      <c r="V1632" s="2" t="s">
        <v>8301</v>
      </c>
      <c r="W1632" s="2" t="s">
        <v>1365</v>
      </c>
      <c r="X1632" s="2" t="s">
        <v>507</v>
      </c>
    </row>
    <row r="1633" customFormat="false" ht="15" hidden="false" customHeight="false" outlineLevel="0" collapsed="false">
      <c r="A1633" s="2" t="n">
        <v>1933</v>
      </c>
      <c r="B1633" s="2" t="s">
        <v>8285</v>
      </c>
      <c r="C1633" s="2" t="s">
        <v>8306</v>
      </c>
      <c r="D1633" s="2" t="s">
        <v>53</v>
      </c>
      <c r="E1633" s="2" t="s">
        <v>8307</v>
      </c>
      <c r="F1633" s="2" t="s">
        <v>71</v>
      </c>
      <c r="G1633" s="2" t="s">
        <v>72</v>
      </c>
      <c r="H1633" s="2" t="s">
        <v>73</v>
      </c>
      <c r="I1633" s="2" t="s">
        <v>74</v>
      </c>
      <c r="J1633" s="2" t="n">
        <v>-6.208</v>
      </c>
      <c r="K1633" s="2" t="n">
        <v>106.813</v>
      </c>
      <c r="L1633" s="2" t="s">
        <v>59</v>
      </c>
      <c r="M1633" s="2" t="s">
        <v>60</v>
      </c>
      <c r="N1633" s="2"/>
      <c r="O1633" s="2" t="s">
        <v>8308</v>
      </c>
      <c r="P1633" s="2"/>
      <c r="Q1633" s="2" t="s">
        <v>62</v>
      </c>
      <c r="R1633" s="2" t="n">
        <v>0.65</v>
      </c>
      <c r="S1633" s="2" t="s">
        <v>8309</v>
      </c>
      <c r="T1633" s="2" t="s">
        <v>64</v>
      </c>
      <c r="U1633" s="2" t="s">
        <v>8310</v>
      </c>
      <c r="V1633" s="2" t="s">
        <v>965</v>
      </c>
      <c r="W1633" s="2" t="s">
        <v>751</v>
      </c>
      <c r="X1633" s="2" t="s">
        <v>507</v>
      </c>
    </row>
    <row r="1634" customFormat="false" ht="15" hidden="false" customHeight="false" outlineLevel="0" collapsed="false">
      <c r="A1634" s="2" t="n">
        <v>1934</v>
      </c>
      <c r="B1634" s="2" t="s">
        <v>8285</v>
      </c>
      <c r="C1634" s="2" t="s">
        <v>8311</v>
      </c>
      <c r="D1634" s="2" t="s">
        <v>53</v>
      </c>
      <c r="E1634" s="2" t="s">
        <v>8312</v>
      </c>
      <c r="F1634" s="2"/>
      <c r="G1634" s="2"/>
      <c r="H1634" s="2"/>
      <c r="I1634" s="2"/>
      <c r="J1634" s="2" t="n">
        <v>1.302</v>
      </c>
      <c r="K1634" s="2" t="n">
        <v>103.859</v>
      </c>
      <c r="L1634" s="2" t="s">
        <v>124</v>
      </c>
      <c r="M1634" s="2" t="s">
        <v>340</v>
      </c>
      <c r="N1634" s="2" t="s">
        <v>8313</v>
      </c>
      <c r="O1634" s="2" t="s">
        <v>8314</v>
      </c>
      <c r="P1634" s="2" t="s">
        <v>8315</v>
      </c>
      <c r="Q1634" s="2" t="s">
        <v>110</v>
      </c>
      <c r="R1634" s="2" t="n">
        <v>0.8</v>
      </c>
      <c r="S1634" s="2" t="s">
        <v>8316</v>
      </c>
      <c r="T1634" s="2" t="s">
        <v>64</v>
      </c>
      <c r="U1634" s="2" t="s">
        <v>8317</v>
      </c>
      <c r="V1634" s="2" t="s">
        <v>2926</v>
      </c>
      <c r="W1634" s="2" t="s">
        <v>159</v>
      </c>
      <c r="X1634" s="2" t="s">
        <v>507</v>
      </c>
    </row>
    <row r="1635" customFormat="false" ht="15" hidden="false" customHeight="false" outlineLevel="0" collapsed="false">
      <c r="A1635" s="2" t="n">
        <v>1935</v>
      </c>
      <c r="B1635" s="2" t="s">
        <v>8285</v>
      </c>
      <c r="C1635" s="2" t="s">
        <v>8318</v>
      </c>
      <c r="D1635" s="2" t="s">
        <v>410</v>
      </c>
      <c r="E1635" s="2" t="s">
        <v>8319</v>
      </c>
      <c r="F1635" s="2" t="s">
        <v>8320</v>
      </c>
      <c r="G1635" s="2" t="s">
        <v>8321</v>
      </c>
      <c r="H1635" s="2" t="s">
        <v>8322</v>
      </c>
      <c r="I1635" s="2" t="s">
        <v>4893</v>
      </c>
      <c r="J1635" s="2" t="n">
        <v>-1.9</v>
      </c>
      <c r="K1635" s="2" t="n">
        <v>115.5</v>
      </c>
      <c r="L1635" s="2" t="s">
        <v>101</v>
      </c>
      <c r="M1635" s="2" t="s">
        <v>60</v>
      </c>
      <c r="N1635" s="2"/>
      <c r="O1635" s="2" t="s">
        <v>8323</v>
      </c>
      <c r="P1635" s="2" t="s">
        <v>1376</v>
      </c>
      <c r="Q1635" s="2" t="s">
        <v>110</v>
      </c>
      <c r="R1635" s="2" t="n">
        <v>0.85</v>
      </c>
      <c r="S1635" s="2" t="s">
        <v>8324</v>
      </c>
      <c r="T1635" s="2" t="s">
        <v>8325</v>
      </c>
      <c r="U1635" s="2" t="s">
        <v>8326</v>
      </c>
      <c r="V1635" s="2" t="s">
        <v>8274</v>
      </c>
      <c r="W1635" s="2" t="s">
        <v>530</v>
      </c>
      <c r="X1635" s="2" t="s">
        <v>507</v>
      </c>
    </row>
    <row r="1636" customFormat="false" ht="15" hidden="false" customHeight="false" outlineLevel="0" collapsed="false">
      <c r="A1636" s="2" t="n">
        <v>1936</v>
      </c>
      <c r="B1636" s="2" t="s">
        <v>8285</v>
      </c>
      <c r="C1636" s="2" t="s">
        <v>2180</v>
      </c>
      <c r="D1636" s="2" t="s">
        <v>351</v>
      </c>
      <c r="E1636" s="2" t="s">
        <v>8327</v>
      </c>
      <c r="F1636" s="2"/>
      <c r="G1636" s="2"/>
      <c r="H1636" s="2" t="s">
        <v>1336</v>
      </c>
      <c r="I1636" s="2" t="s">
        <v>1337</v>
      </c>
      <c r="J1636" s="2" t="n">
        <v>-0.9661</v>
      </c>
      <c r="K1636" s="2" t="n">
        <v>100.3595</v>
      </c>
      <c r="L1636" s="2" t="s">
        <v>124</v>
      </c>
      <c r="M1636" s="2" t="s">
        <v>340</v>
      </c>
      <c r="N1636" s="2"/>
      <c r="O1636" s="2" t="s">
        <v>8328</v>
      </c>
      <c r="P1636" s="2"/>
      <c r="Q1636" s="2" t="s">
        <v>62</v>
      </c>
      <c r="R1636" s="2" t="n">
        <v>0.55</v>
      </c>
      <c r="S1636" s="2" t="s">
        <v>8329</v>
      </c>
      <c r="T1636" s="2" t="s">
        <v>176</v>
      </c>
      <c r="U1636" s="2" t="s">
        <v>8330</v>
      </c>
      <c r="V1636" s="2" t="s">
        <v>7896</v>
      </c>
      <c r="W1636" s="2" t="s">
        <v>283</v>
      </c>
      <c r="X1636" s="2" t="s">
        <v>507</v>
      </c>
    </row>
    <row r="1637" customFormat="false" ht="15" hidden="false" customHeight="false" outlineLevel="0" collapsed="false">
      <c r="A1637" s="2" t="n">
        <v>1941</v>
      </c>
      <c r="B1637" s="2" t="s">
        <v>8285</v>
      </c>
      <c r="C1637" s="2" t="s">
        <v>8331</v>
      </c>
      <c r="D1637" s="2" t="s">
        <v>53</v>
      </c>
      <c r="E1637" s="2" t="s">
        <v>8332</v>
      </c>
      <c r="F1637" s="2" t="s">
        <v>8333</v>
      </c>
      <c r="G1637" s="2" t="s">
        <v>8046</v>
      </c>
      <c r="H1637" s="2" t="s">
        <v>224</v>
      </c>
      <c r="I1637" s="2" t="s">
        <v>184</v>
      </c>
      <c r="J1637" s="2" t="n">
        <v>-7.945</v>
      </c>
      <c r="K1637" s="2" t="n">
        <v>112.595</v>
      </c>
      <c r="L1637" s="2" t="s">
        <v>59</v>
      </c>
      <c r="M1637" s="2" t="s">
        <v>60</v>
      </c>
      <c r="N1637" s="2"/>
      <c r="O1637" s="2" t="s">
        <v>8334</v>
      </c>
      <c r="P1637" s="2"/>
      <c r="Q1637" s="2" t="s">
        <v>62</v>
      </c>
      <c r="R1637" s="2" t="n">
        <v>0.45</v>
      </c>
      <c r="S1637" s="2" t="s">
        <v>8335</v>
      </c>
      <c r="T1637" s="2" t="s">
        <v>1135</v>
      </c>
      <c r="U1637" s="2" t="s">
        <v>8336</v>
      </c>
      <c r="V1637" s="2" t="s">
        <v>1137</v>
      </c>
      <c r="W1637" s="2" t="s">
        <v>3239</v>
      </c>
      <c r="X1637" s="2" t="s">
        <v>507</v>
      </c>
    </row>
    <row r="1638" customFormat="false" ht="15" hidden="false" customHeight="false" outlineLevel="0" collapsed="false">
      <c r="A1638" s="2" t="n">
        <v>1946</v>
      </c>
      <c r="B1638" s="2" t="s">
        <v>8285</v>
      </c>
      <c r="C1638" s="2" t="s">
        <v>8337</v>
      </c>
      <c r="D1638" s="2" t="s">
        <v>410</v>
      </c>
      <c r="E1638" s="2" t="s">
        <v>2299</v>
      </c>
      <c r="F1638" s="2"/>
      <c r="G1638" s="2"/>
      <c r="H1638" s="2" t="s">
        <v>2299</v>
      </c>
      <c r="I1638" s="2" t="s">
        <v>2246</v>
      </c>
      <c r="J1638" s="2" t="n">
        <v>0.507</v>
      </c>
      <c r="K1638" s="2" t="n">
        <v>101.447</v>
      </c>
      <c r="L1638" s="2" t="s">
        <v>101</v>
      </c>
      <c r="M1638" s="2" t="s">
        <v>60</v>
      </c>
      <c r="N1638" s="2"/>
      <c r="O1638" s="2" t="s">
        <v>8338</v>
      </c>
      <c r="P1638" s="2"/>
      <c r="Q1638" s="2" t="s">
        <v>62</v>
      </c>
      <c r="R1638" s="2" t="n">
        <v>0.6</v>
      </c>
      <c r="S1638" s="2" t="s">
        <v>8339</v>
      </c>
      <c r="T1638" s="2" t="s">
        <v>2332</v>
      </c>
      <c r="U1638" s="2" t="s">
        <v>8340</v>
      </c>
      <c r="V1638" s="2" t="s">
        <v>4359</v>
      </c>
      <c r="W1638" s="2" t="s">
        <v>1429</v>
      </c>
      <c r="X1638" s="2" t="s">
        <v>507</v>
      </c>
    </row>
    <row r="1639" customFormat="false" ht="15" hidden="false" customHeight="false" outlineLevel="0" collapsed="false">
      <c r="A1639" s="2" t="n">
        <v>1946</v>
      </c>
      <c r="B1639" s="2" t="s">
        <v>8285</v>
      </c>
      <c r="C1639" s="2" t="s">
        <v>8341</v>
      </c>
      <c r="D1639" s="2" t="s">
        <v>1140</v>
      </c>
      <c r="E1639" s="2" t="s">
        <v>8342</v>
      </c>
      <c r="F1639" s="2" t="s">
        <v>895</v>
      </c>
      <c r="G1639" s="2" t="s">
        <v>8343</v>
      </c>
      <c r="H1639" s="2" t="s">
        <v>2299</v>
      </c>
      <c r="I1639" s="2" t="s">
        <v>2246</v>
      </c>
      <c r="J1639" s="2" t="n">
        <v>0.5</v>
      </c>
      <c r="K1639" s="2" t="n">
        <v>101.4</v>
      </c>
      <c r="L1639" s="2" t="s">
        <v>84</v>
      </c>
      <c r="M1639" s="2" t="s">
        <v>60</v>
      </c>
      <c r="N1639" s="2"/>
      <c r="O1639" s="2" t="s">
        <v>8344</v>
      </c>
      <c r="P1639" s="2"/>
      <c r="Q1639" s="2" t="s">
        <v>62</v>
      </c>
      <c r="R1639" s="2" t="n">
        <v>0.75</v>
      </c>
      <c r="S1639" s="2" t="s">
        <v>8339</v>
      </c>
      <c r="T1639" s="2" t="s">
        <v>2332</v>
      </c>
      <c r="U1639" s="2" t="s">
        <v>8340</v>
      </c>
      <c r="V1639" s="2" t="s">
        <v>4359</v>
      </c>
      <c r="W1639" s="2" t="s">
        <v>1429</v>
      </c>
      <c r="X1639" s="2" t="s">
        <v>507</v>
      </c>
    </row>
    <row r="1640" customFormat="false" ht="15" hidden="false" customHeight="false" outlineLevel="0" collapsed="false">
      <c r="A1640" s="2" t="n">
        <v>1946</v>
      </c>
      <c r="B1640" s="2" t="s">
        <v>8285</v>
      </c>
      <c r="C1640" s="2" t="s">
        <v>8345</v>
      </c>
      <c r="D1640" s="2" t="s">
        <v>410</v>
      </c>
      <c r="E1640" s="2" t="s">
        <v>8346</v>
      </c>
      <c r="F1640" s="2"/>
      <c r="G1640" s="2"/>
      <c r="H1640" s="2" t="s">
        <v>2299</v>
      </c>
      <c r="I1640" s="2" t="s">
        <v>2246</v>
      </c>
      <c r="J1640" s="2" t="n">
        <v>0.507</v>
      </c>
      <c r="K1640" s="2" t="n">
        <v>101.447</v>
      </c>
      <c r="L1640" s="2" t="s">
        <v>101</v>
      </c>
      <c r="M1640" s="2" t="s">
        <v>60</v>
      </c>
      <c r="N1640" s="2" t="s">
        <v>8347</v>
      </c>
      <c r="O1640" s="2" t="s">
        <v>8348</v>
      </c>
      <c r="P1640" s="2"/>
      <c r="Q1640" s="2" t="s">
        <v>62</v>
      </c>
      <c r="R1640" s="2" t="n">
        <v>0.7</v>
      </c>
      <c r="S1640" s="2" t="s">
        <v>8339</v>
      </c>
      <c r="T1640" s="2" t="s">
        <v>2332</v>
      </c>
      <c r="U1640" s="2" t="s">
        <v>8340</v>
      </c>
      <c r="V1640" s="2" t="s">
        <v>4359</v>
      </c>
      <c r="W1640" s="2" t="s">
        <v>1429</v>
      </c>
      <c r="X1640" s="2" t="s">
        <v>507</v>
      </c>
    </row>
    <row r="1641" customFormat="false" ht="15" hidden="false" customHeight="false" outlineLevel="0" collapsed="false">
      <c r="A1641" s="2" t="n">
        <v>1949</v>
      </c>
      <c r="B1641" s="2" t="s">
        <v>8285</v>
      </c>
      <c r="C1641" s="2" t="s">
        <v>8349</v>
      </c>
      <c r="D1641" s="2" t="s">
        <v>121</v>
      </c>
      <c r="E1641" s="2" t="s">
        <v>8350</v>
      </c>
      <c r="F1641" s="2"/>
      <c r="G1641" s="2"/>
      <c r="H1641" s="2" t="s">
        <v>2299</v>
      </c>
      <c r="I1641" s="2" t="s">
        <v>2246</v>
      </c>
      <c r="J1641" s="2" t="n">
        <v>0.507</v>
      </c>
      <c r="K1641" s="2" t="n">
        <v>101.447</v>
      </c>
      <c r="L1641" s="2" t="s">
        <v>101</v>
      </c>
      <c r="M1641" s="2" t="s">
        <v>60</v>
      </c>
      <c r="N1641" s="2"/>
      <c r="O1641" s="2" t="s">
        <v>8351</v>
      </c>
      <c r="P1641" s="2" t="s">
        <v>2019</v>
      </c>
      <c r="Q1641" s="2" t="s">
        <v>62</v>
      </c>
      <c r="R1641" s="2" t="n">
        <v>0.75</v>
      </c>
      <c r="S1641" s="2" t="s">
        <v>8352</v>
      </c>
      <c r="T1641" s="2" t="s">
        <v>8353</v>
      </c>
      <c r="U1641" s="2" t="s">
        <v>8354</v>
      </c>
      <c r="V1641" s="2" t="s">
        <v>178</v>
      </c>
      <c r="W1641" s="2" t="s">
        <v>421</v>
      </c>
      <c r="X1641" s="2" t="s">
        <v>507</v>
      </c>
    </row>
    <row r="1642" customFormat="false" ht="15" hidden="false" customHeight="false" outlineLevel="0" collapsed="false">
      <c r="A1642" s="2" t="n">
        <v>1953</v>
      </c>
      <c r="B1642" s="2" t="s">
        <v>8355</v>
      </c>
      <c r="C1642" s="2" t="s">
        <v>8356</v>
      </c>
      <c r="D1642" s="2" t="s">
        <v>351</v>
      </c>
      <c r="E1642" s="2" t="s">
        <v>8357</v>
      </c>
      <c r="F1642" s="2"/>
      <c r="G1642" s="2"/>
      <c r="H1642" s="2" t="s">
        <v>2299</v>
      </c>
      <c r="I1642" s="2" t="s">
        <v>2246</v>
      </c>
      <c r="J1642" s="2" t="n">
        <v>0.507</v>
      </c>
      <c r="K1642" s="2" t="n">
        <v>101.447</v>
      </c>
      <c r="L1642" s="2" t="s">
        <v>101</v>
      </c>
      <c r="M1642" s="2" t="s">
        <v>340</v>
      </c>
      <c r="N1642" s="2" t="s">
        <v>8358</v>
      </c>
      <c r="O1642" s="2" t="s">
        <v>8359</v>
      </c>
      <c r="P1642" s="2" t="s">
        <v>8360</v>
      </c>
      <c r="Q1642" s="2" t="s">
        <v>110</v>
      </c>
      <c r="R1642" s="2" t="n">
        <v>0.4</v>
      </c>
      <c r="S1642" s="2" t="s">
        <v>8361</v>
      </c>
      <c r="T1642" s="2" t="s">
        <v>743</v>
      </c>
      <c r="U1642" s="2" t="s">
        <v>8362</v>
      </c>
      <c r="V1642" s="2" t="s">
        <v>245</v>
      </c>
      <c r="W1642" s="2" t="s">
        <v>1758</v>
      </c>
      <c r="X1642" s="2" t="s">
        <v>507</v>
      </c>
    </row>
    <row r="1643" customFormat="false" ht="15" hidden="false" customHeight="false" outlineLevel="0" collapsed="false">
      <c r="A1643" s="2" t="n">
        <v>1960</v>
      </c>
      <c r="B1643" s="2" t="s">
        <v>8355</v>
      </c>
      <c r="C1643" s="2" t="s">
        <v>2371</v>
      </c>
      <c r="D1643" s="2" t="s">
        <v>121</v>
      </c>
      <c r="E1643" s="2" t="s">
        <v>6069</v>
      </c>
      <c r="F1643" s="2"/>
      <c r="G1643" s="2"/>
      <c r="H1643" s="2" t="s">
        <v>2299</v>
      </c>
      <c r="I1643" s="2" t="s">
        <v>2246</v>
      </c>
      <c r="J1643" s="2" t="n">
        <v>0.507</v>
      </c>
      <c r="K1643" s="2" t="n">
        <v>101.447</v>
      </c>
      <c r="L1643" s="2" t="s">
        <v>101</v>
      </c>
      <c r="M1643" s="2" t="s">
        <v>340</v>
      </c>
      <c r="N1643" s="2" t="s">
        <v>8358</v>
      </c>
      <c r="O1643" s="2" t="s">
        <v>8363</v>
      </c>
      <c r="P1643" s="2" t="s">
        <v>2374</v>
      </c>
      <c r="Q1643" s="2" t="s">
        <v>62</v>
      </c>
      <c r="R1643" s="2" t="n">
        <v>0.8</v>
      </c>
      <c r="S1643" s="2" t="s">
        <v>8364</v>
      </c>
      <c r="T1643" s="2" t="s">
        <v>8353</v>
      </c>
      <c r="U1643" s="2" t="s">
        <v>8365</v>
      </c>
      <c r="V1643" s="2" t="s">
        <v>114</v>
      </c>
      <c r="W1643" s="2" t="s">
        <v>301</v>
      </c>
      <c r="X1643" s="2" t="s">
        <v>160</v>
      </c>
    </row>
    <row r="1644" customFormat="false" ht="15" hidden="false" customHeight="false" outlineLevel="0" collapsed="false">
      <c r="A1644" s="2" t="n">
        <v>1960</v>
      </c>
      <c r="B1644" s="2" t="s">
        <v>8355</v>
      </c>
      <c r="C1644" s="2" t="s">
        <v>2386</v>
      </c>
      <c r="D1644" s="2" t="s">
        <v>53</v>
      </c>
      <c r="E1644" s="2" t="s">
        <v>6069</v>
      </c>
      <c r="F1644" s="2"/>
      <c r="G1644" s="2"/>
      <c r="H1644" s="2" t="s">
        <v>2299</v>
      </c>
      <c r="I1644" s="2" t="s">
        <v>2246</v>
      </c>
      <c r="J1644" s="2" t="n">
        <v>0.507</v>
      </c>
      <c r="K1644" s="2" t="n">
        <v>101.447</v>
      </c>
      <c r="L1644" s="2" t="s">
        <v>101</v>
      </c>
      <c r="M1644" s="2" t="s">
        <v>340</v>
      </c>
      <c r="N1644" s="2" t="s">
        <v>8358</v>
      </c>
      <c r="O1644" s="2" t="s">
        <v>8366</v>
      </c>
      <c r="P1644" s="2" t="s">
        <v>2374</v>
      </c>
      <c r="Q1644" s="2" t="s">
        <v>110</v>
      </c>
      <c r="R1644" s="2" t="n">
        <v>0.5</v>
      </c>
      <c r="S1644" s="2" t="s">
        <v>8364</v>
      </c>
      <c r="T1644" s="2" t="s">
        <v>8353</v>
      </c>
      <c r="U1644" s="2" t="s">
        <v>8365</v>
      </c>
      <c r="V1644" s="2" t="s">
        <v>114</v>
      </c>
      <c r="W1644" s="2" t="s">
        <v>301</v>
      </c>
      <c r="X1644" s="2" t="s">
        <v>160</v>
      </c>
    </row>
    <row r="1645" customFormat="false" ht="15" hidden="false" customHeight="false" outlineLevel="0" collapsed="false">
      <c r="A1645" s="2" t="n">
        <v>1961</v>
      </c>
      <c r="B1645" s="2" t="s">
        <v>8355</v>
      </c>
      <c r="C1645" s="2" t="s">
        <v>8367</v>
      </c>
      <c r="D1645" s="2" t="s">
        <v>121</v>
      </c>
      <c r="E1645" s="2" t="s">
        <v>6069</v>
      </c>
      <c r="F1645" s="2"/>
      <c r="G1645" s="2"/>
      <c r="H1645" s="2" t="s">
        <v>2299</v>
      </c>
      <c r="I1645" s="2" t="s">
        <v>2246</v>
      </c>
      <c r="J1645" s="2" t="n">
        <v>0.507</v>
      </c>
      <c r="K1645" s="2" t="n">
        <v>101.447</v>
      </c>
      <c r="L1645" s="2" t="s">
        <v>101</v>
      </c>
      <c r="M1645" s="2" t="s">
        <v>340</v>
      </c>
      <c r="N1645" s="2" t="s">
        <v>8358</v>
      </c>
      <c r="O1645" s="2" t="s">
        <v>8368</v>
      </c>
      <c r="P1645" s="2" t="s">
        <v>2558</v>
      </c>
      <c r="Q1645" s="2" t="s">
        <v>62</v>
      </c>
      <c r="R1645" s="2" t="n">
        <v>0.75</v>
      </c>
      <c r="S1645" s="2" t="s">
        <v>8369</v>
      </c>
      <c r="T1645" s="2" t="s">
        <v>2343</v>
      </c>
      <c r="U1645" s="2" t="s">
        <v>8370</v>
      </c>
      <c r="V1645" s="2" t="s">
        <v>178</v>
      </c>
      <c r="W1645" s="2" t="s">
        <v>1501</v>
      </c>
      <c r="X1645" s="2" t="s">
        <v>507</v>
      </c>
    </row>
    <row r="1646" customFormat="false" ht="15" hidden="false" customHeight="false" outlineLevel="0" collapsed="false">
      <c r="A1646" s="2" t="n">
        <v>1962</v>
      </c>
      <c r="B1646" s="2" t="s">
        <v>8355</v>
      </c>
      <c r="C1646" s="2" t="s">
        <v>8349</v>
      </c>
      <c r="D1646" s="2" t="s">
        <v>121</v>
      </c>
      <c r="E1646" s="2" t="s">
        <v>8350</v>
      </c>
      <c r="F1646" s="2"/>
      <c r="G1646" s="2"/>
      <c r="H1646" s="2" t="s">
        <v>2299</v>
      </c>
      <c r="I1646" s="2" t="s">
        <v>2246</v>
      </c>
      <c r="J1646" s="2" t="n">
        <v>0.507</v>
      </c>
      <c r="K1646" s="2" t="n">
        <v>101.447</v>
      </c>
      <c r="L1646" s="2" t="s">
        <v>101</v>
      </c>
      <c r="M1646" s="2" t="s">
        <v>60</v>
      </c>
      <c r="N1646" s="2"/>
      <c r="O1646" s="2" t="s">
        <v>8371</v>
      </c>
      <c r="P1646" s="2" t="s">
        <v>2019</v>
      </c>
      <c r="Q1646" s="2" t="s">
        <v>110</v>
      </c>
      <c r="R1646" s="2" t="n">
        <v>0.8</v>
      </c>
      <c r="S1646" s="2" t="s">
        <v>8372</v>
      </c>
      <c r="T1646" s="2" t="s">
        <v>8353</v>
      </c>
      <c r="U1646" s="2" t="s">
        <v>8373</v>
      </c>
      <c r="V1646" s="2" t="s">
        <v>178</v>
      </c>
      <c r="W1646" s="2" t="s">
        <v>2241</v>
      </c>
      <c r="X1646" s="2" t="s">
        <v>507</v>
      </c>
    </row>
    <row r="1647" customFormat="false" ht="15" hidden="false" customHeight="false" outlineLevel="0" collapsed="false">
      <c r="A1647" s="2" t="n">
        <v>1963</v>
      </c>
      <c r="B1647" s="2" t="s">
        <v>8355</v>
      </c>
      <c r="C1647" s="2" t="s">
        <v>8349</v>
      </c>
      <c r="D1647" s="2" t="s">
        <v>121</v>
      </c>
      <c r="E1647" s="2" t="s">
        <v>8374</v>
      </c>
      <c r="F1647" s="2"/>
      <c r="G1647" s="2"/>
      <c r="H1647" s="2" t="s">
        <v>2299</v>
      </c>
      <c r="I1647" s="2" t="s">
        <v>2246</v>
      </c>
      <c r="J1647" s="2" t="n">
        <v>0.507</v>
      </c>
      <c r="K1647" s="2" t="n">
        <v>101.447</v>
      </c>
      <c r="L1647" s="2" t="s">
        <v>101</v>
      </c>
      <c r="M1647" s="2" t="s">
        <v>340</v>
      </c>
      <c r="N1647" s="2"/>
      <c r="O1647" s="2" t="s">
        <v>8375</v>
      </c>
      <c r="P1647" s="2" t="s">
        <v>2019</v>
      </c>
      <c r="Q1647" s="2" t="s">
        <v>110</v>
      </c>
      <c r="R1647" s="2" t="n">
        <v>0.8</v>
      </c>
      <c r="S1647" s="2" t="s">
        <v>8376</v>
      </c>
      <c r="T1647" s="2" t="s">
        <v>2376</v>
      </c>
      <c r="U1647" s="2" t="s">
        <v>8377</v>
      </c>
      <c r="V1647" s="2" t="s">
        <v>114</v>
      </c>
      <c r="W1647" s="2" t="s">
        <v>8378</v>
      </c>
      <c r="X1647" s="2" t="s">
        <v>507</v>
      </c>
    </row>
    <row r="1648" customFormat="false" ht="15" hidden="false" customHeight="false" outlineLevel="0" collapsed="false">
      <c r="A1648" s="2" t="n">
        <v>1964</v>
      </c>
      <c r="B1648" s="2" t="s">
        <v>8355</v>
      </c>
      <c r="C1648" s="2" t="s">
        <v>8379</v>
      </c>
      <c r="D1648" s="2" t="s">
        <v>351</v>
      </c>
      <c r="E1648" s="2" t="s">
        <v>8380</v>
      </c>
      <c r="F1648" s="2" t="s">
        <v>8381</v>
      </c>
      <c r="G1648" s="2" t="s">
        <v>8382</v>
      </c>
      <c r="H1648" s="2" t="s">
        <v>4911</v>
      </c>
      <c r="I1648" s="2" t="s">
        <v>4893</v>
      </c>
      <c r="J1648" s="2" t="n">
        <v>-3.39</v>
      </c>
      <c r="K1648" s="2" t="n">
        <v>114.77</v>
      </c>
      <c r="L1648" s="2" t="s">
        <v>84</v>
      </c>
      <c r="M1648" s="2" t="s">
        <v>60</v>
      </c>
      <c r="N1648" s="2"/>
      <c r="O1648" s="2" t="s">
        <v>8383</v>
      </c>
      <c r="P1648" s="2" t="s">
        <v>5192</v>
      </c>
      <c r="Q1648" s="2" t="s">
        <v>62</v>
      </c>
      <c r="R1648" s="2" t="n">
        <v>0.65</v>
      </c>
      <c r="S1648" s="2" t="s">
        <v>8384</v>
      </c>
      <c r="T1648" s="2" t="s">
        <v>95</v>
      </c>
      <c r="U1648" s="2" t="s">
        <v>8385</v>
      </c>
      <c r="V1648" s="2" t="s">
        <v>8386</v>
      </c>
      <c r="W1648" s="2" t="s">
        <v>945</v>
      </c>
      <c r="X1648" s="2" t="s">
        <v>507</v>
      </c>
    </row>
    <row r="1649" customFormat="false" ht="15" hidden="false" customHeight="false" outlineLevel="0" collapsed="false">
      <c r="A1649" s="2" t="n">
        <v>1974</v>
      </c>
      <c r="B1649" s="2" t="s">
        <v>8355</v>
      </c>
      <c r="C1649" s="2" t="s">
        <v>8387</v>
      </c>
      <c r="D1649" s="2" t="s">
        <v>121</v>
      </c>
      <c r="E1649" s="2" t="s">
        <v>8388</v>
      </c>
      <c r="F1649" s="2"/>
      <c r="G1649" s="2"/>
      <c r="H1649" s="2" t="s">
        <v>4892</v>
      </c>
      <c r="I1649" s="2" t="s">
        <v>4893</v>
      </c>
      <c r="J1649" s="2" t="n">
        <v>-3.319</v>
      </c>
      <c r="K1649" s="2" t="n">
        <v>114.59</v>
      </c>
      <c r="L1649" s="2" t="s">
        <v>101</v>
      </c>
      <c r="M1649" s="2" t="s">
        <v>60</v>
      </c>
      <c r="N1649" s="2"/>
      <c r="O1649" s="2" t="s">
        <v>8389</v>
      </c>
      <c r="P1649" s="2" t="s">
        <v>3182</v>
      </c>
      <c r="Q1649" s="2" t="s">
        <v>62</v>
      </c>
      <c r="R1649" s="2" t="n">
        <v>0.65</v>
      </c>
      <c r="S1649" s="2" t="s">
        <v>8390</v>
      </c>
      <c r="T1649" s="2" t="s">
        <v>8391</v>
      </c>
      <c r="U1649" s="2" t="s">
        <v>8392</v>
      </c>
      <c r="V1649" s="2" t="s">
        <v>696</v>
      </c>
      <c r="W1649" s="2" t="s">
        <v>697</v>
      </c>
      <c r="X1649" s="2" t="s">
        <v>507</v>
      </c>
    </row>
    <row r="1650" customFormat="false" ht="15" hidden="false" customHeight="false" outlineLevel="0" collapsed="false">
      <c r="A1650" s="2" t="n">
        <v>1975</v>
      </c>
      <c r="B1650" s="2" t="s">
        <v>8355</v>
      </c>
      <c r="C1650" s="2" t="s">
        <v>8393</v>
      </c>
      <c r="D1650" s="2" t="s">
        <v>410</v>
      </c>
      <c r="E1650" s="2" t="s">
        <v>5016</v>
      </c>
      <c r="F1650" s="2"/>
      <c r="G1650" s="2"/>
      <c r="H1650" s="2" t="s">
        <v>4954</v>
      </c>
      <c r="I1650" s="2" t="s">
        <v>898</v>
      </c>
      <c r="J1650" s="2" t="n">
        <v>-1.24</v>
      </c>
      <c r="K1650" s="2" t="n">
        <v>116.87</v>
      </c>
      <c r="L1650" s="2" t="s">
        <v>101</v>
      </c>
      <c r="M1650" s="2" t="s">
        <v>340</v>
      </c>
      <c r="N1650" s="2"/>
      <c r="O1650" s="2" t="s">
        <v>8394</v>
      </c>
      <c r="P1650" s="2"/>
      <c r="Q1650" s="2" t="s">
        <v>62</v>
      </c>
      <c r="R1650" s="2" t="n">
        <v>0.6</v>
      </c>
      <c r="S1650" s="2" t="s">
        <v>8395</v>
      </c>
      <c r="T1650" s="2" t="s">
        <v>963</v>
      </c>
      <c r="U1650" s="2" t="s">
        <v>8396</v>
      </c>
      <c r="V1650" s="2" t="s">
        <v>420</v>
      </c>
      <c r="W1650" s="2" t="s">
        <v>331</v>
      </c>
      <c r="X1650" s="2" t="s">
        <v>507</v>
      </c>
    </row>
    <row r="1651" customFormat="false" ht="15" hidden="false" customHeight="false" outlineLevel="0" collapsed="false">
      <c r="A1651" s="2" t="n">
        <v>1976</v>
      </c>
      <c r="B1651" s="2" t="s">
        <v>8355</v>
      </c>
      <c r="C1651" s="2" t="s">
        <v>8397</v>
      </c>
      <c r="D1651" s="2" t="s">
        <v>410</v>
      </c>
      <c r="E1651" s="2" t="s">
        <v>5016</v>
      </c>
      <c r="F1651" s="2" t="s">
        <v>8398</v>
      </c>
      <c r="G1651" s="2" t="s">
        <v>8399</v>
      </c>
      <c r="H1651" s="2" t="s">
        <v>4954</v>
      </c>
      <c r="I1651" s="2" t="s">
        <v>898</v>
      </c>
      <c r="J1651" s="2" t="n">
        <v>-1.15</v>
      </c>
      <c r="K1651" s="2" t="n">
        <v>116.88</v>
      </c>
      <c r="L1651" s="2" t="s">
        <v>84</v>
      </c>
      <c r="M1651" s="2" t="s">
        <v>60</v>
      </c>
      <c r="N1651" s="2"/>
      <c r="O1651" s="2" t="s">
        <v>8400</v>
      </c>
      <c r="P1651" s="2" t="s">
        <v>8401</v>
      </c>
      <c r="Q1651" s="2" t="s">
        <v>62</v>
      </c>
      <c r="R1651" s="2" t="n">
        <v>0.5</v>
      </c>
      <c r="S1651" s="2" t="s">
        <v>8402</v>
      </c>
      <c r="T1651" s="2" t="s">
        <v>8403</v>
      </c>
      <c r="U1651" s="2" t="s">
        <v>8404</v>
      </c>
      <c r="V1651" s="2" t="s">
        <v>4022</v>
      </c>
      <c r="W1651" s="2" t="s">
        <v>697</v>
      </c>
      <c r="X1651" s="2" t="s">
        <v>507</v>
      </c>
    </row>
    <row r="1652" customFormat="false" ht="15" hidden="false" customHeight="false" outlineLevel="0" collapsed="false">
      <c r="A1652" s="2" t="n">
        <v>1977</v>
      </c>
      <c r="B1652" s="2" t="s">
        <v>8355</v>
      </c>
      <c r="C1652" s="2" t="s">
        <v>8405</v>
      </c>
      <c r="D1652" s="2" t="s">
        <v>410</v>
      </c>
      <c r="E1652" s="2" t="s">
        <v>5016</v>
      </c>
      <c r="F1652" s="2"/>
      <c r="G1652" s="2" t="s">
        <v>8406</v>
      </c>
      <c r="H1652" s="2" t="s">
        <v>4954</v>
      </c>
      <c r="I1652" s="2" t="s">
        <v>898</v>
      </c>
      <c r="J1652" s="2" t="n">
        <v>-1.2</v>
      </c>
      <c r="K1652" s="2" t="n">
        <v>116.96</v>
      </c>
      <c r="L1652" s="2" t="s">
        <v>84</v>
      </c>
      <c r="M1652" s="2" t="s">
        <v>60</v>
      </c>
      <c r="N1652" s="2"/>
      <c r="O1652" s="2" t="s">
        <v>8407</v>
      </c>
      <c r="P1652" s="2"/>
      <c r="Q1652" s="2" t="s">
        <v>62</v>
      </c>
      <c r="R1652" s="2" t="n">
        <v>0.75</v>
      </c>
      <c r="S1652" s="2" t="s">
        <v>8408</v>
      </c>
      <c r="T1652" s="2" t="s">
        <v>8403</v>
      </c>
      <c r="U1652" s="2" t="s">
        <v>8409</v>
      </c>
      <c r="V1652" s="2" t="s">
        <v>178</v>
      </c>
      <c r="W1652" s="2" t="s">
        <v>132</v>
      </c>
      <c r="X1652" s="2" t="s">
        <v>507</v>
      </c>
    </row>
    <row r="1653" customFormat="false" ht="15" hidden="false" customHeight="false" outlineLevel="0" collapsed="false">
      <c r="A1653" s="2" t="n">
        <v>1984</v>
      </c>
      <c r="B1653" s="2" t="s">
        <v>8410</v>
      </c>
      <c r="C1653" s="2" t="s">
        <v>8411</v>
      </c>
      <c r="D1653" s="2" t="s">
        <v>351</v>
      </c>
      <c r="E1653" s="2" t="s">
        <v>8412</v>
      </c>
      <c r="F1653" s="2" t="s">
        <v>8413</v>
      </c>
      <c r="G1653" s="2" t="s">
        <v>8406</v>
      </c>
      <c r="H1653" s="2" t="s">
        <v>4954</v>
      </c>
      <c r="I1653" s="2" t="s">
        <v>898</v>
      </c>
      <c r="J1653" s="2" t="n">
        <v>-1.2</v>
      </c>
      <c r="K1653" s="2" t="n">
        <v>116.96</v>
      </c>
      <c r="L1653" s="2" t="s">
        <v>84</v>
      </c>
      <c r="M1653" s="2" t="s">
        <v>60</v>
      </c>
      <c r="N1653" s="2"/>
      <c r="O1653" s="2" t="s">
        <v>8414</v>
      </c>
      <c r="P1653" s="2"/>
      <c r="Q1653" s="2" t="s">
        <v>62</v>
      </c>
      <c r="R1653" s="2" t="n">
        <v>0.8</v>
      </c>
      <c r="S1653" s="2" t="s">
        <v>8415</v>
      </c>
      <c r="T1653" s="2" t="s">
        <v>8416</v>
      </c>
      <c r="U1653" s="2" t="s">
        <v>8417</v>
      </c>
      <c r="V1653" s="2" t="s">
        <v>8418</v>
      </c>
      <c r="W1653" s="2" t="s">
        <v>1648</v>
      </c>
      <c r="X1653" s="2" t="s">
        <v>507</v>
      </c>
    </row>
    <row r="1654" customFormat="false" ht="15" hidden="false" customHeight="false" outlineLevel="0" collapsed="false">
      <c r="A1654" s="2" t="n">
        <v>1988</v>
      </c>
      <c r="B1654" s="2" t="s">
        <v>8410</v>
      </c>
      <c r="C1654" s="2" t="s">
        <v>8419</v>
      </c>
      <c r="D1654" s="2" t="s">
        <v>121</v>
      </c>
      <c r="E1654" s="2" t="s">
        <v>8420</v>
      </c>
      <c r="F1654" s="2"/>
      <c r="G1654" s="2" t="s">
        <v>4953</v>
      </c>
      <c r="H1654" s="2" t="s">
        <v>4954</v>
      </c>
      <c r="I1654" s="2" t="s">
        <v>898</v>
      </c>
      <c r="J1654" s="2" t="n">
        <v>-1.26</v>
      </c>
      <c r="K1654" s="2" t="n">
        <v>116.88</v>
      </c>
      <c r="L1654" s="2" t="s">
        <v>84</v>
      </c>
      <c r="M1654" s="2" t="s">
        <v>60</v>
      </c>
      <c r="N1654" s="2"/>
      <c r="O1654" s="2" t="s">
        <v>8421</v>
      </c>
      <c r="P1654" s="2" t="s">
        <v>5018</v>
      </c>
      <c r="Q1654" s="2" t="s">
        <v>62</v>
      </c>
      <c r="R1654" s="2" t="n">
        <v>0.4</v>
      </c>
      <c r="S1654" s="2" t="s">
        <v>8422</v>
      </c>
      <c r="T1654" s="2" t="s">
        <v>8403</v>
      </c>
      <c r="U1654" s="2" t="s">
        <v>8423</v>
      </c>
      <c r="V1654" s="2" t="s">
        <v>1500</v>
      </c>
      <c r="W1654" s="2" t="s">
        <v>8424</v>
      </c>
      <c r="X1654" s="2" t="s">
        <v>507</v>
      </c>
    </row>
    <row r="1655" customFormat="false" ht="15" hidden="false" customHeight="false" outlineLevel="0" collapsed="false">
      <c r="A1655" s="2" t="n">
        <v>1993</v>
      </c>
      <c r="B1655" s="2" t="s">
        <v>8410</v>
      </c>
      <c r="C1655" s="2" t="s">
        <v>8425</v>
      </c>
      <c r="D1655" s="2" t="s">
        <v>410</v>
      </c>
      <c r="E1655" s="2" t="s">
        <v>4987</v>
      </c>
      <c r="F1655" s="2" t="s">
        <v>8426</v>
      </c>
      <c r="G1655" s="2" t="s">
        <v>8427</v>
      </c>
      <c r="H1655" s="2" t="s">
        <v>897</v>
      </c>
      <c r="I1655" s="2" t="s">
        <v>898</v>
      </c>
      <c r="J1655" s="2" t="n">
        <v>-0.505</v>
      </c>
      <c r="K1655" s="2" t="n">
        <v>117.165</v>
      </c>
      <c r="L1655" s="2" t="s">
        <v>84</v>
      </c>
      <c r="M1655" s="2" t="s">
        <v>60</v>
      </c>
      <c r="N1655" s="2"/>
      <c r="O1655" s="2" t="s">
        <v>8428</v>
      </c>
      <c r="P1655" s="2"/>
      <c r="Q1655" s="2" t="s">
        <v>62</v>
      </c>
      <c r="R1655" s="2" t="n">
        <v>0.55</v>
      </c>
      <c r="S1655" s="2" t="s">
        <v>8429</v>
      </c>
      <c r="T1655" s="2" t="s">
        <v>8430</v>
      </c>
      <c r="U1655" s="2" t="s">
        <v>8431</v>
      </c>
      <c r="V1655" s="2" t="s">
        <v>5681</v>
      </c>
      <c r="W1655" s="2" t="s">
        <v>476</v>
      </c>
      <c r="X1655" s="2" t="s">
        <v>507</v>
      </c>
    </row>
    <row r="1656" customFormat="false" ht="15" hidden="false" customHeight="false" outlineLevel="0" collapsed="false">
      <c r="A1656" s="2" t="n">
        <v>1993</v>
      </c>
      <c r="B1656" s="2" t="s">
        <v>8410</v>
      </c>
      <c r="C1656" s="2" t="s">
        <v>8432</v>
      </c>
      <c r="D1656" s="2" t="s">
        <v>410</v>
      </c>
      <c r="E1656" s="2" t="s">
        <v>8433</v>
      </c>
      <c r="F1656" s="2"/>
      <c r="G1656" s="2" t="s">
        <v>8434</v>
      </c>
      <c r="H1656" s="2" t="s">
        <v>897</v>
      </c>
      <c r="I1656" s="2" t="s">
        <v>898</v>
      </c>
      <c r="J1656" s="2" t="n">
        <v>-0.53</v>
      </c>
      <c r="K1656" s="2" t="n">
        <v>117.14</v>
      </c>
      <c r="L1656" s="2" t="s">
        <v>84</v>
      </c>
      <c r="M1656" s="2" t="s">
        <v>60</v>
      </c>
      <c r="N1656" s="2"/>
      <c r="O1656" s="2" t="s">
        <v>8435</v>
      </c>
      <c r="P1656" s="2"/>
      <c r="Q1656" s="2" t="s">
        <v>62</v>
      </c>
      <c r="R1656" s="2" t="n">
        <v>0.5</v>
      </c>
      <c r="S1656" s="2" t="s">
        <v>8429</v>
      </c>
      <c r="T1656" s="2" t="s">
        <v>8430</v>
      </c>
      <c r="U1656" s="2" t="s">
        <v>8431</v>
      </c>
      <c r="V1656" s="2" t="s">
        <v>5681</v>
      </c>
      <c r="W1656" s="2" t="s">
        <v>476</v>
      </c>
      <c r="X1656" s="2" t="s">
        <v>507</v>
      </c>
    </row>
    <row r="1657" customFormat="false" ht="15" hidden="false" customHeight="false" outlineLevel="0" collapsed="false">
      <c r="A1657" s="2" t="n">
        <v>1993</v>
      </c>
      <c r="B1657" s="2" t="s">
        <v>8410</v>
      </c>
      <c r="C1657" s="2" t="s">
        <v>8436</v>
      </c>
      <c r="D1657" s="2" t="s">
        <v>410</v>
      </c>
      <c r="E1657" s="2" t="s">
        <v>4987</v>
      </c>
      <c r="F1657" s="2"/>
      <c r="G1657" s="2" t="s">
        <v>4989</v>
      </c>
      <c r="H1657" s="2" t="s">
        <v>897</v>
      </c>
      <c r="I1657" s="2" t="s">
        <v>898</v>
      </c>
      <c r="J1657" s="2" t="n">
        <v>-0.505</v>
      </c>
      <c r="K1657" s="2" t="n">
        <v>117.15</v>
      </c>
      <c r="L1657" s="2" t="s">
        <v>84</v>
      </c>
      <c r="M1657" s="2" t="s">
        <v>60</v>
      </c>
      <c r="N1657" s="2"/>
      <c r="O1657" s="2" t="s">
        <v>8437</v>
      </c>
      <c r="P1657" s="2"/>
      <c r="Q1657" s="2" t="s">
        <v>62</v>
      </c>
      <c r="R1657" s="2" t="n">
        <v>0.5</v>
      </c>
      <c r="S1657" s="2" t="s">
        <v>8429</v>
      </c>
      <c r="T1657" s="2" t="s">
        <v>8430</v>
      </c>
      <c r="U1657" s="2" t="s">
        <v>8431</v>
      </c>
      <c r="V1657" s="2" t="s">
        <v>5681</v>
      </c>
      <c r="W1657" s="2" t="s">
        <v>476</v>
      </c>
      <c r="X1657" s="2" t="s">
        <v>507</v>
      </c>
    </row>
    <row r="1658" customFormat="false" ht="15" hidden="false" customHeight="false" outlineLevel="0" collapsed="false">
      <c r="A1658" s="2" t="n">
        <v>1993</v>
      </c>
      <c r="B1658" s="2" t="s">
        <v>8410</v>
      </c>
      <c r="C1658" s="2" t="s">
        <v>8438</v>
      </c>
      <c r="D1658" s="2" t="s">
        <v>410</v>
      </c>
      <c r="E1658" s="2" t="s">
        <v>4987</v>
      </c>
      <c r="F1658" s="2"/>
      <c r="G1658" s="2" t="s">
        <v>8439</v>
      </c>
      <c r="H1658" s="2" t="s">
        <v>897</v>
      </c>
      <c r="I1658" s="2" t="s">
        <v>898</v>
      </c>
      <c r="J1658" s="2" t="n">
        <v>-0.4</v>
      </c>
      <c r="K1658" s="2" t="n">
        <v>117.18</v>
      </c>
      <c r="L1658" s="2" t="s">
        <v>84</v>
      </c>
      <c r="M1658" s="2" t="s">
        <v>60</v>
      </c>
      <c r="N1658" s="2"/>
      <c r="O1658" s="2" t="s">
        <v>8440</v>
      </c>
      <c r="P1658" s="2"/>
      <c r="Q1658" s="2" t="s">
        <v>62</v>
      </c>
      <c r="R1658" s="2" t="n">
        <v>0.45</v>
      </c>
      <c r="S1658" s="2" t="s">
        <v>8429</v>
      </c>
      <c r="T1658" s="2" t="s">
        <v>8430</v>
      </c>
      <c r="U1658" s="2" t="s">
        <v>8431</v>
      </c>
      <c r="V1658" s="2" t="s">
        <v>5681</v>
      </c>
      <c r="W1658" s="2" t="s">
        <v>476</v>
      </c>
      <c r="X1658" s="2" t="s">
        <v>507</v>
      </c>
    </row>
    <row r="1659" customFormat="false" ht="15" hidden="false" customHeight="false" outlineLevel="0" collapsed="false">
      <c r="A1659" s="2" t="n">
        <v>1993</v>
      </c>
      <c r="B1659" s="2" t="s">
        <v>8410</v>
      </c>
      <c r="C1659" s="2" t="s">
        <v>8441</v>
      </c>
      <c r="D1659" s="2" t="s">
        <v>410</v>
      </c>
      <c r="E1659" s="2" t="s">
        <v>4987</v>
      </c>
      <c r="F1659" s="2" t="s">
        <v>8442</v>
      </c>
      <c r="G1659" s="2" t="s">
        <v>8439</v>
      </c>
      <c r="H1659" s="2" t="s">
        <v>897</v>
      </c>
      <c r="I1659" s="2" t="s">
        <v>898</v>
      </c>
      <c r="J1659" s="2" t="n">
        <v>-0.4</v>
      </c>
      <c r="K1659" s="2" t="n">
        <v>117.18</v>
      </c>
      <c r="L1659" s="2" t="s">
        <v>84</v>
      </c>
      <c r="M1659" s="2" t="s">
        <v>60</v>
      </c>
      <c r="N1659" s="2"/>
      <c r="O1659" s="2" t="s">
        <v>8440</v>
      </c>
      <c r="P1659" s="2"/>
      <c r="Q1659" s="2" t="s">
        <v>62</v>
      </c>
      <c r="R1659" s="2" t="n">
        <v>0.45</v>
      </c>
      <c r="S1659" s="2" t="s">
        <v>8429</v>
      </c>
      <c r="T1659" s="2" t="s">
        <v>8430</v>
      </c>
      <c r="U1659" s="2" t="s">
        <v>8431</v>
      </c>
      <c r="V1659" s="2" t="s">
        <v>5681</v>
      </c>
      <c r="W1659" s="2" t="s">
        <v>476</v>
      </c>
      <c r="X1659" s="2" t="s">
        <v>507</v>
      </c>
    </row>
    <row r="1660" customFormat="false" ht="15" hidden="false" customHeight="false" outlineLevel="0" collapsed="false">
      <c r="A1660" s="2" t="n">
        <v>1994</v>
      </c>
      <c r="B1660" s="2" t="s">
        <v>8410</v>
      </c>
      <c r="C1660" s="2" t="s">
        <v>8425</v>
      </c>
      <c r="D1660" s="2" t="s">
        <v>410</v>
      </c>
      <c r="E1660" s="2" t="s">
        <v>4987</v>
      </c>
      <c r="F1660" s="2" t="s">
        <v>8426</v>
      </c>
      <c r="G1660" s="2" t="s">
        <v>8427</v>
      </c>
      <c r="H1660" s="2" t="s">
        <v>897</v>
      </c>
      <c r="I1660" s="2" t="s">
        <v>898</v>
      </c>
      <c r="J1660" s="2" t="n">
        <v>-0.505</v>
      </c>
      <c r="K1660" s="2" t="n">
        <v>117.165</v>
      </c>
      <c r="L1660" s="2" t="s">
        <v>84</v>
      </c>
      <c r="M1660" s="2" t="s">
        <v>60</v>
      </c>
      <c r="N1660" s="2"/>
      <c r="O1660" s="2" t="s">
        <v>8443</v>
      </c>
      <c r="P1660" s="2"/>
      <c r="Q1660" s="2" t="s">
        <v>110</v>
      </c>
      <c r="R1660" s="2" t="n">
        <v>0.6</v>
      </c>
      <c r="S1660" s="2" t="s">
        <v>8444</v>
      </c>
      <c r="T1660" s="2" t="s">
        <v>8445</v>
      </c>
      <c r="U1660" s="2" t="s">
        <v>8446</v>
      </c>
      <c r="V1660" s="2" t="s">
        <v>8447</v>
      </c>
      <c r="W1660" s="2" t="s">
        <v>3435</v>
      </c>
      <c r="X1660" s="2" t="s">
        <v>507</v>
      </c>
    </row>
    <row r="1661" customFormat="false" ht="15" hidden="false" customHeight="false" outlineLevel="0" collapsed="false">
      <c r="A1661" s="2" t="n">
        <v>2007</v>
      </c>
      <c r="B1661" s="2" t="s">
        <v>8410</v>
      </c>
      <c r="C1661" s="2" t="s">
        <v>8448</v>
      </c>
      <c r="D1661" s="2" t="s">
        <v>351</v>
      </c>
      <c r="E1661" s="2" t="s">
        <v>8449</v>
      </c>
      <c r="F1661" s="2"/>
      <c r="G1661" s="2" t="s">
        <v>8434</v>
      </c>
      <c r="H1661" s="2" t="s">
        <v>897</v>
      </c>
      <c r="I1661" s="2" t="s">
        <v>898</v>
      </c>
      <c r="J1661" s="2" t="n">
        <v>-0.53</v>
      </c>
      <c r="K1661" s="2" t="n">
        <v>117.14</v>
      </c>
      <c r="L1661" s="2" t="s">
        <v>84</v>
      </c>
      <c r="M1661" s="2" t="s">
        <v>60</v>
      </c>
      <c r="N1661" s="2"/>
      <c r="O1661" s="2" t="s">
        <v>8450</v>
      </c>
      <c r="P1661" s="2" t="s">
        <v>8451</v>
      </c>
      <c r="Q1661" s="2" t="s">
        <v>110</v>
      </c>
      <c r="R1661" s="2" t="n">
        <v>0.8</v>
      </c>
      <c r="S1661" s="2" t="s">
        <v>8452</v>
      </c>
      <c r="T1661" s="2" t="s">
        <v>8453</v>
      </c>
      <c r="U1661" s="2" t="s">
        <v>8454</v>
      </c>
      <c r="V1661" s="2" t="s">
        <v>8455</v>
      </c>
      <c r="W1661" s="2" t="s">
        <v>538</v>
      </c>
      <c r="X1661" s="2" t="s">
        <v>507</v>
      </c>
    </row>
    <row r="1662" customFormat="false" ht="15" hidden="false" customHeight="false" outlineLevel="0" collapsed="false">
      <c r="A1662" s="2" t="n">
        <v>2007</v>
      </c>
      <c r="B1662" s="2" t="s">
        <v>8410</v>
      </c>
      <c r="C1662" s="2" t="s">
        <v>4986</v>
      </c>
      <c r="D1662" s="2" t="s">
        <v>351</v>
      </c>
      <c r="E1662" s="2" t="s">
        <v>4987</v>
      </c>
      <c r="F1662" s="2" t="s">
        <v>4988</v>
      </c>
      <c r="G1662" s="2" t="s">
        <v>4989</v>
      </c>
      <c r="H1662" s="2" t="s">
        <v>897</v>
      </c>
      <c r="I1662" s="2" t="s">
        <v>898</v>
      </c>
      <c r="J1662" s="2" t="n">
        <v>-0.503</v>
      </c>
      <c r="K1662" s="2" t="n">
        <v>117.148</v>
      </c>
      <c r="L1662" s="2" t="s">
        <v>59</v>
      </c>
      <c r="M1662" s="2" t="s">
        <v>60</v>
      </c>
      <c r="N1662" s="2"/>
      <c r="O1662" s="2" t="s">
        <v>8456</v>
      </c>
      <c r="P1662" s="2" t="s">
        <v>8451</v>
      </c>
      <c r="Q1662" s="2" t="s">
        <v>110</v>
      </c>
      <c r="R1662" s="2" t="n">
        <v>0.5</v>
      </c>
      <c r="S1662" s="2" t="s">
        <v>8452</v>
      </c>
      <c r="T1662" s="2" t="s">
        <v>8453</v>
      </c>
      <c r="U1662" s="2" t="s">
        <v>8454</v>
      </c>
      <c r="V1662" s="2" t="s">
        <v>8455</v>
      </c>
      <c r="W1662" s="2" t="s">
        <v>538</v>
      </c>
      <c r="X1662" s="2" t="s">
        <v>507</v>
      </c>
    </row>
    <row r="1663" customFormat="false" ht="15" hidden="false" customHeight="false" outlineLevel="0" collapsed="false">
      <c r="A1663" s="2" t="n">
        <v>2008</v>
      </c>
      <c r="B1663" s="2" t="s">
        <v>8410</v>
      </c>
      <c r="C1663" s="2" t="s">
        <v>8448</v>
      </c>
      <c r="D1663" s="2" t="s">
        <v>351</v>
      </c>
      <c r="E1663" s="2" t="s">
        <v>8433</v>
      </c>
      <c r="F1663" s="2"/>
      <c r="G1663" s="2" t="s">
        <v>8434</v>
      </c>
      <c r="H1663" s="2" t="s">
        <v>897</v>
      </c>
      <c r="I1663" s="2" t="s">
        <v>898</v>
      </c>
      <c r="J1663" s="2" t="n">
        <v>-0.53</v>
      </c>
      <c r="K1663" s="2" t="n">
        <v>117.14</v>
      </c>
      <c r="L1663" s="2" t="s">
        <v>84</v>
      </c>
      <c r="M1663" s="2" t="s">
        <v>60</v>
      </c>
      <c r="N1663" s="2"/>
      <c r="O1663" s="2" t="s">
        <v>8457</v>
      </c>
      <c r="P1663" s="2" t="s">
        <v>8458</v>
      </c>
      <c r="Q1663" s="2" t="s">
        <v>110</v>
      </c>
      <c r="R1663" s="2" t="n">
        <v>0.8</v>
      </c>
      <c r="S1663" s="2" t="s">
        <v>8459</v>
      </c>
      <c r="T1663" s="2" t="s">
        <v>95</v>
      </c>
      <c r="U1663" s="2" t="s">
        <v>8460</v>
      </c>
      <c r="V1663" s="2" t="s">
        <v>66</v>
      </c>
      <c r="W1663" s="2" t="s">
        <v>3023</v>
      </c>
      <c r="X1663" s="2" t="s">
        <v>507</v>
      </c>
    </row>
    <row r="1664" customFormat="false" ht="15" hidden="false" customHeight="false" outlineLevel="0" collapsed="false">
      <c r="A1664" s="2" t="n">
        <v>2010</v>
      </c>
      <c r="B1664" s="2" t="s">
        <v>8461</v>
      </c>
      <c r="C1664" s="2" t="s">
        <v>8462</v>
      </c>
      <c r="D1664" s="2" t="s">
        <v>134</v>
      </c>
      <c r="E1664" s="2" t="s">
        <v>8463</v>
      </c>
      <c r="F1664" s="2" t="s">
        <v>8464</v>
      </c>
      <c r="G1664" s="2" t="s">
        <v>8465</v>
      </c>
      <c r="H1664" s="2" t="s">
        <v>897</v>
      </c>
      <c r="I1664" s="2" t="s">
        <v>898</v>
      </c>
      <c r="J1664" s="2" t="n">
        <v>-0.5</v>
      </c>
      <c r="K1664" s="2" t="n">
        <v>117.11</v>
      </c>
      <c r="L1664" s="2" t="s">
        <v>84</v>
      </c>
      <c r="M1664" s="2" t="s">
        <v>60</v>
      </c>
      <c r="N1664" s="2"/>
      <c r="O1664" s="2" t="s">
        <v>8466</v>
      </c>
      <c r="P1664" s="2" t="s">
        <v>6439</v>
      </c>
      <c r="Q1664" s="2" t="s">
        <v>110</v>
      </c>
      <c r="R1664" s="2" t="n">
        <v>0.5</v>
      </c>
      <c r="S1664" s="2" t="s">
        <v>8467</v>
      </c>
      <c r="T1664" s="2" t="s">
        <v>8468</v>
      </c>
      <c r="U1664" s="2" t="s">
        <v>8469</v>
      </c>
      <c r="V1664" s="2" t="s">
        <v>8470</v>
      </c>
      <c r="W1664" s="2" t="s">
        <v>1204</v>
      </c>
      <c r="X1664" s="2" t="s">
        <v>507</v>
      </c>
    </row>
    <row r="1665" customFormat="false" ht="15" hidden="false" customHeight="false" outlineLevel="0" collapsed="false">
      <c r="A1665" s="2" t="n">
        <v>2012</v>
      </c>
      <c r="B1665" s="2" t="s">
        <v>8461</v>
      </c>
      <c r="C1665" s="2" t="s">
        <v>4986</v>
      </c>
      <c r="D1665" s="2" t="s">
        <v>351</v>
      </c>
      <c r="E1665" s="2" t="s">
        <v>4962</v>
      </c>
      <c r="F1665" s="2"/>
      <c r="G1665" s="2" t="s">
        <v>4989</v>
      </c>
      <c r="H1665" s="2" t="s">
        <v>897</v>
      </c>
      <c r="I1665" s="2" t="s">
        <v>898</v>
      </c>
      <c r="J1665" s="2" t="n">
        <v>-0.505</v>
      </c>
      <c r="K1665" s="2" t="n">
        <v>117.15</v>
      </c>
      <c r="L1665" s="2" t="s">
        <v>84</v>
      </c>
      <c r="M1665" s="2" t="s">
        <v>60</v>
      </c>
      <c r="N1665" s="2"/>
      <c r="O1665" s="2" t="s">
        <v>8471</v>
      </c>
      <c r="P1665" s="2"/>
      <c r="Q1665" s="2" t="s">
        <v>110</v>
      </c>
      <c r="R1665" s="2" t="n">
        <v>0.45</v>
      </c>
      <c r="S1665" s="2" t="s">
        <v>8472</v>
      </c>
      <c r="T1665" s="2" t="s">
        <v>8473</v>
      </c>
      <c r="U1665" s="2" t="s">
        <v>8474</v>
      </c>
      <c r="V1665" s="2" t="s">
        <v>1146</v>
      </c>
      <c r="W1665" s="2" t="s">
        <v>204</v>
      </c>
      <c r="X1665" s="2" t="s">
        <v>507</v>
      </c>
    </row>
    <row r="1666" customFormat="false" ht="15" hidden="false" customHeight="false" outlineLevel="0" collapsed="false">
      <c r="A1666" s="2" t="n">
        <v>2013</v>
      </c>
      <c r="B1666" s="2" t="s">
        <v>8461</v>
      </c>
      <c r="C1666" s="2" t="s">
        <v>4986</v>
      </c>
      <c r="D1666" s="2" t="s">
        <v>351</v>
      </c>
      <c r="E1666" s="2" t="s">
        <v>4962</v>
      </c>
      <c r="F1666" s="2"/>
      <c r="G1666" s="2" t="s">
        <v>4989</v>
      </c>
      <c r="H1666" s="2" t="s">
        <v>897</v>
      </c>
      <c r="I1666" s="2" t="s">
        <v>898</v>
      </c>
      <c r="J1666" s="2" t="n">
        <v>-0.505</v>
      </c>
      <c r="K1666" s="2" t="n">
        <v>117.15</v>
      </c>
      <c r="L1666" s="2" t="s">
        <v>84</v>
      </c>
      <c r="M1666" s="2" t="s">
        <v>60</v>
      </c>
      <c r="N1666" s="2"/>
      <c r="O1666" s="2" t="s">
        <v>8475</v>
      </c>
      <c r="P1666" s="2" t="s">
        <v>4991</v>
      </c>
      <c r="Q1666" s="2" t="s">
        <v>62</v>
      </c>
      <c r="R1666" s="2" t="n">
        <v>0.4</v>
      </c>
      <c r="S1666" s="2" t="s">
        <v>8476</v>
      </c>
      <c r="T1666" s="2" t="s">
        <v>8477</v>
      </c>
      <c r="U1666" s="2" t="s">
        <v>8478</v>
      </c>
      <c r="V1666" s="2" t="s">
        <v>696</v>
      </c>
      <c r="W1666" s="2" t="s">
        <v>1648</v>
      </c>
      <c r="X1666" s="2" t="s">
        <v>507</v>
      </c>
    </row>
    <row r="1667" customFormat="false" ht="15" hidden="false" customHeight="false" outlineLevel="0" collapsed="false">
      <c r="A1667" s="2" t="n">
        <v>2014</v>
      </c>
      <c r="B1667" s="2" t="s">
        <v>8461</v>
      </c>
      <c r="C1667" s="2" t="s">
        <v>4986</v>
      </c>
      <c r="D1667" s="2" t="s">
        <v>351</v>
      </c>
      <c r="E1667" s="2" t="s">
        <v>4962</v>
      </c>
      <c r="F1667" s="2"/>
      <c r="G1667" s="2" t="s">
        <v>4989</v>
      </c>
      <c r="H1667" s="2" t="s">
        <v>897</v>
      </c>
      <c r="I1667" s="2" t="s">
        <v>898</v>
      </c>
      <c r="J1667" s="2" t="n">
        <v>-0.505</v>
      </c>
      <c r="K1667" s="2" t="n">
        <v>117.15</v>
      </c>
      <c r="L1667" s="2" t="s">
        <v>84</v>
      </c>
      <c r="M1667" s="2" t="s">
        <v>60</v>
      </c>
      <c r="N1667" s="2"/>
      <c r="O1667" s="2" t="s">
        <v>8479</v>
      </c>
      <c r="P1667" s="2"/>
      <c r="Q1667" s="2" t="s">
        <v>110</v>
      </c>
      <c r="R1667" s="2" t="n">
        <v>0.45</v>
      </c>
      <c r="S1667" s="2" t="s">
        <v>8480</v>
      </c>
      <c r="T1667" s="2" t="s">
        <v>8481</v>
      </c>
      <c r="U1667" s="2" t="s">
        <v>8482</v>
      </c>
      <c r="V1667" s="2" t="s">
        <v>1353</v>
      </c>
      <c r="W1667" s="2" t="s">
        <v>538</v>
      </c>
      <c r="X1667" s="2" t="s">
        <v>507</v>
      </c>
    </row>
    <row r="1668" customFormat="false" ht="15" hidden="false" customHeight="false" outlineLevel="0" collapsed="false">
      <c r="A1668" s="2" t="n">
        <v>2015</v>
      </c>
      <c r="B1668" s="2" t="s">
        <v>8461</v>
      </c>
      <c r="C1668" s="2" t="s">
        <v>8448</v>
      </c>
      <c r="D1668" s="2" t="s">
        <v>351</v>
      </c>
      <c r="E1668" s="2" t="s">
        <v>8449</v>
      </c>
      <c r="F1668" s="2"/>
      <c r="G1668" s="2" t="s">
        <v>8434</v>
      </c>
      <c r="H1668" s="2" t="s">
        <v>897</v>
      </c>
      <c r="I1668" s="2" t="s">
        <v>898</v>
      </c>
      <c r="J1668" s="2" t="n">
        <v>-0.53</v>
      </c>
      <c r="K1668" s="2" t="n">
        <v>117.14</v>
      </c>
      <c r="L1668" s="2" t="s">
        <v>84</v>
      </c>
      <c r="M1668" s="2" t="s">
        <v>60</v>
      </c>
      <c r="N1668" s="2"/>
      <c r="O1668" s="2" t="s">
        <v>8483</v>
      </c>
      <c r="P1668" s="2" t="s">
        <v>773</v>
      </c>
      <c r="Q1668" s="2" t="s">
        <v>110</v>
      </c>
      <c r="R1668" s="2" t="n">
        <v>0.75</v>
      </c>
      <c r="S1668" s="2" t="s">
        <v>8484</v>
      </c>
      <c r="T1668" s="2" t="s">
        <v>8485</v>
      </c>
      <c r="U1668" s="2" t="s">
        <v>8486</v>
      </c>
      <c r="V1668" s="2" t="s">
        <v>6060</v>
      </c>
      <c r="W1668" s="2" t="s">
        <v>1204</v>
      </c>
      <c r="X1668" s="2" t="s">
        <v>507</v>
      </c>
    </row>
    <row r="1669" customFormat="false" ht="15" hidden="false" customHeight="false" outlineLevel="0" collapsed="false">
      <c r="A1669" s="2" t="n">
        <v>2015</v>
      </c>
      <c r="B1669" s="2" t="s">
        <v>8461</v>
      </c>
      <c r="C1669" s="2" t="s">
        <v>4986</v>
      </c>
      <c r="D1669" s="2" t="s">
        <v>351</v>
      </c>
      <c r="E1669" s="2" t="s">
        <v>4962</v>
      </c>
      <c r="F1669" s="2"/>
      <c r="G1669" s="2" t="s">
        <v>4989</v>
      </c>
      <c r="H1669" s="2" t="s">
        <v>897</v>
      </c>
      <c r="I1669" s="2" t="s">
        <v>898</v>
      </c>
      <c r="J1669" s="2" t="n">
        <v>-0.505</v>
      </c>
      <c r="K1669" s="2" t="n">
        <v>117.15</v>
      </c>
      <c r="L1669" s="2" t="s">
        <v>84</v>
      </c>
      <c r="M1669" s="2" t="s">
        <v>60</v>
      </c>
      <c r="N1669" s="2"/>
      <c r="O1669" s="2" t="s">
        <v>8487</v>
      </c>
      <c r="P1669" s="2" t="s">
        <v>773</v>
      </c>
      <c r="Q1669" s="2" t="s">
        <v>110</v>
      </c>
      <c r="R1669" s="2" t="n">
        <v>0.5</v>
      </c>
      <c r="S1669" s="2" t="s">
        <v>8484</v>
      </c>
      <c r="T1669" s="2" t="s">
        <v>8485</v>
      </c>
      <c r="U1669" s="2" t="s">
        <v>8486</v>
      </c>
      <c r="V1669" s="2" t="s">
        <v>6060</v>
      </c>
      <c r="W1669" s="2" t="s">
        <v>1204</v>
      </c>
      <c r="X1669" s="2" t="s">
        <v>507</v>
      </c>
    </row>
    <row r="1670" customFormat="false" ht="15" hidden="false" customHeight="false" outlineLevel="0" collapsed="false">
      <c r="A1670" s="2" t="n">
        <v>2015</v>
      </c>
      <c r="B1670" s="2" t="s">
        <v>8461</v>
      </c>
      <c r="C1670" s="2" t="s">
        <v>8488</v>
      </c>
      <c r="D1670" s="2" t="s">
        <v>134</v>
      </c>
      <c r="E1670" s="2" t="s">
        <v>8449</v>
      </c>
      <c r="F1670" s="2"/>
      <c r="G1670" s="2" t="s">
        <v>8434</v>
      </c>
      <c r="H1670" s="2" t="s">
        <v>897</v>
      </c>
      <c r="I1670" s="2" t="s">
        <v>898</v>
      </c>
      <c r="J1670" s="2" t="n">
        <v>-0.53</v>
      </c>
      <c r="K1670" s="2" t="n">
        <v>117.14</v>
      </c>
      <c r="L1670" s="2" t="s">
        <v>84</v>
      </c>
      <c r="M1670" s="2" t="s">
        <v>60</v>
      </c>
      <c r="N1670" s="2"/>
      <c r="O1670" s="2" t="s">
        <v>8489</v>
      </c>
      <c r="P1670" s="2"/>
      <c r="Q1670" s="2" t="s">
        <v>62</v>
      </c>
      <c r="R1670" s="2" t="n">
        <v>0.5</v>
      </c>
      <c r="S1670" s="2" t="s">
        <v>8484</v>
      </c>
      <c r="T1670" s="2" t="s">
        <v>8485</v>
      </c>
      <c r="U1670" s="2" t="s">
        <v>8486</v>
      </c>
      <c r="V1670" s="2" t="s">
        <v>6060</v>
      </c>
      <c r="W1670" s="2" t="s">
        <v>1204</v>
      </c>
      <c r="X1670" s="2" t="s">
        <v>507</v>
      </c>
    </row>
    <row r="1671" customFormat="false" ht="15" hidden="false" customHeight="false" outlineLevel="0" collapsed="false">
      <c r="A1671" s="2" t="n">
        <v>2016</v>
      </c>
      <c r="B1671" s="2" t="s">
        <v>8461</v>
      </c>
      <c r="C1671" s="2" t="s">
        <v>4986</v>
      </c>
      <c r="D1671" s="2" t="s">
        <v>351</v>
      </c>
      <c r="E1671" s="2" t="s">
        <v>4962</v>
      </c>
      <c r="F1671" s="2"/>
      <c r="G1671" s="2" t="s">
        <v>4989</v>
      </c>
      <c r="H1671" s="2" t="s">
        <v>897</v>
      </c>
      <c r="I1671" s="2" t="s">
        <v>898</v>
      </c>
      <c r="J1671" s="2" t="n">
        <v>-0.505</v>
      </c>
      <c r="K1671" s="2" t="n">
        <v>117.15</v>
      </c>
      <c r="L1671" s="2" t="s">
        <v>84</v>
      </c>
      <c r="M1671" s="2" t="s">
        <v>60</v>
      </c>
      <c r="N1671" s="2"/>
      <c r="O1671" s="2" t="s">
        <v>8490</v>
      </c>
      <c r="P1671" s="2" t="s">
        <v>4991</v>
      </c>
      <c r="Q1671" s="2" t="s">
        <v>110</v>
      </c>
      <c r="R1671" s="2" t="n">
        <v>0.45</v>
      </c>
      <c r="S1671" s="2" t="s">
        <v>8491</v>
      </c>
      <c r="T1671" s="2" t="s">
        <v>8492</v>
      </c>
      <c r="U1671" s="2" t="s">
        <v>8493</v>
      </c>
      <c r="V1671" s="2" t="s">
        <v>455</v>
      </c>
      <c r="W1671" s="2" t="s">
        <v>476</v>
      </c>
      <c r="X1671" s="2" t="s">
        <v>507</v>
      </c>
    </row>
    <row r="1672" customFormat="false" ht="15" hidden="false" customHeight="false" outlineLevel="0" collapsed="false">
      <c r="A1672" s="2" t="n">
        <v>2018</v>
      </c>
      <c r="B1672" s="2" t="s">
        <v>8461</v>
      </c>
      <c r="C1672" s="2" t="s">
        <v>8494</v>
      </c>
      <c r="D1672" s="2" t="s">
        <v>351</v>
      </c>
      <c r="E1672" s="2" t="s">
        <v>4962</v>
      </c>
      <c r="F1672" s="2" t="s">
        <v>8495</v>
      </c>
      <c r="G1672" s="2" t="s">
        <v>896</v>
      </c>
      <c r="H1672" s="2" t="s">
        <v>897</v>
      </c>
      <c r="I1672" s="2" t="s">
        <v>898</v>
      </c>
      <c r="J1672" s="2" t="n">
        <v>-0.48</v>
      </c>
      <c r="K1672" s="2" t="n">
        <v>117.14</v>
      </c>
      <c r="L1672" s="2" t="s">
        <v>84</v>
      </c>
      <c r="M1672" s="2" t="s">
        <v>60</v>
      </c>
      <c r="N1672" s="2"/>
      <c r="O1672" s="2" t="s">
        <v>8496</v>
      </c>
      <c r="P1672" s="2" t="s">
        <v>6768</v>
      </c>
      <c r="Q1672" s="2" t="s">
        <v>110</v>
      </c>
      <c r="R1672" s="2" t="n">
        <v>0.4</v>
      </c>
      <c r="S1672" s="2" t="s">
        <v>8497</v>
      </c>
      <c r="T1672" s="2" t="s">
        <v>8498</v>
      </c>
      <c r="U1672" s="2" t="s">
        <v>8499</v>
      </c>
      <c r="V1672" s="2" t="s">
        <v>7823</v>
      </c>
      <c r="W1672" s="2" t="s">
        <v>4096</v>
      </c>
      <c r="X1672" s="2" t="s">
        <v>507</v>
      </c>
    </row>
    <row r="1673" customFormat="false" ht="15" hidden="false" customHeight="false" outlineLevel="0" collapsed="false">
      <c r="A1673" s="2" t="n">
        <v>2021</v>
      </c>
      <c r="B1673" s="2" t="s">
        <v>8461</v>
      </c>
      <c r="C1673" s="2" t="s">
        <v>8500</v>
      </c>
      <c r="D1673" s="2" t="s">
        <v>121</v>
      </c>
      <c r="E1673" s="2" t="s">
        <v>8501</v>
      </c>
      <c r="F1673" s="2"/>
      <c r="G1673" s="2"/>
      <c r="H1673" s="2" t="s">
        <v>8501</v>
      </c>
      <c r="I1673" s="2" t="s">
        <v>898</v>
      </c>
      <c r="J1673" s="2" t="n">
        <v>-1.72</v>
      </c>
      <c r="K1673" s="2" t="n">
        <v>116.1</v>
      </c>
      <c r="L1673" s="2" t="s">
        <v>101</v>
      </c>
      <c r="M1673" s="2" t="s">
        <v>60</v>
      </c>
      <c r="N1673" s="2"/>
      <c r="O1673" s="2" t="s">
        <v>8502</v>
      </c>
      <c r="P1673" s="2" t="s">
        <v>8503</v>
      </c>
      <c r="Q1673" s="2" t="s">
        <v>62</v>
      </c>
      <c r="R1673" s="2" t="n">
        <v>0.7</v>
      </c>
      <c r="S1673" s="2" t="s">
        <v>8504</v>
      </c>
      <c r="T1673" s="2" t="s">
        <v>95</v>
      </c>
      <c r="U1673" s="2" t="s">
        <v>8505</v>
      </c>
      <c r="V1673" s="2" t="s">
        <v>97</v>
      </c>
      <c r="W1673" s="2" t="s">
        <v>2313</v>
      </c>
      <c r="X1673" s="2" t="s">
        <v>160</v>
      </c>
    </row>
    <row r="1674" customFormat="false" ht="15" hidden="false" customHeight="false" outlineLevel="0" collapsed="false">
      <c r="A1674" s="2" t="n">
        <v>2032</v>
      </c>
      <c r="B1674" s="2" t="s">
        <v>8461</v>
      </c>
      <c r="C1674" s="2" t="s">
        <v>8506</v>
      </c>
      <c r="D1674" s="2" t="s">
        <v>53</v>
      </c>
      <c r="E1674" s="2" t="s">
        <v>4818</v>
      </c>
      <c r="F1674" s="2"/>
      <c r="G1674" s="2"/>
      <c r="H1674" s="2" t="s">
        <v>4802</v>
      </c>
      <c r="I1674" s="2" t="s">
        <v>4803</v>
      </c>
      <c r="J1674" s="2" t="n">
        <v>-0.03</v>
      </c>
      <c r="K1674" s="2" t="n">
        <v>109.33</v>
      </c>
      <c r="L1674" s="2" t="s">
        <v>101</v>
      </c>
      <c r="M1674" s="2" t="s">
        <v>60</v>
      </c>
      <c r="N1674" s="2"/>
      <c r="O1674" s="2" t="s">
        <v>8507</v>
      </c>
      <c r="P1674" s="2" t="s">
        <v>5334</v>
      </c>
      <c r="Q1674" s="2" t="s">
        <v>62</v>
      </c>
      <c r="R1674" s="2" t="n">
        <v>0.65</v>
      </c>
      <c r="S1674" s="2" t="s">
        <v>8508</v>
      </c>
      <c r="T1674" s="2" t="s">
        <v>6033</v>
      </c>
      <c r="U1674" s="2" t="s">
        <v>8509</v>
      </c>
      <c r="V1674" s="2" t="s">
        <v>7823</v>
      </c>
      <c r="W1674" s="2" t="s">
        <v>966</v>
      </c>
      <c r="X1674" s="2" t="s">
        <v>507</v>
      </c>
    </row>
    <row r="1675" customFormat="false" ht="15" hidden="false" customHeight="false" outlineLevel="0" collapsed="false">
      <c r="A1675" s="2" t="n">
        <v>2033</v>
      </c>
      <c r="B1675" s="2" t="s">
        <v>8461</v>
      </c>
      <c r="C1675" s="2" t="s">
        <v>8510</v>
      </c>
      <c r="D1675" s="2" t="s">
        <v>134</v>
      </c>
      <c r="E1675" s="2" t="s">
        <v>8511</v>
      </c>
      <c r="F1675" s="2"/>
      <c r="G1675" s="2" t="s">
        <v>4801</v>
      </c>
      <c r="H1675" s="2" t="s">
        <v>4802</v>
      </c>
      <c r="I1675" s="2" t="s">
        <v>4803</v>
      </c>
      <c r="J1675" s="2" t="n">
        <v>-0.05</v>
      </c>
      <c r="K1675" s="2" t="n">
        <v>109.34</v>
      </c>
      <c r="L1675" s="2" t="s">
        <v>84</v>
      </c>
      <c r="M1675" s="2" t="s">
        <v>60</v>
      </c>
      <c r="N1675" s="2"/>
      <c r="O1675" s="2" t="s">
        <v>8512</v>
      </c>
      <c r="P1675" s="2"/>
      <c r="Q1675" s="2" t="s">
        <v>62</v>
      </c>
      <c r="R1675" s="2" t="n">
        <v>0.75</v>
      </c>
      <c r="S1675" s="2" t="s">
        <v>8513</v>
      </c>
      <c r="T1675" s="2" t="s">
        <v>4957</v>
      </c>
      <c r="U1675" s="2" t="s">
        <v>8514</v>
      </c>
      <c r="V1675" s="2" t="s">
        <v>6718</v>
      </c>
      <c r="W1675" s="2" t="s">
        <v>246</v>
      </c>
      <c r="X1675" s="2" t="s">
        <v>507</v>
      </c>
    </row>
    <row r="1676" customFormat="false" ht="15" hidden="false" customHeight="false" outlineLevel="0" collapsed="false">
      <c r="A1676" s="2" t="n">
        <v>2033</v>
      </c>
      <c r="B1676" s="2" t="s">
        <v>8461</v>
      </c>
      <c r="C1676" s="2" t="s">
        <v>8515</v>
      </c>
      <c r="D1676" s="2" t="s">
        <v>53</v>
      </c>
      <c r="E1676" s="2" t="s">
        <v>8516</v>
      </c>
      <c r="F1676" s="2"/>
      <c r="G1676" s="2"/>
      <c r="H1676" s="2" t="s">
        <v>4802</v>
      </c>
      <c r="I1676" s="2" t="s">
        <v>4803</v>
      </c>
      <c r="J1676" s="2" t="n">
        <v>-0.03</v>
      </c>
      <c r="K1676" s="2" t="n">
        <v>109.33</v>
      </c>
      <c r="L1676" s="2" t="s">
        <v>101</v>
      </c>
      <c r="M1676" s="2" t="s">
        <v>60</v>
      </c>
      <c r="N1676" s="2"/>
      <c r="O1676" s="2" t="s">
        <v>8517</v>
      </c>
      <c r="P1676" s="2"/>
      <c r="Q1676" s="2" t="s">
        <v>62</v>
      </c>
      <c r="R1676" s="2" t="n">
        <v>0.75</v>
      </c>
      <c r="S1676" s="2" t="s">
        <v>8513</v>
      </c>
      <c r="T1676" s="2" t="s">
        <v>4957</v>
      </c>
      <c r="U1676" s="2" t="s">
        <v>8514</v>
      </c>
      <c r="V1676" s="2" t="s">
        <v>6718</v>
      </c>
      <c r="W1676" s="2" t="s">
        <v>246</v>
      </c>
      <c r="X1676" s="2" t="s">
        <v>507</v>
      </c>
    </row>
    <row r="1677" customFormat="false" ht="15" hidden="false" customHeight="false" outlineLevel="0" collapsed="false">
      <c r="A1677" s="2" t="n">
        <v>2033</v>
      </c>
      <c r="B1677" s="2" t="s">
        <v>8461</v>
      </c>
      <c r="C1677" s="2" t="s">
        <v>8518</v>
      </c>
      <c r="D1677" s="2" t="s">
        <v>53</v>
      </c>
      <c r="E1677" s="2" t="s">
        <v>8516</v>
      </c>
      <c r="F1677" s="2"/>
      <c r="G1677" s="2"/>
      <c r="H1677" s="2" t="s">
        <v>4802</v>
      </c>
      <c r="I1677" s="2" t="s">
        <v>4803</v>
      </c>
      <c r="J1677" s="2" t="n">
        <v>-0.03</v>
      </c>
      <c r="K1677" s="2" t="n">
        <v>109.33</v>
      </c>
      <c r="L1677" s="2" t="s">
        <v>101</v>
      </c>
      <c r="M1677" s="2" t="s">
        <v>60</v>
      </c>
      <c r="N1677" s="2"/>
      <c r="O1677" s="2" t="s">
        <v>8519</v>
      </c>
      <c r="P1677" s="2"/>
      <c r="Q1677" s="2" t="s">
        <v>62</v>
      </c>
      <c r="R1677" s="2" t="n">
        <v>0.7</v>
      </c>
      <c r="S1677" s="2" t="s">
        <v>8513</v>
      </c>
      <c r="T1677" s="2" t="s">
        <v>4957</v>
      </c>
      <c r="U1677" s="2" t="s">
        <v>8514</v>
      </c>
      <c r="V1677" s="2" t="s">
        <v>6718</v>
      </c>
      <c r="W1677" s="2" t="s">
        <v>246</v>
      </c>
      <c r="X1677" s="2" t="s">
        <v>507</v>
      </c>
    </row>
    <row r="1678" customFormat="false" ht="15" hidden="false" customHeight="false" outlineLevel="0" collapsed="false">
      <c r="A1678" s="2" t="n">
        <v>2033</v>
      </c>
      <c r="B1678" s="2" t="s">
        <v>8461</v>
      </c>
      <c r="C1678" s="2" t="s">
        <v>8520</v>
      </c>
      <c r="D1678" s="2" t="s">
        <v>53</v>
      </c>
      <c r="E1678" s="2" t="s">
        <v>8521</v>
      </c>
      <c r="F1678" s="2"/>
      <c r="G1678" s="2" t="s">
        <v>8522</v>
      </c>
      <c r="H1678" s="2" t="s">
        <v>4802</v>
      </c>
      <c r="I1678" s="2" t="s">
        <v>4803</v>
      </c>
      <c r="J1678" s="2" t="n">
        <v>0</v>
      </c>
      <c r="K1678" s="2" t="n">
        <v>109.33</v>
      </c>
      <c r="L1678" s="2" t="s">
        <v>84</v>
      </c>
      <c r="M1678" s="2" t="s">
        <v>60</v>
      </c>
      <c r="N1678" s="2" t="s">
        <v>8523</v>
      </c>
      <c r="O1678" s="2" t="s">
        <v>8524</v>
      </c>
      <c r="P1678" s="2"/>
      <c r="Q1678" s="2" t="s">
        <v>62</v>
      </c>
      <c r="R1678" s="2" t="n">
        <v>0.7</v>
      </c>
      <c r="S1678" s="2" t="s">
        <v>8513</v>
      </c>
      <c r="T1678" s="2" t="s">
        <v>4957</v>
      </c>
      <c r="U1678" s="2" t="s">
        <v>8514</v>
      </c>
      <c r="V1678" s="2" t="s">
        <v>6718</v>
      </c>
      <c r="W1678" s="2" t="s">
        <v>246</v>
      </c>
      <c r="X1678" s="2" t="s">
        <v>507</v>
      </c>
    </row>
    <row r="1679" customFormat="false" ht="15" hidden="false" customHeight="false" outlineLevel="0" collapsed="false">
      <c r="A1679" s="2" t="n">
        <v>2039</v>
      </c>
      <c r="B1679" s="2" t="s">
        <v>8461</v>
      </c>
      <c r="C1679" s="2" t="s">
        <v>8525</v>
      </c>
      <c r="D1679" s="2" t="s">
        <v>134</v>
      </c>
      <c r="E1679" s="2" t="s">
        <v>4818</v>
      </c>
      <c r="F1679" s="2"/>
      <c r="G1679" s="2"/>
      <c r="H1679" s="2" t="s">
        <v>4802</v>
      </c>
      <c r="I1679" s="2" t="s">
        <v>4803</v>
      </c>
      <c r="J1679" s="2" t="n">
        <v>-0.03</v>
      </c>
      <c r="K1679" s="2" t="n">
        <v>109.33</v>
      </c>
      <c r="L1679" s="2" t="s">
        <v>101</v>
      </c>
      <c r="M1679" s="2" t="s">
        <v>60</v>
      </c>
      <c r="N1679" s="2"/>
      <c r="O1679" s="2" t="s">
        <v>8526</v>
      </c>
      <c r="P1679" s="2"/>
      <c r="Q1679" s="2" t="s">
        <v>62</v>
      </c>
      <c r="R1679" s="2" t="n">
        <v>0.5</v>
      </c>
      <c r="S1679" s="2" t="s">
        <v>8527</v>
      </c>
      <c r="T1679" s="2" t="s">
        <v>8528</v>
      </c>
      <c r="U1679" s="2" t="s">
        <v>8529</v>
      </c>
      <c r="V1679" s="2" t="s">
        <v>4764</v>
      </c>
      <c r="W1679" s="2" t="s">
        <v>1482</v>
      </c>
      <c r="X1679" s="2" t="s">
        <v>507</v>
      </c>
    </row>
    <row r="1680" customFormat="false" ht="15" hidden="false" customHeight="false" outlineLevel="0" collapsed="false">
      <c r="A1680" s="2" t="n">
        <v>2039</v>
      </c>
      <c r="B1680" s="2" t="s">
        <v>8461</v>
      </c>
      <c r="C1680" s="2" t="s">
        <v>8530</v>
      </c>
      <c r="D1680" s="2" t="s">
        <v>351</v>
      </c>
      <c r="E1680" s="2" t="s">
        <v>4818</v>
      </c>
      <c r="F1680" s="2"/>
      <c r="G1680" s="2"/>
      <c r="H1680" s="2" t="s">
        <v>4802</v>
      </c>
      <c r="I1680" s="2" t="s">
        <v>4803</v>
      </c>
      <c r="J1680" s="2" t="n">
        <v>-0.03</v>
      </c>
      <c r="K1680" s="2" t="n">
        <v>109.33</v>
      </c>
      <c r="L1680" s="2" t="s">
        <v>101</v>
      </c>
      <c r="M1680" s="2" t="s">
        <v>60</v>
      </c>
      <c r="N1680" s="2"/>
      <c r="O1680" s="2" t="s">
        <v>8531</v>
      </c>
      <c r="P1680" s="2"/>
      <c r="Q1680" s="2" t="s">
        <v>62</v>
      </c>
      <c r="R1680" s="2" t="n">
        <v>0.45</v>
      </c>
      <c r="S1680" s="2" t="s">
        <v>8527</v>
      </c>
      <c r="T1680" s="2" t="s">
        <v>8528</v>
      </c>
      <c r="U1680" s="2" t="s">
        <v>8529</v>
      </c>
      <c r="V1680" s="2" t="s">
        <v>4764</v>
      </c>
      <c r="W1680" s="2" t="s">
        <v>1482</v>
      </c>
      <c r="X1680" s="2" t="s">
        <v>507</v>
      </c>
    </row>
    <row r="1681" customFormat="false" ht="15" hidden="false" customHeight="false" outlineLevel="0" collapsed="false">
      <c r="A1681" s="2" t="n">
        <v>2039</v>
      </c>
      <c r="B1681" s="2" t="s">
        <v>8461</v>
      </c>
      <c r="C1681" s="2" t="s">
        <v>8532</v>
      </c>
      <c r="D1681" s="2" t="s">
        <v>351</v>
      </c>
      <c r="E1681" s="2" t="s">
        <v>4818</v>
      </c>
      <c r="F1681" s="2"/>
      <c r="G1681" s="2"/>
      <c r="H1681" s="2" t="s">
        <v>4802</v>
      </c>
      <c r="I1681" s="2" t="s">
        <v>4803</v>
      </c>
      <c r="J1681" s="2" t="n">
        <v>-0.03</v>
      </c>
      <c r="K1681" s="2" t="n">
        <v>109.33</v>
      </c>
      <c r="L1681" s="2" t="s">
        <v>101</v>
      </c>
      <c r="M1681" s="2" t="s">
        <v>60</v>
      </c>
      <c r="N1681" s="2"/>
      <c r="O1681" s="2" t="s">
        <v>8533</v>
      </c>
      <c r="P1681" s="2"/>
      <c r="Q1681" s="2" t="s">
        <v>62</v>
      </c>
      <c r="R1681" s="2" t="n">
        <v>0.45</v>
      </c>
      <c r="S1681" s="2" t="s">
        <v>8527</v>
      </c>
      <c r="T1681" s="2" t="s">
        <v>8528</v>
      </c>
      <c r="U1681" s="2" t="s">
        <v>8529</v>
      </c>
      <c r="V1681" s="2" t="s">
        <v>4764</v>
      </c>
      <c r="W1681" s="2" t="s">
        <v>1482</v>
      </c>
      <c r="X1681" s="2" t="s">
        <v>507</v>
      </c>
    </row>
    <row r="1682" customFormat="false" ht="15" hidden="false" customHeight="false" outlineLevel="0" collapsed="false">
      <c r="A1682" s="2" t="n">
        <v>2041</v>
      </c>
      <c r="B1682" s="2" t="s">
        <v>8534</v>
      </c>
      <c r="C1682" s="2" t="s">
        <v>8535</v>
      </c>
      <c r="D1682" s="2" t="s">
        <v>134</v>
      </c>
      <c r="E1682" s="2" t="s">
        <v>4818</v>
      </c>
      <c r="F1682" s="2"/>
      <c r="G1682" s="2"/>
      <c r="H1682" s="2" t="s">
        <v>4802</v>
      </c>
      <c r="I1682" s="2" t="s">
        <v>4803</v>
      </c>
      <c r="J1682" s="2" t="n">
        <v>-0.03</v>
      </c>
      <c r="K1682" s="2" t="n">
        <v>109.33</v>
      </c>
      <c r="L1682" s="2" t="s">
        <v>101</v>
      </c>
      <c r="M1682" s="2" t="s">
        <v>60</v>
      </c>
      <c r="N1682" s="2"/>
      <c r="O1682" s="2" t="s">
        <v>8536</v>
      </c>
      <c r="P1682" s="2"/>
      <c r="Q1682" s="2" t="s">
        <v>62</v>
      </c>
      <c r="R1682" s="2" t="n">
        <v>0.55</v>
      </c>
      <c r="S1682" s="2" t="s">
        <v>8537</v>
      </c>
      <c r="T1682" s="2" t="s">
        <v>644</v>
      </c>
      <c r="U1682" s="2" t="s">
        <v>8538</v>
      </c>
      <c r="V1682" s="2" t="s">
        <v>1500</v>
      </c>
      <c r="W1682" s="2" t="s">
        <v>1482</v>
      </c>
      <c r="X1682" s="2" t="s">
        <v>507</v>
      </c>
    </row>
    <row r="1683" customFormat="false" ht="15" hidden="false" customHeight="false" outlineLevel="0" collapsed="false">
      <c r="A1683" s="2" t="n">
        <v>2044</v>
      </c>
      <c r="B1683" s="2" t="s">
        <v>8534</v>
      </c>
      <c r="C1683" s="2" t="s">
        <v>8539</v>
      </c>
      <c r="D1683" s="2" t="s">
        <v>53</v>
      </c>
      <c r="E1683" s="2" t="s">
        <v>8540</v>
      </c>
      <c r="F1683" s="2" t="s">
        <v>123</v>
      </c>
      <c r="G1683" s="2" t="s">
        <v>72</v>
      </c>
      <c r="H1683" s="2" t="s">
        <v>73</v>
      </c>
      <c r="I1683" s="2" t="s">
        <v>74</v>
      </c>
      <c r="J1683" s="2" t="n">
        <v>-6.218</v>
      </c>
      <c r="K1683" s="2" t="n">
        <v>106.803</v>
      </c>
      <c r="L1683" s="2" t="s">
        <v>59</v>
      </c>
      <c r="M1683" s="2" t="s">
        <v>60</v>
      </c>
      <c r="N1683" s="2"/>
      <c r="O1683" s="2" t="s">
        <v>8541</v>
      </c>
      <c r="P1683" s="2"/>
      <c r="Q1683" s="2" t="s">
        <v>62</v>
      </c>
      <c r="R1683" s="2" t="n">
        <v>0.75</v>
      </c>
      <c r="S1683" s="2" t="s">
        <v>8542</v>
      </c>
      <c r="T1683" s="2" t="s">
        <v>112</v>
      </c>
      <c r="U1683" s="2" t="s">
        <v>8543</v>
      </c>
      <c r="V1683" s="2" t="s">
        <v>8544</v>
      </c>
      <c r="W1683" s="2" t="s">
        <v>67</v>
      </c>
      <c r="X1683" s="2" t="s">
        <v>507</v>
      </c>
    </row>
    <row r="1684" customFormat="false" ht="15" hidden="false" customHeight="false" outlineLevel="0" collapsed="false">
      <c r="A1684" s="2" t="n">
        <v>2044</v>
      </c>
      <c r="B1684" s="2" t="s">
        <v>8534</v>
      </c>
      <c r="C1684" s="2" t="s">
        <v>8545</v>
      </c>
      <c r="D1684" s="2" t="s">
        <v>53</v>
      </c>
      <c r="E1684" s="2" t="s">
        <v>8546</v>
      </c>
      <c r="F1684" s="2" t="s">
        <v>8547</v>
      </c>
      <c r="G1684" s="2" t="s">
        <v>4175</v>
      </c>
      <c r="H1684" s="2" t="s">
        <v>426</v>
      </c>
      <c r="I1684" s="2" t="s">
        <v>74</v>
      </c>
      <c r="J1684" s="2" t="n">
        <v>-6.221</v>
      </c>
      <c r="K1684" s="2" t="n">
        <v>106.781</v>
      </c>
      <c r="L1684" s="2" t="s">
        <v>59</v>
      </c>
      <c r="M1684" s="2" t="s">
        <v>60</v>
      </c>
      <c r="N1684" s="2"/>
      <c r="O1684" s="2" t="s">
        <v>8548</v>
      </c>
      <c r="P1684" s="2"/>
      <c r="Q1684" s="2" t="s">
        <v>62</v>
      </c>
      <c r="R1684" s="2" t="n">
        <v>0.75</v>
      </c>
      <c r="S1684" s="2" t="s">
        <v>8542</v>
      </c>
      <c r="T1684" s="2" t="s">
        <v>112</v>
      </c>
      <c r="U1684" s="2" t="s">
        <v>8543</v>
      </c>
      <c r="V1684" s="2" t="s">
        <v>8544</v>
      </c>
      <c r="W1684" s="2" t="s">
        <v>67</v>
      </c>
      <c r="X1684" s="2" t="s">
        <v>507</v>
      </c>
    </row>
    <row r="1685" customFormat="false" ht="15" hidden="false" customHeight="false" outlineLevel="0" collapsed="false">
      <c r="A1685" s="2" t="n">
        <v>2045</v>
      </c>
      <c r="B1685" s="2" t="s">
        <v>8534</v>
      </c>
      <c r="C1685" s="2" t="s">
        <v>8549</v>
      </c>
      <c r="D1685" s="2" t="s">
        <v>351</v>
      </c>
      <c r="E1685" s="2" t="s">
        <v>8550</v>
      </c>
      <c r="F1685" s="2"/>
      <c r="G1685" s="2"/>
      <c r="H1685" s="2" t="s">
        <v>5071</v>
      </c>
      <c r="I1685" s="2" t="s">
        <v>5041</v>
      </c>
      <c r="J1685" s="2" t="n">
        <v>1.475</v>
      </c>
      <c r="K1685" s="2" t="n">
        <v>124.842</v>
      </c>
      <c r="L1685" s="2" t="s">
        <v>101</v>
      </c>
      <c r="M1685" s="2" t="s">
        <v>340</v>
      </c>
      <c r="N1685" s="2"/>
      <c r="O1685" s="2" t="s">
        <v>8551</v>
      </c>
      <c r="P1685" s="2" t="s">
        <v>5484</v>
      </c>
      <c r="Q1685" s="2" t="s">
        <v>62</v>
      </c>
      <c r="R1685" s="2" t="n">
        <v>0.6</v>
      </c>
      <c r="S1685" s="2" t="s">
        <v>8552</v>
      </c>
      <c r="T1685" s="2" t="s">
        <v>8553</v>
      </c>
      <c r="U1685" s="2" t="s">
        <v>8554</v>
      </c>
      <c r="V1685" s="2" t="s">
        <v>8124</v>
      </c>
      <c r="W1685" s="2" t="s">
        <v>2825</v>
      </c>
      <c r="X1685" s="2" t="s">
        <v>507</v>
      </c>
    </row>
    <row r="1686" customFormat="false" ht="15" hidden="false" customHeight="false" outlineLevel="0" collapsed="false">
      <c r="A1686" s="2" t="n">
        <v>2048</v>
      </c>
      <c r="B1686" s="2" t="s">
        <v>8534</v>
      </c>
      <c r="C1686" s="2" t="s">
        <v>8555</v>
      </c>
      <c r="D1686" s="2" t="s">
        <v>351</v>
      </c>
      <c r="E1686" s="2" t="s">
        <v>8550</v>
      </c>
      <c r="F1686" s="2"/>
      <c r="G1686" s="2"/>
      <c r="H1686" s="2" t="s">
        <v>5071</v>
      </c>
      <c r="I1686" s="2" t="s">
        <v>5041</v>
      </c>
      <c r="J1686" s="2" t="n">
        <v>1.475</v>
      </c>
      <c r="K1686" s="2" t="n">
        <v>124.842</v>
      </c>
      <c r="L1686" s="2" t="s">
        <v>101</v>
      </c>
      <c r="M1686" s="2" t="s">
        <v>340</v>
      </c>
      <c r="N1686" s="2"/>
      <c r="O1686" s="2" t="s">
        <v>8556</v>
      </c>
      <c r="P1686" s="2" t="s">
        <v>3032</v>
      </c>
      <c r="Q1686" s="2" t="s">
        <v>62</v>
      </c>
      <c r="R1686" s="2" t="n">
        <v>0.4</v>
      </c>
      <c r="S1686" s="2" t="s">
        <v>8557</v>
      </c>
      <c r="T1686" s="2" t="s">
        <v>5074</v>
      </c>
      <c r="U1686" s="2" t="s">
        <v>8558</v>
      </c>
      <c r="V1686" s="2" t="s">
        <v>420</v>
      </c>
      <c r="W1686" s="2" t="s">
        <v>283</v>
      </c>
      <c r="X1686" s="2" t="s">
        <v>507</v>
      </c>
    </row>
    <row r="1687" customFormat="false" ht="15" hidden="false" customHeight="false" outlineLevel="0" collapsed="false">
      <c r="A1687" s="2" t="n">
        <v>2059</v>
      </c>
      <c r="B1687" s="2" t="s">
        <v>8534</v>
      </c>
      <c r="C1687" s="2" t="s">
        <v>8559</v>
      </c>
      <c r="D1687" s="2" t="s">
        <v>410</v>
      </c>
      <c r="E1687" s="2" t="s">
        <v>8550</v>
      </c>
      <c r="F1687" s="2"/>
      <c r="G1687" s="2"/>
      <c r="H1687" s="2" t="s">
        <v>5071</v>
      </c>
      <c r="I1687" s="2" t="s">
        <v>5041</v>
      </c>
      <c r="J1687" s="2" t="n">
        <v>1.475</v>
      </c>
      <c r="K1687" s="2" t="n">
        <v>124.842</v>
      </c>
      <c r="L1687" s="2" t="s">
        <v>101</v>
      </c>
      <c r="M1687" s="2" t="s">
        <v>340</v>
      </c>
      <c r="N1687" s="2"/>
      <c r="O1687" s="2" t="s">
        <v>8560</v>
      </c>
      <c r="P1687" s="2"/>
      <c r="Q1687" s="2" t="s">
        <v>110</v>
      </c>
      <c r="R1687" s="2" t="n">
        <v>0.75</v>
      </c>
      <c r="S1687" s="2" t="s">
        <v>8561</v>
      </c>
      <c r="T1687" s="2" t="s">
        <v>8562</v>
      </c>
      <c r="U1687" s="2" t="s">
        <v>8563</v>
      </c>
      <c r="V1687" s="2" t="s">
        <v>8564</v>
      </c>
      <c r="W1687" s="2" t="s">
        <v>246</v>
      </c>
      <c r="X1687" s="2" t="s">
        <v>507</v>
      </c>
    </row>
    <row r="1688" customFormat="false" ht="15" hidden="false" customHeight="false" outlineLevel="0" collapsed="false">
      <c r="A1688" s="2" t="n">
        <v>2059</v>
      </c>
      <c r="B1688" s="2" t="s">
        <v>8534</v>
      </c>
      <c r="C1688" s="2" t="s">
        <v>8565</v>
      </c>
      <c r="D1688" s="2" t="s">
        <v>410</v>
      </c>
      <c r="E1688" s="2" t="s">
        <v>8550</v>
      </c>
      <c r="F1688" s="2"/>
      <c r="G1688" s="2" t="s">
        <v>8566</v>
      </c>
      <c r="H1688" s="2" t="s">
        <v>5071</v>
      </c>
      <c r="I1688" s="2" t="s">
        <v>5041</v>
      </c>
      <c r="J1688" s="2" t="n">
        <v>1.628</v>
      </c>
      <c r="K1688" s="2" t="n">
        <v>124.71</v>
      </c>
      <c r="L1688" s="2" t="s">
        <v>124</v>
      </c>
      <c r="M1688" s="2" t="s">
        <v>60</v>
      </c>
      <c r="N1688" s="2"/>
      <c r="O1688" s="2" t="s">
        <v>8567</v>
      </c>
      <c r="P1688" s="2"/>
      <c r="Q1688" s="2" t="s">
        <v>62</v>
      </c>
      <c r="R1688" s="2" t="n">
        <v>0.55</v>
      </c>
      <c r="S1688" s="2" t="s">
        <v>8561</v>
      </c>
      <c r="T1688" s="2" t="s">
        <v>8562</v>
      </c>
      <c r="U1688" s="2" t="s">
        <v>8563</v>
      </c>
      <c r="V1688" s="2" t="s">
        <v>8564</v>
      </c>
      <c r="W1688" s="2" t="s">
        <v>246</v>
      </c>
      <c r="X1688" s="2" t="s">
        <v>507</v>
      </c>
    </row>
    <row r="1689" customFormat="false" ht="15" hidden="false" customHeight="false" outlineLevel="0" collapsed="false">
      <c r="A1689" s="2" t="n">
        <v>2059</v>
      </c>
      <c r="B1689" s="2" t="s">
        <v>8534</v>
      </c>
      <c r="C1689" s="2" t="s">
        <v>8568</v>
      </c>
      <c r="D1689" s="2" t="s">
        <v>410</v>
      </c>
      <c r="E1689" s="2" t="s">
        <v>8550</v>
      </c>
      <c r="F1689" s="2"/>
      <c r="G1689" s="2"/>
      <c r="H1689" s="2" t="s">
        <v>5071</v>
      </c>
      <c r="I1689" s="2" t="s">
        <v>5041</v>
      </c>
      <c r="J1689" s="2" t="n">
        <v>1.475</v>
      </c>
      <c r="K1689" s="2" t="n">
        <v>124.842</v>
      </c>
      <c r="L1689" s="2" t="s">
        <v>101</v>
      </c>
      <c r="M1689" s="2" t="s">
        <v>340</v>
      </c>
      <c r="N1689" s="2" t="s">
        <v>8568</v>
      </c>
      <c r="O1689" s="2" t="s">
        <v>8569</v>
      </c>
      <c r="P1689" s="2"/>
      <c r="Q1689" s="2" t="s">
        <v>110</v>
      </c>
      <c r="R1689" s="2" t="n">
        <v>0.6</v>
      </c>
      <c r="S1689" s="2" t="s">
        <v>8561</v>
      </c>
      <c r="T1689" s="2" t="s">
        <v>8562</v>
      </c>
      <c r="U1689" s="2" t="s">
        <v>8563</v>
      </c>
      <c r="V1689" s="2" t="s">
        <v>8564</v>
      </c>
      <c r="W1689" s="2" t="s">
        <v>246</v>
      </c>
      <c r="X1689" s="2" t="s">
        <v>507</v>
      </c>
    </row>
    <row r="1690" customFormat="false" ht="15" hidden="false" customHeight="false" outlineLevel="0" collapsed="false">
      <c r="A1690" s="2" t="n">
        <v>2059</v>
      </c>
      <c r="B1690" s="2" t="s">
        <v>8534</v>
      </c>
      <c r="C1690" s="2" t="s">
        <v>8570</v>
      </c>
      <c r="D1690" s="2" t="s">
        <v>410</v>
      </c>
      <c r="E1690" s="2" t="s">
        <v>8550</v>
      </c>
      <c r="F1690" s="2"/>
      <c r="G1690" s="2"/>
      <c r="H1690" s="2" t="s">
        <v>5071</v>
      </c>
      <c r="I1690" s="2" t="s">
        <v>5041</v>
      </c>
      <c r="J1690" s="2" t="n">
        <v>1.475</v>
      </c>
      <c r="K1690" s="2" t="n">
        <v>124.842</v>
      </c>
      <c r="L1690" s="2" t="s">
        <v>101</v>
      </c>
      <c r="M1690" s="2" t="s">
        <v>340</v>
      </c>
      <c r="N1690" s="2"/>
      <c r="O1690" s="2" t="s">
        <v>8569</v>
      </c>
      <c r="P1690" s="2"/>
      <c r="Q1690" s="2" t="s">
        <v>110</v>
      </c>
      <c r="R1690" s="2" t="n">
        <v>0.55</v>
      </c>
      <c r="S1690" s="2" t="s">
        <v>8561</v>
      </c>
      <c r="T1690" s="2" t="s">
        <v>8562</v>
      </c>
      <c r="U1690" s="2" t="s">
        <v>8563</v>
      </c>
      <c r="V1690" s="2" t="s">
        <v>8564</v>
      </c>
      <c r="W1690" s="2" t="s">
        <v>246</v>
      </c>
      <c r="X1690" s="2" t="s">
        <v>507</v>
      </c>
    </row>
    <row r="1691" customFormat="false" ht="15" hidden="false" customHeight="false" outlineLevel="0" collapsed="false">
      <c r="A1691" s="2" t="n">
        <v>2060</v>
      </c>
      <c r="B1691" s="2" t="s">
        <v>8534</v>
      </c>
      <c r="C1691" s="2" t="s">
        <v>8571</v>
      </c>
      <c r="D1691" s="2" t="s">
        <v>53</v>
      </c>
      <c r="E1691" s="2" t="s">
        <v>8572</v>
      </c>
      <c r="F1691" s="2" t="s">
        <v>8573</v>
      </c>
      <c r="G1691" s="2" t="s">
        <v>8574</v>
      </c>
      <c r="H1691" s="2" t="s">
        <v>5580</v>
      </c>
      <c r="I1691" s="2" t="s">
        <v>1155</v>
      </c>
      <c r="J1691" s="2" t="n">
        <v>-2.6</v>
      </c>
      <c r="K1691" s="2" t="n">
        <v>140.7</v>
      </c>
      <c r="L1691" s="2" t="s">
        <v>84</v>
      </c>
      <c r="M1691" s="2" t="s">
        <v>60</v>
      </c>
      <c r="N1691" s="2"/>
      <c r="O1691" s="2" t="s">
        <v>8575</v>
      </c>
      <c r="P1691" s="2"/>
      <c r="Q1691" s="2" t="s">
        <v>62</v>
      </c>
      <c r="R1691" s="2" t="n">
        <v>0.8</v>
      </c>
      <c r="S1691" s="2" t="s">
        <v>8576</v>
      </c>
      <c r="T1691" s="2" t="s">
        <v>95</v>
      </c>
      <c r="U1691" s="2" t="s">
        <v>8577</v>
      </c>
      <c r="V1691" s="2" t="s">
        <v>8578</v>
      </c>
      <c r="W1691" s="2" t="s">
        <v>686</v>
      </c>
      <c r="X1691" s="2" t="s">
        <v>507</v>
      </c>
    </row>
    <row r="1692" customFormat="false" ht="15" hidden="false" customHeight="false" outlineLevel="0" collapsed="false">
      <c r="A1692" s="2" t="n">
        <v>2062</v>
      </c>
      <c r="B1692" s="2" t="s">
        <v>8534</v>
      </c>
      <c r="C1692" s="2" t="s">
        <v>8579</v>
      </c>
      <c r="D1692" s="2" t="s">
        <v>53</v>
      </c>
      <c r="E1692" s="2" t="s">
        <v>8580</v>
      </c>
      <c r="F1692" s="2" t="s">
        <v>8581</v>
      </c>
      <c r="G1692" s="2" t="s">
        <v>8574</v>
      </c>
      <c r="H1692" s="2" t="s">
        <v>5580</v>
      </c>
      <c r="I1692" s="2" t="s">
        <v>1155</v>
      </c>
      <c r="J1692" s="2" t="n">
        <v>-2.6</v>
      </c>
      <c r="K1692" s="2" t="n">
        <v>140.7</v>
      </c>
      <c r="L1692" s="2" t="s">
        <v>84</v>
      </c>
      <c r="M1692" s="2" t="s">
        <v>60</v>
      </c>
      <c r="N1692" s="2"/>
      <c r="O1692" s="2" t="s">
        <v>8582</v>
      </c>
      <c r="P1692" s="2" t="s">
        <v>8583</v>
      </c>
      <c r="Q1692" s="2" t="s">
        <v>62</v>
      </c>
      <c r="R1692" s="2" t="n">
        <v>0.8</v>
      </c>
      <c r="S1692" s="2" t="s">
        <v>8584</v>
      </c>
      <c r="T1692" s="2" t="s">
        <v>95</v>
      </c>
      <c r="U1692" s="2" t="s">
        <v>8585</v>
      </c>
      <c r="V1692" s="2" t="s">
        <v>696</v>
      </c>
      <c r="W1692" s="2" t="s">
        <v>8275</v>
      </c>
      <c r="X1692" s="2" t="s">
        <v>507</v>
      </c>
    </row>
    <row r="1693" customFormat="false" ht="15" hidden="false" customHeight="false" outlineLevel="0" collapsed="false">
      <c r="A1693" s="2" t="n">
        <v>2063</v>
      </c>
      <c r="B1693" s="2" t="s">
        <v>8534</v>
      </c>
      <c r="C1693" s="2" t="s">
        <v>8586</v>
      </c>
      <c r="D1693" s="2" t="s">
        <v>134</v>
      </c>
      <c r="E1693" s="2" t="s">
        <v>8587</v>
      </c>
      <c r="F1693" s="2" t="s">
        <v>8573</v>
      </c>
      <c r="G1693" s="2" t="s">
        <v>8574</v>
      </c>
      <c r="H1693" s="2" t="s">
        <v>5580</v>
      </c>
      <c r="I1693" s="2" t="s">
        <v>1155</v>
      </c>
      <c r="J1693" s="2" t="n">
        <v>-2.6</v>
      </c>
      <c r="K1693" s="2" t="n">
        <v>140.7</v>
      </c>
      <c r="L1693" s="2" t="s">
        <v>84</v>
      </c>
      <c r="M1693" s="2" t="s">
        <v>60</v>
      </c>
      <c r="N1693" s="2"/>
      <c r="O1693" s="2" t="s">
        <v>8588</v>
      </c>
      <c r="P1693" s="2"/>
      <c r="Q1693" s="2" t="s">
        <v>62</v>
      </c>
      <c r="R1693" s="2" t="n">
        <v>0.8</v>
      </c>
      <c r="S1693" s="2" t="s">
        <v>8589</v>
      </c>
      <c r="T1693" s="2" t="s">
        <v>95</v>
      </c>
      <c r="U1693" s="2" t="s">
        <v>8590</v>
      </c>
      <c r="V1693" s="2" t="s">
        <v>2233</v>
      </c>
      <c r="W1693" s="2" t="s">
        <v>1055</v>
      </c>
      <c r="X1693" s="2" t="s">
        <v>507</v>
      </c>
    </row>
    <row r="1694" customFormat="false" ht="15" hidden="false" customHeight="false" outlineLevel="0" collapsed="false">
      <c r="A1694" s="2" t="n">
        <v>2064</v>
      </c>
      <c r="B1694" s="2" t="s">
        <v>8534</v>
      </c>
      <c r="C1694" s="2" t="s">
        <v>8591</v>
      </c>
      <c r="D1694" s="2" t="s">
        <v>53</v>
      </c>
      <c r="E1694" s="2" t="s">
        <v>8592</v>
      </c>
      <c r="F1694" s="2"/>
      <c r="G1694" s="2" t="s">
        <v>5604</v>
      </c>
      <c r="H1694" s="2" t="s">
        <v>5580</v>
      </c>
      <c r="I1694" s="2" t="s">
        <v>1155</v>
      </c>
      <c r="J1694" s="2" t="n">
        <v>-2.53</v>
      </c>
      <c r="K1694" s="2" t="n">
        <v>140.71</v>
      </c>
      <c r="L1694" s="2" t="s">
        <v>84</v>
      </c>
      <c r="M1694" s="2" t="s">
        <v>60</v>
      </c>
      <c r="N1694" s="2" t="s">
        <v>8593</v>
      </c>
      <c r="O1694" s="2" t="s">
        <v>8594</v>
      </c>
      <c r="P1694" s="2"/>
      <c r="Q1694" s="2" t="s">
        <v>62</v>
      </c>
      <c r="R1694" s="2" t="n">
        <v>0.8</v>
      </c>
      <c r="S1694" s="2" t="s">
        <v>8595</v>
      </c>
      <c r="T1694" s="2" t="s">
        <v>95</v>
      </c>
      <c r="U1694" s="2" t="s">
        <v>8596</v>
      </c>
      <c r="V1694" s="2" t="s">
        <v>696</v>
      </c>
      <c r="W1694" s="2" t="s">
        <v>1055</v>
      </c>
      <c r="X1694" s="2" t="s">
        <v>507</v>
      </c>
    </row>
    <row r="1695" customFormat="false" ht="15" hidden="false" customHeight="false" outlineLevel="0" collapsed="false">
      <c r="A1695" s="2" t="n">
        <v>2065</v>
      </c>
      <c r="B1695" s="2" t="s">
        <v>8534</v>
      </c>
      <c r="C1695" s="2" t="s">
        <v>8597</v>
      </c>
      <c r="D1695" s="2" t="s">
        <v>53</v>
      </c>
      <c r="E1695" s="2" t="s">
        <v>8598</v>
      </c>
      <c r="F1695" s="2" t="s">
        <v>8573</v>
      </c>
      <c r="G1695" s="2" t="s">
        <v>8574</v>
      </c>
      <c r="H1695" s="2" t="s">
        <v>5580</v>
      </c>
      <c r="I1695" s="2" t="s">
        <v>1155</v>
      </c>
      <c r="J1695" s="2" t="n">
        <v>-2.6</v>
      </c>
      <c r="K1695" s="2" t="n">
        <v>140.7</v>
      </c>
      <c r="L1695" s="2" t="s">
        <v>84</v>
      </c>
      <c r="M1695" s="2" t="s">
        <v>60</v>
      </c>
      <c r="N1695" s="2"/>
      <c r="O1695" s="2" t="s">
        <v>8599</v>
      </c>
      <c r="P1695" s="2"/>
      <c r="Q1695" s="2" t="s">
        <v>62</v>
      </c>
      <c r="R1695" s="2" t="n">
        <v>0.8</v>
      </c>
      <c r="S1695" s="2" t="s">
        <v>8600</v>
      </c>
      <c r="T1695" s="2" t="s">
        <v>95</v>
      </c>
      <c r="U1695" s="2" t="s">
        <v>8601</v>
      </c>
      <c r="V1695" s="2" t="s">
        <v>2979</v>
      </c>
      <c r="W1695" s="2" t="s">
        <v>1055</v>
      </c>
      <c r="X1695" s="2" t="s">
        <v>507</v>
      </c>
    </row>
    <row r="1696" customFormat="false" ht="15" hidden="false" customHeight="false" outlineLevel="0" collapsed="false">
      <c r="A1696" s="2" t="n">
        <v>2066</v>
      </c>
      <c r="B1696" s="2" t="s">
        <v>8534</v>
      </c>
      <c r="C1696" s="2" t="s">
        <v>8602</v>
      </c>
      <c r="D1696" s="2" t="s">
        <v>134</v>
      </c>
      <c r="E1696" s="2" t="s">
        <v>8603</v>
      </c>
      <c r="F1696" s="2" t="s">
        <v>8573</v>
      </c>
      <c r="G1696" s="2" t="s">
        <v>8574</v>
      </c>
      <c r="H1696" s="2" t="s">
        <v>5580</v>
      </c>
      <c r="I1696" s="2" t="s">
        <v>1155</v>
      </c>
      <c r="J1696" s="2" t="n">
        <v>-2.6</v>
      </c>
      <c r="K1696" s="2" t="n">
        <v>140.7</v>
      </c>
      <c r="L1696" s="2" t="s">
        <v>84</v>
      </c>
      <c r="M1696" s="2" t="s">
        <v>1822</v>
      </c>
      <c r="N1696" s="2" t="s">
        <v>8604</v>
      </c>
      <c r="O1696" s="2" t="s">
        <v>8605</v>
      </c>
      <c r="P1696" s="2"/>
      <c r="Q1696" s="2" t="s">
        <v>62</v>
      </c>
      <c r="R1696" s="2" t="n">
        <v>0.8</v>
      </c>
      <c r="S1696" s="2" t="s">
        <v>8606</v>
      </c>
      <c r="T1696" s="2" t="s">
        <v>95</v>
      </c>
      <c r="U1696" s="2" t="s">
        <v>8607</v>
      </c>
      <c r="V1696" s="2" t="s">
        <v>4380</v>
      </c>
      <c r="W1696" s="2" t="s">
        <v>1055</v>
      </c>
      <c r="X1696" s="2" t="s">
        <v>507</v>
      </c>
    </row>
    <row r="1697" customFormat="false" ht="15" hidden="false" customHeight="false" outlineLevel="0" collapsed="false">
      <c r="A1697" s="2" t="n">
        <v>2067</v>
      </c>
      <c r="B1697" s="2" t="s">
        <v>8534</v>
      </c>
      <c r="C1697" s="2" t="s">
        <v>8608</v>
      </c>
      <c r="D1697" s="2" t="s">
        <v>53</v>
      </c>
      <c r="E1697" s="2" t="s">
        <v>8609</v>
      </c>
      <c r="F1697" s="2" t="s">
        <v>8610</v>
      </c>
      <c r="G1697" s="2" t="s">
        <v>8611</v>
      </c>
      <c r="H1697" s="2" t="s">
        <v>1154</v>
      </c>
      <c r="I1697" s="2" t="s">
        <v>1155</v>
      </c>
      <c r="J1697" s="2" t="n">
        <v>-2.57</v>
      </c>
      <c r="K1697" s="2" t="n">
        <v>140.46</v>
      </c>
      <c r="L1697" s="2" t="s">
        <v>84</v>
      </c>
      <c r="M1697" s="2" t="s">
        <v>60</v>
      </c>
      <c r="N1697" s="2"/>
      <c r="O1697" s="2" t="s">
        <v>8612</v>
      </c>
      <c r="P1697" s="2"/>
      <c r="Q1697" s="2" t="s">
        <v>62</v>
      </c>
      <c r="R1697" s="2" t="n">
        <v>0.75</v>
      </c>
      <c r="S1697" s="2" t="s">
        <v>8613</v>
      </c>
      <c r="T1697" s="2" t="s">
        <v>95</v>
      </c>
      <c r="U1697" s="2" t="s">
        <v>8614</v>
      </c>
      <c r="V1697" s="2" t="s">
        <v>97</v>
      </c>
      <c r="W1697" s="2" t="s">
        <v>686</v>
      </c>
      <c r="X1697" s="2" t="s">
        <v>507</v>
      </c>
    </row>
    <row r="1698" customFormat="false" ht="15" hidden="false" customHeight="false" outlineLevel="0" collapsed="false">
      <c r="A1698" s="2" t="n">
        <v>2068</v>
      </c>
      <c r="B1698" s="2" t="s">
        <v>8534</v>
      </c>
      <c r="C1698" s="2" t="s">
        <v>5576</v>
      </c>
      <c r="D1698" s="2" t="s">
        <v>53</v>
      </c>
      <c r="E1698" s="2" t="s">
        <v>8615</v>
      </c>
      <c r="F1698" s="2" t="s">
        <v>5578</v>
      </c>
      <c r="G1698" s="2" t="s">
        <v>5579</v>
      </c>
      <c r="H1698" s="2" t="s">
        <v>5580</v>
      </c>
      <c r="I1698" s="2" t="s">
        <v>1155</v>
      </c>
      <c r="J1698" s="2" t="n">
        <v>-2.65</v>
      </c>
      <c r="K1698" s="2" t="n">
        <v>140.85</v>
      </c>
      <c r="L1698" s="2" t="s">
        <v>84</v>
      </c>
      <c r="M1698" s="2" t="s">
        <v>60</v>
      </c>
      <c r="N1698" s="2"/>
      <c r="O1698" s="2" t="s">
        <v>8616</v>
      </c>
      <c r="P1698" s="2"/>
      <c r="Q1698" s="2" t="s">
        <v>62</v>
      </c>
      <c r="R1698" s="2" t="n">
        <v>0.85</v>
      </c>
      <c r="S1698" s="2" t="s">
        <v>8617</v>
      </c>
      <c r="T1698" s="2" t="s">
        <v>95</v>
      </c>
      <c r="U1698" s="2" t="s">
        <v>8618</v>
      </c>
      <c r="V1698" s="2" t="s">
        <v>4764</v>
      </c>
      <c r="W1698" s="2" t="s">
        <v>1055</v>
      </c>
      <c r="X1698" s="2" t="s">
        <v>507</v>
      </c>
    </row>
    <row r="1699" customFormat="false" ht="15" hidden="false" customHeight="false" outlineLevel="0" collapsed="false">
      <c r="A1699" s="2" t="n">
        <v>2069</v>
      </c>
      <c r="B1699" s="2" t="s">
        <v>8534</v>
      </c>
      <c r="C1699" s="2" t="s">
        <v>8602</v>
      </c>
      <c r="D1699" s="2" t="s">
        <v>134</v>
      </c>
      <c r="E1699" s="2" t="s">
        <v>8619</v>
      </c>
      <c r="F1699" s="2" t="s">
        <v>8573</v>
      </c>
      <c r="G1699" s="2" t="s">
        <v>8574</v>
      </c>
      <c r="H1699" s="2" t="s">
        <v>5580</v>
      </c>
      <c r="I1699" s="2" t="s">
        <v>1155</v>
      </c>
      <c r="J1699" s="2" t="n">
        <v>-2.6</v>
      </c>
      <c r="K1699" s="2" t="n">
        <v>140.7</v>
      </c>
      <c r="L1699" s="2" t="s">
        <v>84</v>
      </c>
      <c r="M1699" s="2" t="s">
        <v>60</v>
      </c>
      <c r="N1699" s="2"/>
      <c r="O1699" s="2" t="s">
        <v>8620</v>
      </c>
      <c r="P1699" s="2"/>
      <c r="Q1699" s="2" t="s">
        <v>62</v>
      </c>
      <c r="R1699" s="2" t="n">
        <v>0.8</v>
      </c>
      <c r="S1699" s="2" t="s">
        <v>8621</v>
      </c>
      <c r="T1699" s="2" t="s">
        <v>95</v>
      </c>
      <c r="U1699" s="2" t="s">
        <v>8622</v>
      </c>
      <c r="V1699" s="2" t="s">
        <v>8623</v>
      </c>
      <c r="W1699" s="2" t="s">
        <v>1055</v>
      </c>
      <c r="X1699" s="2" t="s">
        <v>507</v>
      </c>
    </row>
    <row r="1700" customFormat="false" ht="15" hidden="false" customHeight="false" outlineLevel="0" collapsed="false">
      <c r="A1700" s="2" t="n">
        <v>2076</v>
      </c>
      <c r="B1700" s="2" t="s">
        <v>8624</v>
      </c>
      <c r="C1700" s="2" t="s">
        <v>8625</v>
      </c>
      <c r="D1700" s="2" t="s">
        <v>121</v>
      </c>
      <c r="E1700" s="2" t="s">
        <v>5717</v>
      </c>
      <c r="F1700" s="2"/>
      <c r="G1700" s="2" t="s">
        <v>5664</v>
      </c>
      <c r="H1700" s="2" t="s">
        <v>1154</v>
      </c>
      <c r="I1700" s="2" t="s">
        <v>1155</v>
      </c>
      <c r="J1700" s="2" t="n">
        <v>-2.566</v>
      </c>
      <c r="K1700" s="2" t="n">
        <v>140.515</v>
      </c>
      <c r="L1700" s="2" t="s">
        <v>84</v>
      </c>
      <c r="M1700" s="2" t="s">
        <v>340</v>
      </c>
      <c r="N1700" s="2" t="s">
        <v>8626</v>
      </c>
      <c r="O1700" s="2" t="s">
        <v>8627</v>
      </c>
      <c r="P1700" s="2"/>
      <c r="Q1700" s="2" t="s">
        <v>62</v>
      </c>
      <c r="R1700" s="2" t="n">
        <v>0.5</v>
      </c>
      <c r="S1700" s="2" t="s">
        <v>8628</v>
      </c>
      <c r="T1700" s="2" t="s">
        <v>8629</v>
      </c>
      <c r="U1700" s="2" t="s">
        <v>8630</v>
      </c>
      <c r="V1700" s="2" t="s">
        <v>745</v>
      </c>
      <c r="W1700" s="2" t="s">
        <v>67</v>
      </c>
      <c r="X1700" s="2" t="s">
        <v>507</v>
      </c>
    </row>
    <row r="1701" customFormat="false" ht="15" hidden="false" customHeight="false" outlineLevel="0" collapsed="false">
      <c r="A1701" s="2" t="n">
        <v>2077</v>
      </c>
      <c r="B1701" s="2" t="s">
        <v>8624</v>
      </c>
      <c r="C1701" s="2" t="s">
        <v>8631</v>
      </c>
      <c r="D1701" s="2" t="s">
        <v>351</v>
      </c>
      <c r="E1701" s="2" t="s">
        <v>8632</v>
      </c>
      <c r="F1701" s="2" t="s">
        <v>8633</v>
      </c>
      <c r="G1701" s="2" t="s">
        <v>5604</v>
      </c>
      <c r="H1701" s="2" t="s">
        <v>5580</v>
      </c>
      <c r="I1701" s="2" t="s">
        <v>1155</v>
      </c>
      <c r="J1701" s="2" t="n">
        <v>-2.535</v>
      </c>
      <c r="K1701" s="2" t="n">
        <v>140.715</v>
      </c>
      <c r="L1701" s="2" t="s">
        <v>59</v>
      </c>
      <c r="M1701" s="2" t="s">
        <v>60</v>
      </c>
      <c r="N1701" s="2"/>
      <c r="O1701" s="2" t="s">
        <v>8634</v>
      </c>
      <c r="P1701" s="2" t="s">
        <v>8635</v>
      </c>
      <c r="Q1701" s="2" t="s">
        <v>62</v>
      </c>
      <c r="R1701" s="2" t="n">
        <v>0.65</v>
      </c>
      <c r="S1701" s="2" t="s">
        <v>8636</v>
      </c>
      <c r="T1701" s="2" t="s">
        <v>8637</v>
      </c>
      <c r="U1701" s="2" t="s">
        <v>8638</v>
      </c>
      <c r="V1701" s="2" t="s">
        <v>245</v>
      </c>
      <c r="W1701" s="2" t="s">
        <v>1365</v>
      </c>
      <c r="X1701" s="2" t="s">
        <v>507</v>
      </c>
    </row>
    <row r="1702" customFormat="false" ht="15" hidden="false" customHeight="false" outlineLevel="0" collapsed="false">
      <c r="A1702" s="2" t="n">
        <v>2078</v>
      </c>
      <c r="B1702" s="2" t="s">
        <v>8624</v>
      </c>
      <c r="C1702" s="2" t="s">
        <v>3616</v>
      </c>
      <c r="D1702" s="2" t="s">
        <v>53</v>
      </c>
      <c r="E1702" s="2" t="s">
        <v>8639</v>
      </c>
      <c r="F1702" s="2"/>
      <c r="G1702" s="2" t="s">
        <v>3619</v>
      </c>
      <c r="H1702" s="2" t="s">
        <v>1233</v>
      </c>
      <c r="I1702" s="2" t="s">
        <v>172</v>
      </c>
      <c r="J1702" s="2" t="n">
        <v>-7.58</v>
      </c>
      <c r="K1702" s="2" t="n">
        <v>110.83</v>
      </c>
      <c r="L1702" s="2" t="s">
        <v>84</v>
      </c>
      <c r="M1702" s="2" t="s">
        <v>60</v>
      </c>
      <c r="N1702" s="2" t="s">
        <v>8640</v>
      </c>
      <c r="O1702" s="2" t="s">
        <v>8641</v>
      </c>
      <c r="P1702" s="2"/>
      <c r="Q1702" s="2" t="s">
        <v>62</v>
      </c>
      <c r="R1702" s="2" t="n">
        <v>0.75</v>
      </c>
      <c r="S1702" s="2" t="s">
        <v>8642</v>
      </c>
      <c r="T1702" s="2" t="s">
        <v>1168</v>
      </c>
      <c r="U1702" s="2" t="s">
        <v>8643</v>
      </c>
      <c r="V1702" s="2" t="s">
        <v>189</v>
      </c>
      <c r="W1702" s="2" t="s">
        <v>430</v>
      </c>
      <c r="X1702" s="2" t="s">
        <v>1588</v>
      </c>
    </row>
    <row r="1703" customFormat="false" ht="15" hidden="false" customHeight="false" outlineLevel="0" collapsed="false">
      <c r="A1703" s="2" t="n">
        <v>2078</v>
      </c>
      <c r="B1703" s="2" t="s">
        <v>8624</v>
      </c>
      <c r="C1703" s="2" t="s">
        <v>8644</v>
      </c>
      <c r="D1703" s="2" t="s">
        <v>53</v>
      </c>
      <c r="E1703" s="2" t="s">
        <v>8645</v>
      </c>
      <c r="F1703" s="2" t="s">
        <v>1408</v>
      </c>
      <c r="G1703" s="2" t="s">
        <v>1409</v>
      </c>
      <c r="H1703" s="2" t="s">
        <v>1233</v>
      </c>
      <c r="I1703" s="2" t="s">
        <v>172</v>
      </c>
      <c r="J1703" s="2" t="n">
        <v>-7.55</v>
      </c>
      <c r="K1703" s="2" t="n">
        <v>110.815</v>
      </c>
      <c r="L1703" s="2" t="s">
        <v>84</v>
      </c>
      <c r="M1703" s="2" t="s">
        <v>60</v>
      </c>
      <c r="N1703" s="2"/>
      <c r="O1703" s="2" t="s">
        <v>8646</v>
      </c>
      <c r="P1703" s="2"/>
      <c r="Q1703" s="2" t="s">
        <v>62</v>
      </c>
      <c r="R1703" s="2" t="n">
        <v>0.75</v>
      </c>
      <c r="S1703" s="2" t="s">
        <v>8642</v>
      </c>
      <c r="T1703" s="2" t="s">
        <v>1168</v>
      </c>
      <c r="U1703" s="2" t="s">
        <v>8643</v>
      </c>
      <c r="V1703" s="2" t="s">
        <v>189</v>
      </c>
      <c r="W1703" s="2" t="s">
        <v>430</v>
      </c>
      <c r="X1703" s="2" t="s">
        <v>1588</v>
      </c>
    </row>
    <row r="1704" customFormat="false" ht="15" hidden="false" customHeight="false" outlineLevel="0" collapsed="false">
      <c r="A1704" s="2" t="n">
        <v>2078</v>
      </c>
      <c r="B1704" s="2" t="s">
        <v>8624</v>
      </c>
      <c r="C1704" s="2" t="s">
        <v>8647</v>
      </c>
      <c r="D1704" s="2" t="s">
        <v>53</v>
      </c>
      <c r="E1704" s="2" t="s">
        <v>8648</v>
      </c>
      <c r="F1704" s="2" t="s">
        <v>8649</v>
      </c>
      <c r="G1704" s="2" t="s">
        <v>3612</v>
      </c>
      <c r="H1704" s="2" t="s">
        <v>1233</v>
      </c>
      <c r="I1704" s="2" t="s">
        <v>172</v>
      </c>
      <c r="J1704" s="2" t="n">
        <v>-7.578</v>
      </c>
      <c r="K1704" s="2" t="n">
        <v>110.812</v>
      </c>
      <c r="L1704" s="2" t="s">
        <v>84</v>
      </c>
      <c r="M1704" s="2" t="s">
        <v>60</v>
      </c>
      <c r="N1704" s="2"/>
      <c r="O1704" s="2" t="s">
        <v>8650</v>
      </c>
      <c r="P1704" s="2"/>
      <c r="Q1704" s="2" t="s">
        <v>62</v>
      </c>
      <c r="R1704" s="2" t="n">
        <v>0.7</v>
      </c>
      <c r="S1704" s="2" t="s">
        <v>8642</v>
      </c>
      <c r="T1704" s="2" t="s">
        <v>1168</v>
      </c>
      <c r="U1704" s="2" t="s">
        <v>8643</v>
      </c>
      <c r="V1704" s="2" t="s">
        <v>189</v>
      </c>
      <c r="W1704" s="2" t="s">
        <v>430</v>
      </c>
      <c r="X1704" s="2" t="s">
        <v>1588</v>
      </c>
    </row>
    <row r="1705" customFormat="false" ht="15" hidden="false" customHeight="false" outlineLevel="0" collapsed="false">
      <c r="A1705" s="2" t="n">
        <v>2078</v>
      </c>
      <c r="B1705" s="2" t="s">
        <v>8624</v>
      </c>
      <c r="C1705" s="2" t="s">
        <v>8651</v>
      </c>
      <c r="D1705" s="2" t="s">
        <v>53</v>
      </c>
      <c r="E1705" s="2" t="s">
        <v>8652</v>
      </c>
      <c r="F1705" s="2" t="s">
        <v>8653</v>
      </c>
      <c r="G1705" s="2" t="s">
        <v>3612</v>
      </c>
      <c r="H1705" s="2" t="s">
        <v>1233</v>
      </c>
      <c r="I1705" s="2" t="s">
        <v>172</v>
      </c>
      <c r="J1705" s="2" t="n">
        <v>-7.578</v>
      </c>
      <c r="K1705" s="2" t="n">
        <v>110.812</v>
      </c>
      <c r="L1705" s="2" t="s">
        <v>84</v>
      </c>
      <c r="M1705" s="2" t="s">
        <v>60</v>
      </c>
      <c r="N1705" s="2"/>
      <c r="O1705" s="2" t="s">
        <v>8654</v>
      </c>
      <c r="P1705" s="2"/>
      <c r="Q1705" s="2" t="s">
        <v>62</v>
      </c>
      <c r="R1705" s="2" t="n">
        <v>0.7</v>
      </c>
      <c r="S1705" s="2" t="s">
        <v>8642</v>
      </c>
      <c r="T1705" s="2" t="s">
        <v>1168</v>
      </c>
      <c r="U1705" s="2" t="s">
        <v>8643</v>
      </c>
      <c r="V1705" s="2" t="s">
        <v>189</v>
      </c>
      <c r="W1705" s="2" t="s">
        <v>430</v>
      </c>
      <c r="X1705" s="2" t="s">
        <v>1588</v>
      </c>
    </row>
    <row r="1706" customFormat="false" ht="15" hidden="false" customHeight="false" outlineLevel="0" collapsed="false">
      <c r="A1706" s="2" t="n">
        <v>2078</v>
      </c>
      <c r="B1706" s="2" t="s">
        <v>8624</v>
      </c>
      <c r="C1706" s="2" t="s">
        <v>8655</v>
      </c>
      <c r="D1706" s="2" t="s">
        <v>53</v>
      </c>
      <c r="E1706" s="2" t="s">
        <v>3622</v>
      </c>
      <c r="F1706" s="2"/>
      <c r="G1706" s="2"/>
      <c r="H1706" s="2" t="s">
        <v>1233</v>
      </c>
      <c r="I1706" s="2" t="s">
        <v>172</v>
      </c>
      <c r="J1706" s="2" t="n">
        <v>-7.566</v>
      </c>
      <c r="K1706" s="2" t="n">
        <v>110.817</v>
      </c>
      <c r="L1706" s="2" t="s">
        <v>101</v>
      </c>
      <c r="M1706" s="2" t="s">
        <v>340</v>
      </c>
      <c r="N1706" s="2"/>
      <c r="O1706" s="2" t="s">
        <v>8656</v>
      </c>
      <c r="P1706" s="2"/>
      <c r="Q1706" s="2" t="s">
        <v>62</v>
      </c>
      <c r="R1706" s="2" t="n">
        <v>0.6</v>
      </c>
      <c r="S1706" s="2" t="s">
        <v>8642</v>
      </c>
      <c r="T1706" s="2" t="s">
        <v>1168</v>
      </c>
      <c r="U1706" s="2" t="s">
        <v>8643</v>
      </c>
      <c r="V1706" s="2" t="s">
        <v>189</v>
      </c>
      <c r="W1706" s="2" t="s">
        <v>430</v>
      </c>
      <c r="X1706" s="2" t="s">
        <v>1588</v>
      </c>
    </row>
    <row r="1707" customFormat="false" ht="15" hidden="false" customHeight="false" outlineLevel="0" collapsed="false">
      <c r="A1707" s="2" t="n">
        <v>2080</v>
      </c>
      <c r="B1707" s="2" t="s">
        <v>8624</v>
      </c>
      <c r="C1707" s="2" t="s">
        <v>8657</v>
      </c>
      <c r="D1707" s="2" t="s">
        <v>53</v>
      </c>
      <c r="E1707" s="2" t="s">
        <v>3622</v>
      </c>
      <c r="F1707" s="2"/>
      <c r="G1707" s="2" t="s">
        <v>1409</v>
      </c>
      <c r="H1707" s="2" t="s">
        <v>1233</v>
      </c>
      <c r="I1707" s="2" t="s">
        <v>172</v>
      </c>
      <c r="J1707" s="2" t="n">
        <v>-7.55</v>
      </c>
      <c r="K1707" s="2" t="n">
        <v>110.815</v>
      </c>
      <c r="L1707" s="2" t="s">
        <v>84</v>
      </c>
      <c r="M1707" s="2" t="s">
        <v>60</v>
      </c>
      <c r="N1707" s="2"/>
      <c r="O1707" s="2" t="s">
        <v>8658</v>
      </c>
      <c r="P1707" s="2"/>
      <c r="Q1707" s="2" t="s">
        <v>62</v>
      </c>
      <c r="R1707" s="2" t="n">
        <v>0.8</v>
      </c>
      <c r="S1707" s="2" t="s">
        <v>8659</v>
      </c>
      <c r="T1707" s="2" t="s">
        <v>3917</v>
      </c>
      <c r="U1707" s="2" t="s">
        <v>8660</v>
      </c>
      <c r="V1707" s="2" t="s">
        <v>420</v>
      </c>
      <c r="W1707" s="2" t="s">
        <v>1482</v>
      </c>
      <c r="X1707" s="2" t="s">
        <v>68</v>
      </c>
    </row>
    <row r="1708" customFormat="false" ht="15" hidden="false" customHeight="false" outlineLevel="0" collapsed="false">
      <c r="A1708" s="2" t="n">
        <v>2081</v>
      </c>
      <c r="B1708" s="2" t="s">
        <v>8624</v>
      </c>
      <c r="C1708" s="2" t="s">
        <v>1430</v>
      </c>
      <c r="D1708" s="2" t="s">
        <v>1130</v>
      </c>
      <c r="E1708" s="2" t="s">
        <v>8661</v>
      </c>
      <c r="F1708" s="2"/>
      <c r="G1708" s="2" t="s">
        <v>3642</v>
      </c>
      <c r="H1708" s="2" t="s">
        <v>1233</v>
      </c>
      <c r="I1708" s="2" t="s">
        <v>172</v>
      </c>
      <c r="J1708" s="2" t="n">
        <v>-7.555</v>
      </c>
      <c r="K1708" s="2" t="n">
        <v>110.85</v>
      </c>
      <c r="L1708" s="2" t="s">
        <v>84</v>
      </c>
      <c r="M1708" s="2" t="s">
        <v>60</v>
      </c>
      <c r="N1708" s="2"/>
      <c r="O1708" s="2" t="s">
        <v>8662</v>
      </c>
      <c r="P1708" s="2"/>
      <c r="Q1708" s="2" t="s">
        <v>62</v>
      </c>
      <c r="R1708" s="2" t="n">
        <v>0.6</v>
      </c>
      <c r="S1708" s="2" t="s">
        <v>8663</v>
      </c>
      <c r="T1708" s="2" t="s">
        <v>176</v>
      </c>
      <c r="U1708" s="2" t="s">
        <v>8664</v>
      </c>
      <c r="V1708" s="2" t="s">
        <v>189</v>
      </c>
      <c r="W1708" s="2" t="s">
        <v>190</v>
      </c>
      <c r="X1708" s="2" t="s">
        <v>160</v>
      </c>
    </row>
    <row r="1709" customFormat="false" ht="15" hidden="false" customHeight="false" outlineLevel="0" collapsed="false">
      <c r="A1709" s="2" t="n">
        <v>2082</v>
      </c>
      <c r="B1709" s="2" t="s">
        <v>8624</v>
      </c>
      <c r="C1709" s="2" t="s">
        <v>8665</v>
      </c>
      <c r="D1709" s="2" t="s">
        <v>410</v>
      </c>
      <c r="E1709" s="2" t="s">
        <v>8666</v>
      </c>
      <c r="F1709" s="2" t="s">
        <v>3795</v>
      </c>
      <c r="G1709" s="2" t="s">
        <v>3796</v>
      </c>
      <c r="H1709" s="2" t="s">
        <v>1233</v>
      </c>
      <c r="I1709" s="2" t="s">
        <v>172</v>
      </c>
      <c r="J1709" s="2" t="n">
        <v>-7.568</v>
      </c>
      <c r="K1709" s="2" t="n">
        <v>110.813</v>
      </c>
      <c r="L1709" s="2" t="s">
        <v>59</v>
      </c>
      <c r="M1709" s="2" t="s">
        <v>60</v>
      </c>
      <c r="N1709" s="2"/>
      <c r="O1709" s="2" t="s">
        <v>8667</v>
      </c>
      <c r="P1709" s="2" t="s">
        <v>5451</v>
      </c>
      <c r="Q1709" s="2" t="s">
        <v>110</v>
      </c>
      <c r="R1709" s="2" t="n">
        <v>0.6</v>
      </c>
      <c r="S1709" s="2" t="s">
        <v>8668</v>
      </c>
      <c r="T1709" s="2" t="s">
        <v>1498</v>
      </c>
      <c r="U1709" s="2" t="s">
        <v>8669</v>
      </c>
      <c r="V1709" s="2" t="s">
        <v>114</v>
      </c>
      <c r="W1709" s="2" t="s">
        <v>1138</v>
      </c>
      <c r="X1709" s="2" t="s">
        <v>507</v>
      </c>
    </row>
    <row r="1710" customFormat="false" ht="15" hidden="false" customHeight="false" outlineLevel="0" collapsed="false">
      <c r="A1710" s="2" t="n">
        <v>2083</v>
      </c>
      <c r="B1710" s="2" t="s">
        <v>8624</v>
      </c>
      <c r="C1710" s="2" t="s">
        <v>8670</v>
      </c>
      <c r="D1710" s="2" t="s">
        <v>134</v>
      </c>
      <c r="E1710" s="2" t="s">
        <v>8671</v>
      </c>
      <c r="F1710" s="2"/>
      <c r="G1710" s="2"/>
      <c r="H1710" s="2" t="s">
        <v>1233</v>
      </c>
      <c r="I1710" s="2" t="s">
        <v>172</v>
      </c>
      <c r="J1710" s="2" t="n">
        <v>-7.566</v>
      </c>
      <c r="K1710" s="2" t="n">
        <v>110.817</v>
      </c>
      <c r="L1710" s="2" t="s">
        <v>101</v>
      </c>
      <c r="M1710" s="2" t="s">
        <v>60</v>
      </c>
      <c r="N1710" s="2"/>
      <c r="O1710" s="2" t="s">
        <v>8672</v>
      </c>
      <c r="P1710" s="2"/>
      <c r="Q1710" s="2" t="s">
        <v>62</v>
      </c>
      <c r="R1710" s="2" t="n">
        <v>0.8</v>
      </c>
      <c r="S1710" s="2" t="s">
        <v>8673</v>
      </c>
      <c r="T1710" s="2" t="s">
        <v>64</v>
      </c>
      <c r="U1710" s="2" t="s">
        <v>8674</v>
      </c>
      <c r="V1710" s="2" t="s">
        <v>66</v>
      </c>
      <c r="W1710" s="2" t="s">
        <v>686</v>
      </c>
      <c r="X1710" s="2" t="s">
        <v>507</v>
      </c>
    </row>
    <row r="1711" customFormat="false" ht="15" hidden="false" customHeight="false" outlineLevel="0" collapsed="false">
      <c r="A1711" s="2" t="n">
        <v>2083</v>
      </c>
      <c r="B1711" s="2" t="s">
        <v>8624</v>
      </c>
      <c r="C1711" s="2" t="s">
        <v>3621</v>
      </c>
      <c r="D1711" s="2" t="s">
        <v>134</v>
      </c>
      <c r="E1711" s="2" t="s">
        <v>8675</v>
      </c>
      <c r="F1711" s="2" t="s">
        <v>3810</v>
      </c>
      <c r="G1711" s="2" t="s">
        <v>3642</v>
      </c>
      <c r="H1711" s="2" t="s">
        <v>1233</v>
      </c>
      <c r="I1711" s="2" t="s">
        <v>172</v>
      </c>
      <c r="J1711" s="2" t="n">
        <v>-7.569</v>
      </c>
      <c r="K1711" s="2" t="n">
        <v>110.8305</v>
      </c>
      <c r="L1711" s="2" t="s">
        <v>124</v>
      </c>
      <c r="M1711" s="2" t="s">
        <v>60</v>
      </c>
      <c r="N1711" s="2" t="s">
        <v>8676</v>
      </c>
      <c r="O1711" s="2" t="s">
        <v>8677</v>
      </c>
      <c r="P1711" s="2"/>
      <c r="Q1711" s="2" t="s">
        <v>62</v>
      </c>
      <c r="R1711" s="2" t="n">
        <v>0.8</v>
      </c>
      <c r="S1711" s="2" t="s">
        <v>8673</v>
      </c>
      <c r="T1711" s="2" t="s">
        <v>64</v>
      </c>
      <c r="U1711" s="2" t="s">
        <v>8674</v>
      </c>
      <c r="V1711" s="2" t="s">
        <v>66</v>
      </c>
      <c r="W1711" s="2" t="s">
        <v>686</v>
      </c>
      <c r="X1711" s="2" t="s">
        <v>507</v>
      </c>
    </row>
    <row r="1712" customFormat="false" ht="15" hidden="false" customHeight="false" outlineLevel="0" collapsed="false">
      <c r="A1712" s="2" t="n">
        <v>2084</v>
      </c>
      <c r="B1712" s="2" t="s">
        <v>8624</v>
      </c>
      <c r="C1712" s="2" t="s">
        <v>8678</v>
      </c>
      <c r="D1712" s="2" t="s">
        <v>53</v>
      </c>
      <c r="E1712" s="2" t="s">
        <v>8679</v>
      </c>
      <c r="F1712" s="2" t="s">
        <v>8680</v>
      </c>
      <c r="G1712" s="2" t="s">
        <v>3642</v>
      </c>
      <c r="H1712" s="2" t="s">
        <v>1233</v>
      </c>
      <c r="I1712" s="2" t="s">
        <v>172</v>
      </c>
      <c r="J1712" s="2" t="n">
        <v>-7.555</v>
      </c>
      <c r="K1712" s="2" t="n">
        <v>110.85</v>
      </c>
      <c r="L1712" s="2" t="s">
        <v>84</v>
      </c>
      <c r="M1712" s="2" t="s">
        <v>340</v>
      </c>
      <c r="N1712" s="2"/>
      <c r="O1712" s="2" t="s">
        <v>8681</v>
      </c>
      <c r="P1712" s="2"/>
      <c r="Q1712" s="2" t="s">
        <v>62</v>
      </c>
      <c r="R1712" s="2" t="n">
        <v>0.8</v>
      </c>
      <c r="S1712" s="2" t="s">
        <v>8682</v>
      </c>
      <c r="T1712" s="2" t="s">
        <v>1168</v>
      </c>
      <c r="U1712" s="2" t="s">
        <v>8683</v>
      </c>
      <c r="V1712" s="2" t="s">
        <v>189</v>
      </c>
      <c r="W1712" s="2" t="s">
        <v>512</v>
      </c>
      <c r="X1712" s="2" t="s">
        <v>507</v>
      </c>
    </row>
    <row r="1713" customFormat="false" ht="15" hidden="false" customHeight="false" outlineLevel="0" collapsed="false">
      <c r="A1713" s="2" t="n">
        <v>2084</v>
      </c>
      <c r="B1713" s="2" t="s">
        <v>8624</v>
      </c>
      <c r="C1713" s="2" t="s">
        <v>8684</v>
      </c>
      <c r="D1713" s="2" t="s">
        <v>53</v>
      </c>
      <c r="E1713" s="2" t="s">
        <v>8685</v>
      </c>
      <c r="F1713" s="2" t="s">
        <v>3618</v>
      </c>
      <c r="G1713" s="2" t="s">
        <v>3619</v>
      </c>
      <c r="H1713" s="2" t="s">
        <v>1233</v>
      </c>
      <c r="I1713" s="2" t="s">
        <v>172</v>
      </c>
      <c r="J1713" s="2" t="n">
        <v>-7.58</v>
      </c>
      <c r="K1713" s="2" t="n">
        <v>110.83</v>
      </c>
      <c r="L1713" s="2" t="s">
        <v>84</v>
      </c>
      <c r="M1713" s="2" t="s">
        <v>340</v>
      </c>
      <c r="N1713" s="2"/>
      <c r="O1713" s="2" t="s">
        <v>8686</v>
      </c>
      <c r="P1713" s="2"/>
      <c r="Q1713" s="2" t="s">
        <v>62</v>
      </c>
      <c r="R1713" s="2" t="n">
        <v>0.8</v>
      </c>
      <c r="S1713" s="2" t="s">
        <v>8682</v>
      </c>
      <c r="T1713" s="2" t="s">
        <v>1168</v>
      </c>
      <c r="U1713" s="2" t="s">
        <v>8683</v>
      </c>
      <c r="V1713" s="2" t="s">
        <v>189</v>
      </c>
      <c r="W1713" s="2" t="s">
        <v>512</v>
      </c>
      <c r="X1713" s="2" t="s">
        <v>507</v>
      </c>
    </row>
    <row r="1714" customFormat="false" ht="15" hidden="false" customHeight="false" outlineLevel="0" collapsed="false">
      <c r="A1714" s="2" t="n">
        <v>2084</v>
      </c>
      <c r="B1714" s="2" t="s">
        <v>8624</v>
      </c>
      <c r="C1714" s="2" t="s">
        <v>8687</v>
      </c>
      <c r="D1714" s="2" t="s">
        <v>53</v>
      </c>
      <c r="E1714" s="2" t="s">
        <v>8688</v>
      </c>
      <c r="F1714" s="2" t="s">
        <v>8689</v>
      </c>
      <c r="G1714" s="2" t="s">
        <v>1409</v>
      </c>
      <c r="H1714" s="2" t="s">
        <v>1233</v>
      </c>
      <c r="I1714" s="2" t="s">
        <v>172</v>
      </c>
      <c r="J1714" s="2" t="n">
        <v>-7.55</v>
      </c>
      <c r="K1714" s="2" t="n">
        <v>110.815</v>
      </c>
      <c r="L1714" s="2" t="s">
        <v>84</v>
      </c>
      <c r="M1714" s="2" t="s">
        <v>340</v>
      </c>
      <c r="N1714" s="2"/>
      <c r="O1714" s="2" t="s">
        <v>8690</v>
      </c>
      <c r="P1714" s="2"/>
      <c r="Q1714" s="2" t="s">
        <v>62</v>
      </c>
      <c r="R1714" s="2" t="n">
        <v>0.8</v>
      </c>
      <c r="S1714" s="2" t="s">
        <v>8682</v>
      </c>
      <c r="T1714" s="2" t="s">
        <v>1168</v>
      </c>
      <c r="U1714" s="2" t="s">
        <v>8683</v>
      </c>
      <c r="V1714" s="2" t="s">
        <v>189</v>
      </c>
      <c r="W1714" s="2" t="s">
        <v>512</v>
      </c>
      <c r="X1714" s="2" t="s">
        <v>507</v>
      </c>
    </row>
    <row r="1715" customFormat="false" ht="15" hidden="false" customHeight="false" outlineLevel="0" collapsed="false">
      <c r="A1715" s="2" t="n">
        <v>2086</v>
      </c>
      <c r="B1715" s="2" t="s">
        <v>8624</v>
      </c>
      <c r="C1715" s="2" t="s">
        <v>8691</v>
      </c>
      <c r="D1715" s="2" t="s">
        <v>53</v>
      </c>
      <c r="E1715" s="2" t="s">
        <v>8692</v>
      </c>
      <c r="F1715" s="2" t="s">
        <v>8693</v>
      </c>
      <c r="G1715" s="2" t="s">
        <v>1409</v>
      </c>
      <c r="H1715" s="2" t="s">
        <v>1233</v>
      </c>
      <c r="I1715" s="2" t="s">
        <v>172</v>
      </c>
      <c r="J1715" s="2" t="n">
        <v>-7.55</v>
      </c>
      <c r="K1715" s="2" t="n">
        <v>110.815</v>
      </c>
      <c r="L1715" s="2" t="s">
        <v>84</v>
      </c>
      <c r="M1715" s="2" t="s">
        <v>340</v>
      </c>
      <c r="N1715" s="2"/>
      <c r="O1715" s="2" t="s">
        <v>8694</v>
      </c>
      <c r="P1715" s="2"/>
      <c r="Q1715" s="2" t="s">
        <v>62</v>
      </c>
      <c r="R1715" s="2" t="n">
        <v>0.75</v>
      </c>
      <c r="S1715" s="2" t="s">
        <v>8695</v>
      </c>
      <c r="T1715" s="2" t="s">
        <v>1168</v>
      </c>
      <c r="U1715" s="2" t="s">
        <v>8696</v>
      </c>
      <c r="V1715" s="2" t="s">
        <v>114</v>
      </c>
      <c r="W1715" s="2" t="s">
        <v>1614</v>
      </c>
      <c r="X1715" s="2" t="s">
        <v>507</v>
      </c>
    </row>
    <row r="1716" customFormat="false" ht="15" hidden="false" customHeight="false" outlineLevel="0" collapsed="false">
      <c r="A1716" s="2" t="n">
        <v>2086</v>
      </c>
      <c r="B1716" s="2" t="s">
        <v>8624</v>
      </c>
      <c r="C1716" s="2" t="s">
        <v>8697</v>
      </c>
      <c r="D1716" s="2" t="s">
        <v>53</v>
      </c>
      <c r="E1716" s="2" t="s">
        <v>8698</v>
      </c>
      <c r="F1716" s="2"/>
      <c r="G1716" s="2" t="s">
        <v>1409</v>
      </c>
      <c r="H1716" s="2" t="s">
        <v>1233</v>
      </c>
      <c r="I1716" s="2" t="s">
        <v>172</v>
      </c>
      <c r="J1716" s="2" t="n">
        <v>-7.55</v>
      </c>
      <c r="K1716" s="2" t="n">
        <v>110.815</v>
      </c>
      <c r="L1716" s="2" t="s">
        <v>84</v>
      </c>
      <c r="M1716" s="2" t="s">
        <v>60</v>
      </c>
      <c r="N1716" s="2"/>
      <c r="O1716" s="2" t="s">
        <v>8699</v>
      </c>
      <c r="P1716" s="2"/>
      <c r="Q1716" s="2" t="s">
        <v>62</v>
      </c>
      <c r="R1716" s="2" t="n">
        <v>0.75</v>
      </c>
      <c r="S1716" s="2" t="s">
        <v>8695</v>
      </c>
      <c r="T1716" s="2" t="s">
        <v>1168</v>
      </c>
      <c r="U1716" s="2" t="s">
        <v>8696</v>
      </c>
      <c r="V1716" s="2" t="s">
        <v>114</v>
      </c>
      <c r="W1716" s="2" t="s">
        <v>1614</v>
      </c>
      <c r="X1716" s="2" t="s">
        <v>507</v>
      </c>
    </row>
    <row r="1717" customFormat="false" ht="15" hidden="false" customHeight="false" outlineLevel="0" collapsed="false">
      <c r="A1717" s="2" t="n">
        <v>2086</v>
      </c>
      <c r="B1717" s="2" t="s">
        <v>8624</v>
      </c>
      <c r="C1717" s="2" t="s">
        <v>8700</v>
      </c>
      <c r="D1717" s="2" t="s">
        <v>53</v>
      </c>
      <c r="E1717" s="2" t="s">
        <v>8701</v>
      </c>
      <c r="F1717" s="2" t="s">
        <v>8702</v>
      </c>
      <c r="G1717" s="2" t="s">
        <v>1409</v>
      </c>
      <c r="H1717" s="2" t="s">
        <v>1233</v>
      </c>
      <c r="I1717" s="2" t="s">
        <v>172</v>
      </c>
      <c r="J1717" s="2" t="n">
        <v>-7.55</v>
      </c>
      <c r="K1717" s="2" t="n">
        <v>110.815</v>
      </c>
      <c r="L1717" s="2" t="s">
        <v>84</v>
      </c>
      <c r="M1717" s="2" t="s">
        <v>60</v>
      </c>
      <c r="N1717" s="2"/>
      <c r="O1717" s="2" t="s">
        <v>8703</v>
      </c>
      <c r="P1717" s="2"/>
      <c r="Q1717" s="2" t="s">
        <v>62</v>
      </c>
      <c r="R1717" s="2" t="n">
        <v>0.75</v>
      </c>
      <c r="S1717" s="2" t="s">
        <v>8695</v>
      </c>
      <c r="T1717" s="2" t="s">
        <v>1168</v>
      </c>
      <c r="U1717" s="2" t="s">
        <v>8696</v>
      </c>
      <c r="V1717" s="2" t="s">
        <v>114</v>
      </c>
      <c r="W1717" s="2" t="s">
        <v>1614</v>
      </c>
      <c r="X1717" s="2" t="s">
        <v>507</v>
      </c>
    </row>
    <row r="1718" customFormat="false" ht="15" hidden="false" customHeight="false" outlineLevel="0" collapsed="false">
      <c r="A1718" s="2" t="n">
        <v>2087</v>
      </c>
      <c r="B1718" s="2" t="s">
        <v>8624</v>
      </c>
      <c r="C1718" s="2" t="s">
        <v>8704</v>
      </c>
      <c r="D1718" s="2" t="s">
        <v>53</v>
      </c>
      <c r="E1718" s="2" t="s">
        <v>8705</v>
      </c>
      <c r="F1718" s="2"/>
      <c r="G1718" s="2"/>
      <c r="H1718" s="2" t="s">
        <v>1233</v>
      </c>
      <c r="I1718" s="2" t="s">
        <v>172</v>
      </c>
      <c r="J1718" s="2" t="n">
        <v>-7.566</v>
      </c>
      <c r="K1718" s="2" t="n">
        <v>110.817</v>
      </c>
      <c r="L1718" s="2" t="s">
        <v>101</v>
      </c>
      <c r="M1718" s="2" t="s">
        <v>340</v>
      </c>
      <c r="N1718" s="2"/>
      <c r="O1718" s="2" t="s">
        <v>8706</v>
      </c>
      <c r="P1718" s="2"/>
      <c r="Q1718" s="2" t="s">
        <v>62</v>
      </c>
      <c r="R1718" s="2" t="n">
        <v>0.75</v>
      </c>
      <c r="S1718" s="2" t="s">
        <v>8707</v>
      </c>
      <c r="T1718" s="2" t="s">
        <v>176</v>
      </c>
      <c r="U1718" s="2" t="s">
        <v>8708</v>
      </c>
      <c r="V1718" s="2" t="s">
        <v>1866</v>
      </c>
      <c r="W1718" s="2" t="s">
        <v>262</v>
      </c>
      <c r="X1718" s="2" t="s">
        <v>507</v>
      </c>
    </row>
    <row r="1719" customFormat="false" ht="15" hidden="false" customHeight="false" outlineLevel="0" collapsed="false">
      <c r="A1719" s="2" t="n">
        <v>2087</v>
      </c>
      <c r="B1719" s="2" t="s">
        <v>8624</v>
      </c>
      <c r="C1719" s="2" t="s">
        <v>8709</v>
      </c>
      <c r="D1719" s="2" t="s">
        <v>53</v>
      </c>
      <c r="E1719" s="2" t="s">
        <v>8710</v>
      </c>
      <c r="F1719" s="2"/>
      <c r="G1719" s="2"/>
      <c r="H1719" s="2" t="s">
        <v>1233</v>
      </c>
      <c r="I1719" s="2" t="s">
        <v>172</v>
      </c>
      <c r="J1719" s="2" t="n">
        <v>-7.566</v>
      </c>
      <c r="K1719" s="2" t="n">
        <v>110.817</v>
      </c>
      <c r="L1719" s="2" t="s">
        <v>101</v>
      </c>
      <c r="M1719" s="2" t="s">
        <v>340</v>
      </c>
      <c r="N1719" s="2"/>
      <c r="O1719" s="2" t="s">
        <v>8711</v>
      </c>
      <c r="P1719" s="2"/>
      <c r="Q1719" s="2" t="s">
        <v>62</v>
      </c>
      <c r="R1719" s="2" t="n">
        <v>0.7</v>
      </c>
      <c r="S1719" s="2" t="s">
        <v>8707</v>
      </c>
      <c r="T1719" s="2" t="s">
        <v>176</v>
      </c>
      <c r="U1719" s="2" t="s">
        <v>8708</v>
      </c>
      <c r="V1719" s="2" t="s">
        <v>1866</v>
      </c>
      <c r="W1719" s="2" t="s">
        <v>262</v>
      </c>
      <c r="X1719" s="2" t="s">
        <v>507</v>
      </c>
    </row>
    <row r="1720" customFormat="false" ht="15" hidden="false" customHeight="false" outlineLevel="0" collapsed="false">
      <c r="A1720" s="2" t="n">
        <v>2088</v>
      </c>
      <c r="B1720" s="2" t="s">
        <v>8624</v>
      </c>
      <c r="C1720" s="2" t="s">
        <v>3610</v>
      </c>
      <c r="D1720" s="2" t="s">
        <v>53</v>
      </c>
      <c r="E1720" s="2" t="s">
        <v>3622</v>
      </c>
      <c r="F1720" s="2"/>
      <c r="G1720" s="2"/>
      <c r="H1720" s="2" t="s">
        <v>1233</v>
      </c>
      <c r="I1720" s="2" t="s">
        <v>172</v>
      </c>
      <c r="J1720" s="2" t="n">
        <v>-7.566</v>
      </c>
      <c r="K1720" s="2" t="n">
        <v>110.817</v>
      </c>
      <c r="L1720" s="2" t="s">
        <v>101</v>
      </c>
      <c r="M1720" s="2" t="s">
        <v>340</v>
      </c>
      <c r="N1720" s="2"/>
      <c r="O1720" s="2" t="s">
        <v>8712</v>
      </c>
      <c r="P1720" s="2"/>
      <c r="Q1720" s="2" t="s">
        <v>62</v>
      </c>
      <c r="R1720" s="2" t="n">
        <v>0.55</v>
      </c>
      <c r="S1720" s="2" t="s">
        <v>8713</v>
      </c>
      <c r="T1720" s="2" t="s">
        <v>176</v>
      </c>
      <c r="U1720" s="2" t="s">
        <v>8714</v>
      </c>
      <c r="V1720" s="2" t="s">
        <v>420</v>
      </c>
      <c r="W1720" s="2" t="s">
        <v>67</v>
      </c>
      <c r="X1720" s="2" t="s">
        <v>507</v>
      </c>
    </row>
    <row r="1721" customFormat="false" ht="15" hidden="false" customHeight="false" outlineLevel="0" collapsed="false">
      <c r="A1721" s="2" t="n">
        <v>2089</v>
      </c>
      <c r="B1721" s="2" t="s">
        <v>8624</v>
      </c>
      <c r="C1721" s="2" t="s">
        <v>8665</v>
      </c>
      <c r="D1721" s="2" t="s">
        <v>410</v>
      </c>
      <c r="E1721" s="2" t="s">
        <v>8715</v>
      </c>
      <c r="F1721" s="2" t="s">
        <v>3795</v>
      </c>
      <c r="G1721" s="2" t="s">
        <v>3796</v>
      </c>
      <c r="H1721" s="2" t="s">
        <v>1233</v>
      </c>
      <c r="I1721" s="2" t="s">
        <v>172</v>
      </c>
      <c r="J1721" s="2" t="n">
        <v>-7.568</v>
      </c>
      <c r="K1721" s="2" t="n">
        <v>110.813</v>
      </c>
      <c r="L1721" s="2" t="s">
        <v>59</v>
      </c>
      <c r="M1721" s="2" t="s">
        <v>60</v>
      </c>
      <c r="N1721" s="2"/>
      <c r="O1721" s="2" t="s">
        <v>8716</v>
      </c>
      <c r="P1721" s="2" t="s">
        <v>5451</v>
      </c>
      <c r="Q1721" s="2" t="s">
        <v>110</v>
      </c>
      <c r="R1721" s="2" t="n">
        <v>0.6</v>
      </c>
      <c r="S1721" s="2" t="s">
        <v>8717</v>
      </c>
      <c r="T1721" s="2" t="s">
        <v>694</v>
      </c>
      <c r="U1721" s="2" t="s">
        <v>8718</v>
      </c>
      <c r="V1721" s="2" t="s">
        <v>745</v>
      </c>
      <c r="W1721" s="2" t="s">
        <v>262</v>
      </c>
      <c r="X1721" s="2" t="s">
        <v>507</v>
      </c>
    </row>
    <row r="1722" customFormat="false" ht="15" hidden="false" customHeight="false" outlineLevel="0" collapsed="false">
      <c r="A1722" s="2" t="n">
        <v>2090</v>
      </c>
      <c r="B1722" s="2" t="s">
        <v>8624</v>
      </c>
      <c r="C1722" s="2" t="s">
        <v>8719</v>
      </c>
      <c r="D1722" s="2" t="s">
        <v>1140</v>
      </c>
      <c r="E1722" s="2" t="s">
        <v>8720</v>
      </c>
      <c r="F1722" s="2" t="s">
        <v>8721</v>
      </c>
      <c r="G1722" s="2" t="s">
        <v>8722</v>
      </c>
      <c r="H1722" s="2" t="s">
        <v>3717</v>
      </c>
      <c r="I1722" s="2" t="s">
        <v>172</v>
      </c>
      <c r="J1722" s="2" t="n">
        <v>-7.555</v>
      </c>
      <c r="K1722" s="2" t="n">
        <v>110.745</v>
      </c>
      <c r="L1722" s="2" t="s">
        <v>84</v>
      </c>
      <c r="M1722" s="2" t="s">
        <v>60</v>
      </c>
      <c r="N1722" s="2" t="s">
        <v>8723</v>
      </c>
      <c r="O1722" s="2" t="s">
        <v>8724</v>
      </c>
      <c r="P1722" s="2"/>
      <c r="Q1722" s="2" t="s">
        <v>110</v>
      </c>
      <c r="R1722" s="2" t="n">
        <v>0.85</v>
      </c>
      <c r="S1722" s="2" t="s">
        <v>8725</v>
      </c>
      <c r="T1722" s="2" t="s">
        <v>1168</v>
      </c>
      <c r="U1722" s="2" t="s">
        <v>8726</v>
      </c>
      <c r="V1722" s="2" t="s">
        <v>5387</v>
      </c>
      <c r="W1722" s="2" t="s">
        <v>945</v>
      </c>
      <c r="X1722" s="2" t="s">
        <v>507</v>
      </c>
    </row>
    <row r="1723" customFormat="false" ht="15" hidden="false" customHeight="false" outlineLevel="0" collapsed="false">
      <c r="A1723" s="2" t="n">
        <v>2092</v>
      </c>
      <c r="B1723" s="2" t="s">
        <v>8624</v>
      </c>
      <c r="C1723" s="2" t="s">
        <v>8727</v>
      </c>
      <c r="D1723" s="2" t="s">
        <v>1130</v>
      </c>
      <c r="E1723" s="2" t="s">
        <v>3622</v>
      </c>
      <c r="F1723" s="2" t="s">
        <v>8728</v>
      </c>
      <c r="G1723" s="2" t="s">
        <v>8729</v>
      </c>
      <c r="H1723" s="2" t="s">
        <v>8730</v>
      </c>
      <c r="I1723" s="2" t="s">
        <v>172</v>
      </c>
      <c r="J1723" s="2" t="n">
        <v>-7.5336</v>
      </c>
      <c r="K1723" s="2" t="n">
        <v>110.7494</v>
      </c>
      <c r="L1723" s="2" t="s">
        <v>124</v>
      </c>
      <c r="M1723" s="2" t="s">
        <v>1822</v>
      </c>
      <c r="N1723" s="2" t="s">
        <v>8731</v>
      </c>
      <c r="O1723" s="2" t="s">
        <v>8732</v>
      </c>
      <c r="P1723" s="2"/>
      <c r="Q1723" s="2" t="s">
        <v>62</v>
      </c>
      <c r="R1723" s="2" t="n">
        <v>0.8</v>
      </c>
      <c r="S1723" s="2" t="s">
        <v>8733</v>
      </c>
      <c r="T1723" s="2" t="s">
        <v>243</v>
      </c>
      <c r="U1723" s="2" t="s">
        <v>8734</v>
      </c>
      <c r="V1723" s="2" t="s">
        <v>8735</v>
      </c>
      <c r="W1723" s="2" t="s">
        <v>5570</v>
      </c>
      <c r="X1723" s="2" t="s">
        <v>507</v>
      </c>
    </row>
    <row r="1724" customFormat="false" ht="15" hidden="false" customHeight="false" outlineLevel="0" collapsed="false">
      <c r="A1724" s="2" t="n">
        <v>2092</v>
      </c>
      <c r="B1724" s="2" t="s">
        <v>8624</v>
      </c>
      <c r="C1724" s="2" t="s">
        <v>8736</v>
      </c>
      <c r="D1724" s="2" t="s">
        <v>1130</v>
      </c>
      <c r="E1724" s="2" t="s">
        <v>3622</v>
      </c>
      <c r="F1724" s="2" t="s">
        <v>3795</v>
      </c>
      <c r="G1724" s="2" t="s">
        <v>3796</v>
      </c>
      <c r="H1724" s="2" t="s">
        <v>1233</v>
      </c>
      <c r="I1724" s="2" t="s">
        <v>172</v>
      </c>
      <c r="J1724" s="2" t="n">
        <v>-7.565</v>
      </c>
      <c r="K1724" s="2" t="n">
        <v>110.795</v>
      </c>
      <c r="L1724" s="2" t="s">
        <v>84</v>
      </c>
      <c r="M1724" s="2" t="s">
        <v>60</v>
      </c>
      <c r="N1724" s="2"/>
      <c r="O1724" s="2" t="s">
        <v>8737</v>
      </c>
      <c r="P1724" s="2"/>
      <c r="Q1724" s="2" t="s">
        <v>62</v>
      </c>
      <c r="R1724" s="2" t="n">
        <v>0.8</v>
      </c>
      <c r="S1724" s="2" t="s">
        <v>8733</v>
      </c>
      <c r="T1724" s="2" t="s">
        <v>243</v>
      </c>
      <c r="U1724" s="2" t="s">
        <v>8734</v>
      </c>
      <c r="V1724" s="2" t="s">
        <v>8735</v>
      </c>
      <c r="W1724" s="2" t="s">
        <v>5570</v>
      </c>
      <c r="X1724" s="2" t="s">
        <v>507</v>
      </c>
    </row>
    <row r="1725" customFormat="false" ht="15" hidden="false" customHeight="false" outlineLevel="0" collapsed="false">
      <c r="A1725" s="2" t="n">
        <v>2094</v>
      </c>
      <c r="B1725" s="2" t="s">
        <v>8624</v>
      </c>
      <c r="C1725" s="2" t="s">
        <v>3750</v>
      </c>
      <c r="D1725" s="2" t="s">
        <v>1140</v>
      </c>
      <c r="E1725" s="2" t="s">
        <v>8738</v>
      </c>
      <c r="F1725" s="2" t="s">
        <v>3642</v>
      </c>
      <c r="G1725" s="2" t="s">
        <v>3642</v>
      </c>
      <c r="H1725" s="2" t="s">
        <v>1233</v>
      </c>
      <c r="I1725" s="2" t="s">
        <v>172</v>
      </c>
      <c r="J1725" s="2" t="n">
        <v>-7.565</v>
      </c>
      <c r="K1725" s="2" t="n">
        <v>110.859</v>
      </c>
      <c r="L1725" s="2" t="s">
        <v>124</v>
      </c>
      <c r="M1725" s="2" t="s">
        <v>340</v>
      </c>
      <c r="N1725" s="2" t="s">
        <v>8739</v>
      </c>
      <c r="O1725" s="2" t="s">
        <v>8740</v>
      </c>
      <c r="P1725" s="2"/>
      <c r="Q1725" s="2" t="s">
        <v>110</v>
      </c>
      <c r="R1725" s="2" t="n">
        <v>0.85</v>
      </c>
      <c r="S1725" s="2" t="s">
        <v>8741</v>
      </c>
      <c r="T1725" s="2" t="s">
        <v>1168</v>
      </c>
      <c r="U1725" s="2" t="s">
        <v>8742</v>
      </c>
      <c r="V1725" s="2" t="s">
        <v>965</v>
      </c>
      <c r="W1725" s="2" t="s">
        <v>1648</v>
      </c>
      <c r="X1725" s="2" t="s">
        <v>160</v>
      </c>
    </row>
    <row r="1726" customFormat="false" ht="15" hidden="false" customHeight="false" outlineLevel="0" collapsed="false">
      <c r="A1726" s="2" t="n">
        <v>2095</v>
      </c>
      <c r="B1726" s="2" t="s">
        <v>8624</v>
      </c>
      <c r="C1726" s="2" t="s">
        <v>1430</v>
      </c>
      <c r="D1726" s="2" t="s">
        <v>1130</v>
      </c>
      <c r="E1726" s="2" t="s">
        <v>1431</v>
      </c>
      <c r="F1726" s="2"/>
      <c r="G1726" s="2"/>
      <c r="H1726" s="2" t="s">
        <v>1233</v>
      </c>
      <c r="I1726" s="2" t="s">
        <v>172</v>
      </c>
      <c r="J1726" s="2" t="n">
        <v>-7.567</v>
      </c>
      <c r="K1726" s="2" t="n">
        <v>110.817</v>
      </c>
      <c r="L1726" s="2" t="s">
        <v>101</v>
      </c>
      <c r="M1726" s="2" t="s">
        <v>60</v>
      </c>
      <c r="N1726" s="2"/>
      <c r="O1726" s="2" t="s">
        <v>8743</v>
      </c>
      <c r="P1726" s="2" t="s">
        <v>8744</v>
      </c>
      <c r="Q1726" s="2" t="s">
        <v>62</v>
      </c>
      <c r="R1726" s="2" t="n">
        <v>0.55</v>
      </c>
      <c r="S1726" s="2" t="s">
        <v>8745</v>
      </c>
      <c r="T1726" s="2" t="s">
        <v>803</v>
      </c>
      <c r="U1726" s="2" t="s">
        <v>8746</v>
      </c>
      <c r="V1726" s="2" t="s">
        <v>6500</v>
      </c>
      <c r="W1726" s="2" t="s">
        <v>370</v>
      </c>
      <c r="X1726" s="2" t="s">
        <v>507</v>
      </c>
    </row>
    <row r="1727" customFormat="false" ht="15" hidden="false" customHeight="false" outlineLevel="0" collapsed="false">
      <c r="A1727" s="2" t="n">
        <v>2096</v>
      </c>
      <c r="B1727" s="2" t="s">
        <v>8624</v>
      </c>
      <c r="C1727" s="2" t="s">
        <v>1430</v>
      </c>
      <c r="D1727" s="2" t="s">
        <v>1130</v>
      </c>
      <c r="E1727" s="2" t="s">
        <v>1431</v>
      </c>
      <c r="F1727" s="2"/>
      <c r="G1727" s="2"/>
      <c r="H1727" s="2" t="s">
        <v>1233</v>
      </c>
      <c r="I1727" s="2" t="s">
        <v>172</v>
      </c>
      <c r="J1727" s="2" t="n">
        <v>-7.567</v>
      </c>
      <c r="K1727" s="2" t="n">
        <v>110.817</v>
      </c>
      <c r="L1727" s="2" t="s">
        <v>101</v>
      </c>
      <c r="M1727" s="2" t="s">
        <v>60</v>
      </c>
      <c r="N1727" s="2"/>
      <c r="O1727" s="2" t="s">
        <v>8747</v>
      </c>
      <c r="P1727" s="2" t="s">
        <v>3268</v>
      </c>
      <c r="Q1727" s="2" t="s">
        <v>110</v>
      </c>
      <c r="R1727" s="2" t="n">
        <v>0.8</v>
      </c>
      <c r="S1727" s="2" t="s">
        <v>8748</v>
      </c>
      <c r="T1727" s="2" t="s">
        <v>7052</v>
      </c>
      <c r="U1727" s="2" t="s">
        <v>8749</v>
      </c>
      <c r="V1727" s="2" t="s">
        <v>8750</v>
      </c>
      <c r="W1727" s="2" t="s">
        <v>1793</v>
      </c>
      <c r="X1727" s="2" t="s">
        <v>507</v>
      </c>
    </row>
    <row r="1728" customFormat="false" ht="15" hidden="false" customHeight="false" outlineLevel="0" collapsed="false">
      <c r="A1728" s="2" t="n">
        <v>2097</v>
      </c>
      <c r="B1728" s="2" t="s">
        <v>8624</v>
      </c>
      <c r="C1728" s="2" t="s">
        <v>1430</v>
      </c>
      <c r="D1728" s="2" t="s">
        <v>1130</v>
      </c>
      <c r="E1728" s="2" t="s">
        <v>8751</v>
      </c>
      <c r="F1728" s="2"/>
      <c r="G1728" s="2" t="s">
        <v>3642</v>
      </c>
      <c r="H1728" s="2" t="s">
        <v>1233</v>
      </c>
      <c r="I1728" s="2" t="s">
        <v>172</v>
      </c>
      <c r="J1728" s="2" t="n">
        <v>-7.555</v>
      </c>
      <c r="K1728" s="2" t="n">
        <v>110.85</v>
      </c>
      <c r="L1728" s="2" t="s">
        <v>84</v>
      </c>
      <c r="M1728" s="2" t="s">
        <v>60</v>
      </c>
      <c r="N1728" s="2" t="s">
        <v>8752</v>
      </c>
      <c r="O1728" s="2" t="s">
        <v>8753</v>
      </c>
      <c r="P1728" s="2" t="s">
        <v>3268</v>
      </c>
      <c r="Q1728" s="2" t="s">
        <v>62</v>
      </c>
      <c r="R1728" s="2" t="n">
        <v>0.85</v>
      </c>
      <c r="S1728" s="2" t="s">
        <v>8754</v>
      </c>
      <c r="T1728" s="2" t="s">
        <v>1168</v>
      </c>
      <c r="U1728" s="2" t="s">
        <v>8755</v>
      </c>
      <c r="V1728" s="2" t="s">
        <v>745</v>
      </c>
      <c r="W1728" s="2" t="s">
        <v>1793</v>
      </c>
      <c r="X1728" s="2" t="s">
        <v>507</v>
      </c>
    </row>
    <row r="1729" customFormat="false" ht="15" hidden="false" customHeight="false" outlineLevel="0" collapsed="false">
      <c r="A1729" s="2" t="n">
        <v>2098</v>
      </c>
      <c r="B1729" s="2" t="s">
        <v>8624</v>
      </c>
      <c r="C1729" s="2" t="s">
        <v>8756</v>
      </c>
      <c r="D1729" s="2" t="s">
        <v>1130</v>
      </c>
      <c r="E1729" s="2" t="s">
        <v>8757</v>
      </c>
      <c r="F1729" s="2"/>
      <c r="G1729" s="2" t="s">
        <v>3642</v>
      </c>
      <c r="H1729" s="2" t="s">
        <v>1233</v>
      </c>
      <c r="I1729" s="2" t="s">
        <v>172</v>
      </c>
      <c r="J1729" s="2" t="n">
        <v>-7.555</v>
      </c>
      <c r="K1729" s="2" t="n">
        <v>110.85</v>
      </c>
      <c r="L1729" s="2" t="s">
        <v>84</v>
      </c>
      <c r="M1729" s="2" t="s">
        <v>60</v>
      </c>
      <c r="N1729" s="2"/>
      <c r="O1729" s="2" t="s">
        <v>8758</v>
      </c>
      <c r="P1729" s="2" t="s">
        <v>8759</v>
      </c>
      <c r="Q1729" s="2" t="s">
        <v>62</v>
      </c>
      <c r="R1729" s="2" t="n">
        <v>0.85</v>
      </c>
      <c r="S1729" s="2" t="s">
        <v>8760</v>
      </c>
      <c r="T1729" s="2" t="s">
        <v>6816</v>
      </c>
      <c r="U1729" s="2" t="s">
        <v>8761</v>
      </c>
      <c r="V1729" s="2" t="s">
        <v>8762</v>
      </c>
      <c r="W1729" s="2" t="s">
        <v>3469</v>
      </c>
      <c r="X1729" s="2" t="s">
        <v>507</v>
      </c>
    </row>
    <row r="1730" customFormat="false" ht="15" hidden="false" customHeight="false" outlineLevel="0" collapsed="false">
      <c r="A1730" s="2" t="n">
        <v>2103</v>
      </c>
      <c r="B1730" s="2" t="s">
        <v>8763</v>
      </c>
      <c r="C1730" s="2" t="s">
        <v>8764</v>
      </c>
      <c r="D1730" s="2" t="s">
        <v>134</v>
      </c>
      <c r="E1730" s="2" t="s">
        <v>3622</v>
      </c>
      <c r="F1730" s="2"/>
      <c r="G1730" s="2"/>
      <c r="H1730" s="2" t="s">
        <v>1233</v>
      </c>
      <c r="I1730" s="2" t="s">
        <v>172</v>
      </c>
      <c r="J1730" s="2" t="n">
        <v>-7.566</v>
      </c>
      <c r="K1730" s="2" t="n">
        <v>110.817</v>
      </c>
      <c r="L1730" s="2" t="s">
        <v>101</v>
      </c>
      <c r="M1730" s="2" t="s">
        <v>340</v>
      </c>
      <c r="N1730" s="2"/>
      <c r="O1730" s="2" t="s">
        <v>8765</v>
      </c>
      <c r="P1730" s="2"/>
      <c r="Q1730" s="2" t="s">
        <v>62</v>
      </c>
      <c r="R1730" s="2" t="n">
        <v>0.7</v>
      </c>
      <c r="S1730" s="2" t="s">
        <v>8766</v>
      </c>
      <c r="T1730" s="2" t="s">
        <v>743</v>
      </c>
      <c r="U1730" s="2" t="s">
        <v>8767</v>
      </c>
      <c r="V1730" s="2" t="s">
        <v>4386</v>
      </c>
      <c r="W1730" s="2" t="s">
        <v>3646</v>
      </c>
      <c r="X1730" s="2" t="s">
        <v>507</v>
      </c>
    </row>
    <row r="1731" customFormat="false" ht="15" hidden="false" customHeight="false" outlineLevel="0" collapsed="false">
      <c r="A1731" s="2" t="n">
        <v>2104</v>
      </c>
      <c r="B1731" s="2" t="s">
        <v>8763</v>
      </c>
      <c r="C1731" s="2" t="s">
        <v>8670</v>
      </c>
      <c r="D1731" s="2" t="s">
        <v>134</v>
      </c>
      <c r="E1731" s="2" t="s">
        <v>3622</v>
      </c>
      <c r="F1731" s="2"/>
      <c r="G1731" s="2"/>
      <c r="H1731" s="2" t="s">
        <v>1233</v>
      </c>
      <c r="I1731" s="2" t="s">
        <v>172</v>
      </c>
      <c r="J1731" s="2" t="n">
        <v>-7.566</v>
      </c>
      <c r="K1731" s="2" t="n">
        <v>110.817</v>
      </c>
      <c r="L1731" s="2" t="s">
        <v>101</v>
      </c>
      <c r="M1731" s="2" t="s">
        <v>340</v>
      </c>
      <c r="N1731" s="2"/>
      <c r="O1731" s="2" t="s">
        <v>8768</v>
      </c>
      <c r="P1731" s="2"/>
      <c r="Q1731" s="2" t="s">
        <v>62</v>
      </c>
      <c r="R1731" s="2" t="n">
        <v>0.75</v>
      </c>
      <c r="S1731" s="2" t="s">
        <v>8769</v>
      </c>
      <c r="T1731" s="2" t="s">
        <v>915</v>
      </c>
      <c r="U1731" s="2" t="s">
        <v>8770</v>
      </c>
      <c r="V1731" s="2" t="s">
        <v>6559</v>
      </c>
      <c r="W1731" s="2" t="s">
        <v>1092</v>
      </c>
      <c r="X1731" s="2" t="s">
        <v>507</v>
      </c>
    </row>
    <row r="1732" customFormat="false" ht="15" hidden="false" customHeight="false" outlineLevel="0" collapsed="false">
      <c r="A1732" s="2" t="n">
        <v>2104</v>
      </c>
      <c r="B1732" s="2" t="s">
        <v>8763</v>
      </c>
      <c r="C1732" s="2" t="s">
        <v>8771</v>
      </c>
      <c r="D1732" s="2" t="s">
        <v>351</v>
      </c>
      <c r="E1732" s="2" t="s">
        <v>3622</v>
      </c>
      <c r="F1732" s="2"/>
      <c r="G1732" s="2"/>
      <c r="H1732" s="2" t="s">
        <v>1233</v>
      </c>
      <c r="I1732" s="2" t="s">
        <v>172</v>
      </c>
      <c r="J1732" s="2" t="n">
        <v>-7.566</v>
      </c>
      <c r="K1732" s="2" t="n">
        <v>110.817</v>
      </c>
      <c r="L1732" s="2" t="s">
        <v>101</v>
      </c>
      <c r="M1732" s="2" t="s">
        <v>340</v>
      </c>
      <c r="N1732" s="2"/>
      <c r="O1732" s="2" t="s">
        <v>8772</v>
      </c>
      <c r="P1732" s="2"/>
      <c r="Q1732" s="2" t="s">
        <v>62</v>
      </c>
      <c r="R1732" s="2" t="n">
        <v>0.55</v>
      </c>
      <c r="S1732" s="2" t="s">
        <v>8769</v>
      </c>
      <c r="T1732" s="2" t="s">
        <v>915</v>
      </c>
      <c r="U1732" s="2" t="s">
        <v>8770</v>
      </c>
      <c r="V1732" s="2" t="s">
        <v>6559</v>
      </c>
      <c r="W1732" s="2" t="s">
        <v>1092</v>
      </c>
      <c r="X1732" s="2" t="s">
        <v>507</v>
      </c>
    </row>
    <row r="1733" customFormat="false" ht="15" hidden="false" customHeight="false" outlineLevel="0" collapsed="false">
      <c r="A1733" s="2" t="n">
        <v>2104</v>
      </c>
      <c r="B1733" s="2" t="s">
        <v>8763</v>
      </c>
      <c r="C1733" s="2" t="s">
        <v>8773</v>
      </c>
      <c r="D1733" s="2" t="s">
        <v>351</v>
      </c>
      <c r="E1733" s="2" t="s">
        <v>8774</v>
      </c>
      <c r="F1733" s="2" t="s">
        <v>8775</v>
      </c>
      <c r="G1733" s="2" t="s">
        <v>3642</v>
      </c>
      <c r="H1733" s="2" t="s">
        <v>1233</v>
      </c>
      <c r="I1733" s="2" t="s">
        <v>172</v>
      </c>
      <c r="J1733" s="2" t="n">
        <v>-7.555</v>
      </c>
      <c r="K1733" s="2" t="n">
        <v>110.85</v>
      </c>
      <c r="L1733" s="2" t="s">
        <v>84</v>
      </c>
      <c r="M1733" s="2" t="s">
        <v>60</v>
      </c>
      <c r="N1733" s="2"/>
      <c r="O1733" s="2" t="s">
        <v>8776</v>
      </c>
      <c r="P1733" s="2"/>
      <c r="Q1733" s="2" t="s">
        <v>62</v>
      </c>
      <c r="R1733" s="2" t="n">
        <v>0.55</v>
      </c>
      <c r="S1733" s="2" t="s">
        <v>8769</v>
      </c>
      <c r="T1733" s="2" t="s">
        <v>915</v>
      </c>
      <c r="U1733" s="2" t="s">
        <v>8770</v>
      </c>
      <c r="V1733" s="2" t="s">
        <v>6559</v>
      </c>
      <c r="W1733" s="2" t="s">
        <v>1092</v>
      </c>
      <c r="X1733" s="2" t="s">
        <v>507</v>
      </c>
    </row>
    <row r="1734" customFormat="false" ht="15" hidden="false" customHeight="false" outlineLevel="0" collapsed="false">
      <c r="A1734" s="2" t="n">
        <v>2104</v>
      </c>
      <c r="B1734" s="2" t="s">
        <v>8763</v>
      </c>
      <c r="C1734" s="2" t="s">
        <v>8777</v>
      </c>
      <c r="D1734" s="2" t="s">
        <v>134</v>
      </c>
      <c r="E1734" s="2" t="s">
        <v>3622</v>
      </c>
      <c r="F1734" s="2"/>
      <c r="G1734" s="2" t="s">
        <v>3642</v>
      </c>
      <c r="H1734" s="2" t="s">
        <v>1233</v>
      </c>
      <c r="I1734" s="2" t="s">
        <v>172</v>
      </c>
      <c r="J1734" s="2" t="n">
        <v>-7.555</v>
      </c>
      <c r="K1734" s="2" t="n">
        <v>110.85</v>
      </c>
      <c r="L1734" s="2" t="s">
        <v>84</v>
      </c>
      <c r="M1734" s="2" t="s">
        <v>60</v>
      </c>
      <c r="N1734" s="2"/>
      <c r="O1734" s="2" t="s">
        <v>8778</v>
      </c>
      <c r="P1734" s="2"/>
      <c r="Q1734" s="2" t="s">
        <v>62</v>
      </c>
      <c r="R1734" s="2" t="n">
        <v>0.7</v>
      </c>
      <c r="S1734" s="2" t="s">
        <v>8769</v>
      </c>
      <c r="T1734" s="2" t="s">
        <v>915</v>
      </c>
      <c r="U1734" s="2" t="s">
        <v>8770</v>
      </c>
      <c r="V1734" s="2" t="s">
        <v>6559</v>
      </c>
      <c r="W1734" s="2" t="s">
        <v>1092</v>
      </c>
      <c r="X1734" s="2" t="s">
        <v>507</v>
      </c>
    </row>
    <row r="1735" customFormat="false" ht="15" hidden="false" customHeight="false" outlineLevel="0" collapsed="false">
      <c r="A1735" s="2" t="n">
        <v>2104</v>
      </c>
      <c r="B1735" s="2" t="s">
        <v>8763</v>
      </c>
      <c r="C1735" s="2" t="s">
        <v>8779</v>
      </c>
      <c r="D1735" s="2" t="s">
        <v>134</v>
      </c>
      <c r="E1735" s="2" t="s">
        <v>3622</v>
      </c>
      <c r="F1735" s="2"/>
      <c r="G1735" s="2"/>
      <c r="H1735" s="2" t="s">
        <v>1233</v>
      </c>
      <c r="I1735" s="2" t="s">
        <v>172</v>
      </c>
      <c r="J1735" s="2" t="n">
        <v>-7.566</v>
      </c>
      <c r="K1735" s="2" t="n">
        <v>110.817</v>
      </c>
      <c r="L1735" s="2" t="s">
        <v>101</v>
      </c>
      <c r="M1735" s="2" t="s">
        <v>340</v>
      </c>
      <c r="N1735" s="2"/>
      <c r="O1735" s="2" t="s">
        <v>8780</v>
      </c>
      <c r="P1735" s="2"/>
      <c r="Q1735" s="2" t="s">
        <v>62</v>
      </c>
      <c r="R1735" s="2" t="n">
        <v>0.55</v>
      </c>
      <c r="S1735" s="2" t="s">
        <v>8769</v>
      </c>
      <c r="T1735" s="2" t="s">
        <v>915</v>
      </c>
      <c r="U1735" s="2" t="s">
        <v>8770</v>
      </c>
      <c r="V1735" s="2" t="s">
        <v>6559</v>
      </c>
      <c r="W1735" s="2" t="s">
        <v>1092</v>
      </c>
      <c r="X1735" s="2" t="s">
        <v>507</v>
      </c>
    </row>
    <row r="1736" customFormat="false" ht="15" hidden="false" customHeight="false" outlineLevel="0" collapsed="false">
      <c r="A1736" s="2" t="n">
        <v>2104</v>
      </c>
      <c r="B1736" s="2" t="s">
        <v>8763</v>
      </c>
      <c r="C1736" s="2" t="s">
        <v>8781</v>
      </c>
      <c r="D1736" s="2" t="s">
        <v>134</v>
      </c>
      <c r="E1736" s="2" t="s">
        <v>3622</v>
      </c>
      <c r="F1736" s="2"/>
      <c r="G1736" s="2"/>
      <c r="H1736" s="2" t="s">
        <v>1233</v>
      </c>
      <c r="I1736" s="2" t="s">
        <v>172</v>
      </c>
      <c r="J1736" s="2" t="n">
        <v>-7.566</v>
      </c>
      <c r="K1736" s="2" t="n">
        <v>110.817</v>
      </c>
      <c r="L1736" s="2" t="s">
        <v>101</v>
      </c>
      <c r="M1736" s="2" t="s">
        <v>340</v>
      </c>
      <c r="N1736" s="2"/>
      <c r="O1736" s="2" t="s">
        <v>8782</v>
      </c>
      <c r="P1736" s="2"/>
      <c r="Q1736" s="2" t="s">
        <v>62</v>
      </c>
      <c r="R1736" s="2" t="n">
        <v>0.55</v>
      </c>
      <c r="S1736" s="2" t="s">
        <v>8769</v>
      </c>
      <c r="T1736" s="2" t="s">
        <v>915</v>
      </c>
      <c r="U1736" s="2" t="s">
        <v>8770</v>
      </c>
      <c r="V1736" s="2" t="s">
        <v>6559</v>
      </c>
      <c r="W1736" s="2" t="s">
        <v>1092</v>
      </c>
      <c r="X1736" s="2" t="s">
        <v>507</v>
      </c>
    </row>
    <row r="1737" customFormat="false" ht="15" hidden="false" customHeight="false" outlineLevel="0" collapsed="false">
      <c r="A1737" s="2" t="n">
        <v>2104</v>
      </c>
      <c r="B1737" s="2" t="s">
        <v>8763</v>
      </c>
      <c r="C1737" s="2" t="s">
        <v>8783</v>
      </c>
      <c r="D1737" s="2" t="s">
        <v>351</v>
      </c>
      <c r="E1737" s="2" t="s">
        <v>8784</v>
      </c>
      <c r="F1737" s="2" t="s">
        <v>3796</v>
      </c>
      <c r="G1737" s="2" t="s">
        <v>3796</v>
      </c>
      <c r="H1737" s="2" t="s">
        <v>1233</v>
      </c>
      <c r="I1737" s="2" t="s">
        <v>172</v>
      </c>
      <c r="J1737" s="2" t="n">
        <v>-7.572</v>
      </c>
      <c r="K1737" s="2" t="n">
        <v>110.792</v>
      </c>
      <c r="L1737" s="2" t="s">
        <v>59</v>
      </c>
      <c r="M1737" s="2" t="s">
        <v>60</v>
      </c>
      <c r="N1737" s="2"/>
      <c r="O1737" s="2" t="s">
        <v>8785</v>
      </c>
      <c r="P1737" s="2"/>
      <c r="Q1737" s="2" t="s">
        <v>62</v>
      </c>
      <c r="R1737" s="2" t="n">
        <v>0.6</v>
      </c>
      <c r="S1737" s="2" t="s">
        <v>8769</v>
      </c>
      <c r="T1737" s="2" t="s">
        <v>915</v>
      </c>
      <c r="U1737" s="2" t="s">
        <v>8770</v>
      </c>
      <c r="V1737" s="2" t="s">
        <v>6559</v>
      </c>
      <c r="W1737" s="2" t="s">
        <v>1092</v>
      </c>
      <c r="X1737" s="2" t="s">
        <v>507</v>
      </c>
    </row>
    <row r="1738" customFormat="false" ht="15" hidden="false" customHeight="false" outlineLevel="0" collapsed="false">
      <c r="A1738" s="2" t="n">
        <v>2104</v>
      </c>
      <c r="B1738" s="2" t="s">
        <v>8763</v>
      </c>
      <c r="C1738" s="2" t="s">
        <v>8786</v>
      </c>
      <c r="D1738" s="2" t="s">
        <v>351</v>
      </c>
      <c r="E1738" s="2" t="s">
        <v>8787</v>
      </c>
      <c r="F1738" s="2" t="s">
        <v>861</v>
      </c>
      <c r="G1738" s="2" t="s">
        <v>3619</v>
      </c>
      <c r="H1738" s="2" t="s">
        <v>1233</v>
      </c>
      <c r="I1738" s="2" t="s">
        <v>172</v>
      </c>
      <c r="J1738" s="2" t="n">
        <v>-7.574</v>
      </c>
      <c r="K1738" s="2" t="n">
        <v>110.826</v>
      </c>
      <c r="L1738" s="2" t="s">
        <v>59</v>
      </c>
      <c r="M1738" s="2" t="s">
        <v>60</v>
      </c>
      <c r="N1738" s="2"/>
      <c r="O1738" s="2" t="s">
        <v>8785</v>
      </c>
      <c r="P1738" s="2"/>
      <c r="Q1738" s="2" t="s">
        <v>62</v>
      </c>
      <c r="R1738" s="2" t="n">
        <v>0.6</v>
      </c>
      <c r="S1738" s="2" t="s">
        <v>8769</v>
      </c>
      <c r="T1738" s="2" t="s">
        <v>915</v>
      </c>
      <c r="U1738" s="2" t="s">
        <v>8770</v>
      </c>
      <c r="V1738" s="2" t="s">
        <v>6559</v>
      </c>
      <c r="W1738" s="2" t="s">
        <v>1092</v>
      </c>
      <c r="X1738" s="2" t="s">
        <v>507</v>
      </c>
    </row>
    <row r="1739" customFormat="false" ht="15" hidden="false" customHeight="false" outlineLevel="0" collapsed="false">
      <c r="A1739" s="2" t="n">
        <v>2110</v>
      </c>
      <c r="B1739" s="2" t="s">
        <v>8763</v>
      </c>
      <c r="C1739" s="2" t="s">
        <v>8788</v>
      </c>
      <c r="D1739" s="2" t="s">
        <v>121</v>
      </c>
      <c r="E1739" s="2" t="s">
        <v>8789</v>
      </c>
      <c r="F1739" s="2" t="s">
        <v>1408</v>
      </c>
      <c r="G1739" s="2" t="s">
        <v>1409</v>
      </c>
      <c r="H1739" s="2" t="s">
        <v>1233</v>
      </c>
      <c r="I1739" s="2" t="s">
        <v>172</v>
      </c>
      <c r="J1739" s="2" t="n">
        <v>-7.5663</v>
      </c>
      <c r="K1739" s="2" t="n">
        <v>110.823</v>
      </c>
      <c r="L1739" s="2" t="s">
        <v>124</v>
      </c>
      <c r="M1739" s="2" t="s">
        <v>60</v>
      </c>
      <c r="N1739" s="2" t="s">
        <v>8790</v>
      </c>
      <c r="O1739" s="2" t="s">
        <v>8791</v>
      </c>
      <c r="P1739" s="2" t="s">
        <v>8792</v>
      </c>
      <c r="Q1739" s="2" t="s">
        <v>62</v>
      </c>
      <c r="R1739" s="2" t="n">
        <v>0.8</v>
      </c>
      <c r="S1739" s="2" t="s">
        <v>8793</v>
      </c>
      <c r="T1739" s="2" t="s">
        <v>8794</v>
      </c>
      <c r="U1739" s="2" t="s">
        <v>8795</v>
      </c>
      <c r="V1739" s="2" t="s">
        <v>8750</v>
      </c>
      <c r="W1739" s="2" t="s">
        <v>262</v>
      </c>
      <c r="X1739" s="2" t="s">
        <v>507</v>
      </c>
    </row>
    <row r="1740" customFormat="false" ht="15" hidden="false" customHeight="false" outlineLevel="0" collapsed="false">
      <c r="A1740" s="2" t="n">
        <v>2111</v>
      </c>
      <c r="B1740" s="2" t="s">
        <v>8763</v>
      </c>
      <c r="C1740" s="2" t="s">
        <v>8788</v>
      </c>
      <c r="D1740" s="2" t="s">
        <v>121</v>
      </c>
      <c r="E1740" s="2" t="s">
        <v>8789</v>
      </c>
      <c r="F1740" s="2" t="s">
        <v>1408</v>
      </c>
      <c r="G1740" s="2" t="s">
        <v>1409</v>
      </c>
      <c r="H1740" s="2" t="s">
        <v>1233</v>
      </c>
      <c r="I1740" s="2" t="s">
        <v>172</v>
      </c>
      <c r="J1740" s="2" t="n">
        <v>-7.5663</v>
      </c>
      <c r="K1740" s="2" t="n">
        <v>110.823</v>
      </c>
      <c r="L1740" s="2" t="s">
        <v>124</v>
      </c>
      <c r="M1740" s="2" t="s">
        <v>60</v>
      </c>
      <c r="N1740" s="2" t="s">
        <v>8790</v>
      </c>
      <c r="O1740" s="2" t="s">
        <v>8796</v>
      </c>
      <c r="P1740" s="2" t="s">
        <v>8792</v>
      </c>
      <c r="Q1740" s="2" t="s">
        <v>62</v>
      </c>
      <c r="R1740" s="2" t="n">
        <v>0.8</v>
      </c>
      <c r="S1740" s="2" t="s">
        <v>8797</v>
      </c>
      <c r="T1740" s="2" t="s">
        <v>8798</v>
      </c>
      <c r="U1740" s="2" t="s">
        <v>8799</v>
      </c>
      <c r="V1740" s="2" t="s">
        <v>696</v>
      </c>
      <c r="W1740" s="2" t="s">
        <v>604</v>
      </c>
      <c r="X1740" s="2" t="s">
        <v>507</v>
      </c>
    </row>
    <row r="1741" customFormat="false" ht="15" hidden="false" customHeight="false" outlineLevel="0" collapsed="false">
      <c r="A1741" s="2" t="n">
        <v>2112</v>
      </c>
      <c r="B1741" s="2" t="s">
        <v>8763</v>
      </c>
      <c r="C1741" s="2" t="s">
        <v>8800</v>
      </c>
      <c r="D1741" s="2" t="s">
        <v>121</v>
      </c>
      <c r="E1741" s="2" t="s">
        <v>8801</v>
      </c>
      <c r="F1741" s="2"/>
      <c r="G1741" s="2" t="s">
        <v>8802</v>
      </c>
      <c r="H1741" s="2" t="s">
        <v>3717</v>
      </c>
      <c r="I1741" s="2" t="s">
        <v>172</v>
      </c>
      <c r="J1741" s="2" t="n">
        <v>-7.6</v>
      </c>
      <c r="K1741" s="2" t="n">
        <v>110.81</v>
      </c>
      <c r="L1741" s="2" t="s">
        <v>84</v>
      </c>
      <c r="M1741" s="2" t="s">
        <v>1822</v>
      </c>
      <c r="N1741" s="2" t="s">
        <v>8803</v>
      </c>
      <c r="O1741" s="2" t="s">
        <v>8804</v>
      </c>
      <c r="P1741" s="2"/>
      <c r="Q1741" s="2" t="s">
        <v>62</v>
      </c>
      <c r="R1741" s="2" t="n">
        <v>0.75</v>
      </c>
      <c r="S1741" s="2" t="s">
        <v>8805</v>
      </c>
      <c r="T1741" s="2" t="s">
        <v>8794</v>
      </c>
      <c r="U1741" s="2" t="s">
        <v>8806</v>
      </c>
      <c r="V1741" s="2" t="s">
        <v>189</v>
      </c>
      <c r="W1741" s="2" t="s">
        <v>6803</v>
      </c>
      <c r="X1741" s="2" t="s">
        <v>507</v>
      </c>
    </row>
    <row r="1742" customFormat="false" ht="15" hidden="false" customHeight="false" outlineLevel="0" collapsed="false">
      <c r="A1742" s="2" t="n">
        <v>2113</v>
      </c>
      <c r="B1742" s="2" t="s">
        <v>8763</v>
      </c>
      <c r="C1742" s="2" t="s">
        <v>8788</v>
      </c>
      <c r="D1742" s="2" t="s">
        <v>121</v>
      </c>
      <c r="E1742" s="2" t="s">
        <v>8789</v>
      </c>
      <c r="F1742" s="2" t="s">
        <v>1408</v>
      </c>
      <c r="G1742" s="2" t="s">
        <v>1409</v>
      </c>
      <c r="H1742" s="2" t="s">
        <v>1233</v>
      </c>
      <c r="I1742" s="2" t="s">
        <v>172</v>
      </c>
      <c r="J1742" s="2" t="n">
        <v>-7.5663</v>
      </c>
      <c r="K1742" s="2" t="n">
        <v>110.823</v>
      </c>
      <c r="L1742" s="2" t="s">
        <v>124</v>
      </c>
      <c r="M1742" s="2" t="s">
        <v>60</v>
      </c>
      <c r="N1742" s="2" t="s">
        <v>8790</v>
      </c>
      <c r="O1742" s="2" t="s">
        <v>8807</v>
      </c>
      <c r="P1742" s="2" t="s">
        <v>8792</v>
      </c>
      <c r="Q1742" s="2" t="s">
        <v>62</v>
      </c>
      <c r="R1742" s="2" t="n">
        <v>0.8</v>
      </c>
      <c r="S1742" s="2" t="s">
        <v>8808</v>
      </c>
      <c r="T1742" s="2" t="s">
        <v>95</v>
      </c>
      <c r="U1742" s="2" t="s">
        <v>8809</v>
      </c>
      <c r="V1742" s="2" t="s">
        <v>6559</v>
      </c>
      <c r="W1742" s="2" t="s">
        <v>538</v>
      </c>
      <c r="X1742" s="2" t="s">
        <v>507</v>
      </c>
    </row>
    <row r="1743" customFormat="false" ht="15" hidden="false" customHeight="false" outlineLevel="0" collapsed="false">
      <c r="A1743" s="2" t="n">
        <v>2114</v>
      </c>
      <c r="B1743" s="2" t="s">
        <v>8763</v>
      </c>
      <c r="C1743" s="2" t="s">
        <v>8810</v>
      </c>
      <c r="D1743" s="2" t="s">
        <v>121</v>
      </c>
      <c r="E1743" s="2" t="s">
        <v>8811</v>
      </c>
      <c r="F1743" s="2"/>
      <c r="G1743" s="2"/>
      <c r="H1743" s="2" t="s">
        <v>1233</v>
      </c>
      <c r="I1743" s="2" t="s">
        <v>172</v>
      </c>
      <c r="J1743" s="2" t="n">
        <v>-7.566</v>
      </c>
      <c r="K1743" s="2" t="n">
        <v>110.817</v>
      </c>
      <c r="L1743" s="2" t="s">
        <v>101</v>
      </c>
      <c r="M1743" s="2" t="s">
        <v>340</v>
      </c>
      <c r="N1743" s="2"/>
      <c r="O1743" s="2" t="s">
        <v>8812</v>
      </c>
      <c r="P1743" s="2" t="s">
        <v>2856</v>
      </c>
      <c r="Q1743" s="2" t="s">
        <v>62</v>
      </c>
      <c r="R1743" s="2" t="n">
        <v>0.7</v>
      </c>
      <c r="S1743" s="2" t="s">
        <v>8813</v>
      </c>
      <c r="T1743" s="2" t="s">
        <v>7052</v>
      </c>
      <c r="U1743" s="2" t="s">
        <v>8814</v>
      </c>
      <c r="V1743" s="2" t="s">
        <v>8815</v>
      </c>
      <c r="W1743" s="2" t="s">
        <v>2825</v>
      </c>
      <c r="X1743" s="2" t="s">
        <v>507</v>
      </c>
    </row>
    <row r="1744" customFormat="false" ht="15" hidden="false" customHeight="false" outlineLevel="0" collapsed="false">
      <c r="A1744" s="2" t="n">
        <v>2116</v>
      </c>
      <c r="B1744" s="2" t="s">
        <v>8763</v>
      </c>
      <c r="C1744" s="2" t="s">
        <v>8816</v>
      </c>
      <c r="D1744" s="2" t="s">
        <v>53</v>
      </c>
      <c r="E1744" s="2" t="s">
        <v>8817</v>
      </c>
      <c r="F1744" s="2"/>
      <c r="G1744" s="2"/>
      <c r="H1744" s="2"/>
      <c r="I1744" s="2" t="s">
        <v>58</v>
      </c>
      <c r="J1744" s="2" t="n">
        <v>-6.92</v>
      </c>
      <c r="K1744" s="2" t="n">
        <v>107.6</v>
      </c>
      <c r="L1744" s="2" t="s">
        <v>239</v>
      </c>
      <c r="M1744" s="2" t="s">
        <v>340</v>
      </c>
      <c r="N1744" s="2" t="s">
        <v>8818</v>
      </c>
      <c r="O1744" s="2" t="s">
        <v>8819</v>
      </c>
      <c r="P1744" s="2"/>
      <c r="Q1744" s="2" t="s">
        <v>62</v>
      </c>
      <c r="R1744" s="2" t="n">
        <v>0.65</v>
      </c>
      <c r="S1744" s="2" t="s">
        <v>8820</v>
      </c>
      <c r="T1744" s="2" t="s">
        <v>8821</v>
      </c>
      <c r="U1744" s="2" t="s">
        <v>8822</v>
      </c>
      <c r="V1744" s="2" t="s">
        <v>8823</v>
      </c>
      <c r="W1744" s="2" t="s">
        <v>3194</v>
      </c>
      <c r="X1744" s="2" t="s">
        <v>507</v>
      </c>
    </row>
    <row r="1745" customFormat="false" ht="15" hidden="false" customHeight="false" outlineLevel="0" collapsed="false">
      <c r="A1745" s="2" t="n">
        <v>2117</v>
      </c>
      <c r="B1745" s="2" t="s">
        <v>8763</v>
      </c>
      <c r="C1745" s="2" t="s">
        <v>8824</v>
      </c>
      <c r="D1745" s="2" t="s">
        <v>351</v>
      </c>
      <c r="E1745" s="2" t="s">
        <v>8825</v>
      </c>
      <c r="F1745" s="2"/>
      <c r="G1745" s="2"/>
      <c r="H1745" s="2" t="s">
        <v>8825</v>
      </c>
      <c r="I1745" s="2" t="s">
        <v>58</v>
      </c>
      <c r="J1745" s="2" t="n">
        <v>-6.732</v>
      </c>
      <c r="K1745" s="2" t="n">
        <v>108.552</v>
      </c>
      <c r="L1745" s="2" t="s">
        <v>101</v>
      </c>
      <c r="M1745" s="2" t="s">
        <v>340</v>
      </c>
      <c r="N1745" s="2" t="s">
        <v>8826</v>
      </c>
      <c r="O1745" s="2" t="s">
        <v>8827</v>
      </c>
      <c r="P1745" s="2" t="s">
        <v>8828</v>
      </c>
      <c r="Q1745" s="2" t="s">
        <v>110</v>
      </c>
      <c r="R1745" s="2" t="n">
        <v>0.4</v>
      </c>
      <c r="S1745" s="2" t="s">
        <v>8829</v>
      </c>
      <c r="T1745" s="2" t="s">
        <v>694</v>
      </c>
      <c r="U1745" s="2" t="s">
        <v>8830</v>
      </c>
      <c r="V1745" s="2" t="s">
        <v>178</v>
      </c>
      <c r="W1745" s="2" t="s">
        <v>851</v>
      </c>
      <c r="X1745" s="2" t="s">
        <v>507</v>
      </c>
    </row>
    <row r="1746" customFormat="false" ht="15" hidden="false" customHeight="false" outlineLevel="0" collapsed="false">
      <c r="A1746" s="2" t="n">
        <v>2118</v>
      </c>
      <c r="B1746" s="2" t="s">
        <v>8763</v>
      </c>
      <c r="C1746" s="2" t="s">
        <v>8831</v>
      </c>
      <c r="D1746" s="2" t="s">
        <v>53</v>
      </c>
      <c r="E1746" s="2" t="s">
        <v>8832</v>
      </c>
      <c r="F1746" s="2" t="s">
        <v>8833</v>
      </c>
      <c r="G1746" s="2" t="s">
        <v>8834</v>
      </c>
      <c r="H1746" s="2" t="s">
        <v>4562</v>
      </c>
      <c r="I1746" s="2" t="s">
        <v>58</v>
      </c>
      <c r="J1746" s="2" t="n">
        <v>-6.765</v>
      </c>
      <c r="K1746" s="2" t="n">
        <v>108.51</v>
      </c>
      <c r="L1746" s="2" t="s">
        <v>84</v>
      </c>
      <c r="M1746" s="2" t="s">
        <v>60</v>
      </c>
      <c r="N1746" s="2" t="s">
        <v>8835</v>
      </c>
      <c r="O1746" s="2" t="s">
        <v>8836</v>
      </c>
      <c r="P1746" s="2"/>
      <c r="Q1746" s="2" t="s">
        <v>62</v>
      </c>
      <c r="R1746" s="2" t="n">
        <v>0.8</v>
      </c>
      <c r="S1746" s="2" t="s">
        <v>8837</v>
      </c>
      <c r="T1746" s="2" t="s">
        <v>8821</v>
      </c>
      <c r="U1746" s="2" t="s">
        <v>8838</v>
      </c>
      <c r="V1746" s="2" t="s">
        <v>745</v>
      </c>
      <c r="W1746" s="2" t="s">
        <v>1509</v>
      </c>
      <c r="X1746" s="2" t="s">
        <v>507</v>
      </c>
    </row>
    <row r="1747" customFormat="false" ht="15" hidden="false" customHeight="false" outlineLevel="0" collapsed="false">
      <c r="A1747" s="2" t="n">
        <v>2119</v>
      </c>
      <c r="B1747" s="2" t="s">
        <v>8763</v>
      </c>
      <c r="C1747" s="2" t="s">
        <v>8824</v>
      </c>
      <c r="D1747" s="2" t="s">
        <v>351</v>
      </c>
      <c r="E1747" s="2" t="s">
        <v>8825</v>
      </c>
      <c r="F1747" s="2"/>
      <c r="G1747" s="2"/>
      <c r="H1747" s="2" t="s">
        <v>8825</v>
      </c>
      <c r="I1747" s="2" t="s">
        <v>58</v>
      </c>
      <c r="J1747" s="2" t="n">
        <v>-6.732</v>
      </c>
      <c r="K1747" s="2" t="n">
        <v>108.552</v>
      </c>
      <c r="L1747" s="2" t="s">
        <v>101</v>
      </c>
      <c r="M1747" s="2" t="s">
        <v>340</v>
      </c>
      <c r="N1747" s="2" t="s">
        <v>8826</v>
      </c>
      <c r="O1747" s="2" t="s">
        <v>8839</v>
      </c>
      <c r="P1747" s="2"/>
      <c r="Q1747" s="2" t="s">
        <v>62</v>
      </c>
      <c r="R1747" s="2" t="n">
        <v>0.35</v>
      </c>
      <c r="S1747" s="2" t="s">
        <v>8840</v>
      </c>
      <c r="T1747" s="2" t="s">
        <v>743</v>
      </c>
      <c r="U1747" s="2" t="s">
        <v>8841</v>
      </c>
      <c r="V1747" s="2" t="s">
        <v>8750</v>
      </c>
      <c r="W1747" s="2" t="s">
        <v>5557</v>
      </c>
      <c r="X1747" s="2" t="s">
        <v>507</v>
      </c>
    </row>
    <row r="1748" customFormat="false" ht="15" hidden="false" customHeight="false" outlineLevel="0" collapsed="false">
      <c r="A1748" s="2" t="n">
        <v>2120</v>
      </c>
      <c r="B1748" s="2" t="s">
        <v>8763</v>
      </c>
      <c r="C1748" s="2" t="s">
        <v>8842</v>
      </c>
      <c r="D1748" s="2" t="s">
        <v>53</v>
      </c>
      <c r="E1748" s="2" t="s">
        <v>8817</v>
      </c>
      <c r="F1748" s="2" t="s">
        <v>8843</v>
      </c>
      <c r="G1748" s="2" t="s">
        <v>8844</v>
      </c>
      <c r="H1748" s="2" t="s">
        <v>4562</v>
      </c>
      <c r="I1748" s="2" t="s">
        <v>58</v>
      </c>
      <c r="J1748" s="2" t="n">
        <v>-6.74</v>
      </c>
      <c r="K1748" s="2" t="n">
        <v>108.51</v>
      </c>
      <c r="L1748" s="2" t="s">
        <v>84</v>
      </c>
      <c r="M1748" s="2" t="s">
        <v>1822</v>
      </c>
      <c r="N1748" s="2"/>
      <c r="O1748" s="2" t="s">
        <v>8845</v>
      </c>
      <c r="P1748" s="2"/>
      <c r="Q1748" s="2" t="s">
        <v>62</v>
      </c>
      <c r="R1748" s="2" t="n">
        <v>0.8</v>
      </c>
      <c r="S1748" s="2" t="s">
        <v>8846</v>
      </c>
      <c r="T1748" s="2" t="s">
        <v>8821</v>
      </c>
      <c r="U1748" s="2" t="s">
        <v>8847</v>
      </c>
      <c r="V1748" s="2" t="s">
        <v>745</v>
      </c>
      <c r="W1748" s="2" t="s">
        <v>2303</v>
      </c>
      <c r="X1748" s="2" t="s">
        <v>507</v>
      </c>
    </row>
    <row r="1749" customFormat="false" ht="15" hidden="false" customHeight="false" outlineLevel="0" collapsed="false">
      <c r="A1749" s="2" t="n">
        <v>2121</v>
      </c>
      <c r="B1749" s="2" t="s">
        <v>8763</v>
      </c>
      <c r="C1749" s="2" t="s">
        <v>8824</v>
      </c>
      <c r="D1749" s="2" t="s">
        <v>351</v>
      </c>
      <c r="E1749" s="2" t="s">
        <v>8825</v>
      </c>
      <c r="F1749" s="2"/>
      <c r="G1749" s="2"/>
      <c r="H1749" s="2" t="s">
        <v>8825</v>
      </c>
      <c r="I1749" s="2" t="s">
        <v>58</v>
      </c>
      <c r="J1749" s="2" t="n">
        <v>-6.732</v>
      </c>
      <c r="K1749" s="2" t="n">
        <v>108.552</v>
      </c>
      <c r="L1749" s="2" t="s">
        <v>101</v>
      </c>
      <c r="M1749" s="2" t="s">
        <v>340</v>
      </c>
      <c r="N1749" s="2" t="s">
        <v>8826</v>
      </c>
      <c r="O1749" s="2" t="s">
        <v>8848</v>
      </c>
      <c r="P1749" s="2"/>
      <c r="Q1749" s="2" t="s">
        <v>110</v>
      </c>
      <c r="R1749" s="2" t="n">
        <v>0.4</v>
      </c>
      <c r="S1749" s="2" t="s">
        <v>8849</v>
      </c>
      <c r="T1749" s="2" t="s">
        <v>743</v>
      </c>
      <c r="U1749" s="2" t="s">
        <v>8850</v>
      </c>
      <c r="V1749" s="2" t="s">
        <v>4359</v>
      </c>
      <c r="W1749" s="2" t="s">
        <v>1188</v>
      </c>
      <c r="X1749" s="2" t="s">
        <v>507</v>
      </c>
    </row>
    <row r="1750" customFormat="false" ht="15" hidden="false" customHeight="false" outlineLevel="0" collapsed="false">
      <c r="A1750" s="2" t="n">
        <v>2122</v>
      </c>
      <c r="B1750" s="2" t="s">
        <v>8763</v>
      </c>
      <c r="C1750" s="2" t="s">
        <v>8851</v>
      </c>
      <c r="D1750" s="2" t="s">
        <v>134</v>
      </c>
      <c r="E1750" s="2" t="s">
        <v>8817</v>
      </c>
      <c r="F1750" s="2"/>
      <c r="G1750" s="2"/>
      <c r="H1750" s="2"/>
      <c r="I1750" s="2" t="s">
        <v>58</v>
      </c>
      <c r="J1750" s="2" t="n">
        <v>-6.92</v>
      </c>
      <c r="K1750" s="2" t="n">
        <v>107.6</v>
      </c>
      <c r="L1750" s="2" t="s">
        <v>239</v>
      </c>
      <c r="M1750" s="2" t="s">
        <v>340</v>
      </c>
      <c r="N1750" s="2" t="s">
        <v>8818</v>
      </c>
      <c r="O1750" s="2" t="s">
        <v>8852</v>
      </c>
      <c r="P1750" s="2"/>
      <c r="Q1750" s="2" t="s">
        <v>62</v>
      </c>
      <c r="R1750" s="2" t="n">
        <v>0.7</v>
      </c>
      <c r="S1750" s="2" t="s">
        <v>8853</v>
      </c>
      <c r="T1750" s="2" t="s">
        <v>8821</v>
      </c>
      <c r="U1750" s="2" t="s">
        <v>8854</v>
      </c>
      <c r="V1750" s="2" t="s">
        <v>4386</v>
      </c>
      <c r="W1750" s="2" t="s">
        <v>262</v>
      </c>
      <c r="X1750" s="2" t="s">
        <v>507</v>
      </c>
    </row>
    <row r="1751" customFormat="false" ht="15" hidden="false" customHeight="false" outlineLevel="0" collapsed="false">
      <c r="A1751" s="2" t="n">
        <v>2123</v>
      </c>
      <c r="B1751" s="2" t="s">
        <v>8763</v>
      </c>
      <c r="C1751" s="2" t="s">
        <v>8855</v>
      </c>
      <c r="D1751" s="2" t="s">
        <v>351</v>
      </c>
      <c r="E1751" s="2" t="s">
        <v>8856</v>
      </c>
      <c r="F1751" s="2"/>
      <c r="G1751" s="2"/>
      <c r="H1751" s="2" t="s">
        <v>8825</v>
      </c>
      <c r="I1751" s="2" t="s">
        <v>58</v>
      </c>
      <c r="J1751" s="2" t="n">
        <v>-6.732</v>
      </c>
      <c r="K1751" s="2" t="n">
        <v>108.552</v>
      </c>
      <c r="L1751" s="2" t="s">
        <v>101</v>
      </c>
      <c r="M1751" s="2" t="s">
        <v>340</v>
      </c>
      <c r="N1751" s="2" t="s">
        <v>8826</v>
      </c>
      <c r="O1751" s="2" t="s">
        <v>8857</v>
      </c>
      <c r="P1751" s="2" t="s">
        <v>773</v>
      </c>
      <c r="Q1751" s="2" t="s">
        <v>110</v>
      </c>
      <c r="R1751" s="2" t="n">
        <v>0.4</v>
      </c>
      <c r="S1751" s="2" t="s">
        <v>8858</v>
      </c>
      <c r="T1751" s="2" t="s">
        <v>694</v>
      </c>
      <c r="U1751" s="2" t="s">
        <v>8859</v>
      </c>
      <c r="V1751" s="2" t="s">
        <v>8860</v>
      </c>
      <c r="W1751" s="2" t="s">
        <v>301</v>
      </c>
      <c r="X1751" s="2" t="s">
        <v>507</v>
      </c>
    </row>
    <row r="1752" customFormat="false" ht="15" hidden="false" customHeight="false" outlineLevel="0" collapsed="false">
      <c r="A1752" s="2" t="n">
        <v>2124</v>
      </c>
      <c r="B1752" s="2" t="s">
        <v>8763</v>
      </c>
      <c r="C1752" s="2" t="s">
        <v>8861</v>
      </c>
      <c r="D1752" s="2" t="s">
        <v>53</v>
      </c>
      <c r="E1752" s="2" t="s">
        <v>8817</v>
      </c>
      <c r="F1752" s="2"/>
      <c r="G1752" s="2" t="s">
        <v>8862</v>
      </c>
      <c r="H1752" s="2" t="s">
        <v>8825</v>
      </c>
      <c r="I1752" s="2" t="s">
        <v>58</v>
      </c>
      <c r="J1752" s="2" t="n">
        <v>-6.725</v>
      </c>
      <c r="K1752" s="2" t="n">
        <v>108.545</v>
      </c>
      <c r="L1752" s="2" t="s">
        <v>84</v>
      </c>
      <c r="M1752" s="2" t="s">
        <v>1822</v>
      </c>
      <c r="N1752" s="2"/>
      <c r="O1752" s="2" t="s">
        <v>8863</v>
      </c>
      <c r="P1752" s="2"/>
      <c r="Q1752" s="2" t="s">
        <v>62</v>
      </c>
      <c r="R1752" s="2" t="n">
        <v>0.65</v>
      </c>
      <c r="S1752" s="2" t="s">
        <v>8864</v>
      </c>
      <c r="T1752" s="2" t="s">
        <v>8821</v>
      </c>
      <c r="U1752" s="2" t="s">
        <v>8865</v>
      </c>
      <c r="V1752" s="2" t="s">
        <v>6572</v>
      </c>
      <c r="W1752" s="2" t="s">
        <v>512</v>
      </c>
      <c r="X1752" s="2" t="s">
        <v>507</v>
      </c>
    </row>
    <row r="1753" customFormat="false" ht="15" hidden="false" customHeight="false" outlineLevel="0" collapsed="false">
      <c r="A1753" s="2" t="n">
        <v>2124</v>
      </c>
      <c r="B1753" s="2" t="s">
        <v>8763</v>
      </c>
      <c r="C1753" s="2" t="s">
        <v>8866</v>
      </c>
      <c r="D1753" s="2" t="s">
        <v>53</v>
      </c>
      <c r="E1753" s="2" t="s">
        <v>8817</v>
      </c>
      <c r="F1753" s="2"/>
      <c r="G1753" s="2"/>
      <c r="H1753" s="2"/>
      <c r="I1753" s="2" t="s">
        <v>58</v>
      </c>
      <c r="J1753" s="2" t="n">
        <v>-6.92</v>
      </c>
      <c r="K1753" s="2" t="n">
        <v>107.6</v>
      </c>
      <c r="L1753" s="2" t="s">
        <v>239</v>
      </c>
      <c r="M1753" s="2" t="s">
        <v>340</v>
      </c>
      <c r="N1753" s="2" t="s">
        <v>8818</v>
      </c>
      <c r="O1753" s="2" t="s">
        <v>8867</v>
      </c>
      <c r="P1753" s="2"/>
      <c r="Q1753" s="2" t="s">
        <v>62</v>
      </c>
      <c r="R1753" s="2" t="n">
        <v>0.8</v>
      </c>
      <c r="S1753" s="2" t="s">
        <v>8864</v>
      </c>
      <c r="T1753" s="2" t="s">
        <v>8821</v>
      </c>
      <c r="U1753" s="2" t="s">
        <v>8865</v>
      </c>
      <c r="V1753" s="2" t="s">
        <v>6572</v>
      </c>
      <c r="W1753" s="2" t="s">
        <v>512</v>
      </c>
      <c r="X1753" s="2" t="s">
        <v>507</v>
      </c>
    </row>
    <row r="1754" customFormat="false" ht="15" hidden="false" customHeight="false" outlineLevel="0" collapsed="false">
      <c r="A1754" s="2" t="n">
        <v>2125</v>
      </c>
      <c r="B1754" s="2" t="s">
        <v>8763</v>
      </c>
      <c r="C1754" s="2" t="s">
        <v>8868</v>
      </c>
      <c r="D1754" s="2" t="s">
        <v>53</v>
      </c>
      <c r="E1754" s="2" t="s">
        <v>8869</v>
      </c>
      <c r="F1754" s="2" t="s">
        <v>8870</v>
      </c>
      <c r="G1754" s="2" t="s">
        <v>8871</v>
      </c>
      <c r="H1754" s="2" t="s">
        <v>8825</v>
      </c>
      <c r="I1754" s="2" t="s">
        <v>58</v>
      </c>
      <c r="J1754" s="2" t="n">
        <v>-6.712</v>
      </c>
      <c r="K1754" s="2" t="n">
        <v>108.555</v>
      </c>
      <c r="L1754" s="2" t="s">
        <v>84</v>
      </c>
      <c r="M1754" s="2" t="s">
        <v>340</v>
      </c>
      <c r="N1754" s="2"/>
      <c r="O1754" s="2" t="s">
        <v>8872</v>
      </c>
      <c r="P1754" s="2" t="s">
        <v>8873</v>
      </c>
      <c r="Q1754" s="2" t="s">
        <v>62</v>
      </c>
      <c r="R1754" s="2" t="n">
        <v>0.8</v>
      </c>
      <c r="S1754" s="2" t="s">
        <v>8874</v>
      </c>
      <c r="T1754" s="2" t="s">
        <v>8821</v>
      </c>
      <c r="U1754" s="2" t="s">
        <v>8875</v>
      </c>
      <c r="V1754" s="2" t="s">
        <v>4359</v>
      </c>
      <c r="W1754" s="2" t="s">
        <v>2149</v>
      </c>
      <c r="X1754" s="2" t="s">
        <v>507</v>
      </c>
    </row>
    <row r="1755" customFormat="false" ht="15" hidden="false" customHeight="false" outlineLevel="0" collapsed="false">
      <c r="A1755" s="2" t="n">
        <v>2126</v>
      </c>
      <c r="B1755" s="2" t="s">
        <v>8763</v>
      </c>
      <c r="C1755" s="2" t="s">
        <v>8876</v>
      </c>
      <c r="D1755" s="2" t="s">
        <v>121</v>
      </c>
      <c r="E1755" s="2" t="s">
        <v>8877</v>
      </c>
      <c r="F1755" s="2"/>
      <c r="G1755" s="2"/>
      <c r="H1755" s="2" t="s">
        <v>8825</v>
      </c>
      <c r="I1755" s="2" t="s">
        <v>58</v>
      </c>
      <c r="J1755" s="2" t="n">
        <v>-6.732</v>
      </c>
      <c r="K1755" s="2" t="n">
        <v>108.552</v>
      </c>
      <c r="L1755" s="2" t="s">
        <v>101</v>
      </c>
      <c r="M1755" s="2" t="s">
        <v>340</v>
      </c>
      <c r="N1755" s="2" t="s">
        <v>8878</v>
      </c>
      <c r="O1755" s="2" t="s">
        <v>8879</v>
      </c>
      <c r="P1755" s="2" t="s">
        <v>1376</v>
      </c>
      <c r="Q1755" s="2" t="s">
        <v>62</v>
      </c>
      <c r="R1755" s="2" t="n">
        <v>0.75</v>
      </c>
      <c r="S1755" s="2" t="s">
        <v>8880</v>
      </c>
      <c r="T1755" s="2" t="s">
        <v>8821</v>
      </c>
      <c r="U1755" s="2" t="s">
        <v>8881</v>
      </c>
      <c r="V1755" s="2" t="s">
        <v>8823</v>
      </c>
      <c r="W1755" s="2" t="s">
        <v>2852</v>
      </c>
      <c r="X1755" s="2" t="s">
        <v>507</v>
      </c>
    </row>
    <row r="1756" customFormat="false" ht="15" hidden="false" customHeight="false" outlineLevel="0" collapsed="false">
      <c r="A1756" s="2" t="n">
        <v>2126</v>
      </c>
      <c r="B1756" s="2" t="s">
        <v>8763</v>
      </c>
      <c r="C1756" s="2" t="s">
        <v>8882</v>
      </c>
      <c r="D1756" s="2" t="s">
        <v>351</v>
      </c>
      <c r="E1756" s="2" t="s">
        <v>8877</v>
      </c>
      <c r="F1756" s="2"/>
      <c r="G1756" s="2"/>
      <c r="H1756" s="2" t="s">
        <v>8825</v>
      </c>
      <c r="I1756" s="2" t="s">
        <v>58</v>
      </c>
      <c r="J1756" s="2" t="n">
        <v>-6.732</v>
      </c>
      <c r="K1756" s="2" t="n">
        <v>108.552</v>
      </c>
      <c r="L1756" s="2" t="s">
        <v>101</v>
      </c>
      <c r="M1756" s="2" t="s">
        <v>340</v>
      </c>
      <c r="N1756" s="2" t="s">
        <v>8878</v>
      </c>
      <c r="O1756" s="2" t="s">
        <v>8883</v>
      </c>
      <c r="P1756" s="2" t="s">
        <v>1376</v>
      </c>
      <c r="Q1756" s="2" t="s">
        <v>62</v>
      </c>
      <c r="R1756" s="2" t="n">
        <v>0.55</v>
      </c>
      <c r="S1756" s="2" t="s">
        <v>8880</v>
      </c>
      <c r="T1756" s="2" t="s">
        <v>8821</v>
      </c>
      <c r="U1756" s="2" t="s">
        <v>8881</v>
      </c>
      <c r="V1756" s="2" t="s">
        <v>8823</v>
      </c>
      <c r="W1756" s="2" t="s">
        <v>2852</v>
      </c>
      <c r="X1756" s="2" t="s">
        <v>507</v>
      </c>
    </row>
    <row r="1757" customFormat="false" ht="15" hidden="false" customHeight="false" outlineLevel="0" collapsed="false">
      <c r="A1757" s="2" t="n">
        <v>2127</v>
      </c>
      <c r="B1757" s="2" t="s">
        <v>8763</v>
      </c>
      <c r="C1757" s="2" t="s">
        <v>8884</v>
      </c>
      <c r="D1757" s="2" t="s">
        <v>410</v>
      </c>
      <c r="E1757" s="2" t="s">
        <v>8885</v>
      </c>
      <c r="F1757" s="2" t="s">
        <v>8886</v>
      </c>
      <c r="G1757" s="2" t="s">
        <v>8844</v>
      </c>
      <c r="H1757" s="2" t="s">
        <v>4562</v>
      </c>
      <c r="I1757" s="2" t="s">
        <v>58</v>
      </c>
      <c r="J1757" s="2" t="n">
        <v>-6.74</v>
      </c>
      <c r="K1757" s="2" t="n">
        <v>108.51</v>
      </c>
      <c r="L1757" s="2" t="s">
        <v>84</v>
      </c>
      <c r="M1757" s="2" t="s">
        <v>60</v>
      </c>
      <c r="N1757" s="2"/>
      <c r="O1757" s="2" t="s">
        <v>8887</v>
      </c>
      <c r="P1757" s="2" t="s">
        <v>702</v>
      </c>
      <c r="Q1757" s="2" t="s">
        <v>110</v>
      </c>
      <c r="R1757" s="2" t="n">
        <v>0.85</v>
      </c>
      <c r="S1757" s="2" t="s">
        <v>8888</v>
      </c>
      <c r="T1757" s="2" t="s">
        <v>8889</v>
      </c>
      <c r="U1757" s="2" t="s">
        <v>8890</v>
      </c>
      <c r="V1757" s="2" t="s">
        <v>158</v>
      </c>
      <c r="W1757" s="2" t="s">
        <v>421</v>
      </c>
      <c r="X1757" s="2" t="s">
        <v>507</v>
      </c>
    </row>
    <row r="1758" customFormat="false" ht="15" hidden="false" customHeight="false" outlineLevel="0" collapsed="false">
      <c r="A1758" s="2" t="n">
        <v>2128</v>
      </c>
      <c r="B1758" s="2" t="s">
        <v>8763</v>
      </c>
      <c r="C1758" s="2" t="s">
        <v>8891</v>
      </c>
      <c r="D1758" s="2" t="s">
        <v>410</v>
      </c>
      <c r="E1758" s="2" t="s">
        <v>8817</v>
      </c>
      <c r="F1758" s="2"/>
      <c r="G1758" s="2" t="s">
        <v>8892</v>
      </c>
      <c r="H1758" s="2" t="s">
        <v>8825</v>
      </c>
      <c r="I1758" s="2" t="s">
        <v>58</v>
      </c>
      <c r="J1758" s="2" t="n">
        <v>-6.725</v>
      </c>
      <c r="K1758" s="2" t="n">
        <v>108.57</v>
      </c>
      <c r="L1758" s="2" t="s">
        <v>84</v>
      </c>
      <c r="M1758" s="2" t="s">
        <v>1822</v>
      </c>
      <c r="N1758" s="2"/>
      <c r="O1758" s="2" t="s">
        <v>8893</v>
      </c>
      <c r="P1758" s="2"/>
      <c r="Q1758" s="2" t="s">
        <v>62</v>
      </c>
      <c r="R1758" s="2" t="n">
        <v>0.55</v>
      </c>
      <c r="S1758" s="2" t="s">
        <v>8894</v>
      </c>
      <c r="T1758" s="2" t="s">
        <v>8821</v>
      </c>
      <c r="U1758" s="2" t="s">
        <v>8895</v>
      </c>
      <c r="V1758" s="2" t="s">
        <v>455</v>
      </c>
      <c r="W1758" s="2" t="s">
        <v>421</v>
      </c>
      <c r="X1758" s="2" t="s">
        <v>507</v>
      </c>
    </row>
    <row r="1759" customFormat="false" ht="15" hidden="false" customHeight="false" outlineLevel="0" collapsed="false">
      <c r="A1759" s="2" t="n">
        <v>2128</v>
      </c>
      <c r="B1759" s="2" t="s">
        <v>8763</v>
      </c>
      <c r="C1759" s="2" t="s">
        <v>8896</v>
      </c>
      <c r="D1759" s="2" t="s">
        <v>1130</v>
      </c>
      <c r="E1759" s="2" t="s">
        <v>8817</v>
      </c>
      <c r="F1759" s="2" t="s">
        <v>8897</v>
      </c>
      <c r="G1759" s="2" t="s">
        <v>8892</v>
      </c>
      <c r="H1759" s="2" t="s">
        <v>8825</v>
      </c>
      <c r="I1759" s="2" t="s">
        <v>58</v>
      </c>
      <c r="J1759" s="2" t="n">
        <v>-6.7263</v>
      </c>
      <c r="K1759" s="2" t="n">
        <v>108.5708</v>
      </c>
      <c r="L1759" s="2" t="s">
        <v>124</v>
      </c>
      <c r="M1759" s="2" t="s">
        <v>1822</v>
      </c>
      <c r="N1759" s="2"/>
      <c r="O1759" s="2" t="s">
        <v>8898</v>
      </c>
      <c r="P1759" s="2"/>
      <c r="Q1759" s="2" t="s">
        <v>62</v>
      </c>
      <c r="R1759" s="2" t="n">
        <v>0.6</v>
      </c>
      <c r="S1759" s="2" t="s">
        <v>8894</v>
      </c>
      <c r="T1759" s="2" t="s">
        <v>8821</v>
      </c>
      <c r="U1759" s="2" t="s">
        <v>8895</v>
      </c>
      <c r="V1759" s="2" t="s">
        <v>455</v>
      </c>
      <c r="W1759" s="2" t="s">
        <v>421</v>
      </c>
      <c r="X1759" s="2" t="s">
        <v>507</v>
      </c>
    </row>
    <row r="1760" customFormat="false" ht="15" hidden="false" customHeight="false" outlineLevel="0" collapsed="false">
      <c r="A1760" s="2" t="n">
        <v>2128</v>
      </c>
      <c r="B1760" s="2" t="s">
        <v>8763</v>
      </c>
      <c r="C1760" s="2" t="s">
        <v>8899</v>
      </c>
      <c r="D1760" s="2" t="s">
        <v>351</v>
      </c>
      <c r="E1760" s="2" t="s">
        <v>8817</v>
      </c>
      <c r="F1760" s="2" t="s">
        <v>8900</v>
      </c>
      <c r="G1760" s="2" t="s">
        <v>8862</v>
      </c>
      <c r="H1760" s="2" t="s">
        <v>8825</v>
      </c>
      <c r="I1760" s="2" t="s">
        <v>58</v>
      </c>
      <c r="J1760" s="2" t="n">
        <v>-6.7298</v>
      </c>
      <c r="K1760" s="2" t="n">
        <v>108.5397</v>
      </c>
      <c r="L1760" s="2" t="s">
        <v>124</v>
      </c>
      <c r="M1760" s="2" t="s">
        <v>1822</v>
      </c>
      <c r="N1760" s="2"/>
      <c r="O1760" s="2" t="s">
        <v>8898</v>
      </c>
      <c r="P1760" s="2"/>
      <c r="Q1760" s="2" t="s">
        <v>62</v>
      </c>
      <c r="R1760" s="2" t="n">
        <v>0.6</v>
      </c>
      <c r="S1760" s="2" t="s">
        <v>8894</v>
      </c>
      <c r="T1760" s="2" t="s">
        <v>8821</v>
      </c>
      <c r="U1760" s="2" t="s">
        <v>8895</v>
      </c>
      <c r="V1760" s="2" t="s">
        <v>455</v>
      </c>
      <c r="W1760" s="2" t="s">
        <v>421</v>
      </c>
      <c r="X1760" s="2" t="s">
        <v>507</v>
      </c>
    </row>
    <row r="1761" customFormat="false" ht="15" hidden="false" customHeight="false" outlineLevel="0" collapsed="false">
      <c r="A1761" s="2" t="n">
        <v>2128</v>
      </c>
      <c r="B1761" s="2" t="s">
        <v>8763</v>
      </c>
      <c r="C1761" s="2" t="s">
        <v>8901</v>
      </c>
      <c r="D1761" s="2" t="s">
        <v>351</v>
      </c>
      <c r="E1761" s="2" t="s">
        <v>8902</v>
      </c>
      <c r="F1761" s="2"/>
      <c r="G1761" s="2" t="s">
        <v>8903</v>
      </c>
      <c r="H1761" s="2" t="s">
        <v>4562</v>
      </c>
      <c r="I1761" s="2" t="s">
        <v>58</v>
      </c>
      <c r="J1761" s="2" t="n">
        <v>-6.705</v>
      </c>
      <c r="K1761" s="2" t="n">
        <v>108.505</v>
      </c>
      <c r="L1761" s="2" t="s">
        <v>84</v>
      </c>
      <c r="M1761" s="2" t="s">
        <v>1822</v>
      </c>
      <c r="N1761" s="2" t="s">
        <v>8904</v>
      </c>
      <c r="O1761" s="2" t="s">
        <v>8905</v>
      </c>
      <c r="P1761" s="2"/>
      <c r="Q1761" s="2" t="s">
        <v>62</v>
      </c>
      <c r="R1761" s="2" t="n">
        <v>0.55</v>
      </c>
      <c r="S1761" s="2" t="s">
        <v>8894</v>
      </c>
      <c r="T1761" s="2" t="s">
        <v>8821</v>
      </c>
      <c r="U1761" s="2" t="s">
        <v>8895</v>
      </c>
      <c r="V1761" s="2" t="s">
        <v>455</v>
      </c>
      <c r="W1761" s="2" t="s">
        <v>421</v>
      </c>
      <c r="X1761" s="2" t="s">
        <v>507</v>
      </c>
    </row>
    <row r="1762" customFormat="false" ht="15" hidden="false" customHeight="false" outlineLevel="0" collapsed="false">
      <c r="A1762" s="2" t="n">
        <v>2129</v>
      </c>
      <c r="B1762" s="2" t="s">
        <v>8763</v>
      </c>
      <c r="C1762" s="2" t="s">
        <v>8906</v>
      </c>
      <c r="D1762" s="2" t="s">
        <v>351</v>
      </c>
      <c r="E1762" s="2" t="s">
        <v>8825</v>
      </c>
      <c r="F1762" s="2" t="s">
        <v>8900</v>
      </c>
      <c r="G1762" s="2" t="s">
        <v>8862</v>
      </c>
      <c r="H1762" s="2" t="s">
        <v>8825</v>
      </c>
      <c r="I1762" s="2" t="s">
        <v>58</v>
      </c>
      <c r="J1762" s="2" t="n">
        <v>-6.7298</v>
      </c>
      <c r="K1762" s="2" t="n">
        <v>108.5397</v>
      </c>
      <c r="L1762" s="2" t="s">
        <v>124</v>
      </c>
      <c r="M1762" s="2" t="s">
        <v>60</v>
      </c>
      <c r="N1762" s="2"/>
      <c r="O1762" s="2" t="s">
        <v>8907</v>
      </c>
      <c r="P1762" s="2"/>
      <c r="Q1762" s="2" t="s">
        <v>62</v>
      </c>
      <c r="R1762" s="2" t="n">
        <v>0.75</v>
      </c>
      <c r="S1762" s="2" t="s">
        <v>8908</v>
      </c>
      <c r="T1762" s="2" t="s">
        <v>8909</v>
      </c>
      <c r="U1762" s="2" t="s">
        <v>8910</v>
      </c>
      <c r="V1762" s="2" t="s">
        <v>158</v>
      </c>
      <c r="W1762" s="2" t="s">
        <v>2313</v>
      </c>
      <c r="X1762" s="2" t="s">
        <v>507</v>
      </c>
    </row>
    <row r="1763" customFormat="false" ht="15" hidden="false" customHeight="false" outlineLevel="0" collapsed="false">
      <c r="A1763" s="2" t="n">
        <v>2129</v>
      </c>
      <c r="B1763" s="2" t="s">
        <v>8763</v>
      </c>
      <c r="C1763" s="2" t="s">
        <v>8911</v>
      </c>
      <c r="D1763" s="2" t="s">
        <v>351</v>
      </c>
      <c r="E1763" s="2" t="s">
        <v>8902</v>
      </c>
      <c r="F1763" s="2"/>
      <c r="G1763" s="2" t="s">
        <v>8903</v>
      </c>
      <c r="H1763" s="2" t="s">
        <v>4562</v>
      </c>
      <c r="I1763" s="2" t="s">
        <v>58</v>
      </c>
      <c r="J1763" s="2" t="n">
        <v>-6.705</v>
      </c>
      <c r="K1763" s="2" t="n">
        <v>108.505</v>
      </c>
      <c r="L1763" s="2" t="s">
        <v>84</v>
      </c>
      <c r="M1763" s="2" t="s">
        <v>1822</v>
      </c>
      <c r="N1763" s="2" t="s">
        <v>8904</v>
      </c>
      <c r="O1763" s="2" t="s">
        <v>8912</v>
      </c>
      <c r="P1763" s="2"/>
      <c r="Q1763" s="2" t="s">
        <v>62</v>
      </c>
      <c r="R1763" s="2" t="n">
        <v>0.65</v>
      </c>
      <c r="S1763" s="2" t="s">
        <v>8908</v>
      </c>
      <c r="T1763" s="2" t="s">
        <v>8909</v>
      </c>
      <c r="U1763" s="2" t="s">
        <v>8910</v>
      </c>
      <c r="V1763" s="2" t="s">
        <v>158</v>
      </c>
      <c r="W1763" s="2" t="s">
        <v>2313</v>
      </c>
      <c r="X1763" s="2" t="s">
        <v>507</v>
      </c>
    </row>
    <row r="1764" customFormat="false" ht="15" hidden="false" customHeight="false" outlineLevel="0" collapsed="false">
      <c r="A1764" s="2" t="n">
        <v>2132</v>
      </c>
      <c r="B1764" s="2" t="s">
        <v>8913</v>
      </c>
      <c r="C1764" s="2" t="s">
        <v>8914</v>
      </c>
      <c r="D1764" s="2" t="s">
        <v>351</v>
      </c>
      <c r="E1764" s="2" t="s">
        <v>8915</v>
      </c>
      <c r="F1764" s="2"/>
      <c r="G1764" s="2" t="s">
        <v>8916</v>
      </c>
      <c r="H1764" s="2" t="s">
        <v>4562</v>
      </c>
      <c r="I1764" s="2" t="s">
        <v>58</v>
      </c>
      <c r="J1764" s="2" t="n">
        <v>-6.76</v>
      </c>
      <c r="K1764" s="2" t="n">
        <v>108.48</v>
      </c>
      <c r="L1764" s="2" t="s">
        <v>84</v>
      </c>
      <c r="M1764" s="2" t="s">
        <v>340</v>
      </c>
      <c r="N1764" s="2"/>
      <c r="O1764" s="2" t="s">
        <v>8917</v>
      </c>
      <c r="P1764" s="2"/>
      <c r="Q1764" s="2" t="s">
        <v>62</v>
      </c>
      <c r="R1764" s="2" t="n">
        <v>0.6</v>
      </c>
      <c r="S1764" s="2" t="s">
        <v>8918</v>
      </c>
      <c r="T1764" s="2" t="s">
        <v>8909</v>
      </c>
      <c r="U1764" s="2" t="s">
        <v>8919</v>
      </c>
      <c r="V1764" s="2" t="s">
        <v>3212</v>
      </c>
      <c r="W1764" s="2" t="s">
        <v>5570</v>
      </c>
      <c r="X1764" s="2" t="s">
        <v>507</v>
      </c>
    </row>
    <row r="1765" customFormat="false" ht="15" hidden="false" customHeight="false" outlineLevel="0" collapsed="false">
      <c r="A1765" s="2" t="n">
        <v>2133</v>
      </c>
      <c r="B1765" s="2" t="s">
        <v>8913</v>
      </c>
      <c r="C1765" s="2" t="s">
        <v>8920</v>
      </c>
      <c r="D1765" s="2" t="s">
        <v>1140</v>
      </c>
      <c r="E1765" s="2" t="s">
        <v>8921</v>
      </c>
      <c r="F1765" s="2"/>
      <c r="G1765" s="2" t="s">
        <v>8892</v>
      </c>
      <c r="H1765" s="2" t="s">
        <v>8825</v>
      </c>
      <c r="I1765" s="2" t="s">
        <v>58</v>
      </c>
      <c r="J1765" s="2" t="n">
        <v>-6.725</v>
      </c>
      <c r="K1765" s="2" t="n">
        <v>108.57</v>
      </c>
      <c r="L1765" s="2" t="s">
        <v>84</v>
      </c>
      <c r="M1765" s="2" t="s">
        <v>60</v>
      </c>
      <c r="N1765" s="2"/>
      <c r="O1765" s="2" t="s">
        <v>8922</v>
      </c>
      <c r="P1765" s="2"/>
      <c r="Q1765" s="2" t="s">
        <v>62</v>
      </c>
      <c r="R1765" s="2" t="n">
        <v>0.7</v>
      </c>
      <c r="S1765" s="2" t="s">
        <v>8923</v>
      </c>
      <c r="T1765" s="2" t="s">
        <v>8909</v>
      </c>
      <c r="U1765" s="2" t="s">
        <v>8924</v>
      </c>
      <c r="V1765" s="2" t="s">
        <v>178</v>
      </c>
      <c r="W1765" s="2" t="s">
        <v>821</v>
      </c>
      <c r="X1765" s="2" t="s">
        <v>507</v>
      </c>
    </row>
    <row r="1766" customFormat="false" ht="15" hidden="false" customHeight="false" outlineLevel="0" collapsed="false">
      <c r="A1766" s="2" t="n">
        <v>2134</v>
      </c>
      <c r="B1766" s="2" t="s">
        <v>8913</v>
      </c>
      <c r="C1766" s="2" t="s">
        <v>8925</v>
      </c>
      <c r="D1766" s="2" t="s">
        <v>351</v>
      </c>
      <c r="E1766" s="2" t="s">
        <v>8926</v>
      </c>
      <c r="F1766" s="2"/>
      <c r="G1766" s="2"/>
      <c r="H1766" s="2" t="s">
        <v>8927</v>
      </c>
      <c r="I1766" s="2" t="s">
        <v>58</v>
      </c>
      <c r="J1766" s="2" t="n">
        <v>-6.5</v>
      </c>
      <c r="K1766" s="2" t="n">
        <v>107.76</v>
      </c>
      <c r="L1766" s="2" t="s">
        <v>101</v>
      </c>
      <c r="M1766" s="2" t="s">
        <v>60</v>
      </c>
      <c r="N1766" s="2"/>
      <c r="O1766" s="2" t="s">
        <v>8928</v>
      </c>
      <c r="P1766" s="2" t="s">
        <v>3495</v>
      </c>
      <c r="Q1766" s="2" t="s">
        <v>62</v>
      </c>
      <c r="R1766" s="2" t="n">
        <v>0.45</v>
      </c>
      <c r="S1766" s="2" t="s">
        <v>8929</v>
      </c>
      <c r="T1766" s="2" t="s">
        <v>8909</v>
      </c>
      <c r="U1766" s="2" t="s">
        <v>8930</v>
      </c>
      <c r="V1766" s="2" t="s">
        <v>745</v>
      </c>
      <c r="W1766" s="2" t="s">
        <v>2852</v>
      </c>
      <c r="X1766" s="2" t="s">
        <v>507</v>
      </c>
    </row>
    <row r="1767" customFormat="false" ht="15" hidden="false" customHeight="false" outlineLevel="0" collapsed="false">
      <c r="A1767" s="2" t="n">
        <v>2134</v>
      </c>
      <c r="B1767" s="2" t="s">
        <v>8913</v>
      </c>
      <c r="C1767" s="2" t="s">
        <v>8931</v>
      </c>
      <c r="D1767" s="2" t="s">
        <v>1130</v>
      </c>
      <c r="E1767" s="2" t="s">
        <v>117</v>
      </c>
      <c r="F1767" s="2" t="s">
        <v>6697</v>
      </c>
      <c r="G1767" s="2" t="s">
        <v>6698</v>
      </c>
      <c r="H1767" s="2" t="s">
        <v>107</v>
      </c>
      <c r="I1767" s="2" t="s">
        <v>58</v>
      </c>
      <c r="J1767" s="2" t="n">
        <v>-6.9008</v>
      </c>
      <c r="K1767" s="2" t="n">
        <v>107.6217</v>
      </c>
      <c r="L1767" s="2" t="s">
        <v>124</v>
      </c>
      <c r="M1767" s="2" t="s">
        <v>60</v>
      </c>
      <c r="N1767" s="2"/>
      <c r="O1767" s="2" t="s">
        <v>8928</v>
      </c>
      <c r="P1767" s="2" t="s">
        <v>3495</v>
      </c>
      <c r="Q1767" s="2" t="s">
        <v>62</v>
      </c>
      <c r="R1767" s="2" t="n">
        <v>0.45</v>
      </c>
      <c r="S1767" s="2" t="s">
        <v>8929</v>
      </c>
      <c r="T1767" s="2" t="s">
        <v>8909</v>
      </c>
      <c r="U1767" s="2" t="s">
        <v>8930</v>
      </c>
      <c r="V1767" s="2" t="s">
        <v>745</v>
      </c>
      <c r="W1767" s="2" t="s">
        <v>2852</v>
      </c>
      <c r="X1767" s="2" t="s">
        <v>507</v>
      </c>
    </row>
    <row r="1768" customFormat="false" ht="15" hidden="false" customHeight="false" outlineLevel="0" collapsed="false">
      <c r="A1768" s="2" t="n">
        <v>2135</v>
      </c>
      <c r="B1768" s="2" t="s">
        <v>8913</v>
      </c>
      <c r="C1768" s="2" t="s">
        <v>8932</v>
      </c>
      <c r="D1768" s="2" t="s">
        <v>1130</v>
      </c>
      <c r="E1768" s="2" t="s">
        <v>8933</v>
      </c>
      <c r="F1768" s="2" t="s">
        <v>8934</v>
      </c>
      <c r="G1768" s="2" t="s">
        <v>8935</v>
      </c>
      <c r="H1768" s="2" t="s">
        <v>8936</v>
      </c>
      <c r="I1768" s="2" t="s">
        <v>58</v>
      </c>
      <c r="J1768" s="2" t="n">
        <v>-6.88</v>
      </c>
      <c r="K1768" s="2" t="n">
        <v>108.49</v>
      </c>
      <c r="L1768" s="2" t="s">
        <v>84</v>
      </c>
      <c r="M1768" s="2" t="s">
        <v>60</v>
      </c>
      <c r="N1768" s="2"/>
      <c r="O1768" s="2" t="s">
        <v>8937</v>
      </c>
      <c r="P1768" s="2"/>
      <c r="Q1768" s="2" t="s">
        <v>62</v>
      </c>
      <c r="R1768" s="2" t="n">
        <v>0.5</v>
      </c>
      <c r="S1768" s="2" t="s">
        <v>8938</v>
      </c>
      <c r="T1768" s="2" t="s">
        <v>743</v>
      </c>
      <c r="U1768" s="2" t="s">
        <v>8939</v>
      </c>
      <c r="V1768" s="2" t="s">
        <v>178</v>
      </c>
      <c r="W1768" s="2" t="s">
        <v>5744</v>
      </c>
      <c r="X1768" s="2" t="s">
        <v>507</v>
      </c>
    </row>
    <row r="1769" customFormat="false" ht="15" hidden="false" customHeight="false" outlineLevel="0" collapsed="false">
      <c r="A1769" s="2" t="n">
        <v>2139</v>
      </c>
      <c r="B1769" s="2" t="s">
        <v>8913</v>
      </c>
      <c r="C1769" s="2" t="s">
        <v>8940</v>
      </c>
      <c r="D1769" s="2" t="s">
        <v>351</v>
      </c>
      <c r="E1769" s="2" t="s">
        <v>8941</v>
      </c>
      <c r="F1769" s="2" t="s">
        <v>8942</v>
      </c>
      <c r="G1769" s="2" t="s">
        <v>8943</v>
      </c>
      <c r="H1769" s="2" t="s">
        <v>4562</v>
      </c>
      <c r="I1769" s="2" t="s">
        <v>58</v>
      </c>
      <c r="J1769" s="2" t="n">
        <v>-6.705</v>
      </c>
      <c r="K1769" s="2" t="n">
        <v>108.47</v>
      </c>
      <c r="L1769" s="2" t="s">
        <v>84</v>
      </c>
      <c r="M1769" s="2" t="s">
        <v>340</v>
      </c>
      <c r="N1769" s="2"/>
      <c r="O1769" s="2" t="s">
        <v>8944</v>
      </c>
      <c r="P1769" s="2" t="s">
        <v>2687</v>
      </c>
      <c r="Q1769" s="2" t="s">
        <v>110</v>
      </c>
      <c r="R1769" s="2" t="n">
        <v>0.4</v>
      </c>
      <c r="S1769" s="2" t="s">
        <v>8945</v>
      </c>
      <c r="T1769" s="2" t="s">
        <v>4567</v>
      </c>
      <c r="U1769" s="2" t="s">
        <v>8946</v>
      </c>
      <c r="V1769" s="2" t="s">
        <v>8947</v>
      </c>
      <c r="W1769" s="2" t="s">
        <v>421</v>
      </c>
      <c r="X1769" s="2" t="s">
        <v>507</v>
      </c>
    </row>
    <row r="1770" customFormat="false" ht="15" hidden="false" customHeight="false" outlineLevel="0" collapsed="false">
      <c r="A1770" s="2" t="n">
        <v>2140</v>
      </c>
      <c r="B1770" s="2" t="s">
        <v>8913</v>
      </c>
      <c r="C1770" s="2" t="s">
        <v>8948</v>
      </c>
      <c r="D1770" s="2" t="s">
        <v>351</v>
      </c>
      <c r="E1770" s="2" t="s">
        <v>8949</v>
      </c>
      <c r="F1770" s="2"/>
      <c r="G1770" s="2"/>
      <c r="H1770" s="2" t="s">
        <v>8825</v>
      </c>
      <c r="I1770" s="2" t="s">
        <v>58</v>
      </c>
      <c r="J1770" s="2" t="n">
        <v>-6.732</v>
      </c>
      <c r="K1770" s="2" t="n">
        <v>108.552</v>
      </c>
      <c r="L1770" s="2" t="s">
        <v>101</v>
      </c>
      <c r="M1770" s="2" t="s">
        <v>340</v>
      </c>
      <c r="N1770" s="2"/>
      <c r="O1770" s="2" t="s">
        <v>8950</v>
      </c>
      <c r="P1770" s="2"/>
      <c r="Q1770" s="2" t="s">
        <v>110</v>
      </c>
      <c r="R1770" s="2" t="n">
        <v>0.45</v>
      </c>
      <c r="S1770" s="2" t="s">
        <v>8951</v>
      </c>
      <c r="T1770" s="2" t="s">
        <v>8821</v>
      </c>
      <c r="U1770" s="2" t="s">
        <v>8952</v>
      </c>
      <c r="V1770" s="2" t="s">
        <v>2979</v>
      </c>
      <c r="W1770" s="2" t="s">
        <v>67</v>
      </c>
      <c r="X1770" s="2" t="s">
        <v>507</v>
      </c>
    </row>
    <row r="1771" customFormat="false" ht="15" hidden="false" customHeight="false" outlineLevel="0" collapsed="false">
      <c r="A1771" s="2" t="n">
        <v>2141</v>
      </c>
      <c r="B1771" s="2" t="s">
        <v>8913</v>
      </c>
      <c r="C1771" s="2" t="s">
        <v>8953</v>
      </c>
      <c r="D1771" s="2" t="s">
        <v>351</v>
      </c>
      <c r="E1771" s="2" t="s">
        <v>8825</v>
      </c>
      <c r="F1771" s="2"/>
      <c r="G1771" s="2"/>
      <c r="H1771" s="2" t="s">
        <v>8825</v>
      </c>
      <c r="I1771" s="2" t="s">
        <v>58</v>
      </c>
      <c r="J1771" s="2" t="n">
        <v>-6.732</v>
      </c>
      <c r="K1771" s="2" t="n">
        <v>108.552</v>
      </c>
      <c r="L1771" s="2" t="s">
        <v>101</v>
      </c>
      <c r="M1771" s="2" t="s">
        <v>340</v>
      </c>
      <c r="N1771" s="2"/>
      <c r="O1771" s="2" t="s">
        <v>8954</v>
      </c>
      <c r="P1771" s="2" t="s">
        <v>8955</v>
      </c>
      <c r="Q1771" s="2" t="s">
        <v>110</v>
      </c>
      <c r="R1771" s="2" t="n">
        <v>0.35</v>
      </c>
      <c r="S1771" s="2" t="s">
        <v>8956</v>
      </c>
      <c r="T1771" s="2" t="s">
        <v>8909</v>
      </c>
      <c r="U1771" s="2" t="s">
        <v>8957</v>
      </c>
      <c r="V1771" s="2" t="s">
        <v>3793</v>
      </c>
      <c r="W1771" s="2" t="s">
        <v>776</v>
      </c>
      <c r="X1771" s="2" t="s">
        <v>507</v>
      </c>
    </row>
    <row r="1772" customFormat="false" ht="15" hidden="false" customHeight="false" outlineLevel="0" collapsed="false">
      <c r="A1772" s="2" t="n">
        <v>2144</v>
      </c>
      <c r="B1772" s="2" t="s">
        <v>8913</v>
      </c>
      <c r="C1772" s="2" t="s">
        <v>8948</v>
      </c>
      <c r="D1772" s="2" t="s">
        <v>351</v>
      </c>
      <c r="E1772" s="2" t="s">
        <v>8949</v>
      </c>
      <c r="F1772" s="2"/>
      <c r="G1772" s="2"/>
      <c r="H1772" s="2" t="s">
        <v>8825</v>
      </c>
      <c r="I1772" s="2" t="s">
        <v>58</v>
      </c>
      <c r="J1772" s="2" t="n">
        <v>-6.732</v>
      </c>
      <c r="K1772" s="2" t="n">
        <v>108.552</v>
      </c>
      <c r="L1772" s="2" t="s">
        <v>101</v>
      </c>
      <c r="M1772" s="2" t="s">
        <v>340</v>
      </c>
      <c r="N1772" s="2"/>
      <c r="O1772" s="2" t="s">
        <v>8958</v>
      </c>
      <c r="P1772" s="2" t="s">
        <v>8828</v>
      </c>
      <c r="Q1772" s="2" t="s">
        <v>110</v>
      </c>
      <c r="R1772" s="2" t="n">
        <v>0.45</v>
      </c>
      <c r="S1772" s="2" t="s">
        <v>8959</v>
      </c>
      <c r="T1772" s="2" t="s">
        <v>8960</v>
      </c>
      <c r="U1772" s="2" t="s">
        <v>8961</v>
      </c>
      <c r="V1772" s="2" t="s">
        <v>97</v>
      </c>
      <c r="W1772" s="2" t="s">
        <v>783</v>
      </c>
      <c r="X1772" s="2" t="s">
        <v>507</v>
      </c>
    </row>
    <row r="1773" customFormat="false" ht="15" hidden="false" customHeight="false" outlineLevel="0" collapsed="false">
      <c r="A1773" s="2" t="n">
        <v>2145</v>
      </c>
      <c r="B1773" s="2" t="s">
        <v>8913</v>
      </c>
      <c r="C1773" s="2" t="s">
        <v>8962</v>
      </c>
      <c r="D1773" s="2" t="s">
        <v>121</v>
      </c>
      <c r="E1773" s="2" t="s">
        <v>8963</v>
      </c>
      <c r="F1773" s="2" t="s">
        <v>8964</v>
      </c>
      <c r="G1773" s="2" t="s">
        <v>8862</v>
      </c>
      <c r="H1773" s="2" t="s">
        <v>8825</v>
      </c>
      <c r="I1773" s="2" t="s">
        <v>58</v>
      </c>
      <c r="J1773" s="2" t="n">
        <v>-6.725</v>
      </c>
      <c r="K1773" s="2" t="n">
        <v>108.545</v>
      </c>
      <c r="L1773" s="2" t="s">
        <v>84</v>
      </c>
      <c r="M1773" s="2" t="s">
        <v>340</v>
      </c>
      <c r="N1773" s="2"/>
      <c r="O1773" s="2" t="s">
        <v>8965</v>
      </c>
      <c r="P1773" s="2" t="s">
        <v>8966</v>
      </c>
      <c r="Q1773" s="2" t="s">
        <v>62</v>
      </c>
      <c r="R1773" s="2" t="n">
        <v>0.75</v>
      </c>
      <c r="S1773" s="2" t="s">
        <v>8967</v>
      </c>
      <c r="T1773" s="2" t="s">
        <v>8821</v>
      </c>
      <c r="U1773" s="2" t="s">
        <v>8968</v>
      </c>
      <c r="V1773" s="2" t="s">
        <v>4359</v>
      </c>
      <c r="W1773" s="2" t="s">
        <v>2370</v>
      </c>
      <c r="X1773" s="2" t="s">
        <v>507</v>
      </c>
    </row>
    <row r="1774" customFormat="false" ht="15" hidden="false" customHeight="false" outlineLevel="0" collapsed="false">
      <c r="A1774" s="2" t="n">
        <v>2146</v>
      </c>
      <c r="B1774" s="2" t="s">
        <v>8913</v>
      </c>
      <c r="C1774" s="2" t="s">
        <v>8969</v>
      </c>
      <c r="D1774" s="2" t="s">
        <v>1130</v>
      </c>
      <c r="E1774" s="2" t="s">
        <v>8825</v>
      </c>
      <c r="F1774" s="2" t="s">
        <v>8892</v>
      </c>
      <c r="G1774" s="2" t="s">
        <v>8892</v>
      </c>
      <c r="H1774" s="2" t="s">
        <v>8825</v>
      </c>
      <c r="I1774" s="2" t="s">
        <v>58</v>
      </c>
      <c r="J1774" s="2" t="n">
        <v>-6.724</v>
      </c>
      <c r="K1774" s="2" t="n">
        <v>108.567</v>
      </c>
      <c r="L1774" s="2" t="s">
        <v>59</v>
      </c>
      <c r="M1774" s="2" t="s">
        <v>60</v>
      </c>
      <c r="N1774" s="2"/>
      <c r="O1774" s="2" t="s">
        <v>8970</v>
      </c>
      <c r="P1774" s="2" t="s">
        <v>8971</v>
      </c>
      <c r="Q1774" s="2" t="s">
        <v>62</v>
      </c>
      <c r="R1774" s="2" t="n">
        <v>0.45</v>
      </c>
      <c r="S1774" s="2" t="s">
        <v>8972</v>
      </c>
      <c r="T1774" s="2" t="s">
        <v>8821</v>
      </c>
      <c r="U1774" s="2" t="s">
        <v>8973</v>
      </c>
      <c r="V1774" s="2" t="s">
        <v>4359</v>
      </c>
      <c r="W1774" s="2" t="s">
        <v>3398</v>
      </c>
      <c r="X1774" s="2" t="s">
        <v>507</v>
      </c>
    </row>
    <row r="1775" customFormat="false" ht="15" hidden="false" customHeight="false" outlineLevel="0" collapsed="false">
      <c r="A1775" s="2" t="n">
        <v>2151</v>
      </c>
      <c r="B1775" s="2" t="s">
        <v>8913</v>
      </c>
      <c r="C1775" s="2" t="s">
        <v>8974</v>
      </c>
      <c r="D1775" s="2" t="s">
        <v>121</v>
      </c>
      <c r="E1775" s="2" t="s">
        <v>8975</v>
      </c>
      <c r="F1775" s="2"/>
      <c r="G1775" s="2" t="s">
        <v>8862</v>
      </c>
      <c r="H1775" s="2" t="s">
        <v>8825</v>
      </c>
      <c r="I1775" s="2" t="s">
        <v>58</v>
      </c>
      <c r="J1775" s="2" t="n">
        <v>-6.725</v>
      </c>
      <c r="K1775" s="2" t="n">
        <v>108.545</v>
      </c>
      <c r="L1775" s="2" t="s">
        <v>84</v>
      </c>
      <c r="M1775" s="2" t="s">
        <v>1822</v>
      </c>
      <c r="N1775" s="2" t="s">
        <v>8976</v>
      </c>
      <c r="O1775" s="2" t="s">
        <v>8977</v>
      </c>
      <c r="P1775" s="2" t="s">
        <v>8978</v>
      </c>
      <c r="Q1775" s="2" t="s">
        <v>62</v>
      </c>
      <c r="R1775" s="2" t="n">
        <v>0.7</v>
      </c>
      <c r="S1775" s="2" t="s">
        <v>8979</v>
      </c>
      <c r="T1775" s="2" t="s">
        <v>8909</v>
      </c>
      <c r="U1775" s="2" t="s">
        <v>8980</v>
      </c>
      <c r="V1775" s="2" t="s">
        <v>745</v>
      </c>
      <c r="W1775" s="2" t="s">
        <v>495</v>
      </c>
      <c r="X1775" s="2" t="s">
        <v>507</v>
      </c>
    </row>
    <row r="1776" customFormat="false" ht="15" hidden="false" customHeight="false" outlineLevel="0" collapsed="false">
      <c r="A1776" s="2" t="n">
        <v>2152</v>
      </c>
      <c r="B1776" s="2" t="s">
        <v>8913</v>
      </c>
      <c r="C1776" s="2" t="s">
        <v>8981</v>
      </c>
      <c r="D1776" s="2" t="s">
        <v>121</v>
      </c>
      <c r="E1776" s="2" t="s">
        <v>8982</v>
      </c>
      <c r="F1776" s="2"/>
      <c r="G1776" s="2" t="s">
        <v>8983</v>
      </c>
      <c r="H1776" s="2" t="s">
        <v>8825</v>
      </c>
      <c r="I1776" s="2" t="s">
        <v>58</v>
      </c>
      <c r="J1776" s="2" t="n">
        <v>-6.72</v>
      </c>
      <c r="K1776" s="2" t="n">
        <v>108.563</v>
      </c>
      <c r="L1776" s="2" t="s">
        <v>84</v>
      </c>
      <c r="M1776" s="2" t="s">
        <v>340</v>
      </c>
      <c r="N1776" s="2"/>
      <c r="O1776" s="2" t="s">
        <v>8984</v>
      </c>
      <c r="P1776" s="2" t="s">
        <v>298</v>
      </c>
      <c r="Q1776" s="2" t="s">
        <v>62</v>
      </c>
      <c r="R1776" s="2" t="n">
        <v>0.6</v>
      </c>
      <c r="S1776" s="2" t="s">
        <v>8985</v>
      </c>
      <c r="T1776" s="2" t="s">
        <v>8909</v>
      </c>
      <c r="U1776" s="2" t="s">
        <v>8986</v>
      </c>
      <c r="V1776" s="2" t="s">
        <v>867</v>
      </c>
      <c r="W1776" s="2" t="s">
        <v>2215</v>
      </c>
      <c r="X1776" s="2" t="s">
        <v>507</v>
      </c>
    </row>
    <row r="1777" customFormat="false" ht="15" hidden="false" customHeight="false" outlineLevel="0" collapsed="false">
      <c r="A1777" s="2" t="n">
        <v>2152</v>
      </c>
      <c r="B1777" s="2" t="s">
        <v>8913</v>
      </c>
      <c r="C1777" s="2" t="s">
        <v>8987</v>
      </c>
      <c r="D1777" s="2" t="s">
        <v>121</v>
      </c>
      <c r="E1777" s="2" t="s">
        <v>8825</v>
      </c>
      <c r="F1777" s="2"/>
      <c r="G1777" s="2"/>
      <c r="H1777" s="2" t="s">
        <v>8825</v>
      </c>
      <c r="I1777" s="2" t="s">
        <v>58</v>
      </c>
      <c r="J1777" s="2" t="n">
        <v>-6.732</v>
      </c>
      <c r="K1777" s="2" t="n">
        <v>108.552</v>
      </c>
      <c r="L1777" s="2" t="s">
        <v>101</v>
      </c>
      <c r="M1777" s="2" t="s">
        <v>340</v>
      </c>
      <c r="N1777" s="2"/>
      <c r="O1777" s="2" t="s">
        <v>8988</v>
      </c>
      <c r="P1777" s="2" t="s">
        <v>298</v>
      </c>
      <c r="Q1777" s="2" t="s">
        <v>62</v>
      </c>
      <c r="R1777" s="2" t="n">
        <v>0.65</v>
      </c>
      <c r="S1777" s="2" t="s">
        <v>8985</v>
      </c>
      <c r="T1777" s="2" t="s">
        <v>8909</v>
      </c>
      <c r="U1777" s="2" t="s">
        <v>8986</v>
      </c>
      <c r="V1777" s="2" t="s">
        <v>867</v>
      </c>
      <c r="W1777" s="2" t="s">
        <v>2215</v>
      </c>
      <c r="X1777" s="2" t="s">
        <v>507</v>
      </c>
    </row>
    <row r="1778" customFormat="false" ht="15" hidden="false" customHeight="false" outlineLevel="0" collapsed="false">
      <c r="A1778" s="2" t="n">
        <v>2153</v>
      </c>
      <c r="B1778" s="2" t="s">
        <v>8913</v>
      </c>
      <c r="C1778" s="2" t="s">
        <v>8974</v>
      </c>
      <c r="D1778" s="2" t="s">
        <v>121</v>
      </c>
      <c r="E1778" s="2" t="s">
        <v>8975</v>
      </c>
      <c r="F1778" s="2"/>
      <c r="G1778" s="2" t="s">
        <v>8862</v>
      </c>
      <c r="H1778" s="2" t="s">
        <v>8825</v>
      </c>
      <c r="I1778" s="2" t="s">
        <v>58</v>
      </c>
      <c r="J1778" s="2" t="n">
        <v>-6.725</v>
      </c>
      <c r="K1778" s="2" t="n">
        <v>108.545</v>
      </c>
      <c r="L1778" s="2" t="s">
        <v>84</v>
      </c>
      <c r="M1778" s="2" t="s">
        <v>1822</v>
      </c>
      <c r="N1778" s="2" t="s">
        <v>8976</v>
      </c>
      <c r="O1778" s="2" t="s">
        <v>8989</v>
      </c>
      <c r="P1778" s="2" t="s">
        <v>8978</v>
      </c>
      <c r="Q1778" s="2" t="s">
        <v>62</v>
      </c>
      <c r="R1778" s="2" t="n">
        <v>0.7</v>
      </c>
      <c r="S1778" s="2" t="s">
        <v>8990</v>
      </c>
      <c r="T1778" s="2" t="s">
        <v>8821</v>
      </c>
      <c r="U1778" s="2" t="s">
        <v>8991</v>
      </c>
      <c r="V1778" s="2" t="s">
        <v>1170</v>
      </c>
      <c r="W1778" s="2" t="s">
        <v>1429</v>
      </c>
      <c r="X1778" s="2" t="s">
        <v>507</v>
      </c>
    </row>
    <row r="1779" customFormat="false" ht="15" hidden="false" customHeight="false" outlineLevel="0" collapsed="false">
      <c r="A1779" s="2" t="n">
        <v>2155</v>
      </c>
      <c r="B1779" s="2" t="s">
        <v>8913</v>
      </c>
      <c r="C1779" s="2" t="s">
        <v>8992</v>
      </c>
      <c r="D1779" s="2" t="s">
        <v>53</v>
      </c>
      <c r="E1779" s="2" t="s">
        <v>8993</v>
      </c>
      <c r="F1779" s="2"/>
      <c r="G1779" s="2"/>
      <c r="H1779" s="2" t="s">
        <v>8994</v>
      </c>
      <c r="I1779" s="2" t="s">
        <v>58</v>
      </c>
      <c r="J1779" s="2" t="n">
        <v>-7.33</v>
      </c>
      <c r="K1779" s="2" t="n">
        <v>108.22</v>
      </c>
      <c r="L1779" s="2" t="s">
        <v>101</v>
      </c>
      <c r="M1779" s="2" t="s">
        <v>340</v>
      </c>
      <c r="N1779" s="2"/>
      <c r="O1779" s="2" t="s">
        <v>8995</v>
      </c>
      <c r="P1779" s="2" t="s">
        <v>8759</v>
      </c>
      <c r="Q1779" s="2" t="s">
        <v>110</v>
      </c>
      <c r="R1779" s="2" t="n">
        <v>0.85</v>
      </c>
      <c r="S1779" s="2" t="s">
        <v>8996</v>
      </c>
      <c r="T1779" s="2" t="s">
        <v>915</v>
      </c>
      <c r="U1779" s="2" t="s">
        <v>8997</v>
      </c>
      <c r="V1779" s="2" t="s">
        <v>8998</v>
      </c>
      <c r="W1779" s="2" t="s">
        <v>1354</v>
      </c>
      <c r="X1779" s="2" t="s">
        <v>507</v>
      </c>
    </row>
    <row r="1780" customFormat="false" ht="15" hidden="false" customHeight="false" outlineLevel="0" collapsed="false">
      <c r="A1780" s="2" t="n">
        <v>2156</v>
      </c>
      <c r="B1780" s="2" t="s">
        <v>8913</v>
      </c>
      <c r="C1780" s="2" t="s">
        <v>8999</v>
      </c>
      <c r="D1780" s="2" t="s">
        <v>410</v>
      </c>
      <c r="E1780" s="2" t="s">
        <v>9000</v>
      </c>
      <c r="F1780" s="2" t="s">
        <v>9001</v>
      </c>
      <c r="G1780" s="2" t="s">
        <v>9002</v>
      </c>
      <c r="H1780" s="2" t="s">
        <v>9003</v>
      </c>
      <c r="I1780" s="2" t="s">
        <v>58</v>
      </c>
      <c r="J1780" s="2" t="n">
        <v>-7.72</v>
      </c>
      <c r="K1780" s="2" t="n">
        <v>108.03</v>
      </c>
      <c r="L1780" s="2" t="s">
        <v>84</v>
      </c>
      <c r="M1780" s="2" t="s">
        <v>340</v>
      </c>
      <c r="N1780" s="2"/>
      <c r="O1780" s="2" t="s">
        <v>9004</v>
      </c>
      <c r="P1780" s="2"/>
      <c r="Q1780" s="2" t="s">
        <v>110</v>
      </c>
      <c r="R1780" s="2" t="n">
        <v>0.9</v>
      </c>
      <c r="S1780" s="2" t="s">
        <v>9005</v>
      </c>
      <c r="T1780" s="2" t="s">
        <v>5210</v>
      </c>
      <c r="U1780" s="2" t="s">
        <v>9006</v>
      </c>
      <c r="V1780" s="2" t="s">
        <v>114</v>
      </c>
      <c r="W1780" s="2" t="s">
        <v>2196</v>
      </c>
      <c r="X1780" s="2" t="s">
        <v>507</v>
      </c>
    </row>
    <row r="1781" customFormat="false" ht="15" hidden="false" customHeight="false" outlineLevel="0" collapsed="false">
      <c r="A1781" s="2" t="n">
        <v>2157</v>
      </c>
      <c r="B1781" s="2" t="s">
        <v>8913</v>
      </c>
      <c r="C1781" s="2" t="s">
        <v>9007</v>
      </c>
      <c r="D1781" s="2" t="s">
        <v>410</v>
      </c>
      <c r="E1781" s="2" t="s">
        <v>9008</v>
      </c>
      <c r="F1781" s="2" t="s">
        <v>9009</v>
      </c>
      <c r="G1781" s="2" t="s">
        <v>9010</v>
      </c>
      <c r="H1781" s="2" t="s">
        <v>9003</v>
      </c>
      <c r="I1781" s="2" t="s">
        <v>58</v>
      </c>
      <c r="J1781" s="2" t="n">
        <v>-7.63</v>
      </c>
      <c r="K1781" s="2" t="n">
        <v>108.06</v>
      </c>
      <c r="L1781" s="2" t="s">
        <v>84</v>
      </c>
      <c r="M1781" s="2" t="s">
        <v>340</v>
      </c>
      <c r="N1781" s="2"/>
      <c r="O1781" s="2" t="s">
        <v>9011</v>
      </c>
      <c r="P1781" s="2"/>
      <c r="Q1781" s="2" t="s">
        <v>110</v>
      </c>
      <c r="R1781" s="2" t="n">
        <v>0.8</v>
      </c>
      <c r="S1781" s="2" t="s">
        <v>9012</v>
      </c>
      <c r="T1781" s="2" t="s">
        <v>9013</v>
      </c>
      <c r="U1781" s="2" t="s">
        <v>9014</v>
      </c>
      <c r="V1781" s="2" t="s">
        <v>1077</v>
      </c>
      <c r="W1781" s="2" t="s">
        <v>805</v>
      </c>
      <c r="X1781" s="2" t="s">
        <v>507</v>
      </c>
    </row>
    <row r="1782" customFormat="false" ht="15" hidden="false" customHeight="false" outlineLevel="0" collapsed="false">
      <c r="A1782" s="2" t="n">
        <v>2158</v>
      </c>
      <c r="B1782" s="2" t="s">
        <v>8913</v>
      </c>
      <c r="C1782" s="2" t="s">
        <v>9015</v>
      </c>
      <c r="D1782" s="2" t="s">
        <v>410</v>
      </c>
      <c r="E1782" s="2" t="s">
        <v>9016</v>
      </c>
      <c r="F1782" s="2"/>
      <c r="G1782" s="2" t="s">
        <v>9017</v>
      </c>
      <c r="H1782" s="2" t="s">
        <v>9003</v>
      </c>
      <c r="I1782" s="2" t="s">
        <v>58</v>
      </c>
      <c r="J1782" s="2" t="n">
        <v>-7.5</v>
      </c>
      <c r="K1782" s="2" t="n">
        <v>108.13</v>
      </c>
      <c r="L1782" s="2" t="s">
        <v>101</v>
      </c>
      <c r="M1782" s="2" t="s">
        <v>60</v>
      </c>
      <c r="N1782" s="2"/>
      <c r="O1782" s="2" t="s">
        <v>9018</v>
      </c>
      <c r="P1782" s="2"/>
      <c r="Q1782" s="2" t="s">
        <v>110</v>
      </c>
      <c r="R1782" s="2" t="n">
        <v>0.5</v>
      </c>
      <c r="S1782" s="2" t="s">
        <v>9019</v>
      </c>
      <c r="T1782" s="2" t="s">
        <v>9020</v>
      </c>
      <c r="U1782" s="2" t="s">
        <v>9021</v>
      </c>
      <c r="V1782" s="2" t="s">
        <v>178</v>
      </c>
      <c r="W1782" s="2" t="s">
        <v>3506</v>
      </c>
      <c r="X1782" s="2" t="s">
        <v>507</v>
      </c>
    </row>
    <row r="1783" customFormat="false" ht="15" hidden="false" customHeight="false" outlineLevel="0" collapsed="false">
      <c r="A1783" s="2" t="n">
        <v>2159</v>
      </c>
      <c r="B1783" s="2" t="s">
        <v>8913</v>
      </c>
      <c r="C1783" s="2" t="s">
        <v>9022</v>
      </c>
      <c r="D1783" s="2" t="s">
        <v>351</v>
      </c>
      <c r="E1783" s="2" t="s">
        <v>9023</v>
      </c>
      <c r="F1783" s="2"/>
      <c r="G1783" s="2"/>
      <c r="H1783" s="2"/>
      <c r="I1783" s="2" t="s">
        <v>58</v>
      </c>
      <c r="J1783" s="2" t="n">
        <v>-6.92</v>
      </c>
      <c r="K1783" s="2" t="n">
        <v>107.6</v>
      </c>
      <c r="L1783" s="2" t="s">
        <v>239</v>
      </c>
      <c r="M1783" s="2" t="s">
        <v>60</v>
      </c>
      <c r="N1783" s="2" t="s">
        <v>9024</v>
      </c>
      <c r="O1783" s="2" t="s">
        <v>9025</v>
      </c>
      <c r="P1783" s="2" t="s">
        <v>6031</v>
      </c>
      <c r="Q1783" s="2" t="s">
        <v>110</v>
      </c>
      <c r="R1783" s="2" t="n">
        <v>0.7</v>
      </c>
      <c r="S1783" s="2" t="s">
        <v>9026</v>
      </c>
      <c r="T1783" s="2" t="s">
        <v>915</v>
      </c>
      <c r="U1783" s="2" t="s">
        <v>9027</v>
      </c>
      <c r="V1783" s="2" t="s">
        <v>1874</v>
      </c>
      <c r="W1783" s="2" t="s">
        <v>987</v>
      </c>
      <c r="X1783" s="2" t="s">
        <v>507</v>
      </c>
    </row>
    <row r="1784" customFormat="false" ht="15" hidden="false" customHeight="false" outlineLevel="0" collapsed="false">
      <c r="A1784" s="2" t="n">
        <v>2163</v>
      </c>
      <c r="B1784" s="2" t="s">
        <v>9028</v>
      </c>
      <c r="C1784" s="2" t="s">
        <v>9029</v>
      </c>
      <c r="D1784" s="2" t="s">
        <v>1130</v>
      </c>
      <c r="E1784" s="2" t="s">
        <v>9030</v>
      </c>
      <c r="F1784" s="2"/>
      <c r="G1784" s="2" t="s">
        <v>338</v>
      </c>
      <c r="H1784" s="2" t="s">
        <v>8994</v>
      </c>
      <c r="I1784" s="2" t="s">
        <v>58</v>
      </c>
      <c r="J1784" s="2" t="n">
        <v>-7.315</v>
      </c>
      <c r="K1784" s="2" t="n">
        <v>108.215</v>
      </c>
      <c r="L1784" s="2" t="s">
        <v>84</v>
      </c>
      <c r="M1784" s="2" t="s">
        <v>340</v>
      </c>
      <c r="N1784" s="2"/>
      <c r="O1784" s="2" t="s">
        <v>9031</v>
      </c>
      <c r="P1784" s="2" t="s">
        <v>1402</v>
      </c>
      <c r="Q1784" s="2" t="s">
        <v>62</v>
      </c>
      <c r="R1784" s="2" t="n">
        <v>0.55</v>
      </c>
      <c r="S1784" s="2" t="s">
        <v>9032</v>
      </c>
      <c r="T1784" s="2" t="s">
        <v>9033</v>
      </c>
      <c r="U1784" s="2" t="s">
        <v>9034</v>
      </c>
      <c r="V1784" s="2" t="s">
        <v>1874</v>
      </c>
      <c r="W1784" s="2" t="s">
        <v>2489</v>
      </c>
      <c r="X1784" s="2" t="s">
        <v>507</v>
      </c>
    </row>
    <row r="1785" customFormat="false" ht="15" hidden="false" customHeight="false" outlineLevel="0" collapsed="false">
      <c r="A1785" s="2" t="n">
        <v>2168</v>
      </c>
      <c r="B1785" s="2" t="s">
        <v>9028</v>
      </c>
      <c r="C1785" s="2" t="s">
        <v>9035</v>
      </c>
      <c r="D1785" s="2" t="s">
        <v>351</v>
      </c>
      <c r="E1785" s="2" t="s">
        <v>8994</v>
      </c>
      <c r="F1785" s="2"/>
      <c r="G1785" s="2"/>
      <c r="H1785" s="2" t="s">
        <v>8994</v>
      </c>
      <c r="I1785" s="2" t="s">
        <v>58</v>
      </c>
      <c r="J1785" s="2" t="n">
        <v>-7.33</v>
      </c>
      <c r="K1785" s="2" t="n">
        <v>108.22</v>
      </c>
      <c r="L1785" s="2" t="s">
        <v>101</v>
      </c>
      <c r="M1785" s="2" t="s">
        <v>340</v>
      </c>
      <c r="N1785" s="2" t="s">
        <v>9036</v>
      </c>
      <c r="O1785" s="2" t="s">
        <v>9037</v>
      </c>
      <c r="P1785" s="2"/>
      <c r="Q1785" s="2" t="s">
        <v>62</v>
      </c>
      <c r="R1785" s="2" t="n">
        <v>0.6</v>
      </c>
      <c r="S1785" s="2" t="s">
        <v>9038</v>
      </c>
      <c r="T1785" s="2" t="s">
        <v>9039</v>
      </c>
      <c r="U1785" s="2" t="s">
        <v>9040</v>
      </c>
      <c r="V1785" s="2" t="s">
        <v>9041</v>
      </c>
      <c r="W1785" s="2" t="s">
        <v>1332</v>
      </c>
      <c r="X1785" s="2" t="s">
        <v>507</v>
      </c>
    </row>
    <row r="1786" customFormat="false" ht="15" hidden="false" customHeight="false" outlineLevel="0" collapsed="false">
      <c r="A1786" s="2" t="n">
        <v>2179</v>
      </c>
      <c r="B1786" s="2" t="s">
        <v>9028</v>
      </c>
      <c r="C1786" s="2" t="s">
        <v>9042</v>
      </c>
      <c r="D1786" s="2" t="s">
        <v>53</v>
      </c>
      <c r="E1786" s="2" t="s">
        <v>9043</v>
      </c>
      <c r="F1786" s="2" t="s">
        <v>653</v>
      </c>
      <c r="G1786" s="2" t="s">
        <v>654</v>
      </c>
      <c r="H1786" s="2" t="s">
        <v>655</v>
      </c>
      <c r="I1786" s="2" t="s">
        <v>656</v>
      </c>
      <c r="J1786" s="2" t="n">
        <v>1.13</v>
      </c>
      <c r="K1786" s="2" t="n">
        <v>104.05</v>
      </c>
      <c r="L1786" s="2" t="s">
        <v>84</v>
      </c>
      <c r="M1786" s="2" t="s">
        <v>60</v>
      </c>
      <c r="N1786" s="2"/>
      <c r="O1786" s="2" t="s">
        <v>9044</v>
      </c>
      <c r="P1786" s="2"/>
      <c r="Q1786" s="2" t="s">
        <v>62</v>
      </c>
      <c r="R1786" s="2" t="n">
        <v>0.75</v>
      </c>
      <c r="S1786" s="2" t="s">
        <v>9045</v>
      </c>
      <c r="T1786" s="2" t="s">
        <v>659</v>
      </c>
      <c r="U1786" s="2" t="s">
        <v>9046</v>
      </c>
      <c r="V1786" s="2" t="s">
        <v>2036</v>
      </c>
      <c r="W1786" s="2" t="s">
        <v>421</v>
      </c>
      <c r="X1786" s="2" t="s">
        <v>507</v>
      </c>
    </row>
    <row r="1787" customFormat="false" ht="15" hidden="false" customHeight="false" outlineLevel="0" collapsed="false">
      <c r="A1787" s="2" t="n">
        <v>2179</v>
      </c>
      <c r="B1787" s="2" t="s">
        <v>9028</v>
      </c>
      <c r="C1787" s="2" t="s">
        <v>9047</v>
      </c>
      <c r="D1787" s="2" t="s">
        <v>134</v>
      </c>
      <c r="E1787" s="2" t="s">
        <v>9048</v>
      </c>
      <c r="F1787" s="2" t="s">
        <v>2421</v>
      </c>
      <c r="G1787" s="2" t="s">
        <v>654</v>
      </c>
      <c r="H1787" s="2" t="s">
        <v>655</v>
      </c>
      <c r="I1787" s="2" t="s">
        <v>656</v>
      </c>
      <c r="J1787" s="2" t="n">
        <v>1.13</v>
      </c>
      <c r="K1787" s="2" t="n">
        <v>104.05</v>
      </c>
      <c r="L1787" s="2" t="s">
        <v>84</v>
      </c>
      <c r="M1787" s="2" t="s">
        <v>60</v>
      </c>
      <c r="N1787" s="2"/>
      <c r="O1787" s="2" t="s">
        <v>9049</v>
      </c>
      <c r="P1787" s="2"/>
      <c r="Q1787" s="2" t="s">
        <v>62</v>
      </c>
      <c r="R1787" s="2" t="n">
        <v>0.75</v>
      </c>
      <c r="S1787" s="2" t="s">
        <v>9045</v>
      </c>
      <c r="T1787" s="2" t="s">
        <v>659</v>
      </c>
      <c r="U1787" s="2" t="s">
        <v>9046</v>
      </c>
      <c r="V1787" s="2" t="s">
        <v>2036</v>
      </c>
      <c r="W1787" s="2" t="s">
        <v>421</v>
      </c>
      <c r="X1787" s="2" t="s">
        <v>507</v>
      </c>
    </row>
    <row r="1788" customFormat="false" ht="15" hidden="false" customHeight="false" outlineLevel="0" collapsed="false">
      <c r="A1788" s="2" t="n">
        <v>2179</v>
      </c>
      <c r="B1788" s="2" t="s">
        <v>9028</v>
      </c>
      <c r="C1788" s="2" t="s">
        <v>9050</v>
      </c>
      <c r="D1788" s="2" t="s">
        <v>134</v>
      </c>
      <c r="E1788" s="2" t="s">
        <v>9051</v>
      </c>
      <c r="F1788" s="2" t="s">
        <v>653</v>
      </c>
      <c r="G1788" s="2" t="s">
        <v>654</v>
      </c>
      <c r="H1788" s="2" t="s">
        <v>655</v>
      </c>
      <c r="I1788" s="2" t="s">
        <v>656</v>
      </c>
      <c r="J1788" s="2" t="n">
        <v>1.13</v>
      </c>
      <c r="K1788" s="2" t="n">
        <v>104.05</v>
      </c>
      <c r="L1788" s="2" t="s">
        <v>84</v>
      </c>
      <c r="M1788" s="2" t="s">
        <v>60</v>
      </c>
      <c r="N1788" s="2"/>
      <c r="O1788" s="2" t="s">
        <v>9052</v>
      </c>
      <c r="P1788" s="2"/>
      <c r="Q1788" s="2" t="s">
        <v>62</v>
      </c>
      <c r="R1788" s="2" t="n">
        <v>0.75</v>
      </c>
      <c r="S1788" s="2" t="s">
        <v>9045</v>
      </c>
      <c r="T1788" s="2" t="s">
        <v>659</v>
      </c>
      <c r="U1788" s="2" t="s">
        <v>9046</v>
      </c>
      <c r="V1788" s="2" t="s">
        <v>2036</v>
      </c>
      <c r="W1788" s="2" t="s">
        <v>421</v>
      </c>
      <c r="X1788" s="2" t="s">
        <v>507</v>
      </c>
    </row>
    <row r="1789" customFormat="false" ht="15" hidden="false" customHeight="false" outlineLevel="0" collapsed="false">
      <c r="A1789" s="2" t="n">
        <v>2180</v>
      </c>
      <c r="B1789" s="2" t="s">
        <v>9028</v>
      </c>
      <c r="C1789" s="2" t="s">
        <v>9053</v>
      </c>
      <c r="D1789" s="2" t="s">
        <v>53</v>
      </c>
      <c r="E1789" s="2" t="s">
        <v>9054</v>
      </c>
      <c r="F1789" s="2"/>
      <c r="G1789" s="2"/>
      <c r="H1789" s="2" t="s">
        <v>655</v>
      </c>
      <c r="I1789" s="2" t="s">
        <v>656</v>
      </c>
      <c r="J1789" s="2" t="n">
        <v>1.07</v>
      </c>
      <c r="K1789" s="2" t="n">
        <v>104.03</v>
      </c>
      <c r="L1789" s="2" t="s">
        <v>101</v>
      </c>
      <c r="M1789" s="2" t="s">
        <v>60</v>
      </c>
      <c r="N1789" s="2"/>
      <c r="O1789" s="2" t="s">
        <v>9055</v>
      </c>
      <c r="P1789" s="2"/>
      <c r="Q1789" s="2" t="s">
        <v>62</v>
      </c>
      <c r="R1789" s="2" t="n">
        <v>0.7</v>
      </c>
      <c r="S1789" s="2" t="s">
        <v>9056</v>
      </c>
      <c r="T1789" s="2" t="s">
        <v>9057</v>
      </c>
      <c r="U1789" s="2" t="s">
        <v>9058</v>
      </c>
      <c r="V1789" s="2" t="s">
        <v>745</v>
      </c>
      <c r="W1789" s="2" t="s">
        <v>2204</v>
      </c>
      <c r="X1789" s="2" t="s">
        <v>507</v>
      </c>
    </row>
  </sheetData>
  <autoFilter ref="A1:X17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4" min="3" style="0" width="10"/>
    <col collapsed="false" customWidth="true" hidden="false" outlineLevel="0" max="5" min="5" style="0" width="45"/>
    <col collapsed="false" customWidth="true" hidden="false" outlineLevel="0" max="6" min="6" style="0" width="20"/>
    <col collapsed="false" customWidth="true" hidden="false" outlineLevel="0" max="7" min="7" style="0" width="45"/>
    <col collapsed="false" customWidth="true" hidden="false" outlineLevel="0" max="8" min="8" style="0" width="18"/>
    <col collapsed="false" customWidth="true" hidden="false" outlineLevel="0" max="9" min="9" style="0" width="12"/>
    <col collapsed="false" customWidth="true" hidden="false" outlineLevel="0" max="10" min="10" style="0" width="60"/>
    <col collapsed="false" customWidth="true" hidden="false" outlineLevel="0" max="11" min="11" style="0" width="30"/>
    <col collapsed="false" customWidth="true" hidden="false" outlineLevel="0" max="13" min="12" style="0" width="10"/>
  </cols>
  <sheetData>
    <row r="1" customFormat="false" ht="52.2" hidden="false" customHeight="false" outlineLevel="0" collapsed="false">
      <c r="A1" s="3" t="s">
        <v>27</v>
      </c>
      <c r="B1" s="3" t="s">
        <v>28</v>
      </c>
      <c r="C1" s="3" t="s">
        <v>9059</v>
      </c>
      <c r="D1" s="3" t="s">
        <v>9060</v>
      </c>
      <c r="E1" s="3" t="s">
        <v>45</v>
      </c>
      <c r="F1" s="3" t="s">
        <v>46</v>
      </c>
      <c r="G1" s="3" t="s">
        <v>47</v>
      </c>
      <c r="H1" s="3" t="s">
        <v>48</v>
      </c>
      <c r="I1" s="3" t="s">
        <v>49</v>
      </c>
      <c r="J1" s="3" t="s">
        <v>9061</v>
      </c>
      <c r="K1" s="3" t="s">
        <v>50</v>
      </c>
      <c r="L1" s="3" t="s">
        <v>9062</v>
      </c>
      <c r="M1" s="3" t="s">
        <v>9063</v>
      </c>
    </row>
    <row r="2" customFormat="false" ht="15" hidden="false" customHeight="false" outlineLevel="0" collapsed="false">
      <c r="A2" s="2" t="n">
        <v>0</v>
      </c>
      <c r="B2" s="2" t="s">
        <v>51</v>
      </c>
      <c r="C2" s="2" t="n">
        <v>0</v>
      </c>
      <c r="D2" s="2" t="n">
        <v>0</v>
      </c>
      <c r="E2" s="2" t="s">
        <v>9064</v>
      </c>
      <c r="F2" s="2" t="s">
        <v>9065</v>
      </c>
      <c r="G2" s="2" t="s">
        <v>4568</v>
      </c>
      <c r="H2" s="2" t="s">
        <v>4569</v>
      </c>
      <c r="I2" s="2" t="s">
        <v>262</v>
      </c>
      <c r="J2" s="2" t="s">
        <v>9066</v>
      </c>
      <c r="K2" s="2" t="s">
        <v>68</v>
      </c>
      <c r="L2" s="2" t="n">
        <v>0.88</v>
      </c>
      <c r="M2" s="2" t="n">
        <v>0.88</v>
      </c>
    </row>
    <row r="3" customFormat="false" ht="15" hidden="false" customHeight="false" outlineLevel="0" collapsed="false">
      <c r="A3" s="2" t="n">
        <v>1</v>
      </c>
      <c r="B3" s="2" t="s">
        <v>51</v>
      </c>
      <c r="C3" s="2" t="n">
        <v>4</v>
      </c>
      <c r="D3" s="2" t="n">
        <v>0</v>
      </c>
      <c r="E3" s="2" t="s">
        <v>63</v>
      </c>
      <c r="F3" s="2" t="s">
        <v>64</v>
      </c>
      <c r="G3" s="2" t="s">
        <v>65</v>
      </c>
      <c r="H3" s="2" t="s">
        <v>66</v>
      </c>
      <c r="I3" s="2" t="s">
        <v>67</v>
      </c>
      <c r="J3" s="2" t="s">
        <v>9067</v>
      </c>
      <c r="K3" s="2" t="s">
        <v>68</v>
      </c>
      <c r="L3" s="2" t="n">
        <v>0.67</v>
      </c>
      <c r="M3" s="2" t="n">
        <v>0.6</v>
      </c>
    </row>
    <row r="4" customFormat="false" ht="15" hidden="false" customHeight="false" outlineLevel="0" collapsed="false">
      <c r="A4" s="2" t="n">
        <v>2</v>
      </c>
      <c r="B4" s="2" t="s">
        <v>51</v>
      </c>
      <c r="C4" s="2" t="n">
        <v>2</v>
      </c>
      <c r="D4" s="2" t="n">
        <v>0</v>
      </c>
      <c r="E4" s="2" t="s">
        <v>94</v>
      </c>
      <c r="F4" s="2" t="s">
        <v>95</v>
      </c>
      <c r="G4" s="2" t="s">
        <v>96</v>
      </c>
      <c r="H4" s="2" t="s">
        <v>97</v>
      </c>
      <c r="I4" s="2" t="s">
        <v>98</v>
      </c>
      <c r="J4" s="2" t="s">
        <v>9068</v>
      </c>
      <c r="K4" s="2" t="s">
        <v>68</v>
      </c>
      <c r="L4" s="2" t="n">
        <v>0.78</v>
      </c>
      <c r="M4" s="2" t="n">
        <v>0.82</v>
      </c>
    </row>
    <row r="5" customFormat="false" ht="15" hidden="false" customHeight="false" outlineLevel="0" collapsed="false">
      <c r="A5" s="2" t="n">
        <v>3</v>
      </c>
      <c r="B5" s="2" t="s">
        <v>51</v>
      </c>
      <c r="C5" s="2" t="n">
        <v>2</v>
      </c>
      <c r="D5" s="2" t="n">
        <v>2</v>
      </c>
      <c r="E5" s="2" t="s">
        <v>111</v>
      </c>
      <c r="F5" s="2" t="s">
        <v>112</v>
      </c>
      <c r="G5" s="2" t="s">
        <v>113</v>
      </c>
      <c r="H5" s="2" t="s">
        <v>114</v>
      </c>
      <c r="I5" s="2" t="s">
        <v>115</v>
      </c>
      <c r="J5" s="2" t="s">
        <v>9069</v>
      </c>
      <c r="K5" s="2" t="s">
        <v>68</v>
      </c>
      <c r="L5" s="2" t="n">
        <v>1</v>
      </c>
      <c r="M5" s="2" t="n">
        <v>1</v>
      </c>
    </row>
    <row r="6" customFormat="false" ht="15" hidden="false" customHeight="false" outlineLevel="0" collapsed="false">
      <c r="A6" s="2" t="n">
        <v>4</v>
      </c>
      <c r="B6" s="2" t="s">
        <v>51</v>
      </c>
      <c r="C6" s="2" t="n">
        <v>8</v>
      </c>
      <c r="D6" s="2" t="n">
        <v>8</v>
      </c>
      <c r="E6" s="2" t="s">
        <v>128</v>
      </c>
      <c r="F6" s="2" t="s">
        <v>129</v>
      </c>
      <c r="G6" s="2" t="s">
        <v>130</v>
      </c>
      <c r="H6" s="2" t="s">
        <v>131</v>
      </c>
      <c r="I6" s="2" t="s">
        <v>132</v>
      </c>
      <c r="J6" s="2" t="s">
        <v>9070</v>
      </c>
      <c r="K6" s="2" t="s">
        <v>68</v>
      </c>
      <c r="L6" s="2" t="n">
        <v>1</v>
      </c>
      <c r="M6" s="2" t="n">
        <v>0.86</v>
      </c>
    </row>
    <row r="7" customFormat="false" ht="15" hidden="false" customHeight="false" outlineLevel="0" collapsed="false">
      <c r="A7" s="2" t="n">
        <v>5</v>
      </c>
      <c r="B7" s="2" t="s">
        <v>51</v>
      </c>
      <c r="C7" s="2" t="n">
        <v>3</v>
      </c>
      <c r="D7" s="2" t="n">
        <v>0</v>
      </c>
      <c r="E7" s="2" t="s">
        <v>155</v>
      </c>
      <c r="F7" s="2" t="s">
        <v>156</v>
      </c>
      <c r="G7" s="2" t="s">
        <v>157</v>
      </c>
      <c r="H7" s="2" t="s">
        <v>158</v>
      </c>
      <c r="I7" s="2" t="s">
        <v>159</v>
      </c>
      <c r="J7" s="2" t="s">
        <v>9071</v>
      </c>
      <c r="K7" s="2" t="s">
        <v>160</v>
      </c>
      <c r="L7" s="2" t="n">
        <v>0.44</v>
      </c>
      <c r="M7" s="2" t="n">
        <v>0.43</v>
      </c>
    </row>
    <row r="8" customFormat="false" ht="15" hidden="false" customHeight="false" outlineLevel="0" collapsed="false">
      <c r="A8" s="2" t="n">
        <v>6</v>
      </c>
      <c r="B8" s="2" t="s">
        <v>51</v>
      </c>
      <c r="C8" s="2" t="n">
        <v>1</v>
      </c>
      <c r="D8" s="2" t="n">
        <v>0</v>
      </c>
      <c r="E8" s="2" t="s">
        <v>175</v>
      </c>
      <c r="F8" s="2" t="s">
        <v>176</v>
      </c>
      <c r="G8" s="2" t="s">
        <v>177</v>
      </c>
      <c r="H8" s="2" t="s">
        <v>178</v>
      </c>
      <c r="I8" s="2" t="s">
        <v>132</v>
      </c>
      <c r="J8" s="2" t="s">
        <v>9072</v>
      </c>
      <c r="K8" s="2" t="s">
        <v>68</v>
      </c>
      <c r="L8" s="2" t="n">
        <v>0.62</v>
      </c>
      <c r="M8" s="2" t="n">
        <v>0.77</v>
      </c>
    </row>
    <row r="9" customFormat="false" ht="15" hidden="false" customHeight="false" outlineLevel="0" collapsed="false">
      <c r="A9" s="2" t="n">
        <v>7</v>
      </c>
      <c r="B9" s="2" t="s">
        <v>51</v>
      </c>
      <c r="C9" s="2" t="n">
        <v>2</v>
      </c>
      <c r="D9" s="2" t="n">
        <v>0</v>
      </c>
      <c r="E9" s="2" t="s">
        <v>186</v>
      </c>
      <c r="F9" s="2" t="s">
        <v>187</v>
      </c>
      <c r="G9" s="2" t="s">
        <v>188</v>
      </c>
      <c r="H9" s="2" t="s">
        <v>189</v>
      </c>
      <c r="I9" s="2" t="s">
        <v>190</v>
      </c>
      <c r="J9" s="2" t="s">
        <v>9073</v>
      </c>
      <c r="K9" s="2" t="s">
        <v>68</v>
      </c>
      <c r="L9" s="2" t="n">
        <v>0.5</v>
      </c>
      <c r="M9" s="2" t="n">
        <v>0.46</v>
      </c>
    </row>
    <row r="10" customFormat="false" ht="15" hidden="false" customHeight="false" outlineLevel="0" collapsed="false">
      <c r="A10" s="2" t="n">
        <v>8</v>
      </c>
      <c r="B10" s="2" t="s">
        <v>51</v>
      </c>
      <c r="C10" s="2" t="n">
        <v>5</v>
      </c>
      <c r="D10" s="2" t="n">
        <v>0</v>
      </c>
      <c r="E10" s="2" t="s">
        <v>200</v>
      </c>
      <c r="F10" s="2" t="s">
        <v>201</v>
      </c>
      <c r="G10" s="2" t="s">
        <v>202</v>
      </c>
      <c r="H10" s="2" t="s">
        <v>203</v>
      </c>
      <c r="I10" s="2" t="s">
        <v>204</v>
      </c>
      <c r="J10" s="2" t="s">
        <v>9074</v>
      </c>
      <c r="K10" s="2" t="s">
        <v>68</v>
      </c>
      <c r="L10" s="2" t="n">
        <v>1</v>
      </c>
      <c r="M10" s="2" t="n">
        <v>0.75</v>
      </c>
    </row>
    <row r="11" customFormat="false" ht="15" hidden="false" customHeight="false" outlineLevel="0" collapsed="false">
      <c r="A11" s="2" t="n">
        <v>9</v>
      </c>
      <c r="B11" s="2" t="s">
        <v>51</v>
      </c>
      <c r="C11" s="2" t="n">
        <v>3</v>
      </c>
      <c r="D11" s="2" t="n">
        <v>0</v>
      </c>
      <c r="E11" s="2" t="s">
        <v>227</v>
      </c>
      <c r="F11" s="2" t="s">
        <v>228</v>
      </c>
      <c r="G11" s="2" t="s">
        <v>229</v>
      </c>
      <c r="H11" s="2" t="s">
        <v>230</v>
      </c>
      <c r="I11" s="2" t="s">
        <v>231</v>
      </c>
      <c r="J11" s="2" t="s">
        <v>9075</v>
      </c>
      <c r="K11" s="2" t="s">
        <v>68</v>
      </c>
      <c r="L11" s="2" t="n">
        <v>1</v>
      </c>
      <c r="M11" s="2" t="n">
        <v>1</v>
      </c>
    </row>
    <row r="12" customFormat="false" ht="15" hidden="false" customHeight="false" outlineLevel="0" collapsed="false">
      <c r="A12" s="2" t="n">
        <v>10</v>
      </c>
      <c r="B12" s="2" t="s">
        <v>51</v>
      </c>
      <c r="C12" s="2" t="n">
        <v>2</v>
      </c>
      <c r="D12" s="2" t="n">
        <v>0</v>
      </c>
      <c r="E12" s="2" t="s">
        <v>242</v>
      </c>
      <c r="F12" s="2" t="s">
        <v>243</v>
      </c>
      <c r="G12" s="2" t="s">
        <v>244</v>
      </c>
      <c r="H12" s="2" t="s">
        <v>245</v>
      </c>
      <c r="I12" s="2" t="s">
        <v>246</v>
      </c>
      <c r="J12" s="2" t="s">
        <v>9076</v>
      </c>
      <c r="K12" s="2" t="s">
        <v>68</v>
      </c>
      <c r="L12" s="2" t="n">
        <v>0.71</v>
      </c>
      <c r="M12" s="2" t="n">
        <v>0.8</v>
      </c>
    </row>
    <row r="13" customFormat="false" ht="15" hidden="false" customHeight="false" outlineLevel="0" collapsed="false">
      <c r="A13" s="2" t="n">
        <v>11</v>
      </c>
      <c r="B13" s="2" t="s">
        <v>51</v>
      </c>
      <c r="C13" s="2" t="n">
        <v>1</v>
      </c>
      <c r="D13" s="2" t="n">
        <v>0</v>
      </c>
      <c r="E13" s="2" t="s">
        <v>260</v>
      </c>
      <c r="F13" s="2" t="s">
        <v>95</v>
      </c>
      <c r="G13" s="2" t="s">
        <v>261</v>
      </c>
      <c r="H13" s="2" t="s">
        <v>97</v>
      </c>
      <c r="I13" s="2" t="s">
        <v>262</v>
      </c>
      <c r="J13" s="2" t="s">
        <v>9077</v>
      </c>
      <c r="K13" s="2" t="s">
        <v>68</v>
      </c>
      <c r="L13" s="2" t="n">
        <v>0.83</v>
      </c>
      <c r="M13" s="2" t="n">
        <v>0.86</v>
      </c>
    </row>
    <row r="14" customFormat="false" ht="15" hidden="false" customHeight="false" outlineLevel="0" collapsed="false">
      <c r="A14" s="2" t="n">
        <v>12</v>
      </c>
      <c r="B14" s="2" t="s">
        <v>51</v>
      </c>
      <c r="C14" s="2" t="n">
        <v>2</v>
      </c>
      <c r="D14" s="2" t="n">
        <v>0</v>
      </c>
      <c r="E14" s="2" t="s">
        <v>269</v>
      </c>
      <c r="F14" s="2" t="s">
        <v>64</v>
      </c>
      <c r="G14" s="2" t="s">
        <v>270</v>
      </c>
      <c r="H14" s="2" t="s">
        <v>66</v>
      </c>
      <c r="I14" s="2" t="s">
        <v>271</v>
      </c>
      <c r="J14" s="2" t="s">
        <v>9078</v>
      </c>
      <c r="K14" s="2" t="s">
        <v>68</v>
      </c>
      <c r="L14" s="2" t="n">
        <v>0.5</v>
      </c>
      <c r="M14" s="2" t="n">
        <v>0.5</v>
      </c>
    </row>
    <row r="15" customFormat="false" ht="15" hidden="false" customHeight="false" outlineLevel="0" collapsed="false">
      <c r="A15" s="2" t="n">
        <v>13</v>
      </c>
      <c r="B15" s="2" t="s">
        <v>51</v>
      </c>
      <c r="C15" s="2" t="n">
        <v>3</v>
      </c>
      <c r="D15" s="2" t="n">
        <v>0</v>
      </c>
      <c r="E15" s="2" t="s">
        <v>281</v>
      </c>
      <c r="F15" s="2" t="s">
        <v>156</v>
      </c>
      <c r="G15" s="2" t="s">
        <v>282</v>
      </c>
      <c r="H15" s="2" t="s">
        <v>158</v>
      </c>
      <c r="I15" s="2" t="s">
        <v>283</v>
      </c>
      <c r="J15" s="2" t="s">
        <v>9079</v>
      </c>
      <c r="K15" s="2" t="s">
        <v>68</v>
      </c>
      <c r="L15" s="2" t="n">
        <v>0.71</v>
      </c>
      <c r="M15" s="2" t="n">
        <v>1</v>
      </c>
    </row>
    <row r="16" customFormat="false" ht="15" hidden="false" customHeight="false" outlineLevel="0" collapsed="false">
      <c r="A16" s="2" t="n">
        <v>14</v>
      </c>
      <c r="B16" s="2" t="s">
        <v>51</v>
      </c>
      <c r="C16" s="2" t="n">
        <v>5</v>
      </c>
      <c r="D16" s="2" t="n">
        <v>0</v>
      </c>
      <c r="E16" s="2" t="s">
        <v>299</v>
      </c>
      <c r="F16" s="2" t="s">
        <v>112</v>
      </c>
      <c r="G16" s="2" t="s">
        <v>300</v>
      </c>
      <c r="H16" s="2" t="s">
        <v>114</v>
      </c>
      <c r="I16" s="2" t="s">
        <v>301</v>
      </c>
      <c r="J16" s="2" t="s">
        <v>9080</v>
      </c>
      <c r="K16" s="2" t="s">
        <v>68</v>
      </c>
      <c r="L16" s="2" t="n">
        <v>1</v>
      </c>
      <c r="M16" s="2" t="n">
        <v>1</v>
      </c>
    </row>
    <row r="17" customFormat="false" ht="15" hidden="false" customHeight="false" outlineLevel="0" collapsed="false">
      <c r="A17" s="2" t="n">
        <v>15</v>
      </c>
      <c r="B17" s="2" t="s">
        <v>51</v>
      </c>
      <c r="C17" s="2" t="n">
        <v>2</v>
      </c>
      <c r="D17" s="2" t="n">
        <v>0</v>
      </c>
      <c r="E17" s="2" t="s">
        <v>319</v>
      </c>
      <c r="F17" s="2" t="s">
        <v>176</v>
      </c>
      <c r="G17" s="2" t="s">
        <v>320</v>
      </c>
      <c r="H17" s="2" t="s">
        <v>178</v>
      </c>
      <c r="I17" s="2" t="s">
        <v>321</v>
      </c>
      <c r="J17" s="2" t="s">
        <v>9081</v>
      </c>
      <c r="K17" s="2" t="s">
        <v>68</v>
      </c>
      <c r="L17" s="2" t="n">
        <v>0.69</v>
      </c>
      <c r="M17" s="2" t="n">
        <v>0.69</v>
      </c>
    </row>
    <row r="18" customFormat="false" ht="15" hidden="false" customHeight="false" outlineLevel="0" collapsed="false">
      <c r="A18" s="2" t="n">
        <v>16</v>
      </c>
      <c r="B18" s="2" t="s">
        <v>51</v>
      </c>
      <c r="C18" s="2" t="n">
        <v>2</v>
      </c>
      <c r="D18" s="2" t="n">
        <v>0</v>
      </c>
      <c r="E18" s="2" t="s">
        <v>329</v>
      </c>
      <c r="F18" s="2" t="s">
        <v>243</v>
      </c>
      <c r="G18" s="2" t="s">
        <v>330</v>
      </c>
      <c r="H18" s="2" t="s">
        <v>245</v>
      </c>
      <c r="I18" s="2" t="s">
        <v>331</v>
      </c>
      <c r="J18" s="2" t="s">
        <v>9082</v>
      </c>
      <c r="K18" s="2" t="s">
        <v>68</v>
      </c>
      <c r="L18" s="2" t="n">
        <v>1</v>
      </c>
      <c r="M18" s="2" t="n">
        <v>0.8</v>
      </c>
    </row>
    <row r="19" customFormat="false" ht="15" hidden="false" customHeight="false" outlineLevel="0" collapsed="false">
      <c r="A19" s="2" t="n">
        <v>17</v>
      </c>
      <c r="B19" s="2" t="s">
        <v>51</v>
      </c>
      <c r="C19" s="2" t="n">
        <v>3</v>
      </c>
      <c r="D19" s="2" t="n">
        <v>3</v>
      </c>
      <c r="E19" s="2" t="s">
        <v>342</v>
      </c>
      <c r="F19" s="2" t="s">
        <v>156</v>
      </c>
      <c r="G19" s="2" t="s">
        <v>343</v>
      </c>
      <c r="H19" s="2" t="s">
        <v>158</v>
      </c>
      <c r="I19" s="2" t="s">
        <v>344</v>
      </c>
      <c r="J19" s="2" t="s">
        <v>9083</v>
      </c>
      <c r="K19" s="2" t="s">
        <v>68</v>
      </c>
      <c r="L19" s="2" t="n">
        <v>1</v>
      </c>
      <c r="M19" s="2" t="n">
        <v>1</v>
      </c>
    </row>
    <row r="20" customFormat="false" ht="15" hidden="false" customHeight="false" outlineLevel="0" collapsed="false">
      <c r="A20" s="2" t="n">
        <v>18</v>
      </c>
      <c r="B20" s="2" t="s">
        <v>51</v>
      </c>
      <c r="C20" s="2" t="n">
        <v>2</v>
      </c>
      <c r="D20" s="2" t="n">
        <v>0</v>
      </c>
      <c r="E20" s="2" t="s">
        <v>358</v>
      </c>
      <c r="F20" s="2" t="s">
        <v>243</v>
      </c>
      <c r="G20" s="2" t="s">
        <v>359</v>
      </c>
      <c r="H20" s="2" t="s">
        <v>245</v>
      </c>
      <c r="I20" s="2" t="s">
        <v>360</v>
      </c>
      <c r="J20" s="2" t="s">
        <v>9084</v>
      </c>
      <c r="K20" s="2" t="s">
        <v>68</v>
      </c>
      <c r="L20" s="2" t="n">
        <v>0.75</v>
      </c>
      <c r="M20" s="2" t="n">
        <v>0.8</v>
      </c>
    </row>
    <row r="21" customFormat="false" ht="15" hidden="false" customHeight="false" outlineLevel="0" collapsed="false">
      <c r="A21" s="2" t="n">
        <v>19</v>
      </c>
      <c r="B21" s="2" t="s">
        <v>51</v>
      </c>
      <c r="C21" s="2" t="n">
        <v>3</v>
      </c>
      <c r="D21" s="2" t="n">
        <v>3</v>
      </c>
      <c r="E21" s="2" t="s">
        <v>368</v>
      </c>
      <c r="F21" s="2" t="s">
        <v>64</v>
      </c>
      <c r="G21" s="2" t="s">
        <v>369</v>
      </c>
      <c r="H21" s="2" t="s">
        <v>66</v>
      </c>
      <c r="I21" s="2" t="s">
        <v>370</v>
      </c>
      <c r="J21" s="2" t="s">
        <v>9085</v>
      </c>
      <c r="K21" s="2" t="s">
        <v>68</v>
      </c>
      <c r="L21" s="2" t="n">
        <v>0.62</v>
      </c>
      <c r="M21" s="2" t="n">
        <v>0.6</v>
      </c>
    </row>
    <row r="22" customFormat="false" ht="15" hidden="false" customHeight="false" outlineLevel="0" collapsed="false">
      <c r="A22" s="2" t="n">
        <v>20</v>
      </c>
      <c r="B22" s="2" t="s">
        <v>51</v>
      </c>
      <c r="C22" s="2" t="n">
        <v>0</v>
      </c>
      <c r="D22" s="2" t="n">
        <v>0</v>
      </c>
      <c r="E22" s="2" t="s">
        <v>9086</v>
      </c>
      <c r="F22" s="2" t="s">
        <v>95</v>
      </c>
      <c r="G22" s="2" t="s">
        <v>9087</v>
      </c>
      <c r="H22" s="2" t="s">
        <v>97</v>
      </c>
      <c r="I22" s="2" t="s">
        <v>67</v>
      </c>
      <c r="J22" s="2" t="s">
        <v>9088</v>
      </c>
      <c r="K22" s="2" t="s">
        <v>68</v>
      </c>
      <c r="L22" s="2" t="n">
        <v>0.5</v>
      </c>
      <c r="M22" s="2" t="n">
        <v>0.6</v>
      </c>
    </row>
    <row r="23" customFormat="false" ht="15" hidden="false" customHeight="false" outlineLevel="0" collapsed="false">
      <c r="A23" s="2" t="n">
        <v>21</v>
      </c>
      <c r="B23" s="2" t="s">
        <v>51</v>
      </c>
      <c r="C23" s="2" t="n">
        <v>3</v>
      </c>
      <c r="D23" s="2" t="n">
        <v>2</v>
      </c>
      <c r="E23" s="2" t="s">
        <v>389</v>
      </c>
      <c r="F23" s="2" t="s">
        <v>390</v>
      </c>
      <c r="G23" s="2" t="s">
        <v>391</v>
      </c>
      <c r="H23" s="2" t="s">
        <v>392</v>
      </c>
      <c r="I23" s="2" t="s">
        <v>132</v>
      </c>
      <c r="J23" s="2" t="s">
        <v>9089</v>
      </c>
      <c r="K23" s="2" t="s">
        <v>68</v>
      </c>
      <c r="L23" s="2" t="n">
        <v>0.67</v>
      </c>
      <c r="M23" s="2" t="n">
        <v>0.67</v>
      </c>
    </row>
    <row r="24" customFormat="false" ht="15" hidden="false" customHeight="false" outlineLevel="0" collapsed="false">
      <c r="A24" s="2" t="n">
        <v>22</v>
      </c>
      <c r="B24" s="2" t="s">
        <v>51</v>
      </c>
      <c r="C24" s="2" t="n">
        <v>2</v>
      </c>
      <c r="D24" s="2" t="n">
        <v>1</v>
      </c>
      <c r="E24" s="2" t="s">
        <v>405</v>
      </c>
      <c r="F24" s="2" t="s">
        <v>406</v>
      </c>
      <c r="G24" s="2" t="s">
        <v>407</v>
      </c>
      <c r="H24" s="2" t="s">
        <v>408</v>
      </c>
      <c r="I24" s="2" t="s">
        <v>262</v>
      </c>
      <c r="J24" s="2" t="s">
        <v>9090</v>
      </c>
      <c r="K24" s="2" t="s">
        <v>68</v>
      </c>
      <c r="L24" s="2" t="n">
        <v>0.67</v>
      </c>
      <c r="M24" s="2" t="n">
        <v>0.6</v>
      </c>
    </row>
    <row r="25" customFormat="false" ht="15" hidden="false" customHeight="false" outlineLevel="0" collapsed="false">
      <c r="A25" s="2" t="n">
        <v>23</v>
      </c>
      <c r="B25" s="2" t="s">
        <v>51</v>
      </c>
      <c r="C25" s="2" t="n">
        <v>1</v>
      </c>
      <c r="D25" s="2" t="n">
        <v>1</v>
      </c>
      <c r="E25" s="2" t="s">
        <v>417</v>
      </c>
      <c r="F25" s="2" t="s">
        <v>418</v>
      </c>
      <c r="G25" s="2" t="s">
        <v>419</v>
      </c>
      <c r="H25" s="2" t="s">
        <v>420</v>
      </c>
      <c r="I25" s="2" t="s">
        <v>421</v>
      </c>
      <c r="J25" s="2" t="s">
        <v>9091</v>
      </c>
      <c r="K25" s="2" t="s">
        <v>68</v>
      </c>
      <c r="L25" s="2" t="n">
        <v>1</v>
      </c>
      <c r="M25" s="2" t="n">
        <v>0.89</v>
      </c>
    </row>
    <row r="26" customFormat="false" ht="15" hidden="false" customHeight="false" outlineLevel="0" collapsed="false">
      <c r="A26" s="2" t="n">
        <v>24</v>
      </c>
      <c r="B26" s="2" t="s">
        <v>51</v>
      </c>
      <c r="C26" s="2" t="n">
        <v>4</v>
      </c>
      <c r="D26" s="2" t="n">
        <v>4</v>
      </c>
      <c r="E26" s="2" t="s">
        <v>428</v>
      </c>
      <c r="F26" s="2" t="s">
        <v>156</v>
      </c>
      <c r="G26" s="2" t="s">
        <v>429</v>
      </c>
      <c r="H26" s="2" t="s">
        <v>158</v>
      </c>
      <c r="I26" s="2" t="s">
        <v>430</v>
      </c>
      <c r="J26" s="2" t="s">
        <v>9092</v>
      </c>
      <c r="K26" s="2" t="s">
        <v>68</v>
      </c>
      <c r="L26" s="2" t="n">
        <v>1</v>
      </c>
      <c r="M26" s="2" t="n">
        <v>1</v>
      </c>
    </row>
    <row r="27" customFormat="false" ht="15" hidden="false" customHeight="false" outlineLevel="0" collapsed="false">
      <c r="A27" s="2" t="n">
        <v>25</v>
      </c>
      <c r="B27" s="2" t="s">
        <v>51</v>
      </c>
      <c r="C27" s="2" t="n">
        <v>5</v>
      </c>
      <c r="D27" s="2" t="n">
        <v>3</v>
      </c>
      <c r="E27" s="2" t="s">
        <v>440</v>
      </c>
      <c r="F27" s="2" t="s">
        <v>64</v>
      </c>
      <c r="G27" s="2" t="s">
        <v>441</v>
      </c>
      <c r="H27" s="2" t="s">
        <v>66</v>
      </c>
      <c r="I27" s="2" t="s">
        <v>67</v>
      </c>
      <c r="J27" s="2" t="s">
        <v>9093</v>
      </c>
      <c r="K27" s="2" t="s">
        <v>68</v>
      </c>
      <c r="L27" s="2" t="n">
        <v>1</v>
      </c>
      <c r="M27" s="2" t="n">
        <v>0.8</v>
      </c>
    </row>
    <row r="28" customFormat="false" ht="15" hidden="false" customHeight="false" outlineLevel="0" collapsed="false">
      <c r="A28" s="2" t="n">
        <v>26</v>
      </c>
      <c r="B28" s="2" t="s">
        <v>51</v>
      </c>
      <c r="C28" s="2" t="n">
        <v>7</v>
      </c>
      <c r="D28" s="2" t="n">
        <v>0</v>
      </c>
      <c r="E28" s="2" t="s">
        <v>452</v>
      </c>
      <c r="F28" s="2" t="s">
        <v>453</v>
      </c>
      <c r="G28" s="2" t="s">
        <v>454</v>
      </c>
      <c r="H28" s="2" t="s">
        <v>455</v>
      </c>
      <c r="I28" s="2" t="s">
        <v>159</v>
      </c>
      <c r="J28" s="2" t="s">
        <v>9094</v>
      </c>
      <c r="K28" s="2" t="s">
        <v>68</v>
      </c>
      <c r="L28" s="2" t="n">
        <v>1</v>
      </c>
      <c r="M28" s="2" t="n">
        <v>1</v>
      </c>
    </row>
    <row r="29" customFormat="false" ht="15" hidden="false" customHeight="false" outlineLevel="0" collapsed="false">
      <c r="A29" s="2" t="n">
        <v>27</v>
      </c>
      <c r="B29" s="2" t="s">
        <v>51</v>
      </c>
      <c r="C29" s="2" t="n">
        <v>1</v>
      </c>
      <c r="D29" s="2" t="n">
        <v>0</v>
      </c>
      <c r="E29" s="2" t="s">
        <v>472</v>
      </c>
      <c r="F29" s="2" t="s">
        <v>473</v>
      </c>
      <c r="G29" s="2" t="s">
        <v>474</v>
      </c>
      <c r="H29" s="2" t="s">
        <v>475</v>
      </c>
      <c r="I29" s="2" t="s">
        <v>476</v>
      </c>
      <c r="J29" s="2" t="s">
        <v>9095</v>
      </c>
      <c r="K29" s="2" t="s">
        <v>68</v>
      </c>
      <c r="L29" s="2" t="n">
        <v>0.73</v>
      </c>
      <c r="M29" s="2" t="n">
        <v>0.73</v>
      </c>
    </row>
    <row r="30" customFormat="false" ht="15" hidden="false" customHeight="false" outlineLevel="0" collapsed="false">
      <c r="A30" s="2" t="n">
        <v>28</v>
      </c>
      <c r="B30" s="2" t="s">
        <v>51</v>
      </c>
      <c r="C30" s="2" t="n">
        <v>0</v>
      </c>
      <c r="D30" s="2" t="n">
        <v>0</v>
      </c>
      <c r="E30" s="2" t="s">
        <v>9096</v>
      </c>
      <c r="F30" s="2" t="s">
        <v>6229</v>
      </c>
      <c r="G30" s="2" t="s">
        <v>9097</v>
      </c>
      <c r="H30" s="2" t="s">
        <v>9098</v>
      </c>
      <c r="I30" s="2" t="s">
        <v>751</v>
      </c>
      <c r="J30" s="2" t="s">
        <v>9099</v>
      </c>
      <c r="K30" s="2" t="s">
        <v>68</v>
      </c>
      <c r="L30" s="2" t="n">
        <v>0.78</v>
      </c>
      <c r="M30" s="2" t="n">
        <v>0.73</v>
      </c>
    </row>
    <row r="31" customFormat="false" ht="15" hidden="false" customHeight="false" outlineLevel="0" collapsed="false">
      <c r="A31" s="2" t="n">
        <v>29</v>
      </c>
      <c r="B31" s="2" t="s">
        <v>51</v>
      </c>
      <c r="C31" s="2" t="n">
        <v>1</v>
      </c>
      <c r="D31" s="2" t="n">
        <v>1</v>
      </c>
      <c r="E31" s="2" t="s">
        <v>483</v>
      </c>
      <c r="F31" s="2" t="s">
        <v>484</v>
      </c>
      <c r="G31" s="2" t="s">
        <v>485</v>
      </c>
      <c r="H31" s="2" t="s">
        <v>486</v>
      </c>
      <c r="I31" s="2" t="s">
        <v>487</v>
      </c>
      <c r="J31" s="2" t="s">
        <v>9100</v>
      </c>
      <c r="K31" s="2" t="s">
        <v>68</v>
      </c>
      <c r="L31" s="2" t="n">
        <v>1</v>
      </c>
      <c r="M31" s="2" t="n">
        <v>0.8</v>
      </c>
    </row>
    <row r="32" customFormat="false" ht="15" hidden="false" customHeight="false" outlineLevel="0" collapsed="false">
      <c r="A32" s="2" t="n">
        <v>30</v>
      </c>
      <c r="B32" s="2" t="s">
        <v>488</v>
      </c>
      <c r="C32" s="2" t="n">
        <v>0</v>
      </c>
      <c r="D32" s="2" t="n">
        <v>0</v>
      </c>
      <c r="E32" s="2" t="s">
        <v>9101</v>
      </c>
      <c r="F32" s="2" t="s">
        <v>95</v>
      </c>
      <c r="G32" s="2" t="s">
        <v>9102</v>
      </c>
      <c r="H32" s="2" t="s">
        <v>97</v>
      </c>
      <c r="I32" s="2" t="s">
        <v>262</v>
      </c>
      <c r="J32" s="2" t="s">
        <v>9103</v>
      </c>
      <c r="K32" s="2" t="s">
        <v>68</v>
      </c>
      <c r="L32" s="2" t="n">
        <v>0.88</v>
      </c>
      <c r="M32" s="2" t="n">
        <v>0.8</v>
      </c>
    </row>
    <row r="33" customFormat="false" ht="15" hidden="false" customHeight="false" outlineLevel="0" collapsed="false">
      <c r="A33" s="2" t="n">
        <v>31</v>
      </c>
      <c r="B33" s="2" t="s">
        <v>488</v>
      </c>
      <c r="C33" s="2" t="n">
        <v>3</v>
      </c>
      <c r="D33" s="2" t="n">
        <v>3</v>
      </c>
      <c r="E33" s="2" t="s">
        <v>491</v>
      </c>
      <c r="F33" s="2" t="s">
        <v>492</v>
      </c>
      <c r="G33" s="2" t="s">
        <v>493</v>
      </c>
      <c r="H33" s="2" t="s">
        <v>494</v>
      </c>
      <c r="I33" s="2" t="s">
        <v>495</v>
      </c>
      <c r="J33" s="2" t="s">
        <v>9104</v>
      </c>
      <c r="K33" s="2" t="s">
        <v>68</v>
      </c>
      <c r="L33" s="2" t="n">
        <v>1</v>
      </c>
      <c r="M33" s="2" t="n">
        <v>1</v>
      </c>
    </row>
    <row r="34" customFormat="false" ht="15" hidden="false" customHeight="false" outlineLevel="0" collapsed="false">
      <c r="A34" s="2" t="n">
        <v>32</v>
      </c>
      <c r="B34" s="2" t="s">
        <v>488</v>
      </c>
      <c r="C34" s="2" t="n">
        <v>1</v>
      </c>
      <c r="D34" s="2" t="n">
        <v>1</v>
      </c>
      <c r="E34" s="2" t="s">
        <v>502</v>
      </c>
      <c r="F34" s="2" t="s">
        <v>503</v>
      </c>
      <c r="G34" s="2" t="s">
        <v>504</v>
      </c>
      <c r="H34" s="2" t="s">
        <v>505</v>
      </c>
      <c r="I34" s="2" t="s">
        <v>506</v>
      </c>
      <c r="J34" s="2" t="s">
        <v>9105</v>
      </c>
      <c r="K34" s="2" t="s">
        <v>507</v>
      </c>
      <c r="L34" s="2" t="n">
        <v>0.2</v>
      </c>
      <c r="M34" s="2" t="n">
        <v>0.18</v>
      </c>
    </row>
    <row r="35" customFormat="false" ht="15" hidden="false" customHeight="false" outlineLevel="0" collapsed="false">
      <c r="A35" s="2" t="n">
        <v>33</v>
      </c>
      <c r="B35" s="2" t="s">
        <v>488</v>
      </c>
      <c r="C35" s="2" t="n">
        <v>7</v>
      </c>
      <c r="D35" s="2" t="n">
        <v>5</v>
      </c>
      <c r="E35" s="2" t="s">
        <v>510</v>
      </c>
      <c r="F35" s="2" t="s">
        <v>453</v>
      </c>
      <c r="G35" s="2" t="s">
        <v>511</v>
      </c>
      <c r="H35" s="2" t="s">
        <v>455</v>
      </c>
      <c r="I35" s="2" t="s">
        <v>512</v>
      </c>
      <c r="J35" s="2" t="s">
        <v>9106</v>
      </c>
      <c r="K35" s="2" t="s">
        <v>68</v>
      </c>
      <c r="L35" s="2" t="n">
        <v>0.9</v>
      </c>
      <c r="M35" s="2" t="n">
        <v>0.9</v>
      </c>
    </row>
    <row r="36" customFormat="false" ht="15" hidden="false" customHeight="false" outlineLevel="0" collapsed="false">
      <c r="A36" s="2" t="n">
        <v>34</v>
      </c>
      <c r="B36" s="2" t="s">
        <v>488</v>
      </c>
      <c r="C36" s="2" t="n">
        <v>1</v>
      </c>
      <c r="D36" s="2" t="n">
        <v>0</v>
      </c>
      <c r="E36" s="2" t="s">
        <v>528</v>
      </c>
      <c r="F36" s="2" t="s">
        <v>156</v>
      </c>
      <c r="G36" s="2" t="s">
        <v>529</v>
      </c>
      <c r="H36" s="2" t="s">
        <v>158</v>
      </c>
      <c r="I36" s="2" t="s">
        <v>530</v>
      </c>
      <c r="J36" s="2" t="s">
        <v>9107</v>
      </c>
      <c r="K36" s="2" t="s">
        <v>160</v>
      </c>
      <c r="L36" s="2" t="n">
        <v>0.38</v>
      </c>
      <c r="M36" s="2" t="n">
        <v>0.8</v>
      </c>
    </row>
    <row r="37" customFormat="false" ht="15" hidden="false" customHeight="false" outlineLevel="0" collapsed="false">
      <c r="A37" s="2" t="n">
        <v>35</v>
      </c>
      <c r="B37" s="2" t="s">
        <v>488</v>
      </c>
      <c r="C37" s="2" t="n">
        <v>5</v>
      </c>
      <c r="D37" s="2" t="n">
        <v>0</v>
      </c>
      <c r="E37" s="2" t="s">
        <v>535</v>
      </c>
      <c r="F37" s="2" t="s">
        <v>536</v>
      </c>
      <c r="G37" s="2" t="s">
        <v>537</v>
      </c>
      <c r="H37" s="2" t="s">
        <v>475</v>
      </c>
      <c r="I37" s="2" t="s">
        <v>538</v>
      </c>
      <c r="J37" s="2" t="s">
        <v>9108</v>
      </c>
      <c r="K37" s="2" t="s">
        <v>68</v>
      </c>
      <c r="L37" s="2" t="n">
        <v>0.57</v>
      </c>
      <c r="M37" s="2" t="n">
        <v>0.57</v>
      </c>
    </row>
    <row r="38" customFormat="false" ht="15" hidden="false" customHeight="false" outlineLevel="0" collapsed="false">
      <c r="A38" s="2" t="n">
        <v>36</v>
      </c>
      <c r="B38" s="2" t="s">
        <v>488</v>
      </c>
      <c r="C38" s="2" t="n">
        <v>0</v>
      </c>
      <c r="D38" s="2" t="n">
        <v>0</v>
      </c>
      <c r="E38" s="2" t="s">
        <v>9109</v>
      </c>
      <c r="F38" s="2" t="s">
        <v>95</v>
      </c>
      <c r="G38" s="2" t="s">
        <v>9110</v>
      </c>
      <c r="H38" s="2" t="s">
        <v>97</v>
      </c>
      <c r="I38" s="2" t="s">
        <v>751</v>
      </c>
      <c r="J38" s="2" t="s">
        <v>9111</v>
      </c>
      <c r="K38" s="2" t="s">
        <v>68</v>
      </c>
      <c r="L38" s="2" t="n">
        <v>1</v>
      </c>
      <c r="M38" s="2" t="n">
        <v>0.88</v>
      </c>
    </row>
    <row r="39" customFormat="false" ht="15" hidden="false" customHeight="false" outlineLevel="0" collapsed="false">
      <c r="A39" s="2" t="n">
        <v>37</v>
      </c>
      <c r="B39" s="2" t="s">
        <v>488</v>
      </c>
      <c r="C39" s="2" t="n">
        <v>3</v>
      </c>
      <c r="D39" s="2" t="n">
        <v>1</v>
      </c>
      <c r="E39" s="2" t="s">
        <v>556</v>
      </c>
      <c r="F39" s="2" t="s">
        <v>95</v>
      </c>
      <c r="G39" s="2" t="s">
        <v>557</v>
      </c>
      <c r="H39" s="2" t="s">
        <v>97</v>
      </c>
      <c r="I39" s="2" t="s">
        <v>321</v>
      </c>
      <c r="J39" s="2" t="s">
        <v>9112</v>
      </c>
      <c r="K39" s="2" t="s">
        <v>68</v>
      </c>
      <c r="L39" s="2" t="n">
        <v>0.78</v>
      </c>
      <c r="M39" s="2" t="n">
        <v>0.7</v>
      </c>
    </row>
    <row r="40" customFormat="false" ht="15" hidden="false" customHeight="false" outlineLevel="0" collapsed="false">
      <c r="A40" s="2" t="n">
        <v>38</v>
      </c>
      <c r="B40" s="2" t="s">
        <v>488</v>
      </c>
      <c r="C40" s="2" t="n">
        <v>1</v>
      </c>
      <c r="D40" s="2" t="n">
        <v>1</v>
      </c>
      <c r="E40" s="2" t="s">
        <v>568</v>
      </c>
      <c r="F40" s="2" t="s">
        <v>569</v>
      </c>
      <c r="G40" s="2" t="s">
        <v>570</v>
      </c>
      <c r="H40" s="2" t="s">
        <v>571</v>
      </c>
      <c r="I40" s="2" t="s">
        <v>262</v>
      </c>
      <c r="J40" s="2" t="s">
        <v>9113</v>
      </c>
      <c r="K40" s="2" t="s">
        <v>68</v>
      </c>
      <c r="L40" s="2" t="n">
        <v>0.8</v>
      </c>
      <c r="M40" s="2" t="n">
        <v>0.67</v>
      </c>
    </row>
    <row r="41" customFormat="false" ht="15" hidden="false" customHeight="false" outlineLevel="0" collapsed="false">
      <c r="A41" s="2" t="n">
        <v>39</v>
      </c>
      <c r="B41" s="2" t="s">
        <v>488</v>
      </c>
      <c r="C41" s="2" t="n">
        <v>1</v>
      </c>
      <c r="D41" s="2" t="n">
        <v>1</v>
      </c>
      <c r="E41" s="2" t="s">
        <v>579</v>
      </c>
      <c r="F41" s="2" t="s">
        <v>580</v>
      </c>
      <c r="G41" s="2" t="s">
        <v>581</v>
      </c>
      <c r="H41" s="2" t="s">
        <v>582</v>
      </c>
      <c r="I41" s="2" t="s">
        <v>476</v>
      </c>
      <c r="J41" s="2" t="s">
        <v>9114</v>
      </c>
      <c r="K41" s="2" t="s">
        <v>68</v>
      </c>
      <c r="L41" s="2" t="n">
        <v>0.8</v>
      </c>
      <c r="M41" s="2" t="n">
        <v>0.57</v>
      </c>
    </row>
    <row r="42" customFormat="false" ht="15" hidden="false" customHeight="false" outlineLevel="0" collapsed="false">
      <c r="A42" s="2" t="n">
        <v>40</v>
      </c>
      <c r="B42" s="2" t="s">
        <v>488</v>
      </c>
      <c r="C42" s="2" t="n">
        <v>1</v>
      </c>
      <c r="D42" s="2" t="n">
        <v>1</v>
      </c>
      <c r="E42" s="2" t="s">
        <v>591</v>
      </c>
      <c r="F42" s="2" t="s">
        <v>592</v>
      </c>
      <c r="G42" s="2" t="s">
        <v>593</v>
      </c>
      <c r="H42" s="2" t="s">
        <v>594</v>
      </c>
      <c r="I42" s="2" t="s">
        <v>595</v>
      </c>
      <c r="J42" s="2" t="s">
        <v>9115</v>
      </c>
      <c r="K42" s="2" t="s">
        <v>68</v>
      </c>
      <c r="L42" s="2" t="n">
        <v>0.75</v>
      </c>
      <c r="M42" s="2" t="n">
        <v>0.64</v>
      </c>
    </row>
    <row r="43" customFormat="false" ht="15" hidden="false" customHeight="false" outlineLevel="0" collapsed="false">
      <c r="A43" s="2" t="n">
        <v>41</v>
      </c>
      <c r="B43" s="2" t="s">
        <v>488</v>
      </c>
      <c r="C43" s="2" t="n">
        <v>8</v>
      </c>
      <c r="D43" s="2" t="n">
        <v>8</v>
      </c>
      <c r="E43" s="2" t="s">
        <v>600</v>
      </c>
      <c r="F43" s="2" t="s">
        <v>601</v>
      </c>
      <c r="G43" s="2" t="s">
        <v>602</v>
      </c>
      <c r="H43" s="2" t="s">
        <v>603</v>
      </c>
      <c r="I43" s="2" t="s">
        <v>604</v>
      </c>
      <c r="J43" s="2" t="s">
        <v>9116</v>
      </c>
      <c r="K43" s="2" t="s">
        <v>68</v>
      </c>
      <c r="L43" s="2" t="n">
        <v>0.5</v>
      </c>
      <c r="M43" s="2" t="n">
        <v>0.75</v>
      </c>
    </row>
    <row r="44" customFormat="false" ht="15" hidden="false" customHeight="false" outlineLevel="0" collapsed="false">
      <c r="A44" s="2" t="n">
        <v>42</v>
      </c>
      <c r="B44" s="2" t="s">
        <v>488</v>
      </c>
      <c r="C44" s="2" t="n">
        <v>0</v>
      </c>
      <c r="D44" s="2" t="n">
        <v>0</v>
      </c>
      <c r="E44" s="2" t="s">
        <v>9117</v>
      </c>
      <c r="F44" s="2" t="s">
        <v>1421</v>
      </c>
      <c r="G44" s="2" t="s">
        <v>9118</v>
      </c>
      <c r="H44" s="2" t="s">
        <v>1423</v>
      </c>
      <c r="I44" s="2" t="s">
        <v>1324</v>
      </c>
      <c r="J44" s="2" t="s">
        <v>9119</v>
      </c>
      <c r="K44" s="2" t="s">
        <v>68</v>
      </c>
      <c r="L44" s="2" t="n">
        <v>0.86</v>
      </c>
      <c r="M44" s="2" t="n">
        <v>0.86</v>
      </c>
    </row>
    <row r="45" customFormat="false" ht="15" hidden="false" customHeight="false" outlineLevel="0" collapsed="false">
      <c r="A45" s="2" t="n">
        <v>43</v>
      </c>
      <c r="B45" s="2" t="s">
        <v>488</v>
      </c>
      <c r="C45" s="2" t="n">
        <v>1</v>
      </c>
      <c r="D45" s="2" t="n">
        <v>1</v>
      </c>
      <c r="E45" s="2" t="s">
        <v>634</v>
      </c>
      <c r="F45" s="2" t="s">
        <v>635</v>
      </c>
      <c r="G45" s="2" t="s">
        <v>636</v>
      </c>
      <c r="H45" s="2" t="s">
        <v>637</v>
      </c>
      <c r="I45" s="2" t="s">
        <v>595</v>
      </c>
      <c r="J45" s="2" t="s">
        <v>9120</v>
      </c>
      <c r="K45" s="2" t="s">
        <v>68</v>
      </c>
      <c r="L45" s="2" t="n">
        <v>0.62</v>
      </c>
      <c r="M45" s="2" t="n">
        <v>0.62</v>
      </c>
    </row>
    <row r="46" customFormat="false" ht="15" hidden="false" customHeight="false" outlineLevel="0" collapsed="false">
      <c r="A46" s="2" t="n">
        <v>44</v>
      </c>
      <c r="B46" s="2" t="s">
        <v>488</v>
      </c>
      <c r="C46" s="2" t="n">
        <v>2</v>
      </c>
      <c r="D46" s="2" t="n">
        <v>2</v>
      </c>
      <c r="E46" s="2" t="s">
        <v>643</v>
      </c>
      <c r="F46" s="2" t="s">
        <v>644</v>
      </c>
      <c r="G46" s="2" t="s">
        <v>645</v>
      </c>
      <c r="H46" s="2" t="s">
        <v>646</v>
      </c>
      <c r="I46" s="2" t="s">
        <v>647</v>
      </c>
      <c r="J46" s="2" t="s">
        <v>9121</v>
      </c>
      <c r="K46" s="2" t="s">
        <v>68</v>
      </c>
      <c r="L46" s="2" t="n">
        <v>0.78</v>
      </c>
      <c r="M46" s="2" t="n">
        <v>1</v>
      </c>
    </row>
    <row r="47" customFormat="false" ht="15" hidden="false" customHeight="false" outlineLevel="0" collapsed="false">
      <c r="A47" s="2" t="n">
        <v>45</v>
      </c>
      <c r="B47" s="2" t="s">
        <v>488</v>
      </c>
      <c r="C47" s="2" t="n">
        <v>0</v>
      </c>
      <c r="D47" s="2" t="n">
        <v>0</v>
      </c>
      <c r="E47" s="2" t="s">
        <v>9122</v>
      </c>
      <c r="F47" s="2" t="s">
        <v>580</v>
      </c>
      <c r="G47" s="2" t="s">
        <v>9123</v>
      </c>
      <c r="H47" s="2" t="s">
        <v>582</v>
      </c>
      <c r="I47" s="2" t="s">
        <v>1342</v>
      </c>
      <c r="J47" s="2" t="s">
        <v>9124</v>
      </c>
      <c r="K47" s="2" t="s">
        <v>160</v>
      </c>
      <c r="L47" s="2" t="n">
        <v>0.33</v>
      </c>
      <c r="M47" s="2" t="n">
        <v>0.25</v>
      </c>
    </row>
    <row r="48" customFormat="false" ht="15" hidden="false" customHeight="false" outlineLevel="0" collapsed="false">
      <c r="A48" s="2" t="n">
        <v>46</v>
      </c>
      <c r="B48" s="2" t="s">
        <v>488</v>
      </c>
      <c r="C48" s="2" t="n">
        <v>0</v>
      </c>
      <c r="D48" s="2" t="n">
        <v>0</v>
      </c>
      <c r="E48" s="2" t="s">
        <v>9125</v>
      </c>
      <c r="F48" s="2" t="s">
        <v>601</v>
      </c>
      <c r="G48" s="2" t="s">
        <v>9126</v>
      </c>
      <c r="H48" s="2" t="s">
        <v>603</v>
      </c>
      <c r="I48" s="2" t="s">
        <v>604</v>
      </c>
      <c r="J48" s="2" t="s">
        <v>9127</v>
      </c>
      <c r="K48" s="2" t="s">
        <v>68</v>
      </c>
      <c r="L48" s="2" t="n">
        <v>0.75</v>
      </c>
      <c r="M48" s="2" t="n">
        <v>0.75</v>
      </c>
    </row>
    <row r="49" customFormat="false" ht="15" hidden="false" customHeight="false" outlineLevel="0" collapsed="false">
      <c r="A49" s="2" t="n">
        <v>47</v>
      </c>
      <c r="B49" s="2" t="s">
        <v>488</v>
      </c>
      <c r="C49" s="2" t="n">
        <v>5</v>
      </c>
      <c r="D49" s="2" t="n">
        <v>5</v>
      </c>
      <c r="E49" s="2" t="s">
        <v>658</v>
      </c>
      <c r="F49" s="2" t="s">
        <v>659</v>
      </c>
      <c r="G49" s="2" t="s">
        <v>660</v>
      </c>
      <c r="H49" s="2" t="s">
        <v>661</v>
      </c>
      <c r="I49" s="2" t="s">
        <v>662</v>
      </c>
      <c r="J49" s="2" t="s">
        <v>9128</v>
      </c>
      <c r="K49" s="2" t="s">
        <v>68</v>
      </c>
      <c r="L49" s="2" t="n">
        <v>0.83</v>
      </c>
      <c r="M49" s="2" t="n">
        <v>0.83</v>
      </c>
    </row>
    <row r="50" customFormat="false" ht="15" hidden="false" customHeight="false" outlineLevel="0" collapsed="false">
      <c r="A50" s="2" t="n">
        <v>48</v>
      </c>
      <c r="B50" s="2" t="s">
        <v>488</v>
      </c>
      <c r="C50" s="2" t="n">
        <v>0</v>
      </c>
      <c r="D50" s="2" t="n">
        <v>0</v>
      </c>
      <c r="E50" s="2" t="s">
        <v>9129</v>
      </c>
      <c r="F50" s="2" t="s">
        <v>580</v>
      </c>
      <c r="G50" s="2" t="s">
        <v>9130</v>
      </c>
      <c r="H50" s="2" t="s">
        <v>582</v>
      </c>
      <c r="I50" s="2" t="s">
        <v>1342</v>
      </c>
      <c r="J50" s="2" t="s">
        <v>9131</v>
      </c>
      <c r="K50" s="2" t="s">
        <v>507</v>
      </c>
      <c r="L50" s="2" t="n">
        <v>0.2</v>
      </c>
      <c r="M50" s="2" t="n">
        <v>0.29</v>
      </c>
    </row>
    <row r="51" customFormat="false" ht="15" hidden="false" customHeight="false" outlineLevel="0" collapsed="false">
      <c r="A51" s="2" t="n">
        <v>49</v>
      </c>
      <c r="B51" s="2" t="s">
        <v>488</v>
      </c>
      <c r="C51" s="2" t="n">
        <v>0</v>
      </c>
      <c r="D51" s="2" t="n">
        <v>0</v>
      </c>
      <c r="E51" s="2" t="s">
        <v>9132</v>
      </c>
      <c r="F51" s="2" t="s">
        <v>580</v>
      </c>
      <c r="G51" s="2" t="s">
        <v>9133</v>
      </c>
      <c r="H51" s="2" t="s">
        <v>582</v>
      </c>
      <c r="I51" s="2" t="s">
        <v>3206</v>
      </c>
      <c r="J51" s="2" t="s">
        <v>9134</v>
      </c>
      <c r="K51" s="2" t="s">
        <v>68</v>
      </c>
      <c r="L51" s="2" t="n">
        <v>0.5</v>
      </c>
      <c r="M51" s="2" t="n">
        <v>0.33</v>
      </c>
    </row>
    <row r="52" customFormat="false" ht="15" hidden="false" customHeight="false" outlineLevel="0" collapsed="false">
      <c r="A52" s="2" t="n">
        <v>50</v>
      </c>
      <c r="B52" s="2" t="s">
        <v>488</v>
      </c>
      <c r="C52" s="2" t="n">
        <v>1</v>
      </c>
      <c r="D52" s="2" t="n">
        <v>1</v>
      </c>
      <c r="E52" s="2" t="s">
        <v>684</v>
      </c>
      <c r="F52" s="2" t="s">
        <v>580</v>
      </c>
      <c r="G52" s="2" t="s">
        <v>685</v>
      </c>
      <c r="H52" s="2" t="s">
        <v>582</v>
      </c>
      <c r="I52" s="2" t="s">
        <v>686</v>
      </c>
      <c r="J52" s="2" t="s">
        <v>9135</v>
      </c>
      <c r="K52" s="2" t="s">
        <v>68</v>
      </c>
      <c r="L52" s="2" t="n">
        <v>0.6</v>
      </c>
      <c r="M52" s="2" t="n">
        <v>0.43</v>
      </c>
    </row>
    <row r="53" customFormat="false" ht="15" hidden="false" customHeight="false" outlineLevel="0" collapsed="false">
      <c r="A53" s="2" t="n">
        <v>51</v>
      </c>
      <c r="B53" s="2" t="s">
        <v>488</v>
      </c>
      <c r="C53" s="2" t="n">
        <v>0</v>
      </c>
      <c r="D53" s="2" t="n">
        <v>0</v>
      </c>
      <c r="E53" s="2" t="s">
        <v>9136</v>
      </c>
      <c r="F53" s="2" t="s">
        <v>580</v>
      </c>
      <c r="G53" s="2" t="s">
        <v>9137</v>
      </c>
      <c r="H53" s="2" t="s">
        <v>582</v>
      </c>
      <c r="I53" s="2" t="s">
        <v>9138</v>
      </c>
      <c r="J53" s="2" t="s">
        <v>9139</v>
      </c>
      <c r="K53" s="2" t="s">
        <v>507</v>
      </c>
      <c r="L53" s="2" t="n">
        <v>0</v>
      </c>
      <c r="M53" s="2" t="n">
        <v>0</v>
      </c>
    </row>
    <row r="54" customFormat="false" ht="15" hidden="false" customHeight="false" outlineLevel="0" collapsed="false">
      <c r="A54" s="2" t="n">
        <v>52</v>
      </c>
      <c r="B54" s="2" t="s">
        <v>488</v>
      </c>
      <c r="C54" s="2" t="n">
        <v>0</v>
      </c>
      <c r="D54" s="2" t="n">
        <v>0</v>
      </c>
      <c r="E54" s="2" t="s">
        <v>9140</v>
      </c>
      <c r="F54" s="2" t="s">
        <v>694</v>
      </c>
      <c r="G54" s="2" t="s">
        <v>9141</v>
      </c>
      <c r="H54" s="2" t="s">
        <v>696</v>
      </c>
      <c r="I54" s="2" t="s">
        <v>3435</v>
      </c>
      <c r="J54" s="2" t="s">
        <v>9142</v>
      </c>
      <c r="K54" s="2" t="s">
        <v>68</v>
      </c>
      <c r="L54" s="2" t="n">
        <v>0.62</v>
      </c>
      <c r="M54" s="2" t="n">
        <v>0.62</v>
      </c>
    </row>
    <row r="55" customFormat="false" ht="15" hidden="false" customHeight="false" outlineLevel="0" collapsed="false">
      <c r="A55" s="2" t="n">
        <v>53</v>
      </c>
      <c r="B55" s="2" t="s">
        <v>488</v>
      </c>
      <c r="C55" s="2" t="n">
        <v>1</v>
      </c>
      <c r="D55" s="2" t="n">
        <v>1</v>
      </c>
      <c r="E55" s="2" t="s">
        <v>693</v>
      </c>
      <c r="F55" s="2" t="s">
        <v>694</v>
      </c>
      <c r="G55" s="2" t="s">
        <v>695</v>
      </c>
      <c r="H55" s="2" t="s">
        <v>696</v>
      </c>
      <c r="I55" s="2" t="s">
        <v>697</v>
      </c>
      <c r="J55" s="2" t="s">
        <v>9143</v>
      </c>
      <c r="K55" s="2" t="s">
        <v>68</v>
      </c>
      <c r="L55" s="2" t="n">
        <v>0.75</v>
      </c>
      <c r="M55" s="2" t="n">
        <v>0.62</v>
      </c>
    </row>
    <row r="56" customFormat="false" ht="15" hidden="false" customHeight="false" outlineLevel="0" collapsed="false">
      <c r="A56" s="2" t="n">
        <v>54</v>
      </c>
      <c r="B56" s="2" t="s">
        <v>488</v>
      </c>
      <c r="C56" s="2" t="n">
        <v>1</v>
      </c>
      <c r="D56" s="2" t="n">
        <v>1</v>
      </c>
      <c r="E56" s="2" t="s">
        <v>703</v>
      </c>
      <c r="F56" s="2" t="s">
        <v>64</v>
      </c>
      <c r="G56" s="2" t="s">
        <v>704</v>
      </c>
      <c r="H56" s="2" t="s">
        <v>66</v>
      </c>
      <c r="I56" s="2" t="s">
        <v>98</v>
      </c>
      <c r="J56" s="2" t="s">
        <v>9144</v>
      </c>
      <c r="K56" s="2" t="s">
        <v>507</v>
      </c>
      <c r="L56" s="2" t="n">
        <v>0.29</v>
      </c>
      <c r="M56" s="2" t="n">
        <v>0.22</v>
      </c>
    </row>
    <row r="57" customFormat="false" ht="15" hidden="false" customHeight="false" outlineLevel="0" collapsed="false">
      <c r="A57" s="2" t="n">
        <v>55</v>
      </c>
      <c r="B57" s="2" t="s">
        <v>488</v>
      </c>
      <c r="C57" s="2" t="n">
        <v>2</v>
      </c>
      <c r="D57" s="2" t="n">
        <v>2</v>
      </c>
      <c r="E57" s="2" t="s">
        <v>709</v>
      </c>
      <c r="F57" s="2" t="s">
        <v>710</v>
      </c>
      <c r="G57" s="2" t="s">
        <v>711</v>
      </c>
      <c r="H57" s="2" t="s">
        <v>710</v>
      </c>
      <c r="I57" s="2" t="s">
        <v>67</v>
      </c>
      <c r="J57" s="2" t="s">
        <v>9145</v>
      </c>
      <c r="K57" s="2" t="s">
        <v>68</v>
      </c>
      <c r="L57" s="2" t="n">
        <v>0.83</v>
      </c>
      <c r="M57" s="2" t="n">
        <v>0.71</v>
      </c>
    </row>
    <row r="58" customFormat="false" ht="15" hidden="false" customHeight="false" outlineLevel="0" collapsed="false">
      <c r="A58" s="2" t="n">
        <v>56</v>
      </c>
      <c r="B58" s="2" t="s">
        <v>488</v>
      </c>
      <c r="C58" s="2" t="n">
        <v>1</v>
      </c>
      <c r="D58" s="2" t="n">
        <v>1</v>
      </c>
      <c r="E58" s="2" t="s">
        <v>724</v>
      </c>
      <c r="F58" s="2" t="s">
        <v>725</v>
      </c>
      <c r="G58" s="2" t="s">
        <v>726</v>
      </c>
      <c r="H58" s="2" t="s">
        <v>727</v>
      </c>
      <c r="I58" s="2" t="s">
        <v>430</v>
      </c>
      <c r="J58" s="2" t="s">
        <v>9146</v>
      </c>
      <c r="K58" s="2" t="s">
        <v>68</v>
      </c>
      <c r="L58" s="2" t="n">
        <v>0.92</v>
      </c>
      <c r="M58" s="2" t="n">
        <v>0.92</v>
      </c>
    </row>
    <row r="59" customFormat="false" ht="15" hidden="false" customHeight="false" outlineLevel="0" collapsed="false">
      <c r="A59" s="2" t="n">
        <v>57</v>
      </c>
      <c r="B59" s="2" t="s">
        <v>488</v>
      </c>
      <c r="C59" s="2" t="n">
        <v>0</v>
      </c>
      <c r="D59" s="2" t="n">
        <v>0</v>
      </c>
      <c r="E59" s="2" t="s">
        <v>9147</v>
      </c>
      <c r="F59" s="2" t="s">
        <v>176</v>
      </c>
      <c r="G59" s="2" t="s">
        <v>9148</v>
      </c>
      <c r="H59" s="2" t="s">
        <v>178</v>
      </c>
      <c r="I59" s="2" t="s">
        <v>190</v>
      </c>
      <c r="J59" s="2" t="s">
        <v>9149</v>
      </c>
      <c r="K59" s="2" t="s">
        <v>68</v>
      </c>
      <c r="L59" s="2" t="n">
        <v>0.5</v>
      </c>
      <c r="M59" s="2" t="n">
        <v>0.67</v>
      </c>
    </row>
    <row r="60" customFormat="false" ht="15" hidden="false" customHeight="false" outlineLevel="0" collapsed="false">
      <c r="A60" s="2" t="n">
        <v>58</v>
      </c>
      <c r="B60" s="2" t="s">
        <v>488</v>
      </c>
      <c r="C60" s="2" t="n">
        <v>1</v>
      </c>
      <c r="D60" s="2" t="n">
        <v>1</v>
      </c>
      <c r="E60" s="2" t="s">
        <v>733</v>
      </c>
      <c r="F60" s="2" t="s">
        <v>734</v>
      </c>
      <c r="G60" s="2" t="s">
        <v>735</v>
      </c>
      <c r="H60" s="2" t="s">
        <v>734</v>
      </c>
      <c r="I60" s="2" t="s">
        <v>530</v>
      </c>
      <c r="J60" s="2" t="s">
        <v>9150</v>
      </c>
      <c r="K60" s="2" t="s">
        <v>68</v>
      </c>
      <c r="L60" s="2" t="n">
        <v>0.91</v>
      </c>
      <c r="M60" s="2" t="n">
        <v>0.91</v>
      </c>
    </row>
    <row r="61" customFormat="false" ht="15" hidden="false" customHeight="false" outlineLevel="0" collapsed="false">
      <c r="A61" s="2" t="n">
        <v>59</v>
      </c>
      <c r="B61" s="2" t="s">
        <v>488</v>
      </c>
      <c r="C61" s="2" t="n">
        <v>0</v>
      </c>
      <c r="D61" s="2" t="n">
        <v>0</v>
      </c>
      <c r="E61" s="2" t="s">
        <v>9151</v>
      </c>
      <c r="F61" s="2" t="s">
        <v>64</v>
      </c>
      <c r="G61" s="2" t="s">
        <v>9152</v>
      </c>
      <c r="H61" s="2" t="s">
        <v>66</v>
      </c>
      <c r="I61" s="2" t="s">
        <v>98</v>
      </c>
      <c r="J61" s="2" t="s">
        <v>9153</v>
      </c>
      <c r="K61" s="2" t="s">
        <v>68</v>
      </c>
      <c r="L61" s="2" t="n">
        <v>0.7</v>
      </c>
      <c r="M61" s="2" t="n">
        <v>0.58</v>
      </c>
    </row>
    <row r="62" customFormat="false" ht="15" hidden="false" customHeight="false" outlineLevel="0" collapsed="false">
      <c r="A62" s="2" t="n">
        <v>60</v>
      </c>
      <c r="B62" s="2" t="s">
        <v>736</v>
      </c>
      <c r="C62" s="2" t="n">
        <v>0</v>
      </c>
      <c r="D62" s="2" t="n">
        <v>0</v>
      </c>
      <c r="E62" s="2" t="s">
        <v>9154</v>
      </c>
      <c r="F62" s="2" t="s">
        <v>64</v>
      </c>
      <c r="G62" s="2" t="s">
        <v>9155</v>
      </c>
      <c r="H62" s="2" t="s">
        <v>66</v>
      </c>
      <c r="I62" s="2" t="s">
        <v>506</v>
      </c>
      <c r="J62" s="2" t="s">
        <v>9156</v>
      </c>
      <c r="K62" s="2" t="s">
        <v>68</v>
      </c>
      <c r="L62" s="2" t="n">
        <v>0.57</v>
      </c>
      <c r="M62" s="2" t="n">
        <v>0.44</v>
      </c>
    </row>
    <row r="63" customFormat="false" ht="15" hidden="false" customHeight="false" outlineLevel="0" collapsed="false">
      <c r="A63" s="2" t="n">
        <v>61</v>
      </c>
      <c r="B63" s="2" t="s">
        <v>736</v>
      </c>
      <c r="C63" s="2" t="n">
        <v>0</v>
      </c>
      <c r="D63" s="2" t="n">
        <v>0</v>
      </c>
      <c r="E63" s="2" t="s">
        <v>9157</v>
      </c>
      <c r="F63" s="2" t="s">
        <v>6500</v>
      </c>
      <c r="G63" s="2" t="s">
        <v>9158</v>
      </c>
      <c r="H63" s="2" t="s">
        <v>420</v>
      </c>
      <c r="I63" s="2" t="s">
        <v>2334</v>
      </c>
      <c r="J63" s="2" t="s">
        <v>9159</v>
      </c>
      <c r="K63" s="2" t="s">
        <v>68</v>
      </c>
      <c r="L63" s="2" t="n">
        <v>1</v>
      </c>
      <c r="M63" s="2" t="n">
        <v>1</v>
      </c>
    </row>
    <row r="64" customFormat="false" ht="15" hidden="false" customHeight="false" outlineLevel="0" collapsed="false">
      <c r="A64" s="2" t="n">
        <v>62</v>
      </c>
      <c r="B64" s="2" t="s">
        <v>736</v>
      </c>
      <c r="C64" s="2" t="n">
        <v>1</v>
      </c>
      <c r="D64" s="2" t="n">
        <v>1</v>
      </c>
      <c r="E64" s="2" t="s">
        <v>742</v>
      </c>
      <c r="F64" s="2" t="s">
        <v>743</v>
      </c>
      <c r="G64" s="2" t="s">
        <v>744</v>
      </c>
      <c r="H64" s="2" t="s">
        <v>745</v>
      </c>
      <c r="I64" s="2" t="s">
        <v>159</v>
      </c>
      <c r="J64" s="2" t="s">
        <v>9160</v>
      </c>
      <c r="K64" s="2" t="s">
        <v>68</v>
      </c>
      <c r="L64" s="2" t="n">
        <v>1</v>
      </c>
      <c r="M64" s="2" t="n">
        <v>1</v>
      </c>
    </row>
    <row r="65" customFormat="false" ht="15" hidden="false" customHeight="false" outlineLevel="0" collapsed="false">
      <c r="A65" s="2" t="n">
        <v>63</v>
      </c>
      <c r="B65" s="2" t="s">
        <v>736</v>
      </c>
      <c r="C65" s="2" t="n">
        <v>1</v>
      </c>
      <c r="D65" s="2" t="n">
        <v>1</v>
      </c>
      <c r="E65" s="2" t="s">
        <v>749</v>
      </c>
      <c r="F65" s="2" t="s">
        <v>743</v>
      </c>
      <c r="G65" s="2" t="s">
        <v>750</v>
      </c>
      <c r="H65" s="2" t="s">
        <v>745</v>
      </c>
      <c r="I65" s="2" t="s">
        <v>751</v>
      </c>
      <c r="J65" s="2" t="s">
        <v>9161</v>
      </c>
      <c r="K65" s="2" t="s">
        <v>68</v>
      </c>
      <c r="L65" s="2" t="n">
        <v>0.9</v>
      </c>
      <c r="M65" s="2" t="n">
        <v>0.9</v>
      </c>
    </row>
    <row r="66" customFormat="false" ht="15" hidden="false" customHeight="false" outlineLevel="0" collapsed="false">
      <c r="A66" s="2" t="n">
        <v>64</v>
      </c>
      <c r="B66" s="2" t="s">
        <v>736</v>
      </c>
      <c r="C66" s="2" t="n">
        <v>1</v>
      </c>
      <c r="D66" s="2" t="n">
        <v>1</v>
      </c>
      <c r="E66" s="2" t="s">
        <v>755</v>
      </c>
      <c r="F66" s="2" t="s">
        <v>743</v>
      </c>
      <c r="G66" s="2" t="s">
        <v>756</v>
      </c>
      <c r="H66" s="2" t="s">
        <v>745</v>
      </c>
      <c r="I66" s="2" t="s">
        <v>751</v>
      </c>
      <c r="J66" s="2" t="s">
        <v>9162</v>
      </c>
      <c r="K66" s="2" t="s">
        <v>68</v>
      </c>
      <c r="L66" s="2" t="n">
        <v>0.75</v>
      </c>
      <c r="M66" s="2" t="n">
        <v>0.75</v>
      </c>
    </row>
    <row r="67" customFormat="false" ht="15" hidden="false" customHeight="false" outlineLevel="0" collapsed="false">
      <c r="A67" s="2" t="n">
        <v>65</v>
      </c>
      <c r="B67" s="2" t="s">
        <v>736</v>
      </c>
      <c r="C67" s="2" t="n">
        <v>1</v>
      </c>
      <c r="D67" s="2" t="n">
        <v>1</v>
      </c>
      <c r="E67" s="2" t="s">
        <v>759</v>
      </c>
      <c r="F67" s="2" t="s">
        <v>743</v>
      </c>
      <c r="G67" s="2" t="s">
        <v>760</v>
      </c>
      <c r="H67" s="2" t="s">
        <v>745</v>
      </c>
      <c r="I67" s="2" t="s">
        <v>751</v>
      </c>
      <c r="J67" s="2" t="s">
        <v>9163</v>
      </c>
      <c r="K67" s="2" t="s">
        <v>68</v>
      </c>
      <c r="L67" s="2" t="n">
        <v>0.89</v>
      </c>
      <c r="M67" s="2" t="n">
        <v>0.89</v>
      </c>
    </row>
    <row r="68" customFormat="false" ht="15" hidden="false" customHeight="false" outlineLevel="0" collapsed="false">
      <c r="A68" s="2" t="n">
        <v>66</v>
      </c>
      <c r="B68" s="2" t="s">
        <v>736</v>
      </c>
      <c r="C68" s="2" t="n">
        <v>1</v>
      </c>
      <c r="D68" s="2" t="n">
        <v>1</v>
      </c>
      <c r="E68" s="2" t="s">
        <v>766</v>
      </c>
      <c r="F68" s="2" t="s">
        <v>64</v>
      </c>
      <c r="G68" s="2" t="s">
        <v>767</v>
      </c>
      <c r="H68" s="2" t="s">
        <v>66</v>
      </c>
      <c r="I68" s="2" t="s">
        <v>768</v>
      </c>
      <c r="J68" s="2" t="s">
        <v>9164</v>
      </c>
      <c r="K68" s="2" t="s">
        <v>160</v>
      </c>
      <c r="L68" s="2" t="n">
        <v>0.44</v>
      </c>
      <c r="M68" s="2" t="n">
        <v>0.36</v>
      </c>
    </row>
    <row r="69" customFormat="false" ht="15" hidden="false" customHeight="false" outlineLevel="0" collapsed="false">
      <c r="A69" s="2" t="n">
        <v>67</v>
      </c>
      <c r="B69" s="2" t="s">
        <v>736</v>
      </c>
      <c r="C69" s="2" t="n">
        <v>0</v>
      </c>
      <c r="D69" s="2" t="n">
        <v>0</v>
      </c>
      <c r="E69" s="2" t="s">
        <v>9165</v>
      </c>
      <c r="F69" s="2" t="s">
        <v>580</v>
      </c>
      <c r="G69" s="2" t="s">
        <v>9166</v>
      </c>
      <c r="H69" s="2" t="s">
        <v>582</v>
      </c>
      <c r="I69" s="2" t="s">
        <v>2334</v>
      </c>
      <c r="J69" s="2" t="s">
        <v>9167</v>
      </c>
      <c r="K69" s="2" t="s">
        <v>68</v>
      </c>
      <c r="L69" s="2" t="n">
        <v>0.5</v>
      </c>
      <c r="M69" s="2" t="n">
        <v>0.4</v>
      </c>
    </row>
    <row r="70" customFormat="false" ht="15" hidden="false" customHeight="false" outlineLevel="0" collapsed="false">
      <c r="A70" s="2" t="n">
        <v>68</v>
      </c>
      <c r="B70" s="2" t="s">
        <v>736</v>
      </c>
      <c r="C70" s="2" t="n">
        <v>1</v>
      </c>
      <c r="D70" s="2" t="n">
        <v>1</v>
      </c>
      <c r="E70" s="2" t="s">
        <v>774</v>
      </c>
      <c r="F70" s="2" t="s">
        <v>64</v>
      </c>
      <c r="G70" s="2" t="s">
        <v>775</v>
      </c>
      <c r="H70" s="2" t="s">
        <v>66</v>
      </c>
      <c r="I70" s="2" t="s">
        <v>776</v>
      </c>
      <c r="J70" s="2" t="s">
        <v>9168</v>
      </c>
      <c r="K70" s="2" t="s">
        <v>68</v>
      </c>
      <c r="L70" s="2" t="n">
        <v>0.86</v>
      </c>
      <c r="M70" s="2" t="n">
        <v>0.67</v>
      </c>
    </row>
    <row r="71" customFormat="false" ht="15" hidden="false" customHeight="false" outlineLevel="0" collapsed="false">
      <c r="A71" s="2" t="n">
        <v>69</v>
      </c>
      <c r="B71" s="2" t="s">
        <v>736</v>
      </c>
      <c r="C71" s="2" t="n">
        <v>0</v>
      </c>
      <c r="D71" s="2" t="n">
        <v>0</v>
      </c>
      <c r="E71" s="2" t="s">
        <v>9169</v>
      </c>
      <c r="F71" s="2" t="s">
        <v>64</v>
      </c>
      <c r="G71" s="2" t="s">
        <v>9170</v>
      </c>
      <c r="H71" s="2" t="s">
        <v>66</v>
      </c>
      <c r="I71" s="2" t="s">
        <v>3088</v>
      </c>
      <c r="J71" s="2" t="s">
        <v>9171</v>
      </c>
      <c r="K71" s="2" t="s">
        <v>68</v>
      </c>
      <c r="L71" s="2" t="n">
        <v>0.78</v>
      </c>
      <c r="M71" s="2" t="n">
        <v>0.64</v>
      </c>
    </row>
    <row r="72" customFormat="false" ht="15" hidden="false" customHeight="false" outlineLevel="0" collapsed="false">
      <c r="A72" s="2" t="n">
        <v>70</v>
      </c>
      <c r="B72" s="2" t="s">
        <v>736</v>
      </c>
      <c r="C72" s="2" t="n">
        <v>1</v>
      </c>
      <c r="D72" s="2" t="n">
        <v>1</v>
      </c>
      <c r="E72" s="2" t="s">
        <v>781</v>
      </c>
      <c r="F72" s="2" t="s">
        <v>64</v>
      </c>
      <c r="G72" s="2" t="s">
        <v>782</v>
      </c>
      <c r="H72" s="2" t="s">
        <v>66</v>
      </c>
      <c r="I72" s="2" t="s">
        <v>783</v>
      </c>
      <c r="J72" s="2" t="s">
        <v>9172</v>
      </c>
      <c r="K72" s="2" t="s">
        <v>68</v>
      </c>
      <c r="L72" s="2" t="n">
        <v>0.62</v>
      </c>
      <c r="M72" s="2" t="n">
        <v>0.5</v>
      </c>
    </row>
    <row r="73" customFormat="false" ht="15" hidden="false" customHeight="false" outlineLevel="0" collapsed="false">
      <c r="A73" s="2" t="n">
        <v>71</v>
      </c>
      <c r="B73" s="2" t="s">
        <v>736</v>
      </c>
      <c r="C73" s="2" t="n">
        <v>0</v>
      </c>
      <c r="D73" s="2" t="n">
        <v>0</v>
      </c>
      <c r="E73" s="2" t="s">
        <v>9173</v>
      </c>
      <c r="F73" s="2" t="s">
        <v>64</v>
      </c>
      <c r="G73" s="2" t="s">
        <v>9174</v>
      </c>
      <c r="H73" s="2" t="s">
        <v>66</v>
      </c>
      <c r="I73" s="2" t="s">
        <v>2334</v>
      </c>
      <c r="J73" s="2" t="s">
        <v>9175</v>
      </c>
      <c r="K73" s="2" t="s">
        <v>160</v>
      </c>
      <c r="L73" s="2" t="n">
        <v>0.44</v>
      </c>
      <c r="M73" s="2" t="n">
        <v>0.45</v>
      </c>
    </row>
    <row r="74" customFormat="false" ht="15" hidden="false" customHeight="false" outlineLevel="0" collapsed="false">
      <c r="A74" s="2" t="n">
        <v>72</v>
      </c>
      <c r="B74" s="2" t="s">
        <v>736</v>
      </c>
      <c r="C74" s="2" t="n">
        <v>0</v>
      </c>
      <c r="D74" s="2" t="n">
        <v>0</v>
      </c>
      <c r="E74" s="2" t="s">
        <v>9176</v>
      </c>
      <c r="F74" s="2" t="s">
        <v>64</v>
      </c>
      <c r="G74" s="2" t="s">
        <v>9177</v>
      </c>
      <c r="H74" s="2" t="s">
        <v>66</v>
      </c>
      <c r="I74" s="2" t="s">
        <v>697</v>
      </c>
      <c r="J74" s="2" t="s">
        <v>9178</v>
      </c>
      <c r="K74" s="2" t="s">
        <v>68</v>
      </c>
      <c r="L74" s="2" t="n">
        <v>0.71</v>
      </c>
      <c r="M74" s="2" t="n">
        <v>0.56</v>
      </c>
    </row>
    <row r="75" customFormat="false" ht="15" hidden="false" customHeight="false" outlineLevel="0" collapsed="false">
      <c r="A75" s="2" t="n">
        <v>73</v>
      </c>
      <c r="B75" s="2" t="s">
        <v>736</v>
      </c>
      <c r="C75" s="2" t="n">
        <v>0</v>
      </c>
      <c r="D75" s="2" t="n">
        <v>0</v>
      </c>
      <c r="E75" s="2" t="s">
        <v>9179</v>
      </c>
      <c r="F75" s="2" t="s">
        <v>2577</v>
      </c>
      <c r="G75" s="2" t="s">
        <v>9180</v>
      </c>
      <c r="H75" s="2" t="s">
        <v>2577</v>
      </c>
      <c r="I75" s="2" t="s">
        <v>421</v>
      </c>
      <c r="J75" s="2" t="s">
        <v>9181</v>
      </c>
      <c r="K75" s="2" t="s">
        <v>68</v>
      </c>
      <c r="L75" s="2" t="n">
        <v>0.75</v>
      </c>
      <c r="M75" s="2" t="n">
        <v>0.75</v>
      </c>
    </row>
    <row r="76" customFormat="false" ht="15" hidden="false" customHeight="false" outlineLevel="0" collapsed="false">
      <c r="A76" s="2" t="n">
        <v>74</v>
      </c>
      <c r="B76" s="2" t="s">
        <v>736</v>
      </c>
      <c r="C76" s="2" t="n">
        <v>0</v>
      </c>
      <c r="D76" s="2" t="n">
        <v>0</v>
      </c>
      <c r="E76" s="2" t="s">
        <v>9182</v>
      </c>
      <c r="F76" s="2" t="s">
        <v>9183</v>
      </c>
      <c r="G76" s="2" t="s">
        <v>9184</v>
      </c>
      <c r="H76" s="2" t="s">
        <v>9185</v>
      </c>
      <c r="I76" s="2" t="s">
        <v>159</v>
      </c>
      <c r="J76" s="2" t="s">
        <v>9186</v>
      </c>
      <c r="K76" s="2" t="s">
        <v>507</v>
      </c>
      <c r="L76" s="2" t="n">
        <v>0.14</v>
      </c>
      <c r="M76" s="2"/>
    </row>
    <row r="77" customFormat="false" ht="15" hidden="false" customHeight="false" outlineLevel="0" collapsed="false">
      <c r="A77" s="2" t="n">
        <v>75</v>
      </c>
      <c r="B77" s="2" t="s">
        <v>736</v>
      </c>
      <c r="C77" s="2" t="n">
        <v>0</v>
      </c>
      <c r="D77" s="2" t="n">
        <v>0</v>
      </c>
      <c r="E77" s="2" t="s">
        <v>9187</v>
      </c>
      <c r="F77" s="2" t="s">
        <v>8153</v>
      </c>
      <c r="G77" s="2" t="s">
        <v>9188</v>
      </c>
      <c r="H77" s="2" t="s">
        <v>9189</v>
      </c>
      <c r="I77" s="2" t="s">
        <v>190</v>
      </c>
      <c r="J77" s="2" t="s">
        <v>9190</v>
      </c>
      <c r="K77" s="2" t="s">
        <v>160</v>
      </c>
      <c r="L77" s="2" t="n">
        <v>0.33</v>
      </c>
      <c r="M77" s="2" t="n">
        <v>0.3</v>
      </c>
    </row>
    <row r="78" customFormat="false" ht="15" hidden="false" customHeight="false" outlineLevel="0" collapsed="false">
      <c r="A78" s="2" t="n">
        <v>76</v>
      </c>
      <c r="B78" s="2" t="s">
        <v>736</v>
      </c>
      <c r="C78" s="2" t="n">
        <v>0</v>
      </c>
      <c r="D78" s="2" t="n">
        <v>0</v>
      </c>
      <c r="E78" s="2" t="s">
        <v>9191</v>
      </c>
      <c r="F78" s="2" t="s">
        <v>694</v>
      </c>
      <c r="G78" s="2" t="s">
        <v>9192</v>
      </c>
      <c r="H78" s="2" t="s">
        <v>696</v>
      </c>
      <c r="I78" s="2" t="s">
        <v>4276</v>
      </c>
      <c r="J78" s="2" t="s">
        <v>9193</v>
      </c>
      <c r="K78" s="2" t="s">
        <v>68</v>
      </c>
      <c r="L78" s="2" t="n">
        <v>0.56</v>
      </c>
      <c r="M78" s="2" t="n">
        <v>0.56</v>
      </c>
    </row>
    <row r="79" customFormat="false" ht="15" hidden="false" customHeight="false" outlineLevel="0" collapsed="false">
      <c r="A79" s="2" t="n">
        <v>77</v>
      </c>
      <c r="B79" s="2" t="s">
        <v>736</v>
      </c>
      <c r="C79" s="2" t="n">
        <v>0</v>
      </c>
      <c r="D79" s="2" t="n">
        <v>0</v>
      </c>
      <c r="E79" s="2" t="s">
        <v>9194</v>
      </c>
      <c r="F79" s="2" t="s">
        <v>7501</v>
      </c>
      <c r="G79" s="2" t="s">
        <v>9195</v>
      </c>
      <c r="H79" s="2" t="s">
        <v>9196</v>
      </c>
      <c r="I79" s="2" t="s">
        <v>321</v>
      </c>
      <c r="J79" s="2" t="s">
        <v>9197</v>
      </c>
      <c r="K79" s="2" t="s">
        <v>68</v>
      </c>
      <c r="L79" s="2" t="n">
        <v>0.73</v>
      </c>
      <c r="M79" s="2" t="n">
        <v>0.73</v>
      </c>
    </row>
    <row r="80" customFormat="false" ht="15" hidden="false" customHeight="false" outlineLevel="0" collapsed="false">
      <c r="A80" s="2" t="n">
        <v>78</v>
      </c>
      <c r="B80" s="2" t="s">
        <v>736</v>
      </c>
      <c r="C80" s="2" t="n">
        <v>0</v>
      </c>
      <c r="D80" s="2" t="n">
        <v>0</v>
      </c>
      <c r="E80" s="2" t="s">
        <v>9198</v>
      </c>
      <c r="F80" s="2" t="s">
        <v>9199</v>
      </c>
      <c r="G80" s="2" t="s">
        <v>9200</v>
      </c>
      <c r="H80" s="2" t="s">
        <v>9201</v>
      </c>
      <c r="I80" s="2" t="s">
        <v>3888</v>
      </c>
      <c r="J80" s="2" t="s">
        <v>9202</v>
      </c>
      <c r="K80" s="2" t="s">
        <v>68</v>
      </c>
      <c r="L80" s="2" t="n">
        <v>1</v>
      </c>
      <c r="M80" s="2" t="n">
        <v>1</v>
      </c>
    </row>
    <row r="81" customFormat="false" ht="15" hidden="false" customHeight="false" outlineLevel="0" collapsed="false">
      <c r="A81" s="2" t="n">
        <v>79</v>
      </c>
      <c r="B81" s="2" t="s">
        <v>736</v>
      </c>
      <c r="C81" s="2" t="n">
        <v>1</v>
      </c>
      <c r="D81" s="2" t="n">
        <v>1</v>
      </c>
      <c r="E81" s="2" t="s">
        <v>791</v>
      </c>
      <c r="F81" s="2" t="s">
        <v>792</v>
      </c>
      <c r="G81" s="2" t="s">
        <v>793</v>
      </c>
      <c r="H81" s="2" t="s">
        <v>794</v>
      </c>
      <c r="I81" s="2" t="s">
        <v>795</v>
      </c>
      <c r="J81" s="2" t="s">
        <v>9203</v>
      </c>
      <c r="K81" s="2" t="s">
        <v>160</v>
      </c>
      <c r="L81" s="2" t="n">
        <v>0.4</v>
      </c>
      <c r="M81" s="2" t="n">
        <v>0.4</v>
      </c>
    </row>
    <row r="82" customFormat="false" ht="15" hidden="false" customHeight="false" outlineLevel="0" collapsed="false">
      <c r="A82" s="2" t="n">
        <v>80</v>
      </c>
      <c r="B82" s="2" t="s">
        <v>736</v>
      </c>
      <c r="C82" s="2" t="n">
        <v>1</v>
      </c>
      <c r="D82" s="2" t="n">
        <v>1</v>
      </c>
      <c r="E82" s="2" t="s">
        <v>802</v>
      </c>
      <c r="F82" s="2" t="s">
        <v>803</v>
      </c>
      <c r="G82" s="2" t="s">
        <v>804</v>
      </c>
      <c r="H82" s="2" t="s">
        <v>420</v>
      </c>
      <c r="I82" s="2" t="s">
        <v>805</v>
      </c>
      <c r="J82" s="2" t="s">
        <v>9204</v>
      </c>
      <c r="K82" s="2" t="s">
        <v>68</v>
      </c>
      <c r="L82" s="2" t="n">
        <v>1</v>
      </c>
      <c r="M82" s="2" t="n">
        <v>1</v>
      </c>
    </row>
    <row r="83" customFormat="false" ht="15" hidden="false" customHeight="false" outlineLevel="0" collapsed="false">
      <c r="A83" s="2" t="n">
        <v>81</v>
      </c>
      <c r="B83" s="2" t="s">
        <v>736</v>
      </c>
      <c r="C83" s="2" t="n">
        <v>1</v>
      </c>
      <c r="D83" s="2" t="n">
        <v>0</v>
      </c>
      <c r="E83" s="2" t="s">
        <v>809</v>
      </c>
      <c r="F83" s="2" t="s">
        <v>810</v>
      </c>
      <c r="G83" s="2" t="s">
        <v>811</v>
      </c>
      <c r="H83" s="2" t="s">
        <v>812</v>
      </c>
      <c r="I83" s="2" t="s">
        <v>813</v>
      </c>
      <c r="J83" s="2" t="s">
        <v>9205</v>
      </c>
      <c r="K83" s="2" t="s">
        <v>160</v>
      </c>
      <c r="L83" s="2" t="n">
        <v>0.45</v>
      </c>
      <c r="M83" s="2" t="n">
        <v>0.5</v>
      </c>
    </row>
    <row r="84" customFormat="false" ht="15" hidden="false" customHeight="false" outlineLevel="0" collapsed="false">
      <c r="A84" s="2" t="n">
        <v>82</v>
      </c>
      <c r="B84" s="2" t="s">
        <v>736</v>
      </c>
      <c r="C84" s="2" t="n">
        <v>0</v>
      </c>
      <c r="D84" s="2" t="n">
        <v>0</v>
      </c>
      <c r="E84" s="2" t="s">
        <v>9206</v>
      </c>
      <c r="F84" s="2" t="s">
        <v>2577</v>
      </c>
      <c r="G84" s="2" t="s">
        <v>9207</v>
      </c>
      <c r="H84" s="2" t="s">
        <v>2577</v>
      </c>
      <c r="I84" s="2" t="s">
        <v>1429</v>
      </c>
      <c r="J84" s="2" t="s">
        <v>9208</v>
      </c>
      <c r="K84" s="2" t="s">
        <v>68</v>
      </c>
      <c r="L84" s="2" t="n">
        <v>0.91</v>
      </c>
      <c r="M84" s="2" t="n">
        <v>0.91</v>
      </c>
    </row>
    <row r="85" customFormat="false" ht="15" hidden="false" customHeight="false" outlineLevel="0" collapsed="false">
      <c r="A85" s="2" t="n">
        <v>83</v>
      </c>
      <c r="B85" s="2" t="s">
        <v>736</v>
      </c>
      <c r="C85" s="2" t="n">
        <v>1</v>
      </c>
      <c r="D85" s="2" t="n">
        <v>1</v>
      </c>
      <c r="E85" s="2" t="s">
        <v>819</v>
      </c>
      <c r="F85" s="2" t="s">
        <v>64</v>
      </c>
      <c r="G85" s="2" t="s">
        <v>820</v>
      </c>
      <c r="H85" s="2" t="s">
        <v>66</v>
      </c>
      <c r="I85" s="2" t="s">
        <v>821</v>
      </c>
      <c r="J85" s="2" t="s">
        <v>9209</v>
      </c>
      <c r="K85" s="2" t="s">
        <v>68</v>
      </c>
      <c r="L85" s="2" t="n">
        <v>1</v>
      </c>
      <c r="M85" s="2" t="n">
        <v>0.8</v>
      </c>
    </row>
    <row r="86" customFormat="false" ht="15" hidden="false" customHeight="false" outlineLevel="0" collapsed="false">
      <c r="A86" s="2" t="n">
        <v>84</v>
      </c>
      <c r="B86" s="2" t="s">
        <v>736</v>
      </c>
      <c r="C86" s="2" t="n">
        <v>0</v>
      </c>
      <c r="D86" s="2" t="n">
        <v>0</v>
      </c>
      <c r="E86" s="2" t="s">
        <v>9210</v>
      </c>
      <c r="F86" s="2" t="s">
        <v>694</v>
      </c>
      <c r="G86" s="2" t="s">
        <v>9211</v>
      </c>
      <c r="H86" s="2" t="s">
        <v>696</v>
      </c>
      <c r="I86" s="2" t="s">
        <v>805</v>
      </c>
      <c r="J86" s="2" t="s">
        <v>9212</v>
      </c>
      <c r="K86" s="2" t="s">
        <v>68</v>
      </c>
      <c r="L86" s="2" t="n">
        <v>0.89</v>
      </c>
      <c r="M86" s="2" t="n">
        <v>0.89</v>
      </c>
    </row>
    <row r="87" customFormat="false" ht="15" hidden="false" customHeight="false" outlineLevel="0" collapsed="false">
      <c r="A87" s="2" t="n">
        <v>85</v>
      </c>
      <c r="B87" s="2" t="s">
        <v>736</v>
      </c>
      <c r="C87" s="2" t="n">
        <v>0</v>
      </c>
      <c r="D87" s="2" t="n">
        <v>0</v>
      </c>
      <c r="E87" s="2" t="s">
        <v>9213</v>
      </c>
      <c r="F87" s="2" t="s">
        <v>580</v>
      </c>
      <c r="G87" s="2" t="s">
        <v>9214</v>
      </c>
      <c r="H87" s="2" t="s">
        <v>582</v>
      </c>
      <c r="I87" s="2" t="s">
        <v>495</v>
      </c>
      <c r="J87" s="4" t="s">
        <v>9215</v>
      </c>
      <c r="K87" s="2" t="s">
        <v>68</v>
      </c>
      <c r="L87" s="2" t="n">
        <v>0.56</v>
      </c>
      <c r="M87" s="2" t="n">
        <v>0.5</v>
      </c>
    </row>
    <row r="88" customFormat="false" ht="15" hidden="false" customHeight="false" outlineLevel="0" collapsed="false">
      <c r="A88" s="2" t="n">
        <v>86</v>
      </c>
      <c r="B88" s="2" t="s">
        <v>736</v>
      </c>
      <c r="C88" s="2" t="n">
        <v>0</v>
      </c>
      <c r="D88" s="2" t="n">
        <v>0</v>
      </c>
      <c r="E88" s="2" t="s">
        <v>9216</v>
      </c>
      <c r="F88" s="2" t="s">
        <v>694</v>
      </c>
      <c r="G88" s="2" t="s">
        <v>9217</v>
      </c>
      <c r="H88" s="2" t="s">
        <v>696</v>
      </c>
      <c r="I88" s="2" t="s">
        <v>4923</v>
      </c>
      <c r="J88" s="2" t="s">
        <v>9218</v>
      </c>
      <c r="K88" s="2" t="s">
        <v>68</v>
      </c>
      <c r="L88" s="2" t="n">
        <v>0.6</v>
      </c>
      <c r="M88" s="2" t="n">
        <v>0.6</v>
      </c>
    </row>
    <row r="89" customFormat="false" ht="15" hidden="false" customHeight="false" outlineLevel="0" collapsed="false">
      <c r="A89" s="2" t="n">
        <v>87</v>
      </c>
      <c r="B89" s="2" t="s">
        <v>736</v>
      </c>
      <c r="C89" s="2" t="n">
        <v>0</v>
      </c>
      <c r="D89" s="2" t="n">
        <v>0</v>
      </c>
      <c r="E89" s="2" t="s">
        <v>9219</v>
      </c>
      <c r="F89" s="2" t="s">
        <v>64</v>
      </c>
      <c r="G89" s="2" t="s">
        <v>9220</v>
      </c>
      <c r="H89" s="2" t="s">
        <v>66</v>
      </c>
      <c r="I89" s="2" t="s">
        <v>1793</v>
      </c>
      <c r="J89" s="2" t="s">
        <v>9221</v>
      </c>
      <c r="K89" s="2" t="s">
        <v>68</v>
      </c>
      <c r="L89" s="2" t="n">
        <v>0.88</v>
      </c>
      <c r="M89" s="2" t="n">
        <v>0.7</v>
      </c>
    </row>
    <row r="90" customFormat="false" ht="15" hidden="false" customHeight="false" outlineLevel="0" collapsed="false">
      <c r="A90" s="2" t="n">
        <v>88</v>
      </c>
      <c r="B90" s="2" t="s">
        <v>736</v>
      </c>
      <c r="C90" s="2" t="n">
        <v>1</v>
      </c>
      <c r="D90" s="2" t="n">
        <v>1</v>
      </c>
      <c r="E90" s="2" t="s">
        <v>826</v>
      </c>
      <c r="F90" s="2" t="s">
        <v>64</v>
      </c>
      <c r="G90" s="2" t="s">
        <v>827</v>
      </c>
      <c r="H90" s="2" t="s">
        <v>66</v>
      </c>
      <c r="I90" s="2" t="s">
        <v>828</v>
      </c>
      <c r="J90" s="2" t="s">
        <v>9222</v>
      </c>
      <c r="K90" s="2" t="s">
        <v>68</v>
      </c>
      <c r="L90" s="2" t="n">
        <v>0.83</v>
      </c>
      <c r="M90" s="2" t="n">
        <v>0.75</v>
      </c>
    </row>
    <row r="91" customFormat="false" ht="15" hidden="false" customHeight="false" outlineLevel="0" collapsed="false">
      <c r="A91" s="2" t="n">
        <v>89</v>
      </c>
      <c r="B91" s="2" t="s">
        <v>736</v>
      </c>
      <c r="C91" s="2" t="n">
        <v>0</v>
      </c>
      <c r="D91" s="2" t="n">
        <v>0</v>
      </c>
      <c r="E91" s="2" t="s">
        <v>9223</v>
      </c>
      <c r="F91" s="2" t="s">
        <v>580</v>
      </c>
      <c r="G91" s="2" t="s">
        <v>9224</v>
      </c>
      <c r="H91" s="2" t="s">
        <v>582</v>
      </c>
      <c r="I91" s="2" t="s">
        <v>6803</v>
      </c>
      <c r="J91" s="4" t="s">
        <v>9225</v>
      </c>
      <c r="K91" s="2" t="s">
        <v>68</v>
      </c>
      <c r="L91" s="2" t="n">
        <v>0.5</v>
      </c>
      <c r="M91" s="2" t="n">
        <v>0.44</v>
      </c>
    </row>
    <row r="92" customFormat="false" ht="15" hidden="false" customHeight="false" outlineLevel="0" collapsed="false">
      <c r="A92" s="2" t="n">
        <v>90</v>
      </c>
      <c r="B92" s="2" t="s">
        <v>829</v>
      </c>
      <c r="C92" s="2" t="n">
        <v>0</v>
      </c>
      <c r="D92" s="2" t="n">
        <v>0</v>
      </c>
      <c r="E92" s="2" t="s">
        <v>9226</v>
      </c>
      <c r="F92" s="2" t="s">
        <v>694</v>
      </c>
      <c r="G92" s="2" t="s">
        <v>9227</v>
      </c>
      <c r="H92" s="2" t="s">
        <v>696</v>
      </c>
      <c r="I92" s="2" t="s">
        <v>1972</v>
      </c>
      <c r="J92" s="2" t="s">
        <v>9228</v>
      </c>
      <c r="K92" s="2" t="s">
        <v>68</v>
      </c>
      <c r="L92" s="2" t="n">
        <v>0.88</v>
      </c>
      <c r="M92" s="2" t="n">
        <v>0.88</v>
      </c>
    </row>
    <row r="93" customFormat="false" ht="15" hidden="false" customHeight="false" outlineLevel="0" collapsed="false">
      <c r="A93" s="2" t="n">
        <v>91</v>
      </c>
      <c r="B93" s="2" t="s">
        <v>829</v>
      </c>
      <c r="C93" s="2" t="n">
        <v>3</v>
      </c>
      <c r="D93" s="2" t="n">
        <v>1</v>
      </c>
      <c r="E93" s="2" t="s">
        <v>832</v>
      </c>
      <c r="F93" s="2" t="s">
        <v>64</v>
      </c>
      <c r="G93" s="2" t="s">
        <v>833</v>
      </c>
      <c r="H93" s="2" t="s">
        <v>66</v>
      </c>
      <c r="I93" s="2" t="s">
        <v>132</v>
      </c>
      <c r="J93" s="2" t="s">
        <v>9229</v>
      </c>
      <c r="K93" s="2" t="s">
        <v>68</v>
      </c>
      <c r="L93" s="2" t="n">
        <v>0.56</v>
      </c>
      <c r="M93" s="2" t="n">
        <v>0.55</v>
      </c>
    </row>
    <row r="94" customFormat="false" ht="15" hidden="false" customHeight="false" outlineLevel="0" collapsed="false">
      <c r="A94" s="2" t="n">
        <v>92</v>
      </c>
      <c r="B94" s="2" t="s">
        <v>829</v>
      </c>
      <c r="C94" s="2" t="n">
        <v>1</v>
      </c>
      <c r="D94" s="2" t="n">
        <v>1</v>
      </c>
      <c r="E94" s="2" t="s">
        <v>840</v>
      </c>
      <c r="F94" s="2" t="s">
        <v>841</v>
      </c>
      <c r="G94" s="2" t="s">
        <v>842</v>
      </c>
      <c r="H94" s="2" t="s">
        <v>841</v>
      </c>
      <c r="I94" s="2" t="s">
        <v>132</v>
      </c>
      <c r="J94" s="2" t="s">
        <v>9230</v>
      </c>
      <c r="K94" s="2" t="s">
        <v>160</v>
      </c>
      <c r="L94" s="2" t="n">
        <v>0.33</v>
      </c>
      <c r="M94" s="2" t="n">
        <v>0.27</v>
      </c>
    </row>
    <row r="95" customFormat="false" ht="15" hidden="false" customHeight="false" outlineLevel="0" collapsed="false">
      <c r="A95" s="2" t="n">
        <v>93</v>
      </c>
      <c r="B95" s="2" t="s">
        <v>829</v>
      </c>
      <c r="C95" s="2" t="n">
        <v>0</v>
      </c>
      <c r="D95" s="2" t="n">
        <v>0</v>
      </c>
      <c r="E95" s="2" t="s">
        <v>9231</v>
      </c>
      <c r="F95" s="2" t="s">
        <v>95</v>
      </c>
      <c r="G95" s="2" t="s">
        <v>9232</v>
      </c>
      <c r="H95" s="2" t="s">
        <v>97</v>
      </c>
      <c r="I95" s="2" t="s">
        <v>1429</v>
      </c>
      <c r="J95" s="2" t="s">
        <v>9233</v>
      </c>
      <c r="K95" s="2" t="s">
        <v>68</v>
      </c>
      <c r="L95" s="2" t="n">
        <v>0.67</v>
      </c>
      <c r="M95" s="2" t="n">
        <v>0.62</v>
      </c>
    </row>
    <row r="96" customFormat="false" ht="15" hidden="false" customHeight="false" outlineLevel="0" collapsed="false">
      <c r="A96" s="2" t="n">
        <v>94</v>
      </c>
      <c r="B96" s="2" t="s">
        <v>829</v>
      </c>
      <c r="C96" s="2" t="n">
        <v>1</v>
      </c>
      <c r="D96" s="2" t="n">
        <v>1</v>
      </c>
      <c r="E96" s="2" t="s">
        <v>847</v>
      </c>
      <c r="F96" s="2" t="s">
        <v>848</v>
      </c>
      <c r="G96" s="2" t="s">
        <v>849</v>
      </c>
      <c r="H96" s="2" t="s">
        <v>850</v>
      </c>
      <c r="I96" s="2" t="s">
        <v>851</v>
      </c>
      <c r="J96" s="2" t="s">
        <v>9234</v>
      </c>
      <c r="K96" s="2" t="s">
        <v>68</v>
      </c>
      <c r="L96" s="2" t="n">
        <v>0.62</v>
      </c>
      <c r="M96" s="2" t="n">
        <v>0.57</v>
      </c>
    </row>
    <row r="97" customFormat="false" ht="15" hidden="false" customHeight="false" outlineLevel="0" collapsed="false">
      <c r="A97" s="2" t="n">
        <v>95</v>
      </c>
      <c r="B97" s="2" t="s">
        <v>829</v>
      </c>
      <c r="C97" s="2" t="n">
        <v>1</v>
      </c>
      <c r="D97" s="2" t="n">
        <v>1</v>
      </c>
      <c r="E97" s="2" t="s">
        <v>857</v>
      </c>
      <c r="F97" s="2" t="s">
        <v>536</v>
      </c>
      <c r="G97" s="2" t="s">
        <v>858</v>
      </c>
      <c r="H97" s="2" t="s">
        <v>475</v>
      </c>
      <c r="I97" s="2" t="s">
        <v>115</v>
      </c>
      <c r="J97" s="2" t="s">
        <v>9235</v>
      </c>
      <c r="K97" s="2" t="s">
        <v>68</v>
      </c>
      <c r="L97" s="2" t="n">
        <v>0.91</v>
      </c>
      <c r="M97" s="2" t="n">
        <v>0.91</v>
      </c>
    </row>
    <row r="98" customFormat="false" ht="15" hidden="false" customHeight="false" outlineLevel="0" collapsed="false">
      <c r="A98" s="2" t="n">
        <v>96</v>
      </c>
      <c r="B98" s="2" t="s">
        <v>829</v>
      </c>
      <c r="C98" s="2" t="n">
        <v>6</v>
      </c>
      <c r="D98" s="2" t="n">
        <v>5</v>
      </c>
      <c r="E98" s="2" t="s">
        <v>864</v>
      </c>
      <c r="F98" s="2" t="s">
        <v>865</v>
      </c>
      <c r="G98" s="2" t="s">
        <v>866</v>
      </c>
      <c r="H98" s="2" t="s">
        <v>867</v>
      </c>
      <c r="I98" s="2" t="s">
        <v>686</v>
      </c>
      <c r="J98" s="2" t="s">
        <v>9236</v>
      </c>
      <c r="K98" s="2" t="s">
        <v>68</v>
      </c>
      <c r="L98" s="2" t="n">
        <v>0.5</v>
      </c>
      <c r="M98" s="2" t="n">
        <v>0.5</v>
      </c>
    </row>
    <row r="99" customFormat="false" ht="15" hidden="false" customHeight="false" outlineLevel="0" collapsed="false">
      <c r="A99" s="2" t="n">
        <v>97</v>
      </c>
      <c r="B99" s="2" t="s">
        <v>829</v>
      </c>
      <c r="C99" s="2" t="n">
        <v>0</v>
      </c>
      <c r="D99" s="2" t="n">
        <v>0</v>
      </c>
      <c r="E99" s="2" t="s">
        <v>9237</v>
      </c>
      <c r="F99" s="2" t="s">
        <v>9238</v>
      </c>
      <c r="G99" s="2" t="s">
        <v>9239</v>
      </c>
      <c r="H99" s="2" t="s">
        <v>9240</v>
      </c>
      <c r="I99" s="2" t="s">
        <v>98</v>
      </c>
      <c r="J99" s="2" t="s">
        <v>9241</v>
      </c>
      <c r="K99" s="2" t="s">
        <v>68</v>
      </c>
      <c r="L99" s="2" t="n">
        <v>0.89</v>
      </c>
      <c r="M99" s="2" t="n">
        <v>0.89</v>
      </c>
    </row>
    <row r="100" customFormat="false" ht="15" hidden="false" customHeight="false" outlineLevel="0" collapsed="false">
      <c r="A100" s="2" t="n">
        <v>98</v>
      </c>
      <c r="B100" s="2" t="s">
        <v>829</v>
      </c>
      <c r="C100" s="2" t="n">
        <v>0</v>
      </c>
      <c r="D100" s="2" t="n">
        <v>0</v>
      </c>
      <c r="E100" s="2" t="s">
        <v>9242</v>
      </c>
      <c r="F100" s="2" t="s">
        <v>9243</v>
      </c>
      <c r="G100" s="2" t="s">
        <v>9244</v>
      </c>
      <c r="H100" s="2" t="s">
        <v>9245</v>
      </c>
      <c r="I100" s="2" t="s">
        <v>1758</v>
      </c>
      <c r="J100" s="2" t="s">
        <v>9246</v>
      </c>
      <c r="K100" s="2" t="s">
        <v>68</v>
      </c>
      <c r="L100" s="2" t="n">
        <v>0.75</v>
      </c>
      <c r="M100" s="2" t="n">
        <v>0.64</v>
      </c>
    </row>
    <row r="101" customFormat="false" ht="15" hidden="false" customHeight="false" outlineLevel="0" collapsed="false">
      <c r="A101" s="2" t="n">
        <v>99</v>
      </c>
      <c r="B101" s="2" t="s">
        <v>829</v>
      </c>
      <c r="C101" s="2" t="n">
        <v>2</v>
      </c>
      <c r="D101" s="2" t="n">
        <v>2</v>
      </c>
      <c r="E101" s="2" t="s">
        <v>888</v>
      </c>
      <c r="F101" s="2" t="s">
        <v>694</v>
      </c>
      <c r="G101" s="2" t="s">
        <v>889</v>
      </c>
      <c r="H101" s="2" t="s">
        <v>696</v>
      </c>
      <c r="I101" s="2" t="s">
        <v>132</v>
      </c>
      <c r="J101" s="2" t="s">
        <v>9247</v>
      </c>
      <c r="K101" s="2" t="s">
        <v>68</v>
      </c>
      <c r="L101" s="2" t="n">
        <v>0.6</v>
      </c>
      <c r="M101" s="2" t="n">
        <v>0.5</v>
      </c>
    </row>
    <row r="102" customFormat="false" ht="15" hidden="false" customHeight="false" outlineLevel="0" collapsed="false">
      <c r="A102" s="2" t="n">
        <v>100</v>
      </c>
      <c r="B102" s="2" t="s">
        <v>829</v>
      </c>
      <c r="C102" s="2" t="n">
        <v>1</v>
      </c>
      <c r="D102" s="2" t="n">
        <v>1</v>
      </c>
      <c r="E102" s="2" t="s">
        <v>900</v>
      </c>
      <c r="F102" s="2" t="s">
        <v>95</v>
      </c>
      <c r="G102" s="2" t="s">
        <v>901</v>
      </c>
      <c r="H102" s="2" t="s">
        <v>97</v>
      </c>
      <c r="I102" s="2" t="s">
        <v>430</v>
      </c>
      <c r="J102" s="2" t="s">
        <v>9248</v>
      </c>
      <c r="K102" s="2" t="s">
        <v>68</v>
      </c>
      <c r="L102" s="2" t="n">
        <v>0.88</v>
      </c>
      <c r="M102" s="2" t="n">
        <v>0.7</v>
      </c>
    </row>
    <row r="103" customFormat="false" ht="15" hidden="false" customHeight="false" outlineLevel="0" collapsed="false">
      <c r="A103" s="2" t="n">
        <v>101</v>
      </c>
      <c r="B103" s="2" t="s">
        <v>829</v>
      </c>
      <c r="C103" s="2" t="n">
        <v>0</v>
      </c>
      <c r="D103" s="2" t="n">
        <v>0</v>
      </c>
      <c r="E103" s="2" t="s">
        <v>9249</v>
      </c>
      <c r="F103" s="2" t="s">
        <v>95</v>
      </c>
      <c r="G103" s="2" t="s">
        <v>9250</v>
      </c>
      <c r="H103" s="2" t="s">
        <v>97</v>
      </c>
      <c r="I103" s="2" t="s">
        <v>2489</v>
      </c>
      <c r="J103" s="2" t="s">
        <v>9251</v>
      </c>
      <c r="K103" s="2" t="s">
        <v>68</v>
      </c>
      <c r="L103" s="2" t="n">
        <v>0.83</v>
      </c>
      <c r="M103" s="2" t="n">
        <v>0.75</v>
      </c>
    </row>
    <row r="104" customFormat="false" ht="15" hidden="false" customHeight="false" outlineLevel="0" collapsed="false">
      <c r="A104" s="2" t="n">
        <v>102</v>
      </c>
      <c r="B104" s="2" t="s">
        <v>829</v>
      </c>
      <c r="C104" s="2" t="n">
        <v>0</v>
      </c>
      <c r="D104" s="2" t="n">
        <v>0</v>
      </c>
      <c r="E104" s="2" t="s">
        <v>9252</v>
      </c>
      <c r="F104" s="2" t="s">
        <v>64</v>
      </c>
      <c r="G104" s="2" t="s">
        <v>9253</v>
      </c>
      <c r="H104" s="2" t="s">
        <v>66</v>
      </c>
      <c r="I104" s="2" t="s">
        <v>506</v>
      </c>
      <c r="J104" s="2" t="s">
        <v>9254</v>
      </c>
      <c r="K104" s="2" t="s">
        <v>68</v>
      </c>
      <c r="L104" s="2" t="n">
        <v>0.8</v>
      </c>
      <c r="M104" s="2" t="n">
        <v>0.57</v>
      </c>
    </row>
    <row r="105" customFormat="false" ht="15" hidden="false" customHeight="false" outlineLevel="0" collapsed="false">
      <c r="A105" s="2" t="n">
        <v>103</v>
      </c>
      <c r="B105" s="2" t="s">
        <v>829</v>
      </c>
      <c r="C105" s="2" t="n">
        <v>0</v>
      </c>
      <c r="D105" s="2" t="n">
        <v>0</v>
      </c>
      <c r="E105" s="2" t="s">
        <v>9255</v>
      </c>
      <c r="F105" s="2" t="s">
        <v>1523</v>
      </c>
      <c r="G105" s="2" t="s">
        <v>9256</v>
      </c>
      <c r="H105" s="2" t="s">
        <v>1525</v>
      </c>
      <c r="I105" s="2" t="s">
        <v>190</v>
      </c>
      <c r="J105" s="2" t="s">
        <v>9257</v>
      </c>
      <c r="K105" s="2" t="s">
        <v>160</v>
      </c>
      <c r="L105" s="2" t="n">
        <v>0.43</v>
      </c>
      <c r="M105" s="2" t="n">
        <v>0.38</v>
      </c>
    </row>
    <row r="106" customFormat="false" ht="15" hidden="false" customHeight="false" outlineLevel="0" collapsed="false">
      <c r="A106" s="2" t="n">
        <v>104</v>
      </c>
      <c r="B106" s="2" t="s">
        <v>829</v>
      </c>
      <c r="C106" s="2" t="n">
        <v>0</v>
      </c>
      <c r="D106" s="2" t="n">
        <v>0</v>
      </c>
      <c r="E106" s="2" t="s">
        <v>9258</v>
      </c>
      <c r="F106" s="2" t="s">
        <v>580</v>
      </c>
      <c r="G106" s="2" t="s">
        <v>9259</v>
      </c>
      <c r="H106" s="2" t="s">
        <v>582</v>
      </c>
      <c r="I106" s="2" t="s">
        <v>3398</v>
      </c>
      <c r="J106" s="4" t="s">
        <v>9260</v>
      </c>
      <c r="K106" s="2" t="s">
        <v>507</v>
      </c>
      <c r="L106" s="2" t="n">
        <v>0.29</v>
      </c>
      <c r="M106" s="2" t="n">
        <v>0.25</v>
      </c>
    </row>
    <row r="107" customFormat="false" ht="15" hidden="false" customHeight="false" outlineLevel="0" collapsed="false">
      <c r="A107" s="2" t="n">
        <v>105</v>
      </c>
      <c r="B107" s="2" t="s">
        <v>829</v>
      </c>
      <c r="C107" s="2" t="n">
        <v>0</v>
      </c>
      <c r="D107" s="2" t="n">
        <v>0</v>
      </c>
      <c r="E107" s="2" t="s">
        <v>9261</v>
      </c>
      <c r="F107" s="2" t="s">
        <v>1523</v>
      </c>
      <c r="G107" s="2" t="s">
        <v>9262</v>
      </c>
      <c r="H107" s="2" t="s">
        <v>1525</v>
      </c>
      <c r="I107" s="2" t="s">
        <v>430</v>
      </c>
      <c r="J107" s="2" t="s">
        <v>9263</v>
      </c>
      <c r="K107" s="2" t="s">
        <v>160</v>
      </c>
      <c r="L107" s="2" t="n">
        <v>0.43</v>
      </c>
      <c r="M107" s="2" t="n">
        <v>0.38</v>
      </c>
    </row>
    <row r="108" customFormat="false" ht="15" hidden="false" customHeight="false" outlineLevel="0" collapsed="false">
      <c r="A108" s="2" t="n">
        <v>106</v>
      </c>
      <c r="B108" s="2" t="s">
        <v>829</v>
      </c>
      <c r="C108" s="2" t="n">
        <v>1</v>
      </c>
      <c r="D108" s="2" t="n">
        <v>1</v>
      </c>
      <c r="E108" s="2" t="s">
        <v>906</v>
      </c>
      <c r="F108" s="2" t="s">
        <v>95</v>
      </c>
      <c r="G108" s="2" t="s">
        <v>907</v>
      </c>
      <c r="H108" s="2" t="s">
        <v>97</v>
      </c>
      <c r="I108" s="2" t="s">
        <v>908</v>
      </c>
      <c r="J108" s="2" t="s">
        <v>9264</v>
      </c>
      <c r="K108" s="2" t="s">
        <v>68</v>
      </c>
      <c r="L108" s="2" t="n">
        <v>0.71</v>
      </c>
      <c r="M108" s="2" t="n">
        <v>0.78</v>
      </c>
    </row>
    <row r="109" customFormat="false" ht="15" hidden="false" customHeight="false" outlineLevel="0" collapsed="false">
      <c r="A109" s="2" t="n">
        <v>107</v>
      </c>
      <c r="B109" s="2" t="s">
        <v>829</v>
      </c>
      <c r="C109" s="2" t="n">
        <v>0</v>
      </c>
      <c r="D109" s="2" t="n">
        <v>0</v>
      </c>
      <c r="E109" s="2" t="s">
        <v>9265</v>
      </c>
      <c r="F109" s="2" t="s">
        <v>176</v>
      </c>
      <c r="G109" s="2" t="s">
        <v>9266</v>
      </c>
      <c r="H109" s="2" t="s">
        <v>178</v>
      </c>
      <c r="I109" s="2" t="s">
        <v>3581</v>
      </c>
      <c r="J109" s="2" t="s">
        <v>9267</v>
      </c>
      <c r="K109" s="2" t="s">
        <v>68</v>
      </c>
      <c r="L109" s="2" t="n">
        <v>0.71</v>
      </c>
      <c r="M109" s="2" t="n">
        <v>0.86</v>
      </c>
    </row>
    <row r="110" customFormat="false" ht="15" hidden="false" customHeight="false" outlineLevel="0" collapsed="false">
      <c r="A110" s="2" t="n">
        <v>108</v>
      </c>
      <c r="B110" s="2" t="s">
        <v>829</v>
      </c>
      <c r="C110" s="2" t="n">
        <v>7</v>
      </c>
      <c r="D110" s="2" t="n">
        <v>7</v>
      </c>
      <c r="E110" s="2" t="s">
        <v>914</v>
      </c>
      <c r="F110" s="2" t="s">
        <v>915</v>
      </c>
      <c r="G110" s="2" t="s">
        <v>916</v>
      </c>
      <c r="H110" s="2" t="s">
        <v>917</v>
      </c>
      <c r="I110" s="2" t="s">
        <v>918</v>
      </c>
      <c r="J110" s="2" t="s">
        <v>9268</v>
      </c>
      <c r="K110" s="2" t="s">
        <v>68</v>
      </c>
      <c r="L110" s="2" t="n">
        <v>0.64</v>
      </c>
      <c r="M110" s="2" t="n">
        <v>0.64</v>
      </c>
    </row>
    <row r="111" customFormat="false" ht="15" hidden="false" customHeight="false" outlineLevel="0" collapsed="false">
      <c r="A111" s="2" t="n">
        <v>109</v>
      </c>
      <c r="B111" s="2" t="s">
        <v>829</v>
      </c>
      <c r="C111" s="2" t="n">
        <v>0</v>
      </c>
      <c r="D111" s="2" t="n">
        <v>0</v>
      </c>
      <c r="E111" s="2" t="s">
        <v>9269</v>
      </c>
      <c r="F111" s="2" t="s">
        <v>963</v>
      </c>
      <c r="G111" s="2" t="s">
        <v>9270</v>
      </c>
      <c r="H111" s="2" t="s">
        <v>965</v>
      </c>
      <c r="I111" s="2" t="s">
        <v>604</v>
      </c>
      <c r="J111" s="2" t="s">
        <v>9271</v>
      </c>
      <c r="K111" s="2" t="s">
        <v>68</v>
      </c>
      <c r="L111" s="2" t="n">
        <v>0.56</v>
      </c>
      <c r="M111" s="2" t="n">
        <v>0.45</v>
      </c>
    </row>
    <row r="112" customFormat="false" ht="15" hidden="false" customHeight="false" outlineLevel="0" collapsed="false">
      <c r="A112" s="2" t="n">
        <v>110</v>
      </c>
      <c r="B112" s="2" t="s">
        <v>829</v>
      </c>
      <c r="C112" s="2" t="n">
        <v>1</v>
      </c>
      <c r="D112" s="2" t="n">
        <v>1</v>
      </c>
      <c r="E112" s="2" t="s">
        <v>941</v>
      </c>
      <c r="F112" s="2" t="s">
        <v>942</v>
      </c>
      <c r="G112" s="2" t="s">
        <v>943</v>
      </c>
      <c r="H112" s="2" t="s">
        <v>944</v>
      </c>
      <c r="I112" s="2" t="s">
        <v>945</v>
      </c>
      <c r="J112" s="2" t="s">
        <v>9272</v>
      </c>
      <c r="K112" s="2" t="s">
        <v>68</v>
      </c>
      <c r="L112" s="2" t="n">
        <v>0.91</v>
      </c>
      <c r="M112" s="2" t="n">
        <v>0.91</v>
      </c>
    </row>
    <row r="113" customFormat="false" ht="15" hidden="false" customHeight="false" outlineLevel="0" collapsed="false">
      <c r="A113" s="2" t="n">
        <v>111</v>
      </c>
      <c r="B113" s="2" t="s">
        <v>829</v>
      </c>
      <c r="C113" s="2" t="n">
        <v>1</v>
      </c>
      <c r="D113" s="2" t="n">
        <v>1</v>
      </c>
      <c r="E113" s="2" t="s">
        <v>953</v>
      </c>
      <c r="F113" s="2" t="s">
        <v>176</v>
      </c>
      <c r="G113" s="2" t="s">
        <v>954</v>
      </c>
      <c r="H113" s="2" t="s">
        <v>178</v>
      </c>
      <c r="I113" s="2" t="s">
        <v>851</v>
      </c>
      <c r="J113" s="2" t="s">
        <v>9273</v>
      </c>
      <c r="K113" s="2" t="s">
        <v>68</v>
      </c>
      <c r="L113" s="2" t="n">
        <v>0.58</v>
      </c>
      <c r="M113" s="2" t="n">
        <v>0.58</v>
      </c>
    </row>
    <row r="114" customFormat="false" ht="15" hidden="false" customHeight="false" outlineLevel="0" collapsed="false">
      <c r="A114" s="2" t="n">
        <v>112</v>
      </c>
      <c r="B114" s="2" t="s">
        <v>829</v>
      </c>
      <c r="C114" s="2" t="n">
        <v>1</v>
      </c>
      <c r="D114" s="2" t="n">
        <v>1</v>
      </c>
      <c r="E114" s="2" t="s">
        <v>959</v>
      </c>
      <c r="F114" s="2" t="s">
        <v>176</v>
      </c>
      <c r="G114" s="2" t="s">
        <v>960</v>
      </c>
      <c r="H114" s="2" t="s">
        <v>178</v>
      </c>
      <c r="I114" s="2" t="s">
        <v>686</v>
      </c>
      <c r="J114" s="2" t="s">
        <v>9274</v>
      </c>
      <c r="K114" s="2" t="s">
        <v>68</v>
      </c>
      <c r="L114" s="2" t="n">
        <v>0.67</v>
      </c>
      <c r="M114" s="2" t="n">
        <v>0.78</v>
      </c>
    </row>
    <row r="115" customFormat="false" ht="15" hidden="false" customHeight="false" outlineLevel="0" collapsed="false">
      <c r="A115" s="2" t="n">
        <v>113</v>
      </c>
      <c r="B115" s="2" t="s">
        <v>829</v>
      </c>
      <c r="C115" s="2" t="n">
        <v>2</v>
      </c>
      <c r="D115" s="2" t="n">
        <v>2</v>
      </c>
      <c r="E115" s="2" t="s">
        <v>962</v>
      </c>
      <c r="F115" s="2" t="s">
        <v>963</v>
      </c>
      <c r="G115" s="2" t="s">
        <v>964</v>
      </c>
      <c r="H115" s="2" t="s">
        <v>965</v>
      </c>
      <c r="I115" s="2" t="s">
        <v>966</v>
      </c>
      <c r="J115" s="2" t="s">
        <v>9275</v>
      </c>
      <c r="K115" s="2" t="s">
        <v>68</v>
      </c>
      <c r="L115" s="2" t="n">
        <v>0.6</v>
      </c>
      <c r="M115" s="2" t="n">
        <v>0.55</v>
      </c>
    </row>
    <row r="116" customFormat="false" ht="15" hidden="false" customHeight="false" outlineLevel="0" collapsed="false">
      <c r="A116" s="2" t="n">
        <v>114</v>
      </c>
      <c r="B116" s="2" t="s">
        <v>829</v>
      </c>
      <c r="C116" s="2" t="n">
        <v>2</v>
      </c>
      <c r="D116" s="2" t="n">
        <v>0</v>
      </c>
      <c r="E116" s="2" t="s">
        <v>974</v>
      </c>
      <c r="F116" s="2" t="s">
        <v>95</v>
      </c>
      <c r="G116" s="2" t="s">
        <v>975</v>
      </c>
      <c r="H116" s="2" t="s">
        <v>97</v>
      </c>
      <c r="I116" s="2" t="s">
        <v>132</v>
      </c>
      <c r="J116" s="2" t="s">
        <v>9276</v>
      </c>
      <c r="K116" s="2" t="s">
        <v>68</v>
      </c>
      <c r="L116" s="2" t="n">
        <v>0.62</v>
      </c>
      <c r="M116" s="2" t="n">
        <v>0.67</v>
      </c>
    </row>
    <row r="117" customFormat="false" ht="15" hidden="false" customHeight="false" outlineLevel="0" collapsed="false">
      <c r="A117" s="2" t="n">
        <v>115</v>
      </c>
      <c r="B117" s="2" t="s">
        <v>829</v>
      </c>
      <c r="C117" s="2" t="n">
        <v>3</v>
      </c>
      <c r="D117" s="2" t="n">
        <v>3</v>
      </c>
      <c r="E117" s="2" t="s">
        <v>983</v>
      </c>
      <c r="F117" s="2" t="s">
        <v>984</v>
      </c>
      <c r="G117" s="2" t="s">
        <v>985</v>
      </c>
      <c r="H117" s="2" t="s">
        <v>986</v>
      </c>
      <c r="I117" s="2" t="s">
        <v>987</v>
      </c>
      <c r="J117" s="2" t="s">
        <v>9277</v>
      </c>
      <c r="K117" s="2" t="s">
        <v>160</v>
      </c>
      <c r="L117" s="2" t="n">
        <v>0.33</v>
      </c>
      <c r="M117" s="2" t="n">
        <v>0.33</v>
      </c>
    </row>
    <row r="118" customFormat="false" ht="15" hidden="false" customHeight="false" outlineLevel="0" collapsed="false">
      <c r="A118" s="2" t="n">
        <v>116</v>
      </c>
      <c r="B118" s="2" t="s">
        <v>829</v>
      </c>
      <c r="C118" s="2" t="n">
        <v>2</v>
      </c>
      <c r="D118" s="2" t="n">
        <v>2</v>
      </c>
      <c r="E118" s="2" t="s">
        <v>1002</v>
      </c>
      <c r="F118" s="2" t="s">
        <v>1003</v>
      </c>
      <c r="G118" s="2" t="s">
        <v>1004</v>
      </c>
      <c r="H118" s="2" t="s">
        <v>1005</v>
      </c>
      <c r="I118" s="2" t="s">
        <v>487</v>
      </c>
      <c r="J118" s="2" t="s">
        <v>9278</v>
      </c>
      <c r="K118" s="2" t="s">
        <v>68</v>
      </c>
      <c r="L118" s="2" t="n">
        <v>1</v>
      </c>
      <c r="M118" s="2" t="n">
        <v>1</v>
      </c>
    </row>
    <row r="119" customFormat="false" ht="15" hidden="false" customHeight="false" outlineLevel="0" collapsed="false">
      <c r="A119" s="2" t="n">
        <v>117</v>
      </c>
      <c r="B119" s="2" t="s">
        <v>829</v>
      </c>
      <c r="C119" s="2" t="n">
        <v>1</v>
      </c>
      <c r="D119" s="2" t="n">
        <v>1</v>
      </c>
      <c r="E119" s="2" t="s">
        <v>1015</v>
      </c>
      <c r="F119" s="2" t="s">
        <v>915</v>
      </c>
      <c r="G119" s="2" t="s">
        <v>1016</v>
      </c>
      <c r="H119" s="2" t="s">
        <v>917</v>
      </c>
      <c r="I119" s="2" t="s">
        <v>530</v>
      </c>
      <c r="J119" s="2" t="s">
        <v>9279</v>
      </c>
      <c r="K119" s="2" t="s">
        <v>68</v>
      </c>
      <c r="L119" s="2" t="n">
        <v>0.9</v>
      </c>
      <c r="M119" s="2" t="n">
        <v>0.9</v>
      </c>
    </row>
    <row r="120" customFormat="false" ht="15" hidden="false" customHeight="false" outlineLevel="0" collapsed="false">
      <c r="A120" s="2" t="n">
        <v>118</v>
      </c>
      <c r="B120" s="2" t="s">
        <v>829</v>
      </c>
      <c r="C120" s="2" t="n">
        <v>5</v>
      </c>
      <c r="D120" s="2" t="n">
        <v>5</v>
      </c>
      <c r="E120" s="2" t="s">
        <v>1022</v>
      </c>
      <c r="F120" s="2" t="s">
        <v>1023</v>
      </c>
      <c r="G120" s="2" t="s">
        <v>1024</v>
      </c>
      <c r="H120" s="2" t="s">
        <v>1023</v>
      </c>
      <c r="I120" s="2" t="s">
        <v>321</v>
      </c>
      <c r="J120" s="2" t="s">
        <v>9280</v>
      </c>
      <c r="K120" s="2" t="s">
        <v>68</v>
      </c>
      <c r="L120" s="2" t="n">
        <v>0.86</v>
      </c>
      <c r="M120" s="2" t="n">
        <v>0.86</v>
      </c>
    </row>
    <row r="121" customFormat="false" ht="15" hidden="false" customHeight="false" outlineLevel="0" collapsed="false">
      <c r="A121" s="2" t="n">
        <v>119</v>
      </c>
      <c r="B121" s="2" t="s">
        <v>829</v>
      </c>
      <c r="C121" s="2" t="n">
        <v>1</v>
      </c>
      <c r="D121" s="2" t="n">
        <v>1</v>
      </c>
      <c r="E121" s="2" t="s">
        <v>1042</v>
      </c>
      <c r="F121" s="2" t="s">
        <v>1043</v>
      </c>
      <c r="G121" s="2" t="s">
        <v>1044</v>
      </c>
      <c r="H121" s="2" t="s">
        <v>1043</v>
      </c>
      <c r="I121" s="2" t="s">
        <v>1045</v>
      </c>
      <c r="J121" s="2" t="s">
        <v>9281</v>
      </c>
      <c r="K121" s="2" t="s">
        <v>68</v>
      </c>
      <c r="L121" s="2" t="n">
        <v>0.88</v>
      </c>
      <c r="M121" s="2" t="n">
        <v>0.88</v>
      </c>
    </row>
    <row r="122" customFormat="false" ht="15" hidden="false" customHeight="false" outlineLevel="0" collapsed="false">
      <c r="A122" s="2" t="n">
        <v>120</v>
      </c>
      <c r="B122" s="2" t="s">
        <v>1046</v>
      </c>
      <c r="C122" s="2" t="n">
        <v>0</v>
      </c>
      <c r="D122" s="2" t="n">
        <v>0</v>
      </c>
      <c r="E122" s="2" t="s">
        <v>9282</v>
      </c>
      <c r="F122" s="2" t="s">
        <v>6521</v>
      </c>
      <c r="G122" s="2" t="s">
        <v>9283</v>
      </c>
      <c r="H122" s="2" t="s">
        <v>8762</v>
      </c>
      <c r="I122" s="2" t="s">
        <v>2234</v>
      </c>
      <c r="J122" s="2" t="s">
        <v>9284</v>
      </c>
      <c r="K122" s="2" t="s">
        <v>68</v>
      </c>
      <c r="L122" s="2" t="n">
        <v>0.75</v>
      </c>
      <c r="M122" s="2" t="n">
        <v>0.67</v>
      </c>
    </row>
    <row r="123" customFormat="false" ht="15" hidden="false" customHeight="false" outlineLevel="0" collapsed="false">
      <c r="A123" s="2" t="n">
        <v>121</v>
      </c>
      <c r="B123" s="2" t="s">
        <v>1046</v>
      </c>
      <c r="C123" s="2" t="n">
        <v>2</v>
      </c>
      <c r="D123" s="2" t="n">
        <v>1</v>
      </c>
      <c r="E123" s="2" t="s">
        <v>1051</v>
      </c>
      <c r="F123" s="2" t="s">
        <v>1052</v>
      </c>
      <c r="G123" s="2" t="s">
        <v>1053</v>
      </c>
      <c r="H123" s="2" t="s">
        <v>1054</v>
      </c>
      <c r="I123" s="2" t="s">
        <v>1055</v>
      </c>
      <c r="J123" s="2" t="s">
        <v>9285</v>
      </c>
      <c r="K123" s="2" t="s">
        <v>160</v>
      </c>
      <c r="L123" s="2" t="n">
        <v>0.43</v>
      </c>
      <c r="M123" s="2" t="n">
        <v>0.5</v>
      </c>
    </row>
    <row r="124" customFormat="false" ht="15" hidden="false" customHeight="false" outlineLevel="0" collapsed="false">
      <c r="A124" s="2" t="n">
        <v>122</v>
      </c>
      <c r="B124" s="2" t="s">
        <v>1046</v>
      </c>
      <c r="C124" s="2" t="n">
        <v>1</v>
      </c>
      <c r="D124" s="2" t="n">
        <v>1</v>
      </c>
      <c r="E124" s="2" t="s">
        <v>1066</v>
      </c>
      <c r="F124" s="2" t="s">
        <v>1067</v>
      </c>
      <c r="G124" s="2" t="s">
        <v>1068</v>
      </c>
      <c r="H124" s="2" t="s">
        <v>1067</v>
      </c>
      <c r="I124" s="2" t="s">
        <v>1069</v>
      </c>
      <c r="J124" s="2" t="s">
        <v>9286</v>
      </c>
      <c r="K124" s="2" t="s">
        <v>160</v>
      </c>
      <c r="L124" s="2" t="n">
        <v>0.33</v>
      </c>
      <c r="M124" s="2" t="n">
        <v>0.33</v>
      </c>
    </row>
    <row r="125" customFormat="false" ht="15" hidden="false" customHeight="false" outlineLevel="0" collapsed="false">
      <c r="A125" s="2" t="n">
        <v>123</v>
      </c>
      <c r="B125" s="2" t="s">
        <v>1046</v>
      </c>
      <c r="C125" s="2" t="n">
        <v>1</v>
      </c>
      <c r="D125" s="2" t="n">
        <v>1</v>
      </c>
      <c r="E125" s="2" t="s">
        <v>1074</v>
      </c>
      <c r="F125" s="2" t="s">
        <v>1075</v>
      </c>
      <c r="G125" s="2" t="s">
        <v>1076</v>
      </c>
      <c r="H125" s="2" t="s">
        <v>1077</v>
      </c>
      <c r="I125" s="2" t="s">
        <v>1078</v>
      </c>
      <c r="J125" s="2" t="s">
        <v>9287</v>
      </c>
      <c r="K125" s="2" t="s">
        <v>68</v>
      </c>
      <c r="L125" s="2" t="n">
        <v>0.66</v>
      </c>
      <c r="M125" s="2" t="n">
        <v>0.83</v>
      </c>
    </row>
    <row r="126" customFormat="false" ht="15" hidden="false" customHeight="false" outlineLevel="0" collapsed="false">
      <c r="A126" s="2" t="n">
        <v>124</v>
      </c>
      <c r="B126" s="2" t="s">
        <v>1046</v>
      </c>
      <c r="C126" s="2" t="n">
        <v>1</v>
      </c>
      <c r="D126" s="2" t="n">
        <v>1</v>
      </c>
      <c r="E126" s="2" t="s">
        <v>1083</v>
      </c>
      <c r="F126" s="2" t="s">
        <v>95</v>
      </c>
      <c r="G126" s="2" t="s">
        <v>1084</v>
      </c>
      <c r="H126" s="2" t="s">
        <v>97</v>
      </c>
      <c r="I126" s="2" t="s">
        <v>751</v>
      </c>
      <c r="J126" s="2" t="s">
        <v>9288</v>
      </c>
      <c r="K126" s="2" t="s">
        <v>68</v>
      </c>
      <c r="L126" s="2" t="n">
        <v>1</v>
      </c>
      <c r="M126" s="2" t="n">
        <v>1</v>
      </c>
    </row>
    <row r="127" customFormat="false" ht="15" hidden="false" customHeight="false" outlineLevel="0" collapsed="false">
      <c r="A127" s="2" t="n">
        <v>125</v>
      </c>
      <c r="B127" s="2" t="s">
        <v>1046</v>
      </c>
      <c r="C127" s="2" t="n">
        <v>1</v>
      </c>
      <c r="D127" s="2" t="n">
        <v>1</v>
      </c>
      <c r="E127" s="2" t="s">
        <v>1090</v>
      </c>
      <c r="F127" s="2" t="s">
        <v>743</v>
      </c>
      <c r="G127" s="2" t="s">
        <v>1091</v>
      </c>
      <c r="H127" s="2" t="s">
        <v>745</v>
      </c>
      <c r="I127" s="2" t="s">
        <v>1092</v>
      </c>
      <c r="J127" s="2" t="s">
        <v>9289</v>
      </c>
      <c r="K127" s="2" t="s">
        <v>68</v>
      </c>
      <c r="L127" s="2" t="n">
        <v>1</v>
      </c>
      <c r="M127" s="2" t="n">
        <v>1</v>
      </c>
    </row>
    <row r="128" customFormat="false" ht="15" hidden="false" customHeight="false" outlineLevel="0" collapsed="false">
      <c r="A128" s="2" t="n">
        <v>126</v>
      </c>
      <c r="B128" s="2" t="s">
        <v>1046</v>
      </c>
      <c r="C128" s="2" t="n">
        <v>1</v>
      </c>
      <c r="D128" s="2" t="n">
        <v>1</v>
      </c>
      <c r="E128" s="2" t="s">
        <v>1098</v>
      </c>
      <c r="F128" s="2" t="s">
        <v>1003</v>
      </c>
      <c r="G128" s="2" t="s">
        <v>1099</v>
      </c>
      <c r="H128" s="2" t="s">
        <v>1005</v>
      </c>
      <c r="I128" s="2" t="s">
        <v>828</v>
      </c>
      <c r="J128" s="2" t="s">
        <v>9278</v>
      </c>
      <c r="K128" s="2" t="s">
        <v>68</v>
      </c>
      <c r="L128" s="2" t="n">
        <v>1</v>
      </c>
      <c r="M128" s="2" t="n">
        <v>1</v>
      </c>
    </row>
    <row r="129" customFormat="false" ht="15" hidden="false" customHeight="false" outlineLevel="0" collapsed="false">
      <c r="A129" s="2" t="n">
        <v>127</v>
      </c>
      <c r="B129" s="2" t="s">
        <v>1046</v>
      </c>
      <c r="C129" s="2" t="n">
        <v>0</v>
      </c>
      <c r="D129" s="2" t="n">
        <v>0</v>
      </c>
      <c r="E129" s="2" t="s">
        <v>9290</v>
      </c>
      <c r="F129" s="2" t="s">
        <v>6521</v>
      </c>
      <c r="G129" s="2" t="s">
        <v>9291</v>
      </c>
      <c r="H129" s="2" t="s">
        <v>8762</v>
      </c>
      <c r="I129" s="2" t="s">
        <v>2234</v>
      </c>
      <c r="J129" s="2" t="s">
        <v>9292</v>
      </c>
      <c r="K129" s="2" t="s">
        <v>68</v>
      </c>
      <c r="L129" s="2" t="n">
        <v>0.91</v>
      </c>
      <c r="M129" s="2" t="n">
        <v>0.83</v>
      </c>
    </row>
    <row r="130" customFormat="false" ht="15" hidden="false" customHeight="false" outlineLevel="0" collapsed="false">
      <c r="A130" s="2" t="n">
        <v>128</v>
      </c>
      <c r="B130" s="2" t="s">
        <v>1046</v>
      </c>
      <c r="C130" s="2" t="n">
        <v>1</v>
      </c>
      <c r="D130" s="2" t="n">
        <v>1</v>
      </c>
      <c r="E130" s="2" t="s">
        <v>1105</v>
      </c>
      <c r="F130" s="2" t="s">
        <v>743</v>
      </c>
      <c r="G130" s="2" t="s">
        <v>1106</v>
      </c>
      <c r="H130" s="2" t="s">
        <v>745</v>
      </c>
      <c r="I130" s="2" t="s">
        <v>768</v>
      </c>
      <c r="J130" s="2" t="s">
        <v>9293</v>
      </c>
      <c r="K130" s="2" t="s">
        <v>68</v>
      </c>
      <c r="L130" s="2" t="n">
        <v>0.78</v>
      </c>
      <c r="M130" s="2" t="n">
        <v>0.7</v>
      </c>
    </row>
    <row r="131" customFormat="false" ht="15" hidden="false" customHeight="false" outlineLevel="0" collapsed="false">
      <c r="A131" s="2" t="n">
        <v>129</v>
      </c>
      <c r="B131" s="2" t="s">
        <v>1046</v>
      </c>
      <c r="C131" s="2" t="n">
        <v>5</v>
      </c>
      <c r="D131" s="2" t="n">
        <v>5</v>
      </c>
      <c r="E131" s="2" t="s">
        <v>1111</v>
      </c>
      <c r="F131" s="2" t="s">
        <v>95</v>
      </c>
      <c r="G131" s="2" t="s">
        <v>1112</v>
      </c>
      <c r="H131" s="2" t="s">
        <v>97</v>
      </c>
      <c r="I131" s="2" t="s">
        <v>1113</v>
      </c>
      <c r="J131" s="2" t="s">
        <v>9294</v>
      </c>
      <c r="K131" s="2" t="s">
        <v>68</v>
      </c>
      <c r="L131" s="2" t="n">
        <v>0.71</v>
      </c>
      <c r="M131" s="2" t="n">
        <v>0.75</v>
      </c>
    </row>
    <row r="132" customFormat="false" ht="15" hidden="false" customHeight="false" outlineLevel="0" collapsed="false">
      <c r="A132" s="2" t="n">
        <v>130</v>
      </c>
      <c r="B132" s="2" t="s">
        <v>1046</v>
      </c>
      <c r="C132" s="2" t="n">
        <v>1</v>
      </c>
      <c r="D132" s="2" t="n">
        <v>0</v>
      </c>
      <c r="E132" s="2" t="s">
        <v>1134</v>
      </c>
      <c r="F132" s="2" t="s">
        <v>1135</v>
      </c>
      <c r="G132" s="2" t="s">
        <v>1136</v>
      </c>
      <c r="H132" s="2" t="s">
        <v>1137</v>
      </c>
      <c r="I132" s="2" t="s">
        <v>1138</v>
      </c>
      <c r="J132" s="4" t="s">
        <v>9295</v>
      </c>
      <c r="K132" s="2" t="s">
        <v>68</v>
      </c>
      <c r="L132" s="2" t="n">
        <v>0.75</v>
      </c>
      <c r="M132" s="2" t="n">
        <v>0.75</v>
      </c>
    </row>
    <row r="133" customFormat="false" ht="15" hidden="false" customHeight="false" outlineLevel="0" collapsed="false">
      <c r="A133" s="2" t="n">
        <v>131</v>
      </c>
      <c r="B133" s="2" t="s">
        <v>1046</v>
      </c>
      <c r="C133" s="2" t="n">
        <v>2</v>
      </c>
      <c r="D133" s="2" t="n">
        <v>0</v>
      </c>
      <c r="E133" s="2" t="s">
        <v>1143</v>
      </c>
      <c r="F133" s="2" t="s">
        <v>1144</v>
      </c>
      <c r="G133" s="2" t="s">
        <v>1145</v>
      </c>
      <c r="H133" s="2" t="s">
        <v>1146</v>
      </c>
      <c r="I133" s="2" t="s">
        <v>1147</v>
      </c>
      <c r="J133" s="2" t="s">
        <v>9296</v>
      </c>
      <c r="K133" s="2" t="s">
        <v>160</v>
      </c>
      <c r="L133" s="2" t="n">
        <v>0.44</v>
      </c>
      <c r="M133" s="2" t="n">
        <v>0.4</v>
      </c>
    </row>
    <row r="134" customFormat="false" ht="15" hidden="false" customHeight="false" outlineLevel="0" collapsed="false">
      <c r="A134" s="2" t="n">
        <v>132</v>
      </c>
      <c r="B134" s="2" t="s">
        <v>1046</v>
      </c>
      <c r="C134" s="2" t="n">
        <v>1</v>
      </c>
      <c r="D134" s="2" t="n">
        <v>1</v>
      </c>
      <c r="E134" s="2" t="s">
        <v>1157</v>
      </c>
      <c r="F134" s="2" t="s">
        <v>1158</v>
      </c>
      <c r="G134" s="2" t="s">
        <v>1159</v>
      </c>
      <c r="H134" s="2" t="s">
        <v>1160</v>
      </c>
      <c r="I134" s="2" t="s">
        <v>370</v>
      </c>
      <c r="J134" s="2" t="s">
        <v>9297</v>
      </c>
      <c r="K134" s="2" t="s">
        <v>68</v>
      </c>
      <c r="L134" s="2" t="n">
        <v>0.7</v>
      </c>
      <c r="M134" s="2" t="n">
        <v>0.7</v>
      </c>
    </row>
    <row r="135" customFormat="false" ht="15" hidden="false" customHeight="false" outlineLevel="0" collapsed="false">
      <c r="A135" s="2" t="n">
        <v>133</v>
      </c>
      <c r="B135" s="2" t="s">
        <v>1046</v>
      </c>
      <c r="C135" s="2" t="n">
        <v>4</v>
      </c>
      <c r="D135" s="2" t="n">
        <v>0</v>
      </c>
      <c r="E135" s="2" t="s">
        <v>1167</v>
      </c>
      <c r="F135" s="2" t="s">
        <v>1168</v>
      </c>
      <c r="G135" s="2" t="s">
        <v>1169</v>
      </c>
      <c r="H135" s="2" t="s">
        <v>1170</v>
      </c>
      <c r="I135" s="2" t="s">
        <v>159</v>
      </c>
      <c r="J135" s="2" t="s">
        <v>9298</v>
      </c>
      <c r="K135" s="2" t="s">
        <v>68</v>
      </c>
      <c r="L135" s="2" t="n">
        <v>0.62</v>
      </c>
      <c r="M135" s="2" t="n">
        <v>0.67</v>
      </c>
    </row>
    <row r="136" customFormat="false" ht="15" hidden="false" customHeight="false" outlineLevel="0" collapsed="false">
      <c r="A136" s="2" t="n">
        <v>134</v>
      </c>
      <c r="B136" s="2" t="s">
        <v>1046</v>
      </c>
      <c r="C136" s="2" t="n">
        <v>3</v>
      </c>
      <c r="D136" s="2" t="n">
        <v>0</v>
      </c>
      <c r="E136" s="2" t="s">
        <v>1186</v>
      </c>
      <c r="F136" s="2" t="s">
        <v>743</v>
      </c>
      <c r="G136" s="2" t="s">
        <v>1187</v>
      </c>
      <c r="H136" s="2" t="s">
        <v>745</v>
      </c>
      <c r="I136" s="2" t="s">
        <v>1188</v>
      </c>
      <c r="J136" s="2" t="s">
        <v>9299</v>
      </c>
      <c r="K136" s="2" t="s">
        <v>68</v>
      </c>
      <c r="L136" s="2" t="n">
        <v>1</v>
      </c>
      <c r="M136" s="2" t="n">
        <v>0.86</v>
      </c>
    </row>
    <row r="137" customFormat="false" ht="15" hidden="false" customHeight="false" outlineLevel="0" collapsed="false">
      <c r="A137" s="2" t="n">
        <v>135</v>
      </c>
      <c r="B137" s="2" t="s">
        <v>1046</v>
      </c>
      <c r="C137" s="2" t="n">
        <v>3</v>
      </c>
      <c r="D137" s="2" t="n">
        <v>3</v>
      </c>
      <c r="E137" s="2" t="s">
        <v>1202</v>
      </c>
      <c r="F137" s="2" t="s">
        <v>156</v>
      </c>
      <c r="G137" s="2" t="s">
        <v>1203</v>
      </c>
      <c r="H137" s="2" t="s">
        <v>158</v>
      </c>
      <c r="I137" s="2" t="s">
        <v>1204</v>
      </c>
      <c r="J137" s="2" t="s">
        <v>9300</v>
      </c>
      <c r="K137" s="2" t="s">
        <v>68</v>
      </c>
      <c r="L137" s="2" t="n">
        <v>1</v>
      </c>
      <c r="M137" s="2" t="n">
        <v>1</v>
      </c>
    </row>
    <row r="138" customFormat="false" ht="15" hidden="false" customHeight="false" outlineLevel="0" collapsed="false">
      <c r="A138" s="2" t="n">
        <v>136</v>
      </c>
      <c r="B138" s="2" t="s">
        <v>1046</v>
      </c>
      <c r="C138" s="2" t="n">
        <v>6</v>
      </c>
      <c r="D138" s="2" t="n">
        <v>0</v>
      </c>
      <c r="E138" s="2" t="s">
        <v>1215</v>
      </c>
      <c r="F138" s="2" t="s">
        <v>963</v>
      </c>
      <c r="G138" s="2" t="s">
        <v>1216</v>
      </c>
      <c r="H138" s="2" t="s">
        <v>965</v>
      </c>
      <c r="I138" s="2" t="s">
        <v>1217</v>
      </c>
      <c r="J138" s="2" t="s">
        <v>9301</v>
      </c>
      <c r="K138" s="2" t="s">
        <v>160</v>
      </c>
      <c r="L138" s="2" t="n">
        <v>0.43</v>
      </c>
      <c r="M138" s="2" t="n">
        <v>0.33</v>
      </c>
    </row>
    <row r="139" customFormat="false" ht="15" hidden="false" customHeight="false" outlineLevel="0" collapsed="false">
      <c r="A139" s="2" t="n">
        <v>137</v>
      </c>
      <c r="B139" s="2" t="s">
        <v>1046</v>
      </c>
      <c r="C139" s="2" t="n">
        <v>4</v>
      </c>
      <c r="D139" s="2" t="n">
        <v>4</v>
      </c>
      <c r="E139" s="2" t="s">
        <v>1235</v>
      </c>
      <c r="F139" s="2" t="s">
        <v>1236</v>
      </c>
      <c r="G139" s="2" t="s">
        <v>1237</v>
      </c>
      <c r="H139" s="2" t="s">
        <v>1238</v>
      </c>
      <c r="I139" s="2" t="s">
        <v>1239</v>
      </c>
      <c r="J139" s="2" t="s">
        <v>9302</v>
      </c>
      <c r="K139" s="2" t="s">
        <v>68</v>
      </c>
      <c r="L139" s="2" t="n">
        <v>0.67</v>
      </c>
      <c r="M139" s="2" t="n">
        <v>0.67</v>
      </c>
    </row>
    <row r="140" customFormat="false" ht="15" hidden="false" customHeight="false" outlineLevel="0" collapsed="false">
      <c r="A140" s="2" t="n">
        <v>138</v>
      </c>
      <c r="B140" s="2" t="s">
        <v>1046</v>
      </c>
      <c r="C140" s="2" t="n">
        <v>1</v>
      </c>
      <c r="D140" s="2" t="n">
        <v>0</v>
      </c>
      <c r="E140" s="2" t="s">
        <v>1250</v>
      </c>
      <c r="F140" s="2" t="s">
        <v>1251</v>
      </c>
      <c r="G140" s="2" t="s">
        <v>1252</v>
      </c>
      <c r="H140" s="2" t="s">
        <v>1253</v>
      </c>
      <c r="I140" s="2" t="s">
        <v>360</v>
      </c>
      <c r="J140" s="4" t="s">
        <v>9303</v>
      </c>
      <c r="K140" s="2" t="s">
        <v>507</v>
      </c>
      <c r="L140" s="2" t="n">
        <v>0</v>
      </c>
      <c r="M140" s="2" t="n">
        <v>0</v>
      </c>
    </row>
    <row r="141" customFormat="false" ht="15" hidden="false" customHeight="false" outlineLevel="0" collapsed="false">
      <c r="A141" s="2" t="n">
        <v>139</v>
      </c>
      <c r="B141" s="2" t="s">
        <v>1046</v>
      </c>
      <c r="C141" s="2" t="n">
        <v>1</v>
      </c>
      <c r="D141" s="2" t="n">
        <v>1</v>
      </c>
      <c r="E141" s="2" t="s">
        <v>1257</v>
      </c>
      <c r="F141" s="2" t="s">
        <v>1258</v>
      </c>
      <c r="G141" s="2" t="s">
        <v>1259</v>
      </c>
      <c r="H141" s="2" t="s">
        <v>1260</v>
      </c>
      <c r="I141" s="2" t="s">
        <v>1261</v>
      </c>
      <c r="J141" s="2" t="s">
        <v>9304</v>
      </c>
      <c r="K141" s="2" t="s">
        <v>68</v>
      </c>
      <c r="L141" s="2" t="n">
        <v>0.83</v>
      </c>
      <c r="M141" s="2"/>
    </row>
    <row r="142" customFormat="false" ht="15" hidden="false" customHeight="false" outlineLevel="0" collapsed="false">
      <c r="A142" s="2" t="n">
        <v>140</v>
      </c>
      <c r="B142" s="2" t="s">
        <v>1046</v>
      </c>
      <c r="C142" s="2" t="n">
        <v>4</v>
      </c>
      <c r="D142" s="2" t="n">
        <v>4</v>
      </c>
      <c r="E142" s="2" t="s">
        <v>1264</v>
      </c>
      <c r="F142" s="2" t="s">
        <v>492</v>
      </c>
      <c r="G142" s="2" t="s">
        <v>1265</v>
      </c>
      <c r="H142" s="2" t="s">
        <v>494</v>
      </c>
      <c r="I142" s="2" t="s">
        <v>1266</v>
      </c>
      <c r="J142" s="2" t="s">
        <v>9305</v>
      </c>
      <c r="K142" s="2" t="s">
        <v>68</v>
      </c>
      <c r="L142" s="2" t="n">
        <v>1</v>
      </c>
      <c r="M142" s="2" t="n">
        <v>1</v>
      </c>
    </row>
    <row r="143" customFormat="false" ht="15" hidden="false" customHeight="false" outlineLevel="0" collapsed="false">
      <c r="A143" s="2" t="n">
        <v>141</v>
      </c>
      <c r="B143" s="2" t="s">
        <v>1046</v>
      </c>
      <c r="C143" s="2" t="n">
        <v>6</v>
      </c>
      <c r="D143" s="2" t="n">
        <v>1</v>
      </c>
      <c r="E143" s="2" t="s">
        <v>1283</v>
      </c>
      <c r="F143" s="2" t="s">
        <v>1284</v>
      </c>
      <c r="G143" s="2" t="s">
        <v>1285</v>
      </c>
      <c r="H143" s="2" t="s">
        <v>1284</v>
      </c>
      <c r="I143" s="2" t="s">
        <v>1113</v>
      </c>
      <c r="J143" s="2" t="s">
        <v>9306</v>
      </c>
      <c r="K143" s="2" t="s">
        <v>68</v>
      </c>
      <c r="L143" s="2" t="n">
        <v>0.56</v>
      </c>
      <c r="M143" s="2" t="n">
        <v>0.56</v>
      </c>
    </row>
    <row r="144" customFormat="false" ht="15" hidden="false" customHeight="false" outlineLevel="0" collapsed="false">
      <c r="A144" s="2" t="n">
        <v>142</v>
      </c>
      <c r="B144" s="2" t="s">
        <v>1046</v>
      </c>
      <c r="C144" s="2" t="n">
        <v>1</v>
      </c>
      <c r="D144" s="2" t="n">
        <v>1</v>
      </c>
      <c r="E144" s="2" t="s">
        <v>1304</v>
      </c>
      <c r="F144" s="2" t="s">
        <v>743</v>
      </c>
      <c r="G144" s="2" t="s">
        <v>1305</v>
      </c>
      <c r="H144" s="2" t="s">
        <v>745</v>
      </c>
      <c r="I144" s="2" t="s">
        <v>1306</v>
      </c>
      <c r="J144" s="2" t="s">
        <v>9307</v>
      </c>
      <c r="K144" s="2" t="s">
        <v>68</v>
      </c>
      <c r="L144" s="2" t="n">
        <v>0.78</v>
      </c>
      <c r="M144" s="2" t="n">
        <v>0.73</v>
      </c>
    </row>
    <row r="145" customFormat="false" ht="15" hidden="false" customHeight="false" outlineLevel="0" collapsed="false">
      <c r="A145" s="2" t="n">
        <v>143</v>
      </c>
      <c r="B145" s="2" t="s">
        <v>1046</v>
      </c>
      <c r="C145" s="2" t="n">
        <v>1</v>
      </c>
      <c r="D145" s="2" t="n">
        <v>1</v>
      </c>
      <c r="E145" s="2" t="s">
        <v>1311</v>
      </c>
      <c r="F145" s="2" t="s">
        <v>1312</v>
      </c>
      <c r="G145" s="2" t="s">
        <v>1313</v>
      </c>
      <c r="H145" s="2" t="s">
        <v>1314</v>
      </c>
      <c r="I145" s="2" t="s">
        <v>115</v>
      </c>
      <c r="J145" s="2" t="s">
        <v>9308</v>
      </c>
      <c r="K145" s="2" t="s">
        <v>68</v>
      </c>
      <c r="L145" s="2" t="n">
        <v>0.5</v>
      </c>
      <c r="M145" s="2" t="n">
        <v>0.5</v>
      </c>
    </row>
    <row r="146" customFormat="false" ht="15" hidden="false" customHeight="false" outlineLevel="0" collapsed="false">
      <c r="A146" s="2" t="n">
        <v>144</v>
      </c>
      <c r="B146" s="2" t="s">
        <v>1046</v>
      </c>
      <c r="C146" s="2" t="n">
        <v>1</v>
      </c>
      <c r="D146" s="2" t="n">
        <v>1</v>
      </c>
      <c r="E146" s="2" t="s">
        <v>1320</v>
      </c>
      <c r="F146" s="2" t="s">
        <v>1321</v>
      </c>
      <c r="G146" s="2" t="s">
        <v>1322</v>
      </c>
      <c r="H146" s="2" t="s">
        <v>1323</v>
      </c>
      <c r="I146" s="2" t="s">
        <v>1324</v>
      </c>
      <c r="J146" s="2" t="s">
        <v>9309</v>
      </c>
      <c r="K146" s="2" t="s">
        <v>68</v>
      </c>
      <c r="L146" s="2" t="n">
        <v>0.8</v>
      </c>
      <c r="M146" s="2" t="n">
        <v>0.75</v>
      </c>
    </row>
    <row r="147" customFormat="false" ht="15" hidden="false" customHeight="false" outlineLevel="0" collapsed="false">
      <c r="A147" s="2" t="n">
        <v>145</v>
      </c>
      <c r="B147" s="2" t="s">
        <v>1046</v>
      </c>
      <c r="C147" s="2" t="n">
        <v>0</v>
      </c>
      <c r="D147" s="2" t="n">
        <v>0</v>
      </c>
      <c r="E147" s="2" t="s">
        <v>9310</v>
      </c>
      <c r="F147" s="2" t="s">
        <v>176</v>
      </c>
      <c r="G147" s="2" t="s">
        <v>9311</v>
      </c>
      <c r="H147" s="2" t="s">
        <v>178</v>
      </c>
      <c r="I147" s="2" t="s">
        <v>3321</v>
      </c>
      <c r="J147" s="2" t="s">
        <v>9312</v>
      </c>
      <c r="K147" s="2" t="s">
        <v>160</v>
      </c>
      <c r="L147" s="2" t="n">
        <v>0.44</v>
      </c>
      <c r="M147" s="2" t="n">
        <v>0.62</v>
      </c>
    </row>
    <row r="148" customFormat="false" ht="15" hidden="false" customHeight="false" outlineLevel="0" collapsed="false">
      <c r="A148" s="2" t="n">
        <v>146</v>
      </c>
      <c r="B148" s="2" t="s">
        <v>1046</v>
      </c>
      <c r="C148" s="2" t="n">
        <v>1</v>
      </c>
      <c r="D148" s="2" t="n">
        <v>1</v>
      </c>
      <c r="E148" s="2" t="s">
        <v>1329</v>
      </c>
      <c r="F148" s="2" t="s">
        <v>1330</v>
      </c>
      <c r="G148" s="2" t="s">
        <v>1331</v>
      </c>
      <c r="H148" s="2" t="s">
        <v>1330</v>
      </c>
      <c r="I148" s="2" t="s">
        <v>1332</v>
      </c>
      <c r="J148" s="2" t="s">
        <v>9313</v>
      </c>
      <c r="K148" s="2" t="s">
        <v>68</v>
      </c>
      <c r="L148" s="2" t="n">
        <v>0.73</v>
      </c>
      <c r="M148" s="2" t="n">
        <v>0.73</v>
      </c>
    </row>
    <row r="149" customFormat="false" ht="15" hidden="false" customHeight="false" outlineLevel="0" collapsed="false">
      <c r="A149" s="2" t="n">
        <v>147</v>
      </c>
      <c r="B149" s="2" t="s">
        <v>1046</v>
      </c>
      <c r="C149" s="2" t="n">
        <v>0</v>
      </c>
      <c r="D149" s="2" t="n">
        <v>0</v>
      </c>
      <c r="E149" s="2" t="s">
        <v>9314</v>
      </c>
      <c r="F149" s="2" t="s">
        <v>3393</v>
      </c>
      <c r="G149" s="2" t="s">
        <v>9315</v>
      </c>
      <c r="H149" s="2" t="s">
        <v>3387</v>
      </c>
      <c r="I149" s="2" t="s">
        <v>647</v>
      </c>
      <c r="J149" s="2" t="s">
        <v>9316</v>
      </c>
      <c r="K149" s="2" t="s">
        <v>68</v>
      </c>
      <c r="L149" s="2" t="n">
        <v>0.7</v>
      </c>
      <c r="M149" s="2" t="n">
        <v>0.64</v>
      </c>
    </row>
    <row r="150" customFormat="false" ht="15" hidden="false" customHeight="false" outlineLevel="0" collapsed="false">
      <c r="A150" s="2" t="n">
        <v>148</v>
      </c>
      <c r="B150" s="2" t="s">
        <v>1046</v>
      </c>
      <c r="C150" s="2" t="n">
        <v>0</v>
      </c>
      <c r="D150" s="2" t="n">
        <v>0</v>
      </c>
      <c r="E150" s="2" t="s">
        <v>9317</v>
      </c>
      <c r="F150" s="2" t="s">
        <v>9318</v>
      </c>
      <c r="G150" s="2" t="s">
        <v>9319</v>
      </c>
      <c r="H150" s="2" t="s">
        <v>9320</v>
      </c>
      <c r="I150" s="2" t="s">
        <v>1069</v>
      </c>
      <c r="J150" s="2" t="s">
        <v>9321</v>
      </c>
      <c r="K150" s="2" t="s">
        <v>68</v>
      </c>
      <c r="L150" s="2" t="n">
        <v>0.7</v>
      </c>
      <c r="M150" s="2" t="n">
        <v>0.7</v>
      </c>
    </row>
    <row r="151" customFormat="false" ht="15" hidden="false" customHeight="false" outlineLevel="0" collapsed="false">
      <c r="A151" s="2" t="n">
        <v>149</v>
      </c>
      <c r="B151" s="2" t="s">
        <v>1046</v>
      </c>
      <c r="C151" s="2" t="n">
        <v>0</v>
      </c>
      <c r="D151" s="2" t="n">
        <v>0</v>
      </c>
      <c r="E151" s="2" t="s">
        <v>9322</v>
      </c>
      <c r="F151" s="2" t="s">
        <v>9323</v>
      </c>
      <c r="G151" s="2" t="s">
        <v>9324</v>
      </c>
      <c r="H151" s="2" t="s">
        <v>4359</v>
      </c>
      <c r="I151" s="2" t="s">
        <v>2731</v>
      </c>
      <c r="J151" s="2" t="s">
        <v>9325</v>
      </c>
      <c r="K151" s="2" t="s">
        <v>160</v>
      </c>
      <c r="L151" s="2" t="n">
        <v>0.4</v>
      </c>
      <c r="M151" s="2" t="n">
        <v>0.4</v>
      </c>
    </row>
    <row r="152" customFormat="false" ht="15" hidden="false" customHeight="false" outlineLevel="0" collapsed="false">
      <c r="A152" s="2" t="n">
        <v>150</v>
      </c>
      <c r="B152" s="2" t="s">
        <v>1333</v>
      </c>
      <c r="C152" s="2" t="n">
        <v>1</v>
      </c>
      <c r="D152" s="2" t="n">
        <v>1</v>
      </c>
      <c r="E152" s="2" t="s">
        <v>1340</v>
      </c>
      <c r="F152" s="2" t="s">
        <v>484</v>
      </c>
      <c r="G152" s="2" t="s">
        <v>1341</v>
      </c>
      <c r="H152" s="2" t="s">
        <v>486</v>
      </c>
      <c r="I152" s="2" t="s">
        <v>1342</v>
      </c>
      <c r="J152" s="2" t="s">
        <v>9326</v>
      </c>
      <c r="K152" s="2" t="s">
        <v>68</v>
      </c>
      <c r="L152" s="2" t="n">
        <v>1</v>
      </c>
      <c r="M152" s="2" t="n">
        <v>0.8</v>
      </c>
    </row>
    <row r="153" customFormat="false" ht="15" hidden="false" customHeight="false" outlineLevel="0" collapsed="false">
      <c r="A153" s="2" t="n">
        <v>151</v>
      </c>
      <c r="B153" s="2" t="s">
        <v>1333</v>
      </c>
      <c r="C153" s="2" t="n">
        <v>1</v>
      </c>
      <c r="D153" s="2" t="n">
        <v>0</v>
      </c>
      <c r="E153" s="2" t="s">
        <v>1350</v>
      </c>
      <c r="F153" s="2" t="s">
        <v>1351</v>
      </c>
      <c r="G153" s="2" t="s">
        <v>1352</v>
      </c>
      <c r="H153" s="2" t="s">
        <v>1353</v>
      </c>
      <c r="I153" s="2" t="s">
        <v>1354</v>
      </c>
      <c r="J153" s="2" t="s">
        <v>9327</v>
      </c>
      <c r="K153" s="2" t="s">
        <v>68</v>
      </c>
      <c r="L153" s="2" t="n">
        <v>0.67</v>
      </c>
      <c r="M153" s="2" t="n">
        <v>0.71</v>
      </c>
    </row>
    <row r="154" customFormat="false" ht="15" hidden="false" customHeight="false" outlineLevel="0" collapsed="false">
      <c r="A154" s="2" t="n">
        <v>152</v>
      </c>
      <c r="B154" s="2" t="s">
        <v>1333</v>
      </c>
      <c r="C154" s="2" t="n">
        <v>1</v>
      </c>
      <c r="D154" s="2" t="n">
        <v>1</v>
      </c>
      <c r="E154" s="2" t="s">
        <v>1356</v>
      </c>
      <c r="F154" s="2" t="s">
        <v>1351</v>
      </c>
      <c r="G154" s="2" t="s">
        <v>1357</v>
      </c>
      <c r="H154" s="2" t="s">
        <v>1353</v>
      </c>
      <c r="I154" s="2" t="s">
        <v>1358</v>
      </c>
      <c r="J154" s="2" t="s">
        <v>9328</v>
      </c>
      <c r="K154" s="2" t="s">
        <v>68</v>
      </c>
      <c r="L154" s="2" t="n">
        <v>0.73</v>
      </c>
      <c r="M154" s="2" t="n">
        <v>0.67</v>
      </c>
    </row>
    <row r="155" customFormat="false" ht="15" hidden="false" customHeight="false" outlineLevel="0" collapsed="false">
      <c r="A155" s="2" t="n">
        <v>153</v>
      </c>
      <c r="B155" s="2" t="s">
        <v>1333</v>
      </c>
      <c r="C155" s="2" t="n">
        <v>0</v>
      </c>
      <c r="D155" s="2" t="n">
        <v>0</v>
      </c>
      <c r="E155" s="2" t="s">
        <v>9329</v>
      </c>
      <c r="F155" s="2" t="s">
        <v>3347</v>
      </c>
      <c r="G155" s="2" t="s">
        <v>9330</v>
      </c>
      <c r="H155" s="2" t="s">
        <v>3343</v>
      </c>
      <c r="I155" s="2" t="s">
        <v>751</v>
      </c>
      <c r="J155" s="2" t="s">
        <v>9331</v>
      </c>
      <c r="K155" s="2" t="s">
        <v>68</v>
      </c>
      <c r="L155" s="2" t="n">
        <v>0.83</v>
      </c>
      <c r="M155" s="2" t="n">
        <v>0.67</v>
      </c>
    </row>
    <row r="156" customFormat="false" ht="15" hidden="false" customHeight="false" outlineLevel="0" collapsed="false">
      <c r="A156" s="2" t="n">
        <v>154</v>
      </c>
      <c r="B156" s="2" t="s">
        <v>1333</v>
      </c>
      <c r="C156" s="2" t="n">
        <v>0</v>
      </c>
      <c r="D156" s="2" t="n">
        <v>0</v>
      </c>
      <c r="E156" s="2" t="s">
        <v>9332</v>
      </c>
      <c r="F156" s="2" t="s">
        <v>9333</v>
      </c>
      <c r="G156" s="2" t="s">
        <v>9334</v>
      </c>
      <c r="H156" s="2" t="s">
        <v>6734</v>
      </c>
      <c r="I156" s="2" t="s">
        <v>795</v>
      </c>
      <c r="J156" s="2" t="s">
        <v>9335</v>
      </c>
      <c r="K156" s="2" t="s">
        <v>68</v>
      </c>
      <c r="L156" s="2" t="n">
        <v>0.71</v>
      </c>
      <c r="M156" s="2" t="n">
        <v>0.62</v>
      </c>
    </row>
    <row r="157" customFormat="false" ht="15" hidden="false" customHeight="false" outlineLevel="0" collapsed="false">
      <c r="A157" s="2" t="n">
        <v>155</v>
      </c>
      <c r="B157" s="2" t="s">
        <v>1333</v>
      </c>
      <c r="C157" s="2" t="n">
        <v>0</v>
      </c>
      <c r="D157" s="2" t="n">
        <v>0</v>
      </c>
      <c r="E157" s="2" t="s">
        <v>9336</v>
      </c>
      <c r="F157" s="2" t="s">
        <v>6521</v>
      </c>
      <c r="G157" s="2" t="s">
        <v>9337</v>
      </c>
      <c r="H157" s="2" t="s">
        <v>8762</v>
      </c>
      <c r="I157" s="2" t="s">
        <v>1055</v>
      </c>
      <c r="J157" s="2" t="s">
        <v>9338</v>
      </c>
      <c r="K157" s="2" t="s">
        <v>68</v>
      </c>
      <c r="L157" s="2" t="n">
        <v>0.88</v>
      </c>
      <c r="M157" s="2" t="n">
        <v>0.78</v>
      </c>
    </row>
    <row r="158" customFormat="false" ht="15" hidden="false" customHeight="false" outlineLevel="0" collapsed="false">
      <c r="A158" s="2" t="n">
        <v>156</v>
      </c>
      <c r="B158" s="2" t="s">
        <v>1333</v>
      </c>
      <c r="C158" s="2" t="n">
        <v>0</v>
      </c>
      <c r="D158" s="2" t="n">
        <v>0</v>
      </c>
      <c r="E158" s="2" t="s">
        <v>9339</v>
      </c>
      <c r="F158" s="2" t="s">
        <v>9340</v>
      </c>
      <c r="G158" s="2" t="s">
        <v>9341</v>
      </c>
      <c r="H158" s="2" t="s">
        <v>7191</v>
      </c>
      <c r="I158" s="2" t="s">
        <v>1365</v>
      </c>
      <c r="J158" s="2" t="s">
        <v>9342</v>
      </c>
      <c r="K158" s="2" t="s">
        <v>68</v>
      </c>
      <c r="L158" s="2" t="n">
        <v>0.88</v>
      </c>
      <c r="M158" s="2" t="n">
        <v>0.88</v>
      </c>
    </row>
    <row r="159" customFormat="false" ht="15" hidden="false" customHeight="false" outlineLevel="0" collapsed="false">
      <c r="A159" s="2" t="n">
        <v>157</v>
      </c>
      <c r="B159" s="2" t="s">
        <v>1333</v>
      </c>
      <c r="C159" s="2" t="n">
        <v>0</v>
      </c>
      <c r="D159" s="2" t="n">
        <v>0</v>
      </c>
      <c r="E159" s="2" t="s">
        <v>9343</v>
      </c>
      <c r="F159" s="2" t="s">
        <v>694</v>
      </c>
      <c r="G159" s="2" t="s">
        <v>9344</v>
      </c>
      <c r="H159" s="2" t="s">
        <v>696</v>
      </c>
      <c r="I159" s="2" t="s">
        <v>795</v>
      </c>
      <c r="J159" s="2" t="s">
        <v>9345</v>
      </c>
      <c r="K159" s="2" t="s">
        <v>160</v>
      </c>
      <c r="L159" s="2" t="n">
        <v>0.44</v>
      </c>
      <c r="M159" s="2" t="n">
        <v>0.44</v>
      </c>
    </row>
    <row r="160" customFormat="false" ht="15" hidden="false" customHeight="false" outlineLevel="0" collapsed="false">
      <c r="A160" s="2" t="n">
        <v>158</v>
      </c>
      <c r="B160" s="2" t="s">
        <v>1333</v>
      </c>
      <c r="C160" s="2" t="n">
        <v>0</v>
      </c>
      <c r="D160" s="2" t="n">
        <v>0</v>
      </c>
      <c r="E160" s="2" t="s">
        <v>9346</v>
      </c>
      <c r="F160" s="2" t="s">
        <v>9347</v>
      </c>
      <c r="G160" s="2" t="s">
        <v>9348</v>
      </c>
      <c r="H160" s="2" t="s">
        <v>6370</v>
      </c>
      <c r="I160" s="2" t="s">
        <v>5519</v>
      </c>
      <c r="J160" s="2" t="s">
        <v>9349</v>
      </c>
      <c r="K160" s="2" t="s">
        <v>68</v>
      </c>
      <c r="L160" s="2" t="n">
        <v>0.82</v>
      </c>
      <c r="M160" s="2" t="n">
        <v>0.82</v>
      </c>
    </row>
    <row r="161" customFormat="false" ht="15" hidden="false" customHeight="false" outlineLevel="0" collapsed="false">
      <c r="A161" s="2" t="n">
        <v>159</v>
      </c>
      <c r="B161" s="2" t="s">
        <v>1333</v>
      </c>
      <c r="C161" s="2" t="n">
        <v>0</v>
      </c>
      <c r="D161" s="2" t="n">
        <v>0</v>
      </c>
      <c r="E161" s="2" t="s">
        <v>9350</v>
      </c>
      <c r="F161" s="2" t="s">
        <v>803</v>
      </c>
      <c r="G161" s="2" t="s">
        <v>9351</v>
      </c>
      <c r="H161" s="2" t="s">
        <v>420</v>
      </c>
      <c r="I161" s="2" t="s">
        <v>795</v>
      </c>
      <c r="J161" s="2" t="s">
        <v>9352</v>
      </c>
      <c r="K161" s="2" t="s">
        <v>68</v>
      </c>
      <c r="L161" s="2" t="n">
        <v>1</v>
      </c>
      <c r="M161" s="2" t="n">
        <v>1</v>
      </c>
    </row>
    <row r="162" customFormat="false" ht="15" hidden="false" customHeight="false" outlineLevel="0" collapsed="false">
      <c r="A162" s="2" t="n">
        <v>160</v>
      </c>
      <c r="B162" s="2" t="s">
        <v>1333</v>
      </c>
      <c r="C162" s="2" t="n">
        <v>0</v>
      </c>
      <c r="D162" s="2" t="n">
        <v>0</v>
      </c>
      <c r="E162" s="2" t="s">
        <v>9353</v>
      </c>
      <c r="F162" s="2" t="s">
        <v>4198</v>
      </c>
      <c r="G162" s="2" t="s">
        <v>9354</v>
      </c>
      <c r="H162" s="2" t="s">
        <v>6126</v>
      </c>
      <c r="I162" s="2" t="s">
        <v>2594</v>
      </c>
      <c r="J162" s="2" t="s">
        <v>9355</v>
      </c>
      <c r="K162" s="2" t="s">
        <v>68</v>
      </c>
      <c r="L162" s="2" t="n">
        <v>0.6</v>
      </c>
      <c r="M162" s="2" t="n">
        <v>0.55</v>
      </c>
    </row>
    <row r="163" customFormat="false" ht="15" hidden="false" customHeight="false" outlineLevel="0" collapsed="false">
      <c r="A163" s="2" t="n">
        <v>161</v>
      </c>
      <c r="B163" s="2" t="s">
        <v>1333</v>
      </c>
      <c r="C163" s="2" t="n">
        <v>0</v>
      </c>
      <c r="D163" s="2" t="n">
        <v>0</v>
      </c>
      <c r="E163" s="2" t="s">
        <v>9356</v>
      </c>
      <c r="F163" s="2" t="s">
        <v>4036</v>
      </c>
      <c r="G163" s="2" t="s">
        <v>9357</v>
      </c>
      <c r="H163" s="2" t="s">
        <v>4022</v>
      </c>
      <c r="I163" s="2" t="s">
        <v>2013</v>
      </c>
      <c r="J163" s="2" t="s">
        <v>9358</v>
      </c>
      <c r="K163" s="2" t="s">
        <v>68</v>
      </c>
      <c r="L163" s="2" t="n">
        <v>1</v>
      </c>
      <c r="M163" s="2" t="n">
        <v>0.86</v>
      </c>
    </row>
    <row r="164" customFormat="false" ht="15" hidden="false" customHeight="false" outlineLevel="0" collapsed="false">
      <c r="A164" s="2" t="n">
        <v>162</v>
      </c>
      <c r="B164" s="2" t="s">
        <v>1333</v>
      </c>
      <c r="C164" s="2" t="n">
        <v>0</v>
      </c>
      <c r="D164" s="2" t="n">
        <v>0</v>
      </c>
      <c r="E164" s="2" t="s">
        <v>9359</v>
      </c>
      <c r="F164" s="2" t="s">
        <v>1351</v>
      </c>
      <c r="G164" s="2" t="s">
        <v>9360</v>
      </c>
      <c r="H164" s="2" t="s">
        <v>1353</v>
      </c>
      <c r="I164" s="2" t="s">
        <v>8424</v>
      </c>
      <c r="J164" s="2" t="s">
        <v>9361</v>
      </c>
      <c r="K164" s="2" t="s">
        <v>68</v>
      </c>
      <c r="L164" s="2" t="n">
        <v>0.83</v>
      </c>
      <c r="M164" s="2" t="n">
        <v>0.77</v>
      </c>
    </row>
    <row r="165" customFormat="false" ht="15" hidden="false" customHeight="false" outlineLevel="0" collapsed="false">
      <c r="A165" s="2" t="n">
        <v>163</v>
      </c>
      <c r="B165" s="2" t="s">
        <v>1333</v>
      </c>
      <c r="C165" s="2" t="n">
        <v>0</v>
      </c>
      <c r="D165" s="2" t="n">
        <v>0</v>
      </c>
      <c r="E165" s="2" t="s">
        <v>9362</v>
      </c>
      <c r="F165" s="2" t="s">
        <v>6226</v>
      </c>
      <c r="G165" s="2" t="s">
        <v>9363</v>
      </c>
      <c r="H165" s="2" t="s">
        <v>5669</v>
      </c>
      <c r="I165" s="2" t="s">
        <v>1055</v>
      </c>
      <c r="J165" s="2" t="s">
        <v>9364</v>
      </c>
      <c r="K165" s="2" t="s">
        <v>68</v>
      </c>
      <c r="L165" s="2" t="n">
        <v>0.82</v>
      </c>
      <c r="M165" s="2" t="n">
        <v>0.77</v>
      </c>
    </row>
    <row r="166" customFormat="false" ht="15" hidden="false" customHeight="false" outlineLevel="0" collapsed="false">
      <c r="A166" s="2" t="n">
        <v>164</v>
      </c>
      <c r="B166" s="2" t="s">
        <v>1333</v>
      </c>
      <c r="C166" s="2" t="n">
        <v>0</v>
      </c>
      <c r="D166" s="2" t="n">
        <v>0</v>
      </c>
      <c r="E166" s="2" t="s">
        <v>9365</v>
      </c>
      <c r="F166" s="2" t="s">
        <v>9366</v>
      </c>
      <c r="G166" s="2" t="s">
        <v>9367</v>
      </c>
      <c r="H166" s="2" t="s">
        <v>9368</v>
      </c>
      <c r="I166" s="2" t="s">
        <v>5519</v>
      </c>
      <c r="J166" s="2" t="s">
        <v>9369</v>
      </c>
      <c r="K166" s="2" t="s">
        <v>507</v>
      </c>
      <c r="L166" s="2" t="n">
        <v>0</v>
      </c>
      <c r="M166" s="2" t="n">
        <v>0</v>
      </c>
    </row>
    <row r="167" customFormat="false" ht="15" hidden="false" customHeight="false" outlineLevel="0" collapsed="false">
      <c r="A167" s="2" t="n">
        <v>165</v>
      </c>
      <c r="B167" s="2" t="s">
        <v>1333</v>
      </c>
      <c r="C167" s="2" t="n">
        <v>0</v>
      </c>
      <c r="D167" s="2" t="n">
        <v>0</v>
      </c>
      <c r="E167" s="2" t="s">
        <v>9370</v>
      </c>
      <c r="F167" s="2" t="s">
        <v>3544</v>
      </c>
      <c r="G167" s="2" t="s">
        <v>9371</v>
      </c>
      <c r="H167" s="2" t="s">
        <v>3544</v>
      </c>
      <c r="I167" s="2" t="s">
        <v>1055</v>
      </c>
      <c r="J167" s="2" t="s">
        <v>9372</v>
      </c>
      <c r="K167" s="2" t="s">
        <v>68</v>
      </c>
      <c r="L167" s="2" t="n">
        <v>0.67</v>
      </c>
      <c r="M167" s="2" t="n">
        <v>0.67</v>
      </c>
    </row>
    <row r="168" customFormat="false" ht="15" hidden="false" customHeight="false" outlineLevel="0" collapsed="false">
      <c r="A168" s="2" t="n">
        <v>166</v>
      </c>
      <c r="B168" s="2" t="s">
        <v>1333</v>
      </c>
      <c r="C168" s="2" t="n">
        <v>5</v>
      </c>
      <c r="D168" s="2" t="n">
        <v>5</v>
      </c>
      <c r="E168" s="2" t="s">
        <v>1363</v>
      </c>
      <c r="F168" s="2" t="s">
        <v>95</v>
      </c>
      <c r="G168" s="2" t="s">
        <v>1364</v>
      </c>
      <c r="H168" s="2" t="s">
        <v>97</v>
      </c>
      <c r="I168" s="2" t="s">
        <v>1365</v>
      </c>
      <c r="J168" s="2" t="s">
        <v>9373</v>
      </c>
      <c r="K168" s="2" t="s">
        <v>68</v>
      </c>
      <c r="L168" s="2" t="n">
        <v>0.89</v>
      </c>
      <c r="M168" s="2" t="n">
        <v>0.8</v>
      </c>
    </row>
    <row r="169" customFormat="false" ht="15" hidden="false" customHeight="false" outlineLevel="0" collapsed="false">
      <c r="A169" s="2" t="n">
        <v>167</v>
      </c>
      <c r="B169" s="2" t="s">
        <v>1333</v>
      </c>
      <c r="C169" s="2" t="n">
        <v>0</v>
      </c>
      <c r="D169" s="2" t="n">
        <v>0</v>
      </c>
      <c r="E169" s="2" t="s">
        <v>9374</v>
      </c>
      <c r="F169" s="2" t="s">
        <v>6521</v>
      </c>
      <c r="G169" s="2" t="s">
        <v>9375</v>
      </c>
      <c r="H169" s="2" t="s">
        <v>8762</v>
      </c>
      <c r="I169" s="2" t="s">
        <v>686</v>
      </c>
      <c r="J169" s="2" t="s">
        <v>9376</v>
      </c>
      <c r="K169" s="2" t="s">
        <v>68</v>
      </c>
      <c r="L169" s="2" t="n">
        <v>0.8</v>
      </c>
      <c r="M169" s="2" t="n">
        <v>0.73</v>
      </c>
    </row>
    <row r="170" customFormat="false" ht="15" hidden="false" customHeight="false" outlineLevel="0" collapsed="false">
      <c r="A170" s="2" t="n">
        <v>168</v>
      </c>
      <c r="B170" s="2" t="s">
        <v>1333</v>
      </c>
      <c r="C170" s="2" t="n">
        <v>0</v>
      </c>
      <c r="D170" s="2" t="n">
        <v>0</v>
      </c>
      <c r="E170" s="2" t="s">
        <v>9377</v>
      </c>
      <c r="F170" s="2" t="s">
        <v>743</v>
      </c>
      <c r="G170" s="2" t="s">
        <v>9378</v>
      </c>
      <c r="H170" s="2" t="s">
        <v>745</v>
      </c>
      <c r="I170" s="2" t="s">
        <v>604</v>
      </c>
      <c r="J170" s="2" t="s">
        <v>9379</v>
      </c>
      <c r="K170" s="2" t="s">
        <v>68</v>
      </c>
      <c r="L170" s="2" t="n">
        <v>1</v>
      </c>
      <c r="M170" s="2" t="n">
        <v>1</v>
      </c>
    </row>
    <row r="171" customFormat="false" ht="15" hidden="false" customHeight="false" outlineLevel="0" collapsed="false">
      <c r="A171" s="2" t="n">
        <v>169</v>
      </c>
      <c r="B171" s="2" t="s">
        <v>1333</v>
      </c>
      <c r="C171" s="2" t="n">
        <v>0</v>
      </c>
      <c r="D171" s="2" t="n">
        <v>0</v>
      </c>
      <c r="E171" s="2" t="s">
        <v>9380</v>
      </c>
      <c r="F171" s="2" t="s">
        <v>803</v>
      </c>
      <c r="G171" s="2" t="s">
        <v>9381</v>
      </c>
      <c r="H171" s="2" t="s">
        <v>420</v>
      </c>
      <c r="I171" s="2" t="s">
        <v>795</v>
      </c>
      <c r="J171" s="2" t="s">
        <v>9382</v>
      </c>
      <c r="K171" s="2" t="s">
        <v>507</v>
      </c>
      <c r="L171" s="2" t="n">
        <v>0</v>
      </c>
      <c r="M171" s="2" t="n">
        <v>0</v>
      </c>
    </row>
    <row r="172" customFormat="false" ht="15" hidden="false" customHeight="false" outlineLevel="0" collapsed="false">
      <c r="A172" s="2" t="n">
        <v>170</v>
      </c>
      <c r="B172" s="2" t="s">
        <v>1333</v>
      </c>
      <c r="C172" s="2" t="n">
        <v>0</v>
      </c>
      <c r="D172" s="2" t="n">
        <v>0</v>
      </c>
      <c r="E172" s="2" t="s">
        <v>9383</v>
      </c>
      <c r="F172" s="2" t="s">
        <v>1378</v>
      </c>
      <c r="G172" s="2" t="s">
        <v>9384</v>
      </c>
      <c r="H172" s="2" t="s">
        <v>1378</v>
      </c>
      <c r="I172" s="2" t="s">
        <v>3765</v>
      </c>
      <c r="J172" s="2" t="s">
        <v>9385</v>
      </c>
      <c r="K172" s="2" t="s">
        <v>68</v>
      </c>
      <c r="L172" s="2" t="n">
        <v>0.86</v>
      </c>
      <c r="M172" s="2" t="n">
        <v>0.86</v>
      </c>
    </row>
    <row r="173" customFormat="false" ht="15" hidden="false" customHeight="false" outlineLevel="0" collapsed="false">
      <c r="A173" s="2" t="n">
        <v>171</v>
      </c>
      <c r="B173" s="2" t="s">
        <v>1333</v>
      </c>
      <c r="C173" s="2" t="n">
        <v>1</v>
      </c>
      <c r="D173" s="2" t="n">
        <v>1</v>
      </c>
      <c r="E173" s="2" t="s">
        <v>1377</v>
      </c>
      <c r="F173" s="2" t="s">
        <v>1378</v>
      </c>
      <c r="G173" s="2" t="s">
        <v>1379</v>
      </c>
      <c r="H173" s="2" t="s">
        <v>1378</v>
      </c>
      <c r="I173" s="2" t="s">
        <v>132</v>
      </c>
      <c r="J173" s="2" t="s">
        <v>9386</v>
      </c>
      <c r="K173" s="2" t="s">
        <v>68</v>
      </c>
      <c r="L173" s="2" t="n">
        <v>0.92</v>
      </c>
      <c r="M173" s="2" t="n">
        <v>0.92</v>
      </c>
    </row>
    <row r="174" customFormat="false" ht="15" hidden="false" customHeight="false" outlineLevel="0" collapsed="false">
      <c r="A174" s="2" t="n">
        <v>172</v>
      </c>
      <c r="B174" s="2" t="s">
        <v>1333</v>
      </c>
      <c r="C174" s="2" t="n">
        <v>0</v>
      </c>
      <c r="D174" s="2" t="n">
        <v>0</v>
      </c>
      <c r="E174" s="2" t="s">
        <v>9387</v>
      </c>
      <c r="F174" s="2" t="s">
        <v>9388</v>
      </c>
      <c r="G174" s="2" t="s">
        <v>9389</v>
      </c>
      <c r="H174" s="2" t="s">
        <v>6406</v>
      </c>
      <c r="I174" s="2" t="s">
        <v>132</v>
      </c>
      <c r="J174" s="2" t="s">
        <v>9390</v>
      </c>
      <c r="K174" s="2" t="s">
        <v>68</v>
      </c>
      <c r="L174" s="2" t="n">
        <v>0.88</v>
      </c>
      <c r="M174" s="2" t="n">
        <v>0.88</v>
      </c>
    </row>
    <row r="175" customFormat="false" ht="15" hidden="false" customHeight="false" outlineLevel="0" collapsed="false">
      <c r="A175" s="2" t="n">
        <v>173</v>
      </c>
      <c r="B175" s="2" t="s">
        <v>1333</v>
      </c>
      <c r="C175" s="2" t="n">
        <v>1</v>
      </c>
      <c r="D175" s="2" t="n">
        <v>0</v>
      </c>
      <c r="E175" s="2" t="s">
        <v>1387</v>
      </c>
      <c r="F175" s="2" t="s">
        <v>1388</v>
      </c>
      <c r="G175" s="2" t="s">
        <v>1389</v>
      </c>
      <c r="H175" s="2" t="s">
        <v>1390</v>
      </c>
      <c r="I175" s="2" t="s">
        <v>421</v>
      </c>
      <c r="J175" s="2" t="s">
        <v>9391</v>
      </c>
      <c r="K175" s="2" t="s">
        <v>68</v>
      </c>
      <c r="L175" s="2" t="n">
        <v>0.55</v>
      </c>
      <c r="M175" s="2" t="n">
        <v>0.6</v>
      </c>
    </row>
    <row r="176" customFormat="false" ht="15" hidden="false" customHeight="false" outlineLevel="0" collapsed="false">
      <c r="A176" s="2" t="n">
        <v>174</v>
      </c>
      <c r="B176" s="2" t="s">
        <v>1333</v>
      </c>
      <c r="C176" s="2" t="n">
        <v>0</v>
      </c>
      <c r="D176" s="2" t="n">
        <v>0</v>
      </c>
      <c r="E176" s="2" t="s">
        <v>9392</v>
      </c>
      <c r="F176" s="2" t="s">
        <v>580</v>
      </c>
      <c r="G176" s="2" t="s">
        <v>9393</v>
      </c>
      <c r="H176" s="2" t="s">
        <v>582</v>
      </c>
      <c r="I176" s="2" t="s">
        <v>512</v>
      </c>
      <c r="J176" s="4" t="s">
        <v>9394</v>
      </c>
      <c r="K176" s="2" t="s">
        <v>68</v>
      </c>
      <c r="L176" s="2" t="n">
        <v>0.67</v>
      </c>
      <c r="M176" s="2" t="n">
        <v>0.57</v>
      </c>
    </row>
    <row r="177" customFormat="false" ht="15" hidden="false" customHeight="false" outlineLevel="0" collapsed="false">
      <c r="A177" s="2" t="n">
        <v>175</v>
      </c>
      <c r="B177" s="2" t="s">
        <v>1333</v>
      </c>
      <c r="C177" s="2" t="n">
        <v>0</v>
      </c>
      <c r="D177" s="2" t="n">
        <v>0</v>
      </c>
      <c r="E177" s="2" t="s">
        <v>9395</v>
      </c>
      <c r="F177" s="2" t="s">
        <v>1144</v>
      </c>
      <c r="G177" s="2" t="s">
        <v>9396</v>
      </c>
      <c r="H177" s="2" t="s">
        <v>1146</v>
      </c>
      <c r="I177" s="2" t="s">
        <v>512</v>
      </c>
      <c r="J177" s="2" t="s">
        <v>9397</v>
      </c>
      <c r="K177" s="2" t="s">
        <v>68</v>
      </c>
      <c r="L177" s="2" t="n">
        <v>0.71</v>
      </c>
      <c r="M177" s="2" t="n">
        <v>0.62</v>
      </c>
    </row>
    <row r="178" customFormat="false" ht="15" hidden="false" customHeight="false" outlineLevel="0" collapsed="false">
      <c r="A178" s="2" t="n">
        <v>176</v>
      </c>
      <c r="B178" s="2" t="s">
        <v>1333</v>
      </c>
      <c r="C178" s="2" t="n">
        <v>1</v>
      </c>
      <c r="D178" s="2" t="n">
        <v>1</v>
      </c>
      <c r="E178" s="2" t="s">
        <v>1395</v>
      </c>
      <c r="F178" s="2" t="s">
        <v>95</v>
      </c>
      <c r="G178" s="2" t="s">
        <v>1396</v>
      </c>
      <c r="H178" s="2" t="s">
        <v>97</v>
      </c>
      <c r="I178" s="2" t="s">
        <v>1397</v>
      </c>
      <c r="J178" s="2" t="s">
        <v>9398</v>
      </c>
      <c r="K178" s="2" t="s">
        <v>68</v>
      </c>
      <c r="L178" s="2" t="n">
        <v>1</v>
      </c>
      <c r="M178" s="2" t="n">
        <v>0.8</v>
      </c>
    </row>
    <row r="179" customFormat="false" ht="15" hidden="false" customHeight="false" outlineLevel="0" collapsed="false">
      <c r="A179" s="2" t="n">
        <v>177</v>
      </c>
      <c r="B179" s="2" t="s">
        <v>1333</v>
      </c>
      <c r="C179" s="2" t="n">
        <v>0</v>
      </c>
      <c r="D179" s="2" t="n">
        <v>0</v>
      </c>
      <c r="E179" s="2" t="s">
        <v>9399</v>
      </c>
      <c r="F179" s="2" t="s">
        <v>2239</v>
      </c>
      <c r="G179" s="2" t="s">
        <v>9400</v>
      </c>
      <c r="H179" s="2" t="s">
        <v>2233</v>
      </c>
      <c r="I179" s="2" t="s">
        <v>1055</v>
      </c>
      <c r="J179" s="2" t="s">
        <v>9401</v>
      </c>
      <c r="K179" s="2" t="s">
        <v>68</v>
      </c>
      <c r="L179" s="2" t="n">
        <v>0.89</v>
      </c>
      <c r="M179" s="2" t="n">
        <v>0.89</v>
      </c>
    </row>
    <row r="180" customFormat="false" ht="15" hidden="false" customHeight="false" outlineLevel="0" collapsed="false">
      <c r="A180" s="2" t="n">
        <v>178</v>
      </c>
      <c r="B180" s="2" t="s">
        <v>1333</v>
      </c>
      <c r="C180" s="2" t="n">
        <v>1</v>
      </c>
      <c r="D180" s="2" t="n">
        <v>1</v>
      </c>
      <c r="E180" s="2" t="s">
        <v>1403</v>
      </c>
      <c r="F180" s="2" t="s">
        <v>484</v>
      </c>
      <c r="G180" s="2" t="s">
        <v>1404</v>
      </c>
      <c r="H180" s="2" t="s">
        <v>486</v>
      </c>
      <c r="I180" s="2" t="s">
        <v>908</v>
      </c>
      <c r="J180" s="2" t="s">
        <v>9402</v>
      </c>
      <c r="K180" s="2" t="s">
        <v>68</v>
      </c>
      <c r="L180" s="2" t="n">
        <v>0.83</v>
      </c>
      <c r="M180" s="2" t="n">
        <v>0.71</v>
      </c>
    </row>
    <row r="181" customFormat="false" ht="15" hidden="false" customHeight="false" outlineLevel="0" collapsed="false">
      <c r="A181" s="2" t="n">
        <v>179</v>
      </c>
      <c r="B181" s="2" t="s">
        <v>1333</v>
      </c>
      <c r="C181" s="2" t="n">
        <v>0</v>
      </c>
      <c r="D181" s="2" t="n">
        <v>0</v>
      </c>
      <c r="E181" s="2" t="s">
        <v>9403</v>
      </c>
      <c r="F181" s="2" t="s">
        <v>1312</v>
      </c>
      <c r="G181" s="2" t="s">
        <v>9404</v>
      </c>
      <c r="H181" s="2" t="s">
        <v>1314</v>
      </c>
      <c r="I181" s="2" t="s">
        <v>159</v>
      </c>
      <c r="J181" s="2" t="s">
        <v>9405</v>
      </c>
      <c r="K181" s="2" t="s">
        <v>68</v>
      </c>
      <c r="L181" s="2" t="n">
        <v>0.5</v>
      </c>
      <c r="M181" s="2" t="n">
        <v>0.5</v>
      </c>
    </row>
    <row r="182" customFormat="false" ht="15" hidden="false" customHeight="false" outlineLevel="0" collapsed="false">
      <c r="A182" s="2" t="n">
        <v>180</v>
      </c>
      <c r="B182" s="2" t="s">
        <v>1405</v>
      </c>
      <c r="C182" s="2" t="n">
        <v>1</v>
      </c>
      <c r="D182" s="2" t="n">
        <v>1</v>
      </c>
      <c r="E182" s="2" t="s">
        <v>1412</v>
      </c>
      <c r="F182" s="2" t="s">
        <v>803</v>
      </c>
      <c r="G182" s="2" t="s">
        <v>1413</v>
      </c>
      <c r="H182" s="2" t="s">
        <v>420</v>
      </c>
      <c r="I182" s="2" t="s">
        <v>159</v>
      </c>
      <c r="J182" s="2" t="s">
        <v>9406</v>
      </c>
      <c r="K182" s="2" t="s">
        <v>68</v>
      </c>
      <c r="L182" s="2" t="n">
        <v>1</v>
      </c>
      <c r="M182" s="2" t="n">
        <v>1</v>
      </c>
    </row>
    <row r="183" customFormat="false" ht="15" hidden="false" customHeight="false" outlineLevel="0" collapsed="false">
      <c r="A183" s="2" t="n">
        <v>181</v>
      </c>
      <c r="B183" s="2" t="s">
        <v>1405</v>
      </c>
      <c r="C183" s="2" t="n">
        <v>0</v>
      </c>
      <c r="D183" s="2" t="n">
        <v>0</v>
      </c>
      <c r="E183" s="2" t="s">
        <v>9407</v>
      </c>
      <c r="F183" s="2" t="s">
        <v>8153</v>
      </c>
      <c r="G183" s="2" t="s">
        <v>9408</v>
      </c>
      <c r="H183" s="2" t="s">
        <v>9189</v>
      </c>
      <c r="I183" s="2" t="s">
        <v>1092</v>
      </c>
      <c r="J183" s="2" t="s">
        <v>9409</v>
      </c>
      <c r="K183" s="2" t="s">
        <v>68</v>
      </c>
      <c r="L183" s="2" t="n">
        <v>0.58</v>
      </c>
      <c r="M183" s="2" t="n">
        <v>0.5</v>
      </c>
    </row>
    <row r="184" customFormat="false" ht="15" hidden="false" customHeight="false" outlineLevel="0" collapsed="false">
      <c r="A184" s="2" t="n">
        <v>182</v>
      </c>
      <c r="B184" s="2" t="s">
        <v>1405</v>
      </c>
      <c r="C184" s="2" t="n">
        <v>1</v>
      </c>
      <c r="D184" s="2" t="n">
        <v>0</v>
      </c>
      <c r="E184" s="2" t="s">
        <v>1420</v>
      </c>
      <c r="F184" s="2" t="s">
        <v>1421</v>
      </c>
      <c r="G184" s="2" t="s">
        <v>1422</v>
      </c>
      <c r="H184" s="2" t="s">
        <v>1423</v>
      </c>
      <c r="I184" s="2" t="s">
        <v>1424</v>
      </c>
      <c r="J184" s="2" t="s">
        <v>9410</v>
      </c>
      <c r="K184" s="2" t="s">
        <v>68</v>
      </c>
      <c r="L184" s="2" t="n">
        <v>0.71</v>
      </c>
      <c r="M184" s="2" t="n">
        <v>0.71</v>
      </c>
    </row>
    <row r="185" customFormat="false" ht="15" hidden="false" customHeight="false" outlineLevel="0" collapsed="false">
      <c r="A185" s="2" t="n">
        <v>183</v>
      </c>
      <c r="B185" s="2" t="s">
        <v>1405</v>
      </c>
      <c r="C185" s="2" t="n">
        <v>0</v>
      </c>
      <c r="D185" s="2" t="n">
        <v>0</v>
      </c>
      <c r="E185" s="2" t="s">
        <v>9411</v>
      </c>
      <c r="F185" s="2" t="s">
        <v>9412</v>
      </c>
      <c r="G185" s="2" t="s">
        <v>9413</v>
      </c>
      <c r="H185" s="2" t="s">
        <v>7191</v>
      </c>
      <c r="I185" s="2" t="s">
        <v>686</v>
      </c>
      <c r="J185" s="2" t="s">
        <v>9414</v>
      </c>
      <c r="K185" s="2" t="s">
        <v>68</v>
      </c>
      <c r="L185" s="2" t="n">
        <v>0.91</v>
      </c>
      <c r="M185" s="2" t="n">
        <v>0.82</v>
      </c>
    </row>
    <row r="186" customFormat="false" ht="15" hidden="false" customHeight="false" outlineLevel="0" collapsed="false">
      <c r="A186" s="2" t="n">
        <v>184</v>
      </c>
      <c r="B186" s="2" t="s">
        <v>1405</v>
      </c>
      <c r="C186" s="2" t="n">
        <v>0</v>
      </c>
      <c r="D186" s="2" t="n">
        <v>0</v>
      </c>
      <c r="E186" s="2" t="s">
        <v>9415</v>
      </c>
      <c r="F186" s="2" t="s">
        <v>2212</v>
      </c>
      <c r="G186" s="2" t="s">
        <v>9416</v>
      </c>
      <c r="H186" s="2" t="s">
        <v>3212</v>
      </c>
      <c r="I186" s="2" t="s">
        <v>159</v>
      </c>
      <c r="J186" s="2" t="s">
        <v>9417</v>
      </c>
      <c r="K186" s="2" t="s">
        <v>68</v>
      </c>
      <c r="L186" s="2" t="n">
        <v>0.89</v>
      </c>
      <c r="M186" s="2" t="n">
        <v>0.8</v>
      </c>
    </row>
    <row r="187" customFormat="false" ht="15" hidden="false" customHeight="false" outlineLevel="0" collapsed="false">
      <c r="A187" s="2" t="n">
        <v>185</v>
      </c>
      <c r="B187" s="2" t="s">
        <v>1405</v>
      </c>
      <c r="C187" s="2" t="n">
        <v>2</v>
      </c>
      <c r="D187" s="2" t="n">
        <v>1</v>
      </c>
      <c r="E187" s="2" t="s">
        <v>1427</v>
      </c>
      <c r="F187" s="2" t="s">
        <v>803</v>
      </c>
      <c r="G187" s="2" t="s">
        <v>1428</v>
      </c>
      <c r="H187" s="2" t="s">
        <v>420</v>
      </c>
      <c r="I187" s="2" t="s">
        <v>1429</v>
      </c>
      <c r="J187" s="2" t="s">
        <v>9418</v>
      </c>
      <c r="K187" s="2" t="s">
        <v>68</v>
      </c>
      <c r="L187" s="2" t="n">
        <v>1</v>
      </c>
      <c r="M187" s="2" t="n">
        <v>1</v>
      </c>
    </row>
    <row r="188" customFormat="false" ht="15" hidden="false" customHeight="false" outlineLevel="0" collapsed="false">
      <c r="A188" s="2" t="n">
        <v>186</v>
      </c>
      <c r="B188" s="2" t="s">
        <v>1405</v>
      </c>
      <c r="C188" s="2" t="n">
        <v>0</v>
      </c>
      <c r="D188" s="2" t="n">
        <v>0</v>
      </c>
      <c r="E188" s="2" t="s">
        <v>9419</v>
      </c>
      <c r="F188" s="2" t="s">
        <v>580</v>
      </c>
      <c r="G188" s="2" t="s">
        <v>9420</v>
      </c>
      <c r="H188" s="2" t="s">
        <v>582</v>
      </c>
      <c r="I188" s="2" t="s">
        <v>476</v>
      </c>
      <c r="J188" s="4" t="s">
        <v>9421</v>
      </c>
      <c r="K188" s="2" t="s">
        <v>160</v>
      </c>
      <c r="L188" s="2" t="n">
        <v>0.44</v>
      </c>
      <c r="M188" s="2" t="n">
        <v>0.4</v>
      </c>
    </row>
    <row r="189" customFormat="false" ht="15" hidden="false" customHeight="false" outlineLevel="0" collapsed="false">
      <c r="A189" s="2" t="n">
        <v>187</v>
      </c>
      <c r="B189" s="2" t="s">
        <v>1405</v>
      </c>
      <c r="C189" s="2" t="n">
        <v>1</v>
      </c>
      <c r="D189" s="2" t="n">
        <v>1</v>
      </c>
      <c r="E189" s="2" t="s">
        <v>1434</v>
      </c>
      <c r="F189" s="2" t="s">
        <v>803</v>
      </c>
      <c r="G189" s="2" t="s">
        <v>1435</v>
      </c>
      <c r="H189" s="2" t="s">
        <v>420</v>
      </c>
      <c r="I189" s="2" t="s">
        <v>159</v>
      </c>
      <c r="J189" s="2" t="s">
        <v>9382</v>
      </c>
      <c r="K189" s="2" t="s">
        <v>507</v>
      </c>
      <c r="L189" s="2" t="n">
        <v>0</v>
      </c>
      <c r="M189" s="2" t="n">
        <v>0</v>
      </c>
    </row>
    <row r="190" customFormat="false" ht="15" hidden="false" customHeight="false" outlineLevel="0" collapsed="false">
      <c r="A190" s="2" t="n">
        <v>188</v>
      </c>
      <c r="B190" s="2" t="s">
        <v>1405</v>
      </c>
      <c r="C190" s="2" t="n">
        <v>2</v>
      </c>
      <c r="D190" s="2" t="n">
        <v>1</v>
      </c>
      <c r="E190" s="2" t="s">
        <v>1442</v>
      </c>
      <c r="F190" s="2" t="s">
        <v>963</v>
      </c>
      <c r="G190" s="2" t="s">
        <v>1443</v>
      </c>
      <c r="H190" s="2" t="s">
        <v>965</v>
      </c>
      <c r="I190" s="2" t="s">
        <v>159</v>
      </c>
      <c r="J190" s="2" t="s">
        <v>9422</v>
      </c>
      <c r="K190" s="2" t="s">
        <v>68</v>
      </c>
      <c r="L190" s="2" t="n">
        <v>1</v>
      </c>
      <c r="M190" s="2" t="n">
        <v>0.8</v>
      </c>
    </row>
    <row r="191" customFormat="false" ht="15" hidden="false" customHeight="false" outlineLevel="0" collapsed="false">
      <c r="A191" s="2" t="n">
        <v>189</v>
      </c>
      <c r="B191" s="2" t="s">
        <v>1405</v>
      </c>
      <c r="C191" s="2" t="n">
        <v>0</v>
      </c>
      <c r="D191" s="2" t="n">
        <v>0</v>
      </c>
      <c r="E191" s="2" t="s">
        <v>9423</v>
      </c>
      <c r="F191" s="2" t="s">
        <v>3313</v>
      </c>
      <c r="G191" s="2" t="s">
        <v>9424</v>
      </c>
      <c r="H191" s="2" t="s">
        <v>420</v>
      </c>
      <c r="I191" s="2" t="s">
        <v>476</v>
      </c>
      <c r="J191" s="2" t="s">
        <v>9425</v>
      </c>
      <c r="K191" s="2" t="s">
        <v>68</v>
      </c>
      <c r="L191" s="2" t="n">
        <v>1</v>
      </c>
      <c r="M191" s="2" t="n">
        <v>1</v>
      </c>
    </row>
    <row r="192" customFormat="false" ht="15" hidden="false" customHeight="false" outlineLevel="0" collapsed="false">
      <c r="A192" s="2" t="n">
        <v>190</v>
      </c>
      <c r="B192" s="2" t="s">
        <v>1405</v>
      </c>
      <c r="C192" s="2" t="n">
        <v>0</v>
      </c>
      <c r="D192" s="2" t="n">
        <v>0</v>
      </c>
      <c r="E192" s="2" t="s">
        <v>9426</v>
      </c>
      <c r="F192" s="2" t="s">
        <v>580</v>
      </c>
      <c r="G192" s="2" t="s">
        <v>9427</v>
      </c>
      <c r="H192" s="2" t="s">
        <v>582</v>
      </c>
      <c r="I192" s="2" t="s">
        <v>1424</v>
      </c>
      <c r="J192" s="4" t="s">
        <v>9428</v>
      </c>
      <c r="K192" s="2" t="s">
        <v>68</v>
      </c>
      <c r="L192" s="2" t="n">
        <v>0.56</v>
      </c>
      <c r="M192" s="2" t="n">
        <v>0.5</v>
      </c>
    </row>
    <row r="193" customFormat="false" ht="15" hidden="false" customHeight="false" outlineLevel="0" collapsed="false">
      <c r="A193" s="2" t="n">
        <v>191</v>
      </c>
      <c r="B193" s="2" t="s">
        <v>1405</v>
      </c>
      <c r="C193" s="2" t="n">
        <v>0</v>
      </c>
      <c r="D193" s="2" t="n">
        <v>0</v>
      </c>
      <c r="E193" s="2" t="s">
        <v>9429</v>
      </c>
      <c r="F193" s="2" t="s">
        <v>694</v>
      </c>
      <c r="G193" s="2" t="s">
        <v>9430</v>
      </c>
      <c r="H193" s="2" t="s">
        <v>696</v>
      </c>
      <c r="I193" s="2" t="s">
        <v>768</v>
      </c>
      <c r="J193" s="2" t="s">
        <v>9431</v>
      </c>
      <c r="K193" s="2" t="s">
        <v>68</v>
      </c>
      <c r="L193" s="2" t="n">
        <v>0.89</v>
      </c>
      <c r="M193" s="2" t="n">
        <v>0.89</v>
      </c>
    </row>
    <row r="194" customFormat="false" ht="15" hidden="false" customHeight="false" outlineLevel="0" collapsed="false">
      <c r="A194" s="2" t="n">
        <v>192</v>
      </c>
      <c r="B194" s="2" t="s">
        <v>1405</v>
      </c>
      <c r="C194" s="2" t="n">
        <v>1</v>
      </c>
      <c r="D194" s="2" t="n">
        <v>1</v>
      </c>
      <c r="E194" s="2" t="s">
        <v>1450</v>
      </c>
      <c r="F194" s="2" t="s">
        <v>743</v>
      </c>
      <c r="G194" s="2" t="s">
        <v>1451</v>
      </c>
      <c r="H194" s="2" t="s">
        <v>745</v>
      </c>
      <c r="I194" s="2" t="s">
        <v>1429</v>
      </c>
      <c r="J194" s="2" t="s">
        <v>9432</v>
      </c>
      <c r="K194" s="2" t="s">
        <v>68</v>
      </c>
      <c r="L194" s="2" t="n">
        <v>0.88</v>
      </c>
      <c r="M194" s="2" t="n">
        <v>0.78</v>
      </c>
    </row>
    <row r="195" customFormat="false" ht="15" hidden="false" customHeight="false" outlineLevel="0" collapsed="false">
      <c r="A195" s="2" t="n">
        <v>193</v>
      </c>
      <c r="B195" s="2" t="s">
        <v>1405</v>
      </c>
      <c r="C195" s="2" t="n">
        <v>0</v>
      </c>
      <c r="D195" s="2" t="n">
        <v>0</v>
      </c>
      <c r="E195" s="2" t="s">
        <v>9433</v>
      </c>
      <c r="F195" s="2" t="s">
        <v>694</v>
      </c>
      <c r="G195" s="2" t="s">
        <v>9434</v>
      </c>
      <c r="H195" s="2" t="s">
        <v>696</v>
      </c>
      <c r="I195" s="2" t="s">
        <v>476</v>
      </c>
      <c r="J195" s="2" t="s">
        <v>9435</v>
      </c>
      <c r="K195" s="2" t="s">
        <v>68</v>
      </c>
      <c r="L195" s="2" t="n">
        <v>0.71</v>
      </c>
      <c r="M195" s="2" t="n">
        <v>0.71</v>
      </c>
    </row>
    <row r="196" customFormat="false" ht="15" hidden="false" customHeight="false" outlineLevel="0" collapsed="false">
      <c r="A196" s="2" t="n">
        <v>194</v>
      </c>
      <c r="B196" s="2" t="s">
        <v>1405</v>
      </c>
      <c r="C196" s="2" t="n">
        <v>0</v>
      </c>
      <c r="D196" s="2" t="n">
        <v>0</v>
      </c>
      <c r="E196" s="2" t="s">
        <v>9436</v>
      </c>
      <c r="F196" s="2" t="s">
        <v>2924</v>
      </c>
      <c r="G196" s="2" t="s">
        <v>9437</v>
      </c>
      <c r="H196" s="2" t="s">
        <v>6718</v>
      </c>
      <c r="I196" s="2" t="s">
        <v>1429</v>
      </c>
      <c r="J196" s="2" t="s">
        <v>9438</v>
      </c>
      <c r="K196" s="2" t="s">
        <v>68</v>
      </c>
      <c r="L196" s="2" t="n">
        <v>0.67</v>
      </c>
      <c r="M196" s="2" t="n">
        <v>0.6</v>
      </c>
    </row>
    <row r="197" customFormat="false" ht="15" hidden="false" customHeight="false" outlineLevel="0" collapsed="false">
      <c r="A197" s="2" t="n">
        <v>195</v>
      </c>
      <c r="B197" s="2" t="s">
        <v>1405</v>
      </c>
      <c r="C197" s="2" t="n">
        <v>1</v>
      </c>
      <c r="D197" s="2" t="n">
        <v>1</v>
      </c>
      <c r="E197" s="2" t="s">
        <v>1458</v>
      </c>
      <c r="F197" s="2" t="s">
        <v>1459</v>
      </c>
      <c r="G197" s="2" t="s">
        <v>1460</v>
      </c>
      <c r="H197" s="2" t="s">
        <v>420</v>
      </c>
      <c r="I197" s="2" t="s">
        <v>697</v>
      </c>
      <c r="J197" s="2" t="s">
        <v>9439</v>
      </c>
      <c r="K197" s="2" t="s">
        <v>68</v>
      </c>
      <c r="L197" s="2" t="n">
        <v>1</v>
      </c>
      <c r="M197" s="2" t="n">
        <v>1</v>
      </c>
    </row>
    <row r="198" customFormat="false" ht="15" hidden="false" customHeight="false" outlineLevel="0" collapsed="false">
      <c r="A198" s="2" t="n">
        <v>196</v>
      </c>
      <c r="B198" s="2" t="s">
        <v>1405</v>
      </c>
      <c r="C198" s="2" t="n">
        <v>0</v>
      </c>
      <c r="D198" s="2" t="n">
        <v>0</v>
      </c>
      <c r="E198" s="2" t="s">
        <v>9440</v>
      </c>
      <c r="F198" s="2" t="s">
        <v>2952</v>
      </c>
      <c r="G198" s="2" t="s">
        <v>4605</v>
      </c>
      <c r="H198" s="2" t="s">
        <v>2948</v>
      </c>
      <c r="I198" s="2" t="s">
        <v>4606</v>
      </c>
      <c r="J198" s="2" t="s">
        <v>9441</v>
      </c>
      <c r="K198" s="2" t="s">
        <v>68</v>
      </c>
      <c r="L198" s="2" t="n">
        <v>0.67</v>
      </c>
      <c r="M198" s="2" t="n">
        <v>0.73</v>
      </c>
    </row>
    <row r="199" customFormat="false" ht="15" hidden="false" customHeight="false" outlineLevel="0" collapsed="false">
      <c r="A199" s="2" t="n">
        <v>197</v>
      </c>
      <c r="B199" s="2" t="s">
        <v>1405</v>
      </c>
      <c r="C199" s="2" t="n">
        <v>1</v>
      </c>
      <c r="D199" s="2" t="n">
        <v>1</v>
      </c>
      <c r="E199" s="2" t="s">
        <v>1465</v>
      </c>
      <c r="F199" s="2" t="s">
        <v>418</v>
      </c>
      <c r="G199" s="2" t="s">
        <v>1466</v>
      </c>
      <c r="H199" s="2" t="s">
        <v>420</v>
      </c>
      <c r="I199" s="2" t="s">
        <v>1217</v>
      </c>
      <c r="J199" s="2" t="s">
        <v>9442</v>
      </c>
      <c r="K199" s="2" t="s">
        <v>68</v>
      </c>
      <c r="L199" s="2" t="n">
        <v>1</v>
      </c>
      <c r="M199" s="2" t="n">
        <v>0.92</v>
      </c>
    </row>
    <row r="200" customFormat="false" ht="15" hidden="false" customHeight="false" outlineLevel="0" collapsed="false">
      <c r="A200" s="2" t="n">
        <v>198</v>
      </c>
      <c r="B200" s="2" t="s">
        <v>1405</v>
      </c>
      <c r="C200" s="2" t="n">
        <v>0</v>
      </c>
      <c r="D200" s="2" t="n">
        <v>0</v>
      </c>
      <c r="E200" s="2" t="s">
        <v>9443</v>
      </c>
      <c r="F200" s="2" t="s">
        <v>1523</v>
      </c>
      <c r="G200" s="2" t="s">
        <v>9444</v>
      </c>
      <c r="H200" s="2" t="s">
        <v>1525</v>
      </c>
      <c r="I200" s="2" t="s">
        <v>1774</v>
      </c>
      <c r="J200" s="2" t="s">
        <v>9445</v>
      </c>
      <c r="K200" s="2" t="s">
        <v>68</v>
      </c>
      <c r="L200" s="2" t="n">
        <v>0.78</v>
      </c>
      <c r="M200" s="2" t="n">
        <v>0.7</v>
      </c>
    </row>
    <row r="201" customFormat="false" ht="15" hidden="false" customHeight="false" outlineLevel="0" collapsed="false">
      <c r="A201" s="2" t="n">
        <v>199</v>
      </c>
      <c r="B201" s="2" t="s">
        <v>1405</v>
      </c>
      <c r="C201" s="2" t="n">
        <v>0</v>
      </c>
      <c r="D201" s="2" t="n">
        <v>0</v>
      </c>
      <c r="E201" s="2" t="s">
        <v>9446</v>
      </c>
      <c r="F201" s="2" t="s">
        <v>2561</v>
      </c>
      <c r="G201" s="2" t="s">
        <v>9447</v>
      </c>
      <c r="H201" s="2" t="s">
        <v>2561</v>
      </c>
      <c r="I201" s="2" t="s">
        <v>98</v>
      </c>
      <c r="J201" s="2" t="s">
        <v>9448</v>
      </c>
      <c r="K201" s="2" t="s">
        <v>68</v>
      </c>
      <c r="L201" s="2" t="n">
        <v>1</v>
      </c>
      <c r="M201" s="2" t="n">
        <v>1</v>
      </c>
    </row>
    <row r="202" customFormat="false" ht="15" hidden="false" customHeight="false" outlineLevel="0" collapsed="false">
      <c r="A202" s="2" t="n">
        <v>200</v>
      </c>
      <c r="B202" s="2" t="s">
        <v>1405</v>
      </c>
      <c r="C202" s="2" t="n">
        <v>0</v>
      </c>
      <c r="D202" s="2" t="n">
        <v>0</v>
      </c>
      <c r="E202" s="2" t="s">
        <v>9449</v>
      </c>
      <c r="F202" s="2" t="s">
        <v>694</v>
      </c>
      <c r="G202" s="2" t="s">
        <v>9450</v>
      </c>
      <c r="H202" s="2" t="s">
        <v>696</v>
      </c>
      <c r="I202" s="2" t="s">
        <v>487</v>
      </c>
      <c r="J202" s="2" t="s">
        <v>9451</v>
      </c>
      <c r="K202" s="2" t="s">
        <v>68</v>
      </c>
      <c r="L202" s="2" t="n">
        <v>0.62</v>
      </c>
      <c r="M202" s="2" t="n">
        <v>0.62</v>
      </c>
    </row>
    <row r="203" customFormat="false" ht="15" hidden="false" customHeight="false" outlineLevel="0" collapsed="false">
      <c r="A203" s="2" t="n">
        <v>201</v>
      </c>
      <c r="B203" s="2" t="s">
        <v>1405</v>
      </c>
      <c r="C203" s="2" t="n">
        <v>0</v>
      </c>
      <c r="D203" s="2" t="n">
        <v>0</v>
      </c>
      <c r="E203" s="2" t="s">
        <v>9452</v>
      </c>
      <c r="F203" s="2" t="s">
        <v>9453</v>
      </c>
      <c r="G203" s="2" t="s">
        <v>9454</v>
      </c>
      <c r="H203" s="2" t="s">
        <v>9453</v>
      </c>
      <c r="I203" s="2" t="s">
        <v>945</v>
      </c>
      <c r="J203" s="2" t="s">
        <v>9455</v>
      </c>
      <c r="K203" s="2" t="s">
        <v>68</v>
      </c>
      <c r="L203" s="2" t="n">
        <v>0.7</v>
      </c>
      <c r="M203" s="2" t="n">
        <v>0.7</v>
      </c>
    </row>
    <row r="204" customFormat="false" ht="15" hidden="false" customHeight="false" outlineLevel="0" collapsed="false">
      <c r="A204" s="2" t="n">
        <v>202</v>
      </c>
      <c r="B204" s="2" t="s">
        <v>1405</v>
      </c>
      <c r="C204" s="2" t="n">
        <v>0</v>
      </c>
      <c r="D204" s="2" t="n">
        <v>0</v>
      </c>
      <c r="E204" s="2" t="s">
        <v>9456</v>
      </c>
      <c r="F204" s="2" t="s">
        <v>1135</v>
      </c>
      <c r="G204" s="2" t="s">
        <v>9457</v>
      </c>
      <c r="H204" s="2" t="s">
        <v>1137</v>
      </c>
      <c r="I204" s="2" t="s">
        <v>1078</v>
      </c>
      <c r="J204" s="2" t="s">
        <v>9458</v>
      </c>
      <c r="K204" s="2" t="s">
        <v>68</v>
      </c>
      <c r="L204" s="2" t="n">
        <v>0.5</v>
      </c>
      <c r="M204" s="2" t="n">
        <v>0.5</v>
      </c>
    </row>
    <row r="205" customFormat="false" ht="15" hidden="false" customHeight="false" outlineLevel="0" collapsed="false">
      <c r="A205" s="2" t="n">
        <v>203</v>
      </c>
      <c r="B205" s="2" t="s">
        <v>1405</v>
      </c>
      <c r="C205" s="2" t="n">
        <v>0</v>
      </c>
      <c r="D205" s="2" t="n">
        <v>0</v>
      </c>
      <c r="E205" s="2" t="s">
        <v>9459</v>
      </c>
      <c r="F205" s="2" t="s">
        <v>1075</v>
      </c>
      <c r="G205" s="2" t="s">
        <v>4615</v>
      </c>
      <c r="H205" s="2" t="s">
        <v>1077</v>
      </c>
      <c r="I205" s="2" t="s">
        <v>1354</v>
      </c>
      <c r="J205" s="2" t="s">
        <v>9460</v>
      </c>
      <c r="K205" s="2" t="s">
        <v>68</v>
      </c>
      <c r="L205" s="2" t="n">
        <v>0.62</v>
      </c>
      <c r="M205" s="2" t="n">
        <v>0.75</v>
      </c>
    </row>
    <row r="206" customFormat="false" ht="15" hidden="false" customHeight="false" outlineLevel="0" collapsed="false">
      <c r="A206" s="2" t="n">
        <v>204</v>
      </c>
      <c r="B206" s="2" t="s">
        <v>1405</v>
      </c>
      <c r="C206" s="2" t="n">
        <v>1</v>
      </c>
      <c r="D206" s="2" t="n">
        <v>1</v>
      </c>
      <c r="E206" s="2" t="s">
        <v>1472</v>
      </c>
      <c r="F206" s="2" t="s">
        <v>1473</v>
      </c>
      <c r="G206" s="2" t="s">
        <v>1474</v>
      </c>
      <c r="H206" s="2" t="s">
        <v>1475</v>
      </c>
      <c r="I206" s="2" t="s">
        <v>190</v>
      </c>
      <c r="J206" s="2" t="s">
        <v>9461</v>
      </c>
      <c r="K206" s="2" t="s">
        <v>68</v>
      </c>
      <c r="L206" s="2" t="n">
        <v>1</v>
      </c>
      <c r="M206" s="2" t="n">
        <v>0</v>
      </c>
    </row>
    <row r="207" customFormat="false" ht="15" hidden="false" customHeight="false" outlineLevel="0" collapsed="false">
      <c r="A207" s="2" t="n">
        <v>205</v>
      </c>
      <c r="B207" s="2" t="s">
        <v>1405</v>
      </c>
      <c r="C207" s="2" t="n">
        <v>0</v>
      </c>
      <c r="D207" s="2" t="n">
        <v>0</v>
      </c>
      <c r="E207" s="2" t="s">
        <v>9462</v>
      </c>
      <c r="F207" s="2" t="s">
        <v>3544</v>
      </c>
      <c r="G207" s="2" t="s">
        <v>9463</v>
      </c>
      <c r="H207" s="2" t="s">
        <v>3544</v>
      </c>
      <c r="I207" s="2" t="s">
        <v>1055</v>
      </c>
      <c r="J207" s="2" t="s">
        <v>9464</v>
      </c>
      <c r="K207" s="2" t="s">
        <v>68</v>
      </c>
      <c r="L207" s="2" t="n">
        <v>0.8</v>
      </c>
      <c r="M207" s="2" t="n">
        <v>0.8</v>
      </c>
    </row>
    <row r="208" customFormat="false" ht="15" hidden="false" customHeight="false" outlineLevel="0" collapsed="false">
      <c r="A208" s="2" t="n">
        <v>206</v>
      </c>
      <c r="B208" s="2" t="s">
        <v>1405</v>
      </c>
      <c r="C208" s="2" t="n">
        <v>0</v>
      </c>
      <c r="D208" s="2" t="n">
        <v>0</v>
      </c>
      <c r="E208" s="2" t="s">
        <v>9465</v>
      </c>
      <c r="F208" s="2" t="s">
        <v>9466</v>
      </c>
      <c r="G208" s="2" t="s">
        <v>9467</v>
      </c>
      <c r="H208" s="2" t="s">
        <v>9466</v>
      </c>
      <c r="I208" s="2" t="s">
        <v>821</v>
      </c>
      <c r="J208" s="2" t="s">
        <v>9468</v>
      </c>
      <c r="K208" s="2" t="s">
        <v>68</v>
      </c>
      <c r="L208" s="2" t="n">
        <v>1</v>
      </c>
      <c r="M208" s="2" t="n">
        <v>1</v>
      </c>
    </row>
    <row r="209" customFormat="false" ht="15" hidden="false" customHeight="false" outlineLevel="0" collapsed="false">
      <c r="A209" s="2" t="n">
        <v>207</v>
      </c>
      <c r="B209" s="2" t="s">
        <v>1405</v>
      </c>
      <c r="C209" s="2" t="n">
        <v>0</v>
      </c>
      <c r="D209" s="2" t="n">
        <v>0</v>
      </c>
      <c r="E209" s="2" t="s">
        <v>9469</v>
      </c>
      <c r="F209" s="2" t="s">
        <v>9470</v>
      </c>
      <c r="G209" s="2" t="s">
        <v>9471</v>
      </c>
      <c r="H209" s="2" t="s">
        <v>9470</v>
      </c>
      <c r="I209" s="2" t="s">
        <v>1574</v>
      </c>
      <c r="J209" s="2" t="s">
        <v>9472</v>
      </c>
      <c r="K209" s="2" t="s">
        <v>68</v>
      </c>
      <c r="L209" s="2" t="n">
        <v>0.8</v>
      </c>
      <c r="M209" s="2" t="n">
        <v>0.8</v>
      </c>
    </row>
    <row r="210" customFormat="false" ht="15" hidden="false" customHeight="false" outlineLevel="0" collapsed="false">
      <c r="A210" s="2" t="n">
        <v>208</v>
      </c>
      <c r="B210" s="2" t="s">
        <v>1405</v>
      </c>
      <c r="C210" s="2" t="n">
        <v>0</v>
      </c>
      <c r="D210" s="2" t="n">
        <v>0</v>
      </c>
      <c r="E210" s="2" t="s">
        <v>9473</v>
      </c>
      <c r="F210" s="2" t="s">
        <v>743</v>
      </c>
      <c r="G210" s="2" t="s">
        <v>9474</v>
      </c>
      <c r="H210" s="2" t="s">
        <v>745</v>
      </c>
      <c r="I210" s="2" t="s">
        <v>2825</v>
      </c>
      <c r="J210" s="2" t="s">
        <v>9475</v>
      </c>
      <c r="K210" s="2" t="s">
        <v>68</v>
      </c>
      <c r="L210" s="2" t="n">
        <v>1</v>
      </c>
      <c r="M210" s="2" t="n">
        <v>0.9</v>
      </c>
    </row>
    <row r="211" customFormat="false" ht="15" hidden="false" customHeight="false" outlineLevel="0" collapsed="false">
      <c r="A211" s="2" t="n">
        <v>209</v>
      </c>
      <c r="B211" s="2" t="s">
        <v>1405</v>
      </c>
      <c r="C211" s="2" t="n">
        <v>0</v>
      </c>
      <c r="D211" s="2" t="n">
        <v>0</v>
      </c>
      <c r="E211" s="2" t="s">
        <v>9476</v>
      </c>
      <c r="F211" s="2" t="s">
        <v>694</v>
      </c>
      <c r="G211" s="2" t="s">
        <v>9477</v>
      </c>
      <c r="H211" s="2" t="s">
        <v>696</v>
      </c>
      <c r="I211" s="2" t="s">
        <v>2506</v>
      </c>
      <c r="J211" s="2" t="s">
        <v>9478</v>
      </c>
      <c r="K211" s="2" t="s">
        <v>68</v>
      </c>
      <c r="L211" s="2" t="n">
        <v>0.88</v>
      </c>
      <c r="M211" s="2" t="n">
        <v>0.88</v>
      </c>
    </row>
    <row r="212" customFormat="false" ht="15" hidden="false" customHeight="false" outlineLevel="0" collapsed="false">
      <c r="A212" s="2" t="n">
        <v>210</v>
      </c>
      <c r="B212" s="2" t="s">
        <v>1476</v>
      </c>
      <c r="C212" s="2" t="n">
        <v>0</v>
      </c>
      <c r="D212" s="2" t="n">
        <v>0</v>
      </c>
      <c r="E212" s="2" t="s">
        <v>9479</v>
      </c>
      <c r="F212" s="2" t="s">
        <v>694</v>
      </c>
      <c r="G212" s="2" t="s">
        <v>9480</v>
      </c>
      <c r="H212" s="2" t="s">
        <v>696</v>
      </c>
      <c r="I212" s="2" t="s">
        <v>1634</v>
      </c>
      <c r="J212" s="2" t="s">
        <v>9481</v>
      </c>
      <c r="K212" s="2" t="s">
        <v>68</v>
      </c>
      <c r="L212" s="2" t="n">
        <v>0.73</v>
      </c>
      <c r="M212" s="2" t="n">
        <v>0.7</v>
      </c>
    </row>
    <row r="213" customFormat="false" ht="15" hidden="false" customHeight="false" outlineLevel="0" collapsed="false">
      <c r="A213" s="2" t="n">
        <v>211</v>
      </c>
      <c r="B213" s="2" t="s">
        <v>1476</v>
      </c>
      <c r="C213" s="2" t="n">
        <v>0</v>
      </c>
      <c r="D213" s="2" t="n">
        <v>0</v>
      </c>
      <c r="E213" s="2" t="s">
        <v>9482</v>
      </c>
      <c r="F213" s="2" t="s">
        <v>743</v>
      </c>
      <c r="G213" s="2" t="s">
        <v>9483</v>
      </c>
      <c r="H213" s="2" t="s">
        <v>745</v>
      </c>
      <c r="I213" s="2" t="s">
        <v>2825</v>
      </c>
      <c r="J213" s="2" t="s">
        <v>9484</v>
      </c>
      <c r="K213" s="2" t="s">
        <v>68</v>
      </c>
      <c r="L213" s="2" t="n">
        <v>0.75</v>
      </c>
      <c r="M213" s="2" t="n">
        <v>0.67</v>
      </c>
    </row>
    <row r="214" customFormat="false" ht="15" hidden="false" customHeight="false" outlineLevel="0" collapsed="false">
      <c r="A214" s="2" t="n">
        <v>212</v>
      </c>
      <c r="B214" s="2" t="s">
        <v>1476</v>
      </c>
      <c r="C214" s="2" t="n">
        <v>0</v>
      </c>
      <c r="D214" s="2" t="n">
        <v>0</v>
      </c>
      <c r="E214" s="2" t="s">
        <v>9485</v>
      </c>
      <c r="F214" s="2" t="s">
        <v>743</v>
      </c>
      <c r="G214" s="2" t="s">
        <v>9486</v>
      </c>
      <c r="H214" s="2" t="s">
        <v>745</v>
      </c>
      <c r="I214" s="2" t="s">
        <v>204</v>
      </c>
      <c r="J214" s="2" t="s">
        <v>9487</v>
      </c>
      <c r="K214" s="2" t="s">
        <v>68</v>
      </c>
      <c r="L214" s="2" t="n">
        <v>0.78</v>
      </c>
      <c r="M214" s="2" t="n">
        <v>0.58</v>
      </c>
    </row>
    <row r="215" customFormat="false" ht="15" hidden="false" customHeight="false" outlineLevel="0" collapsed="false">
      <c r="A215" s="2" t="n">
        <v>213</v>
      </c>
      <c r="B215" s="2" t="s">
        <v>1476</v>
      </c>
      <c r="C215" s="2" t="n">
        <v>0</v>
      </c>
      <c r="D215" s="2" t="n">
        <v>0</v>
      </c>
      <c r="E215" s="2" t="s">
        <v>9488</v>
      </c>
      <c r="F215" s="2" t="s">
        <v>1498</v>
      </c>
      <c r="G215" s="2" t="s">
        <v>9489</v>
      </c>
      <c r="H215" s="2" t="s">
        <v>1500</v>
      </c>
      <c r="I215" s="2" t="s">
        <v>2825</v>
      </c>
      <c r="J215" s="2" t="s">
        <v>9490</v>
      </c>
      <c r="K215" s="2" t="s">
        <v>68</v>
      </c>
      <c r="L215" s="2" t="n">
        <v>0.75</v>
      </c>
      <c r="M215" s="2" t="n">
        <v>0.67</v>
      </c>
    </row>
    <row r="216" customFormat="false" ht="15" hidden="false" customHeight="false" outlineLevel="0" collapsed="false">
      <c r="A216" s="2" t="n">
        <v>214</v>
      </c>
      <c r="B216" s="2" t="s">
        <v>1476</v>
      </c>
      <c r="C216" s="2" t="n">
        <v>0</v>
      </c>
      <c r="D216" s="2" t="n">
        <v>0</v>
      </c>
      <c r="E216" s="2" t="s">
        <v>9491</v>
      </c>
      <c r="F216" s="2" t="s">
        <v>601</v>
      </c>
      <c r="G216" s="2" t="s">
        <v>9492</v>
      </c>
      <c r="H216" s="2" t="s">
        <v>603</v>
      </c>
      <c r="I216" s="2" t="s">
        <v>283</v>
      </c>
      <c r="J216" s="2" t="s">
        <v>9493</v>
      </c>
      <c r="K216" s="2" t="s">
        <v>68</v>
      </c>
      <c r="L216" s="2" t="n">
        <v>0.67</v>
      </c>
      <c r="M216" s="2" t="n">
        <v>0.67</v>
      </c>
    </row>
    <row r="217" customFormat="false" ht="15" hidden="false" customHeight="false" outlineLevel="0" collapsed="false">
      <c r="A217" s="2" t="n">
        <v>215</v>
      </c>
      <c r="B217" s="2" t="s">
        <v>1476</v>
      </c>
      <c r="C217" s="2" t="n">
        <v>2</v>
      </c>
      <c r="D217" s="2" t="n">
        <v>2</v>
      </c>
      <c r="E217" s="2" t="s">
        <v>1480</v>
      </c>
      <c r="F217" s="2" t="s">
        <v>1168</v>
      </c>
      <c r="G217" s="2" t="s">
        <v>1481</v>
      </c>
      <c r="H217" s="2" t="s">
        <v>1170</v>
      </c>
      <c r="I217" s="2" t="s">
        <v>1482</v>
      </c>
      <c r="J217" s="2" t="s">
        <v>9494</v>
      </c>
      <c r="K217" s="2" t="s">
        <v>68</v>
      </c>
      <c r="L217" s="2" t="n">
        <v>1</v>
      </c>
      <c r="M217" s="2" t="n">
        <v>0.86</v>
      </c>
    </row>
    <row r="218" customFormat="false" ht="15" hidden="false" customHeight="false" outlineLevel="0" collapsed="false">
      <c r="A218" s="2" t="n">
        <v>216</v>
      </c>
      <c r="B218" s="2" t="s">
        <v>1476</v>
      </c>
      <c r="C218" s="2" t="n">
        <v>1</v>
      </c>
      <c r="D218" s="2" t="n">
        <v>1</v>
      </c>
      <c r="E218" s="2" t="s">
        <v>1490</v>
      </c>
      <c r="F218" s="2" t="s">
        <v>1168</v>
      </c>
      <c r="G218" s="2" t="s">
        <v>1491</v>
      </c>
      <c r="H218" s="2" t="s">
        <v>1170</v>
      </c>
      <c r="I218" s="2" t="s">
        <v>487</v>
      </c>
      <c r="J218" s="2" t="s">
        <v>9495</v>
      </c>
      <c r="K218" s="2" t="s">
        <v>68</v>
      </c>
      <c r="L218" s="2" t="n">
        <v>0.83</v>
      </c>
      <c r="M218" s="2" t="n">
        <v>0.71</v>
      </c>
    </row>
    <row r="219" customFormat="false" ht="15" hidden="false" customHeight="false" outlineLevel="0" collapsed="false">
      <c r="A219" s="2" t="n">
        <v>217</v>
      </c>
      <c r="B219" s="2" t="s">
        <v>1476</v>
      </c>
      <c r="C219" s="2" t="n">
        <v>1</v>
      </c>
      <c r="D219" s="2" t="n">
        <v>1</v>
      </c>
      <c r="E219" s="2" t="s">
        <v>1494</v>
      </c>
      <c r="F219" s="2" t="s">
        <v>1168</v>
      </c>
      <c r="G219" s="2" t="s">
        <v>1495</v>
      </c>
      <c r="H219" s="2" t="s">
        <v>1170</v>
      </c>
      <c r="I219" s="2" t="s">
        <v>1045</v>
      </c>
      <c r="J219" s="2" t="s">
        <v>9496</v>
      </c>
      <c r="K219" s="2" t="s">
        <v>68</v>
      </c>
      <c r="L219" s="2" t="n">
        <v>1</v>
      </c>
      <c r="M219" s="2" t="n">
        <v>0.88</v>
      </c>
    </row>
    <row r="220" customFormat="false" ht="15" hidden="false" customHeight="false" outlineLevel="0" collapsed="false">
      <c r="A220" s="2" t="n">
        <v>218</v>
      </c>
      <c r="B220" s="2" t="s">
        <v>1476</v>
      </c>
      <c r="C220" s="2" t="n">
        <v>0</v>
      </c>
      <c r="D220" s="2" t="n">
        <v>0</v>
      </c>
      <c r="E220" s="2" t="s">
        <v>9497</v>
      </c>
      <c r="F220" s="2" t="s">
        <v>1168</v>
      </c>
      <c r="G220" s="2" t="s">
        <v>4653</v>
      </c>
      <c r="H220" s="2" t="s">
        <v>1170</v>
      </c>
      <c r="I220" s="2" t="s">
        <v>604</v>
      </c>
      <c r="J220" s="2" t="s">
        <v>9498</v>
      </c>
      <c r="K220" s="2" t="s">
        <v>68</v>
      </c>
      <c r="L220" s="2" t="n">
        <v>0.71</v>
      </c>
      <c r="M220" s="2" t="n">
        <v>0.71</v>
      </c>
    </row>
    <row r="221" customFormat="false" ht="15" hidden="false" customHeight="false" outlineLevel="0" collapsed="false">
      <c r="A221" s="2" t="n">
        <v>219</v>
      </c>
      <c r="B221" s="2" t="s">
        <v>1476</v>
      </c>
      <c r="C221" s="2" t="n">
        <v>0</v>
      </c>
      <c r="D221" s="2" t="n">
        <v>0</v>
      </c>
      <c r="E221" s="2" t="s">
        <v>9499</v>
      </c>
      <c r="F221" s="2" t="s">
        <v>1168</v>
      </c>
      <c r="G221" s="2" t="s">
        <v>4656</v>
      </c>
      <c r="H221" s="2" t="s">
        <v>1170</v>
      </c>
      <c r="I221" s="2" t="s">
        <v>1654</v>
      </c>
      <c r="J221" s="2" t="s">
        <v>9500</v>
      </c>
      <c r="K221" s="2" t="s">
        <v>68</v>
      </c>
      <c r="L221" s="2" t="n">
        <v>1</v>
      </c>
      <c r="M221" s="2" t="n">
        <v>0.88</v>
      </c>
    </row>
    <row r="222" customFormat="false" ht="15" hidden="false" customHeight="false" outlineLevel="0" collapsed="false">
      <c r="A222" s="2" t="n">
        <v>220</v>
      </c>
      <c r="B222" s="2" t="s">
        <v>1476</v>
      </c>
      <c r="C222" s="2" t="n">
        <v>0</v>
      </c>
      <c r="D222" s="2" t="n">
        <v>0</v>
      </c>
      <c r="E222" s="2" t="s">
        <v>9501</v>
      </c>
      <c r="F222" s="2" t="s">
        <v>1168</v>
      </c>
      <c r="G222" s="2" t="s">
        <v>4662</v>
      </c>
      <c r="H222" s="2" t="s">
        <v>1170</v>
      </c>
      <c r="I222" s="2" t="s">
        <v>2692</v>
      </c>
      <c r="J222" s="2" t="s">
        <v>9502</v>
      </c>
      <c r="K222" s="2" t="s">
        <v>68</v>
      </c>
      <c r="L222" s="2" t="n">
        <v>1</v>
      </c>
      <c r="M222" s="2" t="n">
        <v>0.89</v>
      </c>
    </row>
    <row r="223" customFormat="false" ht="15" hidden="false" customHeight="false" outlineLevel="0" collapsed="false">
      <c r="A223" s="2" t="n">
        <v>221</v>
      </c>
      <c r="B223" s="2" t="s">
        <v>1476</v>
      </c>
      <c r="C223" s="2" t="n">
        <v>0</v>
      </c>
      <c r="D223" s="2" t="n">
        <v>0</v>
      </c>
      <c r="E223" s="2" t="s">
        <v>9503</v>
      </c>
      <c r="F223" s="2" t="s">
        <v>1168</v>
      </c>
      <c r="G223" s="2" t="s">
        <v>4671</v>
      </c>
      <c r="H223" s="2" t="s">
        <v>1170</v>
      </c>
      <c r="I223" s="2" t="s">
        <v>2370</v>
      </c>
      <c r="J223" s="2" t="s">
        <v>9504</v>
      </c>
      <c r="K223" s="2" t="s">
        <v>68</v>
      </c>
      <c r="L223" s="2" t="n">
        <v>1</v>
      </c>
      <c r="M223" s="2" t="n">
        <v>1</v>
      </c>
    </row>
    <row r="224" customFormat="false" ht="15" hidden="false" customHeight="false" outlineLevel="0" collapsed="false">
      <c r="A224" s="2" t="n">
        <v>222</v>
      </c>
      <c r="B224" s="2" t="s">
        <v>1476</v>
      </c>
      <c r="C224" s="2" t="n">
        <v>0</v>
      </c>
      <c r="D224" s="2" t="n">
        <v>0</v>
      </c>
      <c r="E224" s="2" t="s">
        <v>9505</v>
      </c>
      <c r="F224" s="2" t="s">
        <v>1168</v>
      </c>
      <c r="G224" s="2" t="s">
        <v>9506</v>
      </c>
      <c r="H224" s="2" t="s">
        <v>1170</v>
      </c>
      <c r="I224" s="2" t="s">
        <v>1654</v>
      </c>
      <c r="J224" s="2" t="s">
        <v>9507</v>
      </c>
      <c r="K224" s="2" t="s">
        <v>68</v>
      </c>
      <c r="L224" s="2" t="n">
        <v>0.88</v>
      </c>
      <c r="M224" s="2" t="n">
        <v>0.88</v>
      </c>
    </row>
    <row r="225" customFormat="false" ht="15" hidden="false" customHeight="false" outlineLevel="0" collapsed="false">
      <c r="A225" s="2" t="n">
        <v>223</v>
      </c>
      <c r="B225" s="2" t="s">
        <v>1476</v>
      </c>
      <c r="C225" s="2" t="n">
        <v>0</v>
      </c>
      <c r="D225" s="2" t="n">
        <v>0</v>
      </c>
      <c r="E225" s="2" t="s">
        <v>9508</v>
      </c>
      <c r="F225" s="2" t="s">
        <v>1168</v>
      </c>
      <c r="G225" s="2" t="s">
        <v>9509</v>
      </c>
      <c r="H225" s="2" t="s">
        <v>1170</v>
      </c>
      <c r="I225" s="2" t="s">
        <v>6109</v>
      </c>
      <c r="J225" s="2" t="s">
        <v>9510</v>
      </c>
      <c r="K225" s="2" t="s">
        <v>68</v>
      </c>
      <c r="L225" s="2" t="n">
        <v>0.62</v>
      </c>
      <c r="M225" s="2" t="n">
        <v>0.62</v>
      </c>
    </row>
    <row r="226" customFormat="false" ht="15" hidden="false" customHeight="false" outlineLevel="0" collapsed="false">
      <c r="A226" s="2" t="n">
        <v>224</v>
      </c>
      <c r="B226" s="2" t="s">
        <v>1476</v>
      </c>
      <c r="C226" s="2" t="n">
        <v>0</v>
      </c>
      <c r="D226" s="2" t="n">
        <v>0</v>
      </c>
      <c r="E226" s="2" t="s">
        <v>9511</v>
      </c>
      <c r="F226" s="2" t="s">
        <v>156</v>
      </c>
      <c r="G226" s="2" t="s">
        <v>9512</v>
      </c>
      <c r="H226" s="2" t="s">
        <v>158</v>
      </c>
      <c r="I226" s="2" t="s">
        <v>2431</v>
      </c>
      <c r="J226" s="2" t="s">
        <v>9513</v>
      </c>
      <c r="K226" s="2" t="s">
        <v>68</v>
      </c>
      <c r="L226" s="2" t="n">
        <v>1</v>
      </c>
      <c r="M226" s="2" t="n">
        <v>1</v>
      </c>
    </row>
    <row r="227" customFormat="false" ht="15" hidden="false" customHeight="false" outlineLevel="0" collapsed="false">
      <c r="A227" s="2" t="n">
        <v>225</v>
      </c>
      <c r="B227" s="2" t="s">
        <v>1476</v>
      </c>
      <c r="C227" s="2" t="n">
        <v>2</v>
      </c>
      <c r="D227" s="2" t="n">
        <v>1</v>
      </c>
      <c r="E227" s="2" t="s">
        <v>1497</v>
      </c>
      <c r="F227" s="2" t="s">
        <v>1498</v>
      </c>
      <c r="G227" s="2" t="s">
        <v>1499</v>
      </c>
      <c r="H227" s="2" t="s">
        <v>1500</v>
      </c>
      <c r="I227" s="2" t="s">
        <v>1501</v>
      </c>
      <c r="J227" s="2" t="s">
        <v>9514</v>
      </c>
      <c r="K227" s="2" t="s">
        <v>68</v>
      </c>
      <c r="L227" s="2" t="n">
        <v>0.56</v>
      </c>
      <c r="M227" s="2" t="n">
        <v>0.5</v>
      </c>
    </row>
    <row r="228" customFormat="false" ht="15" hidden="false" customHeight="false" outlineLevel="0" collapsed="false">
      <c r="A228" s="2" t="n">
        <v>226</v>
      </c>
      <c r="B228" s="2" t="s">
        <v>1476</v>
      </c>
      <c r="C228" s="2" t="n">
        <v>0</v>
      </c>
      <c r="D228" s="2" t="n">
        <v>0</v>
      </c>
      <c r="E228" s="2" t="s">
        <v>9515</v>
      </c>
      <c r="F228" s="2" t="s">
        <v>3799</v>
      </c>
      <c r="G228" s="2" t="s">
        <v>9516</v>
      </c>
      <c r="H228" s="2" t="s">
        <v>3793</v>
      </c>
      <c r="I228" s="2" t="s">
        <v>987</v>
      </c>
      <c r="J228" s="2" t="s">
        <v>9517</v>
      </c>
      <c r="K228" s="2" t="s">
        <v>68</v>
      </c>
      <c r="L228" s="2" t="n">
        <v>0.75</v>
      </c>
      <c r="M228" s="2" t="n">
        <v>1</v>
      </c>
    </row>
    <row r="229" customFormat="false" ht="15" hidden="false" customHeight="false" outlineLevel="0" collapsed="false">
      <c r="A229" s="2" t="n">
        <v>227</v>
      </c>
      <c r="B229" s="2" t="s">
        <v>1476</v>
      </c>
      <c r="C229" s="2" t="n">
        <v>7</v>
      </c>
      <c r="D229" s="2" t="n">
        <v>3</v>
      </c>
      <c r="E229" s="2" t="s">
        <v>1507</v>
      </c>
      <c r="F229" s="2" t="s">
        <v>156</v>
      </c>
      <c r="G229" s="2" t="s">
        <v>1508</v>
      </c>
      <c r="H229" s="2" t="s">
        <v>158</v>
      </c>
      <c r="I229" s="2" t="s">
        <v>1509</v>
      </c>
      <c r="J229" s="2" t="s">
        <v>9518</v>
      </c>
      <c r="K229" s="2" t="s">
        <v>68</v>
      </c>
      <c r="L229" s="2" t="n">
        <v>1</v>
      </c>
      <c r="M229" s="2" t="n">
        <v>1</v>
      </c>
    </row>
    <row r="230" customFormat="false" ht="15" hidden="false" customHeight="false" outlineLevel="0" collapsed="false">
      <c r="A230" s="2" t="n">
        <v>228</v>
      </c>
      <c r="B230" s="2" t="s">
        <v>1476</v>
      </c>
      <c r="C230" s="2" t="n">
        <v>1</v>
      </c>
      <c r="D230" s="2" t="n">
        <v>0</v>
      </c>
      <c r="E230" s="2" t="s">
        <v>1522</v>
      </c>
      <c r="F230" s="2" t="s">
        <v>1523</v>
      </c>
      <c r="G230" s="2" t="s">
        <v>1524</v>
      </c>
      <c r="H230" s="2" t="s">
        <v>1525</v>
      </c>
      <c r="I230" s="2" t="s">
        <v>331</v>
      </c>
      <c r="J230" s="2" t="s">
        <v>9519</v>
      </c>
      <c r="K230" s="2" t="s">
        <v>68</v>
      </c>
      <c r="L230" s="2" t="n">
        <v>0.5</v>
      </c>
      <c r="M230" s="2" t="n">
        <v>0.38</v>
      </c>
    </row>
    <row r="231" customFormat="false" ht="15" hidden="false" customHeight="false" outlineLevel="0" collapsed="false">
      <c r="A231" s="2" t="n">
        <v>229</v>
      </c>
      <c r="B231" s="2" t="s">
        <v>1476</v>
      </c>
      <c r="C231" s="2" t="n">
        <v>0</v>
      </c>
      <c r="D231" s="2" t="n">
        <v>0</v>
      </c>
      <c r="E231" s="2" t="s">
        <v>9520</v>
      </c>
      <c r="F231" s="2" t="s">
        <v>1135</v>
      </c>
      <c r="G231" s="2" t="s">
        <v>9521</v>
      </c>
      <c r="H231" s="2" t="s">
        <v>1137</v>
      </c>
      <c r="I231" s="2" t="s">
        <v>2825</v>
      </c>
      <c r="J231" s="2" t="s">
        <v>9522</v>
      </c>
      <c r="K231" s="2" t="s">
        <v>68</v>
      </c>
      <c r="L231" s="2" t="n">
        <v>0.67</v>
      </c>
      <c r="M231" s="2" t="n">
        <v>0.57</v>
      </c>
    </row>
    <row r="232" customFormat="false" ht="15" hidden="false" customHeight="false" outlineLevel="0" collapsed="false">
      <c r="A232" s="2" t="n">
        <v>230</v>
      </c>
      <c r="B232" s="2" t="s">
        <v>1476</v>
      </c>
      <c r="C232" s="2" t="n">
        <v>3</v>
      </c>
      <c r="D232" s="2" t="n">
        <v>0</v>
      </c>
      <c r="E232" s="2" t="s">
        <v>1530</v>
      </c>
      <c r="F232" s="2" t="s">
        <v>156</v>
      </c>
      <c r="G232" s="2" t="s">
        <v>1531</v>
      </c>
      <c r="H232" s="2" t="s">
        <v>158</v>
      </c>
      <c r="I232" s="2" t="s">
        <v>538</v>
      </c>
      <c r="J232" s="2" t="s">
        <v>9523</v>
      </c>
      <c r="K232" s="2" t="s">
        <v>507</v>
      </c>
      <c r="L232" s="2" t="n">
        <v>0.29</v>
      </c>
      <c r="M232" s="2"/>
    </row>
    <row r="233" customFormat="false" ht="15" hidden="false" customHeight="false" outlineLevel="0" collapsed="false">
      <c r="A233" s="2" t="n">
        <v>231</v>
      </c>
      <c r="B233" s="2" t="s">
        <v>1476</v>
      </c>
      <c r="C233" s="2" t="n">
        <v>3</v>
      </c>
      <c r="D233" s="2" t="n">
        <v>3</v>
      </c>
      <c r="E233" s="2" t="s">
        <v>1541</v>
      </c>
      <c r="F233" s="2" t="s">
        <v>1168</v>
      </c>
      <c r="G233" s="2" t="s">
        <v>1542</v>
      </c>
      <c r="H233" s="2" t="s">
        <v>1170</v>
      </c>
      <c r="I233" s="2" t="s">
        <v>1543</v>
      </c>
      <c r="J233" s="2" t="s">
        <v>9524</v>
      </c>
      <c r="K233" s="2" t="s">
        <v>68</v>
      </c>
      <c r="L233" s="2" t="n">
        <v>1</v>
      </c>
      <c r="M233" s="2" t="n">
        <v>1</v>
      </c>
    </row>
    <row r="234" customFormat="false" ht="15" hidden="false" customHeight="false" outlineLevel="0" collapsed="false">
      <c r="A234" s="2" t="n">
        <v>232</v>
      </c>
      <c r="B234" s="2" t="s">
        <v>1476</v>
      </c>
      <c r="C234" s="2" t="n">
        <v>0</v>
      </c>
      <c r="D234" s="2" t="n">
        <v>0</v>
      </c>
      <c r="E234" s="2" t="s">
        <v>9525</v>
      </c>
      <c r="F234" s="2" t="s">
        <v>9526</v>
      </c>
      <c r="G234" s="2" t="s">
        <v>4692</v>
      </c>
      <c r="H234" s="2" t="s">
        <v>4693</v>
      </c>
      <c r="I234" s="2" t="s">
        <v>776</v>
      </c>
      <c r="J234" s="2" t="s">
        <v>9527</v>
      </c>
      <c r="K234" s="2" t="s">
        <v>68</v>
      </c>
      <c r="L234" s="2" t="n">
        <v>1</v>
      </c>
      <c r="M234" s="2" t="n">
        <v>0.82</v>
      </c>
    </row>
    <row r="235" customFormat="false" ht="15" hidden="false" customHeight="false" outlineLevel="0" collapsed="false">
      <c r="A235" s="2" t="n">
        <v>233</v>
      </c>
      <c r="B235" s="2" t="s">
        <v>1476</v>
      </c>
      <c r="C235" s="2" t="n">
        <v>2</v>
      </c>
      <c r="D235" s="2" t="n">
        <v>0</v>
      </c>
      <c r="E235" s="2" t="s">
        <v>1552</v>
      </c>
      <c r="F235" s="2" t="s">
        <v>1168</v>
      </c>
      <c r="G235" s="2" t="s">
        <v>1553</v>
      </c>
      <c r="H235" s="2" t="s">
        <v>1170</v>
      </c>
      <c r="I235" s="2" t="s">
        <v>1482</v>
      </c>
      <c r="J235" s="2" t="s">
        <v>9528</v>
      </c>
      <c r="K235" s="2" t="s">
        <v>68</v>
      </c>
      <c r="L235" s="2" t="n">
        <v>1</v>
      </c>
      <c r="M235" s="2" t="n">
        <v>0.86</v>
      </c>
    </row>
    <row r="236" customFormat="false" ht="15" hidden="false" customHeight="false" outlineLevel="0" collapsed="false">
      <c r="A236" s="2" t="n">
        <v>234</v>
      </c>
      <c r="B236" s="2" t="s">
        <v>1476</v>
      </c>
      <c r="C236" s="2" t="n">
        <v>1</v>
      </c>
      <c r="D236" s="2" t="n">
        <v>0</v>
      </c>
      <c r="E236" s="2" t="s">
        <v>1562</v>
      </c>
      <c r="F236" s="2" t="s">
        <v>1563</v>
      </c>
      <c r="G236" s="2" t="s">
        <v>1564</v>
      </c>
      <c r="H236" s="2" t="s">
        <v>420</v>
      </c>
      <c r="I236" s="2" t="s">
        <v>115</v>
      </c>
      <c r="J236" s="2" t="s">
        <v>9529</v>
      </c>
      <c r="K236" s="2" t="s">
        <v>68</v>
      </c>
      <c r="L236" s="2" t="n">
        <v>1</v>
      </c>
      <c r="M236" s="2" t="n">
        <v>1</v>
      </c>
    </row>
    <row r="237" customFormat="false" ht="15" hidden="false" customHeight="false" outlineLevel="0" collapsed="false">
      <c r="A237" s="2" t="n">
        <v>235</v>
      </c>
      <c r="B237" s="2" t="s">
        <v>1476</v>
      </c>
      <c r="C237" s="2" t="n">
        <v>0</v>
      </c>
      <c r="D237" s="2" t="n">
        <v>0</v>
      </c>
      <c r="E237" s="2" t="s">
        <v>9530</v>
      </c>
      <c r="F237" s="2" t="s">
        <v>1498</v>
      </c>
      <c r="G237" s="2" t="s">
        <v>9531</v>
      </c>
      <c r="H237" s="2" t="s">
        <v>1500</v>
      </c>
      <c r="I237" s="2" t="s">
        <v>1069</v>
      </c>
      <c r="J237" s="2" t="s">
        <v>9532</v>
      </c>
      <c r="K237" s="2" t="s">
        <v>68</v>
      </c>
      <c r="L237" s="2" t="n">
        <v>0.67</v>
      </c>
      <c r="M237" s="2" t="n">
        <v>0.55</v>
      </c>
    </row>
    <row r="238" customFormat="false" ht="15" hidden="false" customHeight="false" outlineLevel="0" collapsed="false">
      <c r="A238" s="2" t="n">
        <v>236</v>
      </c>
      <c r="B238" s="2" t="s">
        <v>1476</v>
      </c>
      <c r="C238" s="2" t="n">
        <v>1</v>
      </c>
      <c r="D238" s="2" t="n">
        <v>0</v>
      </c>
      <c r="E238" s="2" t="s">
        <v>1570</v>
      </c>
      <c r="F238" s="2" t="s">
        <v>1571</v>
      </c>
      <c r="G238" s="2" t="s">
        <v>1572</v>
      </c>
      <c r="H238" s="2" t="s">
        <v>1573</v>
      </c>
      <c r="I238" s="2" t="s">
        <v>1574</v>
      </c>
      <c r="J238" s="2" t="s">
        <v>9533</v>
      </c>
      <c r="K238" s="2" t="s">
        <v>160</v>
      </c>
      <c r="L238" s="2" t="n">
        <v>0.43</v>
      </c>
      <c r="M238" s="2" t="n">
        <v>0.43</v>
      </c>
    </row>
    <row r="239" customFormat="false" ht="15" hidden="false" customHeight="false" outlineLevel="0" collapsed="false">
      <c r="A239" s="2" t="n">
        <v>237</v>
      </c>
      <c r="B239" s="2" t="s">
        <v>1476</v>
      </c>
      <c r="C239" s="2" t="n">
        <v>0</v>
      </c>
      <c r="D239" s="2" t="n">
        <v>0</v>
      </c>
      <c r="E239" s="2" t="s">
        <v>9534</v>
      </c>
      <c r="F239" s="2" t="s">
        <v>4036</v>
      </c>
      <c r="G239" s="2" t="s">
        <v>9535</v>
      </c>
      <c r="H239" s="2" t="s">
        <v>4022</v>
      </c>
      <c r="I239" s="2" t="s">
        <v>8275</v>
      </c>
      <c r="J239" s="2" t="s">
        <v>9536</v>
      </c>
      <c r="K239" s="2" t="s">
        <v>68</v>
      </c>
      <c r="L239" s="2" t="n">
        <v>0.9</v>
      </c>
      <c r="M239" s="2" t="n">
        <v>0.82</v>
      </c>
    </row>
    <row r="240" customFormat="false" ht="15" hidden="false" customHeight="false" outlineLevel="0" collapsed="false">
      <c r="A240" s="2" t="n">
        <v>238</v>
      </c>
      <c r="B240" s="2" t="s">
        <v>1476</v>
      </c>
      <c r="C240" s="2" t="n">
        <v>0</v>
      </c>
      <c r="D240" s="2" t="n">
        <v>0</v>
      </c>
      <c r="E240" s="2" t="s">
        <v>9537</v>
      </c>
      <c r="F240" s="2" t="s">
        <v>601</v>
      </c>
      <c r="G240" s="2" t="s">
        <v>9538</v>
      </c>
      <c r="H240" s="2" t="s">
        <v>603</v>
      </c>
      <c r="I240" s="2" t="s">
        <v>1424</v>
      </c>
      <c r="J240" s="2" t="s">
        <v>9539</v>
      </c>
      <c r="K240" s="2" t="s">
        <v>68</v>
      </c>
      <c r="L240" s="2" t="n">
        <v>0.6</v>
      </c>
      <c r="M240" s="2" t="n">
        <v>0.6</v>
      </c>
    </row>
    <row r="241" customFormat="false" ht="15" hidden="false" customHeight="false" outlineLevel="0" collapsed="false">
      <c r="A241" s="2" t="n">
        <v>239</v>
      </c>
      <c r="B241" s="2" t="s">
        <v>1476</v>
      </c>
      <c r="C241" s="2" t="n">
        <v>1</v>
      </c>
      <c r="D241" s="2" t="n">
        <v>0</v>
      </c>
      <c r="E241" s="2" t="s">
        <v>1579</v>
      </c>
      <c r="F241" s="2" t="s">
        <v>1580</v>
      </c>
      <c r="G241" s="2" t="s">
        <v>1581</v>
      </c>
      <c r="H241" s="2" t="s">
        <v>1582</v>
      </c>
      <c r="I241" s="2" t="s">
        <v>271</v>
      </c>
      <c r="J241" s="2" t="s">
        <v>9540</v>
      </c>
      <c r="K241" s="2" t="s">
        <v>68</v>
      </c>
      <c r="L241" s="2" t="n">
        <v>0.62</v>
      </c>
      <c r="M241" s="2" t="n">
        <v>0.54</v>
      </c>
    </row>
    <row r="242" customFormat="false" ht="15" hidden="false" customHeight="false" outlineLevel="0" collapsed="false">
      <c r="A242" s="2" t="n">
        <v>240</v>
      </c>
      <c r="B242" s="2" t="s">
        <v>1583</v>
      </c>
      <c r="C242" s="2" t="n">
        <v>0</v>
      </c>
      <c r="D242" s="2" t="n">
        <v>0</v>
      </c>
      <c r="E242" s="2" t="s">
        <v>9541</v>
      </c>
      <c r="F242" s="2" t="s">
        <v>9542</v>
      </c>
      <c r="G242" s="2" t="s">
        <v>9543</v>
      </c>
      <c r="H242" s="2" t="s">
        <v>9542</v>
      </c>
      <c r="I242" s="2" t="s">
        <v>3023</v>
      </c>
      <c r="J242" s="2" t="s">
        <v>9544</v>
      </c>
      <c r="K242" s="2" t="s">
        <v>68</v>
      </c>
      <c r="L242" s="2" t="n">
        <v>0.57</v>
      </c>
      <c r="M242" s="2" t="n">
        <v>0.57</v>
      </c>
    </row>
    <row r="243" customFormat="false" ht="15" hidden="false" customHeight="false" outlineLevel="0" collapsed="false">
      <c r="A243" s="2" t="n">
        <v>241</v>
      </c>
      <c r="B243" s="2" t="s">
        <v>1583</v>
      </c>
      <c r="C243" s="2" t="n">
        <v>0</v>
      </c>
      <c r="D243" s="2" t="n">
        <v>0</v>
      </c>
      <c r="E243" s="2" t="s">
        <v>9545</v>
      </c>
      <c r="F243" s="2" t="s">
        <v>9546</v>
      </c>
      <c r="G243" s="2" t="s">
        <v>9547</v>
      </c>
      <c r="H243" s="2" t="s">
        <v>5376</v>
      </c>
      <c r="I243" s="2" t="s">
        <v>2825</v>
      </c>
      <c r="J243" s="2" t="s">
        <v>9548</v>
      </c>
      <c r="K243" s="2" t="s">
        <v>507</v>
      </c>
      <c r="L243" s="2" t="n">
        <v>0.27</v>
      </c>
      <c r="M243" s="2" t="n">
        <v>0.33</v>
      </c>
    </row>
    <row r="244" customFormat="false" ht="15" hidden="false" customHeight="false" outlineLevel="0" collapsed="false">
      <c r="A244" s="2" t="n">
        <v>242</v>
      </c>
      <c r="B244" s="2" t="s">
        <v>1583</v>
      </c>
      <c r="C244" s="2" t="n">
        <v>0</v>
      </c>
      <c r="D244" s="2" t="n">
        <v>0</v>
      </c>
      <c r="E244" s="2" t="s">
        <v>9549</v>
      </c>
      <c r="F244" s="2" t="s">
        <v>6066</v>
      </c>
      <c r="G244" s="2" t="s">
        <v>9550</v>
      </c>
      <c r="H244" s="2" t="s">
        <v>917</v>
      </c>
      <c r="I244" s="2" t="s">
        <v>204</v>
      </c>
      <c r="J244" s="2" t="s">
        <v>9551</v>
      </c>
      <c r="K244" s="2" t="s">
        <v>1588</v>
      </c>
      <c r="L244" s="2" t="n">
        <v>0.17</v>
      </c>
      <c r="M244" s="2" t="n">
        <v>0.58</v>
      </c>
    </row>
    <row r="245" customFormat="false" ht="15" hidden="false" customHeight="false" outlineLevel="0" collapsed="false">
      <c r="A245" s="2" t="n">
        <v>243</v>
      </c>
      <c r="B245" s="2" t="s">
        <v>1583</v>
      </c>
      <c r="C245" s="2" t="n">
        <v>4</v>
      </c>
      <c r="D245" s="2" t="n">
        <v>2</v>
      </c>
      <c r="E245" s="2" t="s">
        <v>1585</v>
      </c>
      <c r="F245" s="2" t="s">
        <v>915</v>
      </c>
      <c r="G245" s="2" t="s">
        <v>1586</v>
      </c>
      <c r="H245" s="2" t="s">
        <v>1500</v>
      </c>
      <c r="I245" s="2" t="s">
        <v>1587</v>
      </c>
      <c r="J245" s="2" t="s">
        <v>9552</v>
      </c>
      <c r="K245" s="2" t="s">
        <v>1588</v>
      </c>
      <c r="L245" s="2" t="n">
        <v>0</v>
      </c>
      <c r="M245" s="2" t="n">
        <v>0.67</v>
      </c>
    </row>
    <row r="246" customFormat="false" ht="15" hidden="false" customHeight="false" outlineLevel="0" collapsed="false">
      <c r="A246" s="2" t="n">
        <v>244</v>
      </c>
      <c r="B246" s="2" t="s">
        <v>1583</v>
      </c>
      <c r="C246" s="2" t="n">
        <v>2</v>
      </c>
      <c r="D246" s="2" t="n">
        <v>0</v>
      </c>
      <c r="E246" s="2" t="s">
        <v>1603</v>
      </c>
      <c r="F246" s="2" t="s">
        <v>1498</v>
      </c>
      <c r="G246" s="2" t="s">
        <v>1604</v>
      </c>
      <c r="H246" s="2" t="s">
        <v>97</v>
      </c>
      <c r="I246" s="2" t="s">
        <v>476</v>
      </c>
      <c r="J246" s="2" t="s">
        <v>9553</v>
      </c>
      <c r="K246" s="2" t="s">
        <v>160</v>
      </c>
      <c r="L246" s="2" t="n">
        <v>0.33</v>
      </c>
      <c r="M246" s="2" t="n">
        <v>0.5</v>
      </c>
    </row>
    <row r="247" customFormat="false" ht="15" hidden="false" customHeight="false" outlineLevel="0" collapsed="false">
      <c r="A247" s="2" t="n">
        <v>245</v>
      </c>
      <c r="B247" s="2" t="s">
        <v>1583</v>
      </c>
      <c r="C247" s="2" t="n">
        <v>1</v>
      </c>
      <c r="D247" s="2" t="n">
        <v>0</v>
      </c>
      <c r="E247" s="2" t="s">
        <v>1612</v>
      </c>
      <c r="F247" s="2" t="s">
        <v>95</v>
      </c>
      <c r="G247" s="2" t="s">
        <v>1613</v>
      </c>
      <c r="H247" s="2" t="s">
        <v>812</v>
      </c>
      <c r="I247" s="2" t="s">
        <v>1614</v>
      </c>
      <c r="J247" s="2" t="s">
        <v>9554</v>
      </c>
      <c r="K247" s="2" t="s">
        <v>1588</v>
      </c>
      <c r="L247" s="2" t="n">
        <v>0.25</v>
      </c>
      <c r="M247" s="2" t="n">
        <v>0.67</v>
      </c>
    </row>
    <row r="248" customFormat="false" ht="15" hidden="false" customHeight="false" outlineLevel="0" collapsed="false">
      <c r="A248" s="2" t="n">
        <v>246</v>
      </c>
      <c r="B248" s="2" t="s">
        <v>1583</v>
      </c>
      <c r="C248" s="2" t="n">
        <v>1</v>
      </c>
      <c r="D248" s="2" t="n">
        <v>0</v>
      </c>
      <c r="E248" s="2" t="s">
        <v>1619</v>
      </c>
      <c r="F248" s="2" t="s">
        <v>810</v>
      </c>
      <c r="G248" s="2" t="s">
        <v>1620</v>
      </c>
      <c r="H248" s="2" t="s">
        <v>1500</v>
      </c>
      <c r="I248" s="2" t="s">
        <v>1078</v>
      </c>
      <c r="J248" s="2" t="s">
        <v>9555</v>
      </c>
      <c r="K248" s="2" t="s">
        <v>1588</v>
      </c>
      <c r="L248" s="2" t="n">
        <v>0.17</v>
      </c>
      <c r="M248" s="2" t="n">
        <v>0.62</v>
      </c>
    </row>
    <row r="249" customFormat="false" ht="15" hidden="false" customHeight="false" outlineLevel="0" collapsed="false">
      <c r="A249" s="2" t="n">
        <v>247</v>
      </c>
      <c r="B249" s="2" t="s">
        <v>1583</v>
      </c>
      <c r="C249" s="2" t="n">
        <v>1</v>
      </c>
      <c r="D249" s="2" t="n">
        <v>0</v>
      </c>
      <c r="E249" s="2" t="s">
        <v>1624</v>
      </c>
      <c r="F249" s="2" t="s">
        <v>1498</v>
      </c>
      <c r="G249" s="2" t="s">
        <v>1625</v>
      </c>
      <c r="H249" s="2" t="s">
        <v>1626</v>
      </c>
      <c r="I249" s="2" t="s">
        <v>1627</v>
      </c>
      <c r="J249" s="2" t="s">
        <v>9556</v>
      </c>
      <c r="K249" s="2" t="s">
        <v>1588</v>
      </c>
      <c r="L249" s="2" t="n">
        <v>0</v>
      </c>
      <c r="M249" s="2" t="n">
        <v>0.62</v>
      </c>
    </row>
    <row r="250" customFormat="false" ht="15" hidden="false" customHeight="false" outlineLevel="0" collapsed="false">
      <c r="A250" s="2" t="n">
        <v>248</v>
      </c>
      <c r="B250" s="2" t="s">
        <v>1583</v>
      </c>
      <c r="C250" s="2" t="n">
        <v>0</v>
      </c>
      <c r="D250" s="2" t="n">
        <v>0</v>
      </c>
      <c r="E250" s="2" t="s">
        <v>9557</v>
      </c>
      <c r="F250" s="2" t="s">
        <v>9558</v>
      </c>
      <c r="G250" s="2" t="s">
        <v>9559</v>
      </c>
      <c r="H250" s="2" t="s">
        <v>4713</v>
      </c>
      <c r="I250" s="2" t="s">
        <v>2379</v>
      </c>
      <c r="J250" s="2" t="s">
        <v>9560</v>
      </c>
      <c r="K250" s="2" t="s">
        <v>1588</v>
      </c>
      <c r="L250" s="2" t="n">
        <v>0.38</v>
      </c>
      <c r="M250" s="2" t="n">
        <v>0.5</v>
      </c>
    </row>
    <row r="251" customFormat="false" ht="15" hidden="false" customHeight="false" outlineLevel="0" collapsed="false">
      <c r="A251" s="2" t="n">
        <v>249</v>
      </c>
      <c r="B251" s="2" t="s">
        <v>1583</v>
      </c>
      <c r="C251" s="2" t="n">
        <v>0</v>
      </c>
      <c r="D251" s="2" t="n">
        <v>0</v>
      </c>
      <c r="E251" s="2" t="s">
        <v>9561</v>
      </c>
      <c r="F251" s="2" t="s">
        <v>9558</v>
      </c>
      <c r="G251" s="2" t="s">
        <v>9562</v>
      </c>
      <c r="H251" s="2" t="s">
        <v>114</v>
      </c>
      <c r="I251" s="2" t="s">
        <v>512</v>
      </c>
      <c r="J251" s="2" t="s">
        <v>9563</v>
      </c>
      <c r="K251" s="2" t="s">
        <v>1588</v>
      </c>
      <c r="L251" s="2" t="n">
        <v>0.14</v>
      </c>
      <c r="M251" s="2" t="n">
        <v>0.58</v>
      </c>
    </row>
    <row r="252" customFormat="false" ht="15" hidden="false" customHeight="false" outlineLevel="0" collapsed="false">
      <c r="A252" s="2" t="n">
        <v>250</v>
      </c>
      <c r="B252" s="2" t="s">
        <v>1583</v>
      </c>
      <c r="C252" s="2" t="n">
        <v>3</v>
      </c>
      <c r="D252" s="2" t="n">
        <v>0</v>
      </c>
      <c r="E252" s="2" t="s">
        <v>1631</v>
      </c>
      <c r="F252" s="2" t="s">
        <v>112</v>
      </c>
      <c r="G252" s="2" t="s">
        <v>1632</v>
      </c>
      <c r="H252" s="2" t="s">
        <v>1633</v>
      </c>
      <c r="I252" s="2" t="s">
        <v>1634</v>
      </c>
      <c r="J252" s="2" t="s">
        <v>9564</v>
      </c>
      <c r="K252" s="2" t="s">
        <v>68</v>
      </c>
      <c r="L252" s="2" t="n">
        <v>0.55</v>
      </c>
      <c r="M252" s="2" t="n">
        <v>1</v>
      </c>
    </row>
    <row r="253" customFormat="false" ht="15" hidden="false" customHeight="false" outlineLevel="0" collapsed="false">
      <c r="A253" s="2" t="n">
        <v>251</v>
      </c>
      <c r="B253" s="2" t="s">
        <v>1583</v>
      </c>
      <c r="C253" s="2" t="n">
        <v>2</v>
      </c>
      <c r="D253" s="2" t="n">
        <v>0</v>
      </c>
      <c r="E253" s="2" t="s">
        <v>1646</v>
      </c>
      <c r="F253" s="2" t="s">
        <v>64</v>
      </c>
      <c r="G253" s="2" t="s">
        <v>1647</v>
      </c>
      <c r="H253" s="2" t="s">
        <v>158</v>
      </c>
      <c r="I253" s="2" t="s">
        <v>1648</v>
      </c>
      <c r="J253" s="2" t="s">
        <v>9565</v>
      </c>
      <c r="K253" s="2" t="s">
        <v>1588</v>
      </c>
      <c r="L253" s="2" t="n">
        <v>0.14</v>
      </c>
      <c r="M253" s="2" t="n">
        <v>0.67</v>
      </c>
    </row>
    <row r="254" customFormat="false" ht="15" hidden="false" customHeight="false" outlineLevel="0" collapsed="false">
      <c r="A254" s="2" t="n">
        <v>252</v>
      </c>
      <c r="B254" s="2" t="s">
        <v>1583</v>
      </c>
      <c r="C254" s="2" t="n">
        <v>4</v>
      </c>
      <c r="D254" s="2" t="n">
        <v>0</v>
      </c>
      <c r="E254" s="2" t="s">
        <v>1652</v>
      </c>
      <c r="F254" s="2" t="s">
        <v>156</v>
      </c>
      <c r="G254" s="2" t="s">
        <v>1653</v>
      </c>
      <c r="H254" s="2" t="s">
        <v>1170</v>
      </c>
      <c r="I254" s="2" t="s">
        <v>1654</v>
      </c>
      <c r="J254" s="2" t="s">
        <v>9566</v>
      </c>
      <c r="K254" s="2" t="s">
        <v>160</v>
      </c>
      <c r="L254" s="2" t="n">
        <v>0.3</v>
      </c>
      <c r="M254" s="2" t="n">
        <v>1</v>
      </c>
    </row>
    <row r="255" customFormat="false" ht="15" hidden="false" customHeight="false" outlineLevel="0" collapsed="false">
      <c r="A255" s="2" t="n">
        <v>253</v>
      </c>
      <c r="B255" s="2" t="s">
        <v>1583</v>
      </c>
      <c r="C255" s="2" t="n">
        <v>2</v>
      </c>
      <c r="D255" s="2" t="n">
        <v>0</v>
      </c>
      <c r="E255" s="2" t="s">
        <v>1669</v>
      </c>
      <c r="F255" s="2" t="s">
        <v>1168</v>
      </c>
      <c r="G255" s="2" t="s">
        <v>1670</v>
      </c>
      <c r="H255" s="2" t="s">
        <v>97</v>
      </c>
      <c r="I255" s="2" t="s">
        <v>262</v>
      </c>
      <c r="J255" s="2" t="s">
        <v>9567</v>
      </c>
      <c r="K255" s="2" t="s">
        <v>1588</v>
      </c>
      <c r="L255" s="2" t="n">
        <v>0.27</v>
      </c>
      <c r="M255" s="2" t="n">
        <v>0.91</v>
      </c>
    </row>
    <row r="256" customFormat="false" ht="15" hidden="false" customHeight="false" outlineLevel="0" collapsed="false">
      <c r="A256" s="2" t="n">
        <v>254</v>
      </c>
      <c r="B256" s="2" t="s">
        <v>1583</v>
      </c>
      <c r="C256" s="2" t="n">
        <v>1</v>
      </c>
      <c r="D256" s="2" t="n">
        <v>0</v>
      </c>
      <c r="E256" s="2" t="s">
        <v>1679</v>
      </c>
      <c r="F256" s="2" t="s">
        <v>95</v>
      </c>
      <c r="G256" s="2" t="s">
        <v>1680</v>
      </c>
      <c r="H256" s="2" t="s">
        <v>420</v>
      </c>
      <c r="I256" s="2" t="s">
        <v>828</v>
      </c>
      <c r="J256" s="2" t="s">
        <v>9568</v>
      </c>
      <c r="K256" s="2" t="s">
        <v>68</v>
      </c>
      <c r="L256" s="2" t="n">
        <v>0.5</v>
      </c>
      <c r="M256" s="2" t="n">
        <v>0.64</v>
      </c>
    </row>
    <row r="257" customFormat="false" ht="15" hidden="false" customHeight="false" outlineLevel="0" collapsed="false">
      <c r="A257" s="2" t="n">
        <v>255</v>
      </c>
      <c r="B257" s="2" t="s">
        <v>1583</v>
      </c>
      <c r="C257" s="2" t="n">
        <v>1</v>
      </c>
      <c r="D257" s="2" t="n">
        <v>0</v>
      </c>
      <c r="E257" s="2" t="s">
        <v>1686</v>
      </c>
      <c r="F257" s="2" t="s">
        <v>1563</v>
      </c>
      <c r="G257" s="2" t="s">
        <v>1687</v>
      </c>
      <c r="H257" s="2" t="s">
        <v>1688</v>
      </c>
      <c r="I257" s="2" t="s">
        <v>1188</v>
      </c>
      <c r="J257" s="2" t="s">
        <v>9569</v>
      </c>
      <c r="K257" s="2" t="s">
        <v>1588</v>
      </c>
      <c r="L257" s="2" t="n">
        <v>0.33</v>
      </c>
      <c r="M257" s="2" t="n">
        <v>1</v>
      </c>
    </row>
    <row r="258" customFormat="false" ht="15" hidden="false" customHeight="false" outlineLevel="0" collapsed="false">
      <c r="A258" s="2" t="n">
        <v>256</v>
      </c>
      <c r="B258" s="2" t="s">
        <v>1583</v>
      </c>
      <c r="C258" s="2" t="n">
        <v>1</v>
      </c>
      <c r="D258" s="2" t="n">
        <v>1</v>
      </c>
      <c r="E258" s="2" t="s">
        <v>1696</v>
      </c>
      <c r="F258" s="2" t="s">
        <v>1697</v>
      </c>
      <c r="G258" s="2" t="s">
        <v>1698</v>
      </c>
      <c r="H258" s="2" t="s">
        <v>1699</v>
      </c>
      <c r="I258" s="2" t="s">
        <v>1700</v>
      </c>
      <c r="J258" s="2" t="s">
        <v>9570</v>
      </c>
      <c r="K258" s="2" t="s">
        <v>1588</v>
      </c>
      <c r="L258" s="2" t="n">
        <v>0.45</v>
      </c>
      <c r="M258" s="2" t="n">
        <v>0.89</v>
      </c>
    </row>
    <row r="259" customFormat="false" ht="15" hidden="false" customHeight="false" outlineLevel="0" collapsed="false">
      <c r="A259" s="2" t="n">
        <v>257</v>
      </c>
      <c r="B259" s="2" t="s">
        <v>1583</v>
      </c>
      <c r="C259" s="2" t="n">
        <v>1</v>
      </c>
      <c r="D259" s="2" t="n">
        <v>1</v>
      </c>
      <c r="E259" s="2" t="s">
        <v>1706</v>
      </c>
      <c r="F259" s="2" t="s">
        <v>1707</v>
      </c>
      <c r="G259" s="2" t="s">
        <v>1708</v>
      </c>
      <c r="H259" s="2" t="s">
        <v>1709</v>
      </c>
      <c r="I259" s="2" t="s">
        <v>512</v>
      </c>
      <c r="J259" s="2" t="s">
        <v>9571</v>
      </c>
      <c r="K259" s="2" t="s">
        <v>1588</v>
      </c>
      <c r="L259" s="2" t="n">
        <v>0.14</v>
      </c>
      <c r="M259" s="2" t="n">
        <v>0.82</v>
      </c>
    </row>
    <row r="260" customFormat="false" ht="15" hidden="false" customHeight="false" outlineLevel="0" collapsed="false">
      <c r="A260" s="2" t="n">
        <v>258</v>
      </c>
      <c r="B260" s="2" t="s">
        <v>1583</v>
      </c>
      <c r="C260" s="2" t="n">
        <v>1</v>
      </c>
      <c r="D260" s="2" t="n">
        <v>0</v>
      </c>
      <c r="E260" s="2" t="s">
        <v>1715</v>
      </c>
      <c r="F260" s="2" t="s">
        <v>1716</v>
      </c>
      <c r="G260" s="2" t="s">
        <v>1717</v>
      </c>
      <c r="H260" s="2" t="s">
        <v>1718</v>
      </c>
      <c r="I260" s="2" t="s">
        <v>301</v>
      </c>
      <c r="J260" s="2" t="s">
        <v>9572</v>
      </c>
      <c r="K260" s="2" t="s">
        <v>1588</v>
      </c>
      <c r="L260" s="2" t="n">
        <v>0.38</v>
      </c>
      <c r="M260" s="2" t="n">
        <v>0.75</v>
      </c>
    </row>
    <row r="261" customFormat="false" ht="15" hidden="false" customHeight="false" outlineLevel="0" collapsed="false">
      <c r="A261" s="2" t="n">
        <v>259</v>
      </c>
      <c r="B261" s="2" t="s">
        <v>1583</v>
      </c>
      <c r="C261" s="2" t="n">
        <v>1</v>
      </c>
      <c r="D261" s="2" t="n">
        <v>1</v>
      </c>
      <c r="E261" s="2" t="s">
        <v>1724</v>
      </c>
      <c r="F261" s="2" t="s">
        <v>1718</v>
      </c>
      <c r="G261" s="2" t="s">
        <v>1725</v>
      </c>
      <c r="H261" s="2" t="s">
        <v>745</v>
      </c>
      <c r="I261" s="2" t="s">
        <v>1266</v>
      </c>
      <c r="J261" s="2" t="s">
        <v>9573</v>
      </c>
      <c r="K261" s="2" t="s">
        <v>1588</v>
      </c>
      <c r="L261" s="2" t="n">
        <v>0.33</v>
      </c>
      <c r="M261" s="2" t="n">
        <v>1</v>
      </c>
    </row>
    <row r="262" customFormat="false" ht="15" hidden="false" customHeight="false" outlineLevel="0" collapsed="false">
      <c r="A262" s="2" t="n">
        <v>260</v>
      </c>
      <c r="B262" s="2" t="s">
        <v>1583</v>
      </c>
      <c r="C262" s="2" t="n">
        <v>1</v>
      </c>
      <c r="D262" s="2" t="n">
        <v>1</v>
      </c>
      <c r="E262" s="2" t="s">
        <v>1732</v>
      </c>
      <c r="F262" s="2" t="s">
        <v>743</v>
      </c>
      <c r="G262" s="2" t="s">
        <v>1733</v>
      </c>
      <c r="H262" s="2" t="s">
        <v>1734</v>
      </c>
      <c r="I262" s="2" t="s">
        <v>1735</v>
      </c>
      <c r="J262" s="2" t="s">
        <v>9574</v>
      </c>
      <c r="K262" s="2" t="s">
        <v>1588</v>
      </c>
      <c r="L262" s="2" t="n">
        <v>0.4</v>
      </c>
      <c r="M262" s="2" t="n">
        <v>0.9</v>
      </c>
    </row>
    <row r="263" customFormat="false" ht="15" hidden="false" customHeight="false" outlineLevel="0" collapsed="false">
      <c r="A263" s="2" t="n">
        <v>261</v>
      </c>
      <c r="B263" s="2" t="s">
        <v>1583</v>
      </c>
      <c r="C263" s="2" t="n">
        <v>1</v>
      </c>
      <c r="D263" s="2" t="n">
        <v>0</v>
      </c>
      <c r="E263" s="2" t="s">
        <v>1738</v>
      </c>
      <c r="F263" s="2" t="s">
        <v>1739</v>
      </c>
      <c r="G263" s="2" t="s">
        <v>1740</v>
      </c>
      <c r="H263" s="2" t="s">
        <v>97</v>
      </c>
      <c r="I263" s="2" t="s">
        <v>1741</v>
      </c>
      <c r="J263" s="2" t="s">
        <v>9575</v>
      </c>
      <c r="K263" s="2" t="s">
        <v>1588</v>
      </c>
      <c r="L263" s="2" t="n">
        <v>0.22</v>
      </c>
      <c r="M263" s="2" t="n">
        <v>0.55</v>
      </c>
    </row>
    <row r="264" customFormat="false" ht="15" hidden="false" customHeight="false" outlineLevel="0" collapsed="false">
      <c r="A264" s="2" t="n">
        <v>262</v>
      </c>
      <c r="B264" s="2" t="s">
        <v>1583</v>
      </c>
      <c r="C264" s="2" t="n">
        <v>0</v>
      </c>
      <c r="D264" s="2" t="n">
        <v>0</v>
      </c>
      <c r="E264" s="2" t="s">
        <v>9576</v>
      </c>
      <c r="F264" s="2" t="s">
        <v>95</v>
      </c>
      <c r="G264" s="2" t="s">
        <v>9577</v>
      </c>
      <c r="H264" s="2" t="s">
        <v>420</v>
      </c>
      <c r="I264" s="2" t="s">
        <v>3023</v>
      </c>
      <c r="J264" s="2" t="s">
        <v>9578</v>
      </c>
      <c r="K264" s="2" t="s">
        <v>1588</v>
      </c>
      <c r="L264" s="2" t="n">
        <v>0.22</v>
      </c>
      <c r="M264" s="2" t="n">
        <v>0.7</v>
      </c>
    </row>
    <row r="265" customFormat="false" ht="15" hidden="false" customHeight="false" outlineLevel="0" collapsed="false">
      <c r="A265" s="2" t="n">
        <v>263</v>
      </c>
      <c r="B265" s="2" t="s">
        <v>1583</v>
      </c>
      <c r="C265" s="2" t="n">
        <v>1</v>
      </c>
      <c r="D265" s="2" t="n">
        <v>1</v>
      </c>
      <c r="E265" s="2" t="s">
        <v>1748</v>
      </c>
      <c r="F265" s="2" t="s">
        <v>1563</v>
      </c>
      <c r="G265" s="2" t="s">
        <v>1749</v>
      </c>
      <c r="H265" s="2" t="s">
        <v>1709</v>
      </c>
      <c r="I265" s="2" t="s">
        <v>1750</v>
      </c>
      <c r="J265" s="2" t="s">
        <v>9579</v>
      </c>
      <c r="K265" s="2" t="s">
        <v>1588</v>
      </c>
      <c r="L265" s="2" t="n">
        <v>0.1</v>
      </c>
      <c r="M265" s="2" t="n">
        <v>1</v>
      </c>
    </row>
    <row r="266" customFormat="false" ht="15" hidden="false" customHeight="false" outlineLevel="0" collapsed="false">
      <c r="A266" s="2" t="n">
        <v>264</v>
      </c>
      <c r="B266" s="2" t="s">
        <v>1583</v>
      </c>
      <c r="C266" s="2" t="n">
        <v>1</v>
      </c>
      <c r="D266" s="2" t="n">
        <v>1</v>
      </c>
      <c r="E266" s="2" t="s">
        <v>1753</v>
      </c>
      <c r="F266" s="2" t="s">
        <v>1716</v>
      </c>
      <c r="G266" s="2" t="s">
        <v>1754</v>
      </c>
      <c r="H266" s="2" t="s">
        <v>97</v>
      </c>
      <c r="I266" s="2" t="s">
        <v>430</v>
      </c>
      <c r="J266" s="2" t="s">
        <v>9580</v>
      </c>
      <c r="K266" s="2" t="s">
        <v>507</v>
      </c>
      <c r="L266" s="2" t="n">
        <v>0.14</v>
      </c>
      <c r="M266" s="2" t="n">
        <v>0.36</v>
      </c>
    </row>
    <row r="267" customFormat="false" ht="15" hidden="false" customHeight="false" outlineLevel="0" collapsed="false">
      <c r="A267" s="2" t="n">
        <v>265</v>
      </c>
      <c r="B267" s="2" t="s">
        <v>1583</v>
      </c>
      <c r="C267" s="2" t="n">
        <v>0</v>
      </c>
      <c r="D267" s="2" t="n">
        <v>0</v>
      </c>
      <c r="E267" s="2" t="s">
        <v>9581</v>
      </c>
      <c r="F267" s="2" t="s">
        <v>95</v>
      </c>
      <c r="G267" s="2" t="s">
        <v>4724</v>
      </c>
      <c r="H267" s="2" t="s">
        <v>97</v>
      </c>
      <c r="I267" s="2" t="s">
        <v>4206</v>
      </c>
      <c r="J267" s="2" t="s">
        <v>9582</v>
      </c>
      <c r="K267" s="2" t="s">
        <v>1588</v>
      </c>
      <c r="L267" s="2" t="n">
        <v>0.11</v>
      </c>
      <c r="M267" s="2" t="n">
        <v>0.67</v>
      </c>
    </row>
    <row r="268" customFormat="false" ht="15" hidden="false" customHeight="false" outlineLevel="0" collapsed="false">
      <c r="A268" s="2" t="n">
        <v>266</v>
      </c>
      <c r="B268" s="2" t="s">
        <v>1583</v>
      </c>
      <c r="C268" s="2" t="n">
        <v>1</v>
      </c>
      <c r="D268" s="2" t="n">
        <v>1</v>
      </c>
      <c r="E268" s="2" t="s">
        <v>1756</v>
      </c>
      <c r="F268" s="2" t="s">
        <v>95</v>
      </c>
      <c r="G268" s="2" t="s">
        <v>1757</v>
      </c>
      <c r="H268" s="2" t="s">
        <v>97</v>
      </c>
      <c r="I268" s="2" t="s">
        <v>1758</v>
      </c>
      <c r="J268" s="2" t="s">
        <v>9583</v>
      </c>
      <c r="K268" s="2" t="s">
        <v>1588</v>
      </c>
      <c r="L268" s="2" t="n">
        <v>0.38</v>
      </c>
      <c r="M268" s="2" t="n">
        <v>0.9</v>
      </c>
    </row>
    <row r="269" customFormat="false" ht="15" hidden="false" customHeight="false" outlineLevel="0" collapsed="false">
      <c r="A269" s="2" t="n">
        <v>267</v>
      </c>
      <c r="B269" s="2" t="s">
        <v>1583</v>
      </c>
      <c r="C269" s="2" t="n">
        <v>1</v>
      </c>
      <c r="D269" s="2" t="n">
        <v>1</v>
      </c>
      <c r="E269" s="2" t="s">
        <v>1766</v>
      </c>
      <c r="F269" s="2" t="s">
        <v>95</v>
      </c>
      <c r="G269" s="2" t="s">
        <v>1767</v>
      </c>
      <c r="H269" s="2" t="s">
        <v>97</v>
      </c>
      <c r="I269" s="2" t="s">
        <v>1768</v>
      </c>
      <c r="J269" s="2" t="s">
        <v>9584</v>
      </c>
      <c r="K269" s="2" t="s">
        <v>1588</v>
      </c>
      <c r="L269" s="2" t="n">
        <v>0.14</v>
      </c>
      <c r="M269" s="2" t="n">
        <v>0.9</v>
      </c>
    </row>
    <row r="270" customFormat="false" ht="15" hidden="false" customHeight="false" outlineLevel="0" collapsed="false">
      <c r="A270" s="2" t="n">
        <v>268</v>
      </c>
      <c r="B270" s="2" t="s">
        <v>1583</v>
      </c>
      <c r="C270" s="2" t="n">
        <v>1</v>
      </c>
      <c r="D270" s="2" t="n">
        <v>0</v>
      </c>
      <c r="E270" s="2" t="s">
        <v>1772</v>
      </c>
      <c r="F270" s="2" t="s">
        <v>95</v>
      </c>
      <c r="G270" s="2" t="s">
        <v>1773</v>
      </c>
      <c r="H270" s="2" t="s">
        <v>97</v>
      </c>
      <c r="I270" s="2" t="s">
        <v>1774</v>
      </c>
      <c r="J270" s="2" t="s">
        <v>9585</v>
      </c>
      <c r="K270" s="2" t="s">
        <v>1588</v>
      </c>
      <c r="L270" s="2" t="n">
        <v>0.2</v>
      </c>
      <c r="M270" s="2" t="n">
        <v>0.78</v>
      </c>
    </row>
    <row r="271" customFormat="false" ht="15" hidden="false" customHeight="false" outlineLevel="0" collapsed="false">
      <c r="A271" s="2" t="n">
        <v>269</v>
      </c>
      <c r="B271" s="2" t="s">
        <v>1583</v>
      </c>
      <c r="C271" s="2" t="n">
        <v>2</v>
      </c>
      <c r="D271" s="2" t="n">
        <v>0</v>
      </c>
      <c r="E271" s="2" t="s">
        <v>1779</v>
      </c>
      <c r="F271" s="2" t="s">
        <v>95</v>
      </c>
      <c r="G271" s="2" t="s">
        <v>1780</v>
      </c>
      <c r="H271" s="2" t="s">
        <v>97</v>
      </c>
      <c r="I271" s="2" t="s">
        <v>805</v>
      </c>
      <c r="J271" s="2" t="s">
        <v>9586</v>
      </c>
      <c r="K271" s="2" t="s">
        <v>1588</v>
      </c>
      <c r="L271" s="2" t="n">
        <v>0.33</v>
      </c>
      <c r="M271" s="2" t="n">
        <v>0.91</v>
      </c>
    </row>
    <row r="272" customFormat="false" ht="15" hidden="false" customHeight="false" outlineLevel="0" collapsed="false">
      <c r="A272" s="2" t="n">
        <v>270</v>
      </c>
      <c r="B272" s="2" t="s">
        <v>1784</v>
      </c>
      <c r="C272" s="2" t="n">
        <v>1</v>
      </c>
      <c r="D272" s="2" t="n">
        <v>0</v>
      </c>
      <c r="E272" s="2" t="s">
        <v>1790</v>
      </c>
      <c r="F272" s="2" t="s">
        <v>95</v>
      </c>
      <c r="G272" s="2" t="s">
        <v>1791</v>
      </c>
      <c r="H272" s="2" t="s">
        <v>1792</v>
      </c>
      <c r="I272" s="2" t="s">
        <v>1793</v>
      </c>
      <c r="J272" s="2" t="s">
        <v>9587</v>
      </c>
      <c r="K272" s="2" t="s">
        <v>1588</v>
      </c>
      <c r="L272" s="2" t="n">
        <v>0.25</v>
      </c>
      <c r="M272" s="2" t="n">
        <v>0.7</v>
      </c>
    </row>
    <row r="273" customFormat="false" ht="15" hidden="false" customHeight="false" outlineLevel="0" collapsed="false">
      <c r="A273" s="2" t="n">
        <v>271</v>
      </c>
      <c r="B273" s="2" t="s">
        <v>1784</v>
      </c>
      <c r="C273" s="2" t="n">
        <v>2</v>
      </c>
      <c r="D273" s="2" t="n">
        <v>0</v>
      </c>
      <c r="E273" s="2" t="s">
        <v>1800</v>
      </c>
      <c r="F273" s="2" t="s">
        <v>1801</v>
      </c>
      <c r="G273" s="2" t="s">
        <v>1802</v>
      </c>
      <c r="H273" s="2" t="s">
        <v>420</v>
      </c>
      <c r="I273" s="2" t="s">
        <v>908</v>
      </c>
      <c r="J273" s="2" t="s">
        <v>9588</v>
      </c>
      <c r="K273" s="2" t="s">
        <v>1588</v>
      </c>
      <c r="L273" s="2" t="n">
        <v>0.14</v>
      </c>
      <c r="M273" s="2" t="n">
        <v>0.77</v>
      </c>
    </row>
    <row r="274" customFormat="false" ht="15" hidden="false" customHeight="false" outlineLevel="0" collapsed="false">
      <c r="A274" s="2" t="n">
        <v>272</v>
      </c>
      <c r="B274" s="2" t="s">
        <v>1784</v>
      </c>
      <c r="C274" s="2" t="n">
        <v>0</v>
      </c>
      <c r="D274" s="2" t="n">
        <v>0</v>
      </c>
      <c r="E274" s="2" t="s">
        <v>9589</v>
      </c>
      <c r="F274" s="2" t="s">
        <v>803</v>
      </c>
      <c r="G274" s="2" t="s">
        <v>4758</v>
      </c>
      <c r="H274" s="2" t="s">
        <v>97</v>
      </c>
      <c r="I274" s="2" t="s">
        <v>3469</v>
      </c>
      <c r="J274" s="2" t="s">
        <v>9590</v>
      </c>
      <c r="K274" s="2" t="s">
        <v>1588</v>
      </c>
      <c r="L274" s="2" t="n">
        <v>0.38</v>
      </c>
      <c r="M274" s="2" t="n">
        <v>1</v>
      </c>
    </row>
    <row r="275" customFormat="false" ht="15" hidden="false" customHeight="false" outlineLevel="0" collapsed="false">
      <c r="A275" s="2" t="n">
        <v>273</v>
      </c>
      <c r="B275" s="2" t="s">
        <v>1784</v>
      </c>
      <c r="C275" s="2" t="n">
        <v>0</v>
      </c>
      <c r="D275" s="2" t="n">
        <v>0</v>
      </c>
      <c r="E275" s="2" t="s">
        <v>9591</v>
      </c>
      <c r="F275" s="2" t="s">
        <v>95</v>
      </c>
      <c r="G275" s="2" t="s">
        <v>4763</v>
      </c>
      <c r="H275" s="2" t="s">
        <v>4764</v>
      </c>
      <c r="I275" s="2" t="s">
        <v>3787</v>
      </c>
      <c r="J275" s="2" t="s">
        <v>9592</v>
      </c>
      <c r="K275" s="2" t="s">
        <v>1588</v>
      </c>
      <c r="L275" s="2" t="n">
        <v>0.08</v>
      </c>
      <c r="M275" s="2" t="n">
        <v>0.6</v>
      </c>
    </row>
    <row r="276" customFormat="false" ht="15" hidden="false" customHeight="false" outlineLevel="0" collapsed="false">
      <c r="A276" s="2" t="n">
        <v>274</v>
      </c>
      <c r="B276" s="2" t="s">
        <v>1784</v>
      </c>
      <c r="C276" s="2" t="n">
        <v>0</v>
      </c>
      <c r="D276" s="2" t="n">
        <v>0</v>
      </c>
      <c r="E276" s="2" t="s">
        <v>9593</v>
      </c>
      <c r="F276" s="2" t="s">
        <v>4798</v>
      </c>
      <c r="G276" s="2" t="s">
        <v>9594</v>
      </c>
      <c r="H276" s="2" t="s">
        <v>9595</v>
      </c>
      <c r="I276" s="2" t="s">
        <v>9596</v>
      </c>
      <c r="J276" s="2" t="s">
        <v>9597</v>
      </c>
      <c r="K276" s="2" t="s">
        <v>1588</v>
      </c>
      <c r="L276" s="2" t="n">
        <v>0.22</v>
      </c>
      <c r="M276" s="2" t="n">
        <v>0.69</v>
      </c>
    </row>
    <row r="277" customFormat="false" ht="15" hidden="false" customHeight="false" outlineLevel="0" collapsed="false">
      <c r="A277" s="2" t="n">
        <v>275</v>
      </c>
      <c r="B277" s="2" t="s">
        <v>1784</v>
      </c>
      <c r="C277" s="2" t="n">
        <v>0</v>
      </c>
      <c r="D277" s="2" t="n">
        <v>0</v>
      </c>
      <c r="E277" s="2" t="s">
        <v>9598</v>
      </c>
      <c r="F277" s="2" t="s">
        <v>9599</v>
      </c>
      <c r="G277" s="2" t="s">
        <v>9600</v>
      </c>
      <c r="H277" s="2" t="s">
        <v>1077</v>
      </c>
      <c r="I277" s="2" t="s">
        <v>908</v>
      </c>
      <c r="J277" s="2" t="s">
        <v>9601</v>
      </c>
      <c r="K277" s="2" t="s">
        <v>507</v>
      </c>
      <c r="L277" s="2" t="n">
        <v>0.08</v>
      </c>
      <c r="M277" s="2"/>
    </row>
    <row r="278" customFormat="false" ht="15" hidden="false" customHeight="false" outlineLevel="0" collapsed="false">
      <c r="A278" s="2" t="n">
        <v>276</v>
      </c>
      <c r="B278" s="2" t="s">
        <v>1784</v>
      </c>
      <c r="C278" s="2" t="n">
        <v>0</v>
      </c>
      <c r="D278" s="2" t="n">
        <v>0</v>
      </c>
      <c r="E278" s="2" t="s">
        <v>9602</v>
      </c>
      <c r="F278" s="2" t="s">
        <v>1882</v>
      </c>
      <c r="G278" s="2" t="s">
        <v>9603</v>
      </c>
      <c r="H278" s="2" t="s">
        <v>420</v>
      </c>
      <c r="I278" s="2" t="s">
        <v>1324</v>
      </c>
      <c r="J278" s="2" t="s">
        <v>9604</v>
      </c>
      <c r="K278" s="2" t="s">
        <v>1588</v>
      </c>
      <c r="L278" s="2" t="n">
        <v>0.08</v>
      </c>
      <c r="M278" s="2" t="n">
        <v>0.54</v>
      </c>
    </row>
    <row r="279" customFormat="false" ht="15" hidden="false" customHeight="false" outlineLevel="0" collapsed="false">
      <c r="A279" s="2" t="n">
        <v>277</v>
      </c>
      <c r="B279" s="2" t="s">
        <v>1784</v>
      </c>
      <c r="C279" s="2" t="n">
        <v>0</v>
      </c>
      <c r="D279" s="2" t="n">
        <v>0</v>
      </c>
      <c r="E279" s="2" t="s">
        <v>9605</v>
      </c>
      <c r="F279" s="2" t="s">
        <v>803</v>
      </c>
      <c r="G279" s="2" t="s">
        <v>4772</v>
      </c>
      <c r="H279" s="2" t="s">
        <v>420</v>
      </c>
      <c r="I279" s="2" t="s">
        <v>4606</v>
      </c>
      <c r="J279" s="2" t="s">
        <v>9606</v>
      </c>
      <c r="K279" s="2" t="s">
        <v>1588</v>
      </c>
      <c r="L279" s="2" t="n">
        <v>0.33</v>
      </c>
      <c r="M279" s="2" t="n">
        <v>1</v>
      </c>
    </row>
    <row r="280" customFormat="false" ht="15" hidden="false" customHeight="false" outlineLevel="0" collapsed="false">
      <c r="A280" s="2" t="n">
        <v>278</v>
      </c>
      <c r="B280" s="2" t="s">
        <v>1784</v>
      </c>
      <c r="C280" s="2" t="n">
        <v>0</v>
      </c>
      <c r="D280" s="2" t="n">
        <v>0</v>
      </c>
      <c r="E280" s="2" t="s">
        <v>9607</v>
      </c>
      <c r="F280" s="2" t="s">
        <v>803</v>
      </c>
      <c r="G280" s="2" t="s">
        <v>9608</v>
      </c>
      <c r="H280" s="2" t="s">
        <v>745</v>
      </c>
      <c r="I280" s="2" t="s">
        <v>4606</v>
      </c>
      <c r="J280" s="2" t="s">
        <v>9609</v>
      </c>
      <c r="K280" s="2" t="s">
        <v>1588</v>
      </c>
      <c r="L280" s="2" t="n">
        <v>0.1</v>
      </c>
      <c r="M280" s="2" t="n">
        <v>1</v>
      </c>
    </row>
    <row r="281" customFormat="false" ht="15" hidden="false" customHeight="false" outlineLevel="0" collapsed="false">
      <c r="A281" s="2" t="n">
        <v>279</v>
      </c>
      <c r="B281" s="2" t="s">
        <v>1784</v>
      </c>
      <c r="C281" s="2" t="n">
        <v>0</v>
      </c>
      <c r="D281" s="2" t="n">
        <v>0</v>
      </c>
      <c r="E281" s="2" t="s">
        <v>9610</v>
      </c>
      <c r="F281" s="2" t="s">
        <v>743</v>
      </c>
      <c r="G281" s="2" t="s">
        <v>9611</v>
      </c>
      <c r="H281" s="2" t="s">
        <v>745</v>
      </c>
      <c r="I281" s="2" t="s">
        <v>3469</v>
      </c>
      <c r="J281" s="2" t="s">
        <v>9612</v>
      </c>
      <c r="K281" s="2" t="s">
        <v>1588</v>
      </c>
      <c r="L281" s="2" t="n">
        <v>0.38</v>
      </c>
      <c r="M281" s="2" t="n">
        <v>0.62</v>
      </c>
    </row>
    <row r="282" customFormat="false" ht="15" hidden="false" customHeight="false" outlineLevel="0" collapsed="false">
      <c r="A282" s="2" t="n">
        <v>280</v>
      </c>
      <c r="B282" s="2" t="s">
        <v>1784</v>
      </c>
      <c r="C282" s="2" t="n">
        <v>0</v>
      </c>
      <c r="D282" s="2" t="n">
        <v>0</v>
      </c>
      <c r="E282" s="2" t="s">
        <v>9613</v>
      </c>
      <c r="F282" s="2" t="s">
        <v>743</v>
      </c>
      <c r="G282" s="2" t="s">
        <v>9614</v>
      </c>
      <c r="H282" s="2" t="s">
        <v>1808</v>
      </c>
      <c r="I282" s="2" t="s">
        <v>262</v>
      </c>
      <c r="J282" s="2" t="s">
        <v>9615</v>
      </c>
      <c r="K282" s="2" t="s">
        <v>1588</v>
      </c>
      <c r="L282" s="2" t="n">
        <v>0.17</v>
      </c>
      <c r="M282" s="2" t="n">
        <v>0.55</v>
      </c>
    </row>
    <row r="283" customFormat="false" ht="15" hidden="false" customHeight="false" outlineLevel="0" collapsed="false">
      <c r="A283" s="2" t="n">
        <v>281</v>
      </c>
      <c r="B283" s="2" t="s">
        <v>1784</v>
      </c>
      <c r="C283" s="2" t="n">
        <v>1</v>
      </c>
      <c r="D283" s="2" t="n">
        <v>0</v>
      </c>
      <c r="E283" s="2" t="s">
        <v>1807</v>
      </c>
      <c r="F283" s="2" t="s">
        <v>1808</v>
      </c>
      <c r="G283" s="2" t="s">
        <v>1809</v>
      </c>
      <c r="H283" s="2" t="s">
        <v>1688</v>
      </c>
      <c r="I283" s="2" t="s">
        <v>1810</v>
      </c>
      <c r="J283" s="2" t="s">
        <v>9616</v>
      </c>
      <c r="K283" s="2" t="s">
        <v>1588</v>
      </c>
      <c r="L283" s="2" t="n">
        <v>0.3</v>
      </c>
      <c r="M283" s="2" t="n">
        <v>0.58</v>
      </c>
    </row>
    <row r="284" customFormat="false" ht="15" hidden="false" customHeight="false" outlineLevel="0" collapsed="false">
      <c r="A284" s="2" t="n">
        <v>282</v>
      </c>
      <c r="B284" s="2" t="s">
        <v>1784</v>
      </c>
      <c r="C284" s="2" t="n">
        <v>0</v>
      </c>
      <c r="D284" s="2" t="n">
        <v>0</v>
      </c>
      <c r="E284" s="2" t="s">
        <v>9617</v>
      </c>
      <c r="F284" s="2" t="s">
        <v>1697</v>
      </c>
      <c r="G284" s="2" t="s">
        <v>9618</v>
      </c>
      <c r="H284" s="2" t="s">
        <v>1792</v>
      </c>
      <c r="I284" s="2" t="s">
        <v>1147</v>
      </c>
      <c r="J284" s="2" t="s">
        <v>9619</v>
      </c>
      <c r="K284" s="2" t="s">
        <v>1588</v>
      </c>
      <c r="L284" s="2" t="n">
        <v>0.18</v>
      </c>
      <c r="M284" s="2" t="n">
        <v>0.9</v>
      </c>
    </row>
    <row r="285" customFormat="false" ht="15" hidden="false" customHeight="false" outlineLevel="0" collapsed="false">
      <c r="A285" s="2" t="n">
        <v>283</v>
      </c>
      <c r="B285" s="2" t="s">
        <v>1784</v>
      </c>
      <c r="C285" s="2" t="n">
        <v>0</v>
      </c>
      <c r="D285" s="2" t="n">
        <v>0</v>
      </c>
      <c r="E285" s="2" t="s">
        <v>9620</v>
      </c>
      <c r="F285" s="2" t="s">
        <v>1801</v>
      </c>
      <c r="G285" s="2" t="s">
        <v>9621</v>
      </c>
      <c r="H285" s="2" t="s">
        <v>1792</v>
      </c>
      <c r="I285" s="2" t="s">
        <v>813</v>
      </c>
      <c r="J285" s="2" t="s">
        <v>9622</v>
      </c>
      <c r="K285" s="2" t="s">
        <v>1588</v>
      </c>
      <c r="L285" s="2" t="n">
        <v>0.33</v>
      </c>
      <c r="M285" s="2" t="n">
        <v>0.75</v>
      </c>
    </row>
    <row r="286" customFormat="false" ht="15" hidden="false" customHeight="false" outlineLevel="0" collapsed="false">
      <c r="A286" s="2" t="n">
        <v>284</v>
      </c>
      <c r="B286" s="2" t="s">
        <v>1784</v>
      </c>
      <c r="C286" s="2" t="n">
        <v>0</v>
      </c>
      <c r="D286" s="2" t="n">
        <v>0</v>
      </c>
      <c r="E286" s="2" t="s">
        <v>9623</v>
      </c>
      <c r="F286" s="2" t="s">
        <v>1801</v>
      </c>
      <c r="G286" s="2" t="s">
        <v>9624</v>
      </c>
      <c r="H286" s="2" t="s">
        <v>9625</v>
      </c>
      <c r="I286" s="2" t="s">
        <v>421</v>
      </c>
      <c r="J286" s="2" t="s">
        <v>9626</v>
      </c>
      <c r="K286" s="2" t="s">
        <v>1588</v>
      </c>
      <c r="L286" s="2" t="n">
        <v>0</v>
      </c>
      <c r="M286" s="2" t="n">
        <v>0.69</v>
      </c>
    </row>
    <row r="287" customFormat="false" ht="15" hidden="false" customHeight="false" outlineLevel="0" collapsed="false">
      <c r="A287" s="2" t="n">
        <v>285</v>
      </c>
      <c r="B287" s="2" t="s">
        <v>1784</v>
      </c>
      <c r="C287" s="2" t="n">
        <v>0</v>
      </c>
      <c r="D287" s="2" t="n">
        <v>0</v>
      </c>
      <c r="E287" s="2" t="s">
        <v>9627</v>
      </c>
      <c r="F287" s="2" t="s">
        <v>9628</v>
      </c>
      <c r="G287" s="2" t="s">
        <v>9629</v>
      </c>
      <c r="H287" s="2" t="s">
        <v>97</v>
      </c>
      <c r="I287" s="2" t="s">
        <v>751</v>
      </c>
      <c r="J287" s="2" t="s">
        <v>9630</v>
      </c>
      <c r="K287" s="2" t="s">
        <v>1588</v>
      </c>
      <c r="L287" s="2" t="n">
        <v>0.33</v>
      </c>
      <c r="M287" s="2" t="n">
        <v>0.67</v>
      </c>
    </row>
    <row r="288" customFormat="false" ht="15" hidden="false" customHeight="false" outlineLevel="0" collapsed="false">
      <c r="A288" s="2" t="n">
        <v>286</v>
      </c>
      <c r="B288" s="2" t="s">
        <v>1784</v>
      </c>
      <c r="C288" s="2" t="n">
        <v>0</v>
      </c>
      <c r="D288" s="2" t="n">
        <v>0</v>
      </c>
      <c r="E288" s="2" t="s">
        <v>9631</v>
      </c>
      <c r="F288" s="2" t="s">
        <v>95</v>
      </c>
      <c r="G288" s="2" t="s">
        <v>9632</v>
      </c>
      <c r="H288" s="2" t="s">
        <v>9633</v>
      </c>
      <c r="I288" s="2" t="s">
        <v>430</v>
      </c>
      <c r="J288" s="2" t="s">
        <v>9634</v>
      </c>
      <c r="K288" s="2" t="s">
        <v>1588</v>
      </c>
      <c r="L288" s="2" t="n">
        <v>0.45</v>
      </c>
      <c r="M288" s="2" t="n">
        <v>0.67</v>
      </c>
    </row>
    <row r="289" customFormat="false" ht="15" hidden="false" customHeight="false" outlineLevel="0" collapsed="false">
      <c r="A289" s="2" t="n">
        <v>287</v>
      </c>
      <c r="B289" s="2" t="s">
        <v>1784</v>
      </c>
      <c r="C289" s="2" t="n">
        <v>0</v>
      </c>
      <c r="D289" s="2" t="n">
        <v>0</v>
      </c>
      <c r="E289" s="2" t="s">
        <v>9635</v>
      </c>
      <c r="F289" s="2" t="s">
        <v>9633</v>
      </c>
      <c r="G289" s="2" t="s">
        <v>9636</v>
      </c>
      <c r="H289" s="2" t="s">
        <v>9625</v>
      </c>
      <c r="I289" s="2" t="s">
        <v>98</v>
      </c>
      <c r="J289" s="2" t="s">
        <v>9637</v>
      </c>
      <c r="K289" s="2" t="s">
        <v>1588</v>
      </c>
      <c r="L289" s="2" t="n">
        <v>0.21</v>
      </c>
      <c r="M289" s="2" t="n">
        <v>0.82</v>
      </c>
    </row>
    <row r="290" customFormat="false" ht="15" hidden="false" customHeight="false" outlineLevel="0" collapsed="false">
      <c r="A290" s="2" t="n">
        <v>288</v>
      </c>
      <c r="B290" s="2" t="s">
        <v>1784</v>
      </c>
      <c r="C290" s="2" t="n">
        <v>0</v>
      </c>
      <c r="D290" s="2" t="n">
        <v>0</v>
      </c>
      <c r="E290" s="2" t="s">
        <v>9638</v>
      </c>
      <c r="F290" s="2" t="s">
        <v>9628</v>
      </c>
      <c r="G290" s="2" t="s">
        <v>4785</v>
      </c>
      <c r="H290" s="2" t="s">
        <v>2979</v>
      </c>
      <c r="I290" s="2" t="s">
        <v>3206</v>
      </c>
      <c r="J290" s="2" t="s">
        <v>9639</v>
      </c>
      <c r="K290" s="2" t="s">
        <v>1588</v>
      </c>
      <c r="L290" s="2" t="n">
        <v>0.38</v>
      </c>
      <c r="M290" s="2" t="n">
        <v>0.83</v>
      </c>
    </row>
    <row r="291" customFormat="false" ht="15" hidden="false" customHeight="false" outlineLevel="0" collapsed="false">
      <c r="A291" s="2" t="n">
        <v>289</v>
      </c>
      <c r="B291" s="2" t="s">
        <v>1784</v>
      </c>
      <c r="C291" s="2" t="n">
        <v>0</v>
      </c>
      <c r="D291" s="2" t="n">
        <v>0</v>
      </c>
      <c r="E291" s="2" t="s">
        <v>9640</v>
      </c>
      <c r="F291" s="2" t="s">
        <v>9641</v>
      </c>
      <c r="G291" s="2" t="s">
        <v>9642</v>
      </c>
      <c r="H291" s="2" t="s">
        <v>1314</v>
      </c>
      <c r="I291" s="2" t="s">
        <v>1648</v>
      </c>
      <c r="J291" s="2" t="s">
        <v>9643</v>
      </c>
      <c r="K291" s="2" t="s">
        <v>507</v>
      </c>
      <c r="L291" s="2" t="n">
        <v>0.09</v>
      </c>
      <c r="M291" s="2" t="n">
        <v>0.57</v>
      </c>
    </row>
    <row r="292" customFormat="false" ht="15" hidden="false" customHeight="false" outlineLevel="0" collapsed="false">
      <c r="A292" s="2" t="n">
        <v>290</v>
      </c>
      <c r="B292" s="2" t="s">
        <v>1784</v>
      </c>
      <c r="C292" s="2" t="n">
        <v>0</v>
      </c>
      <c r="D292" s="2" t="n">
        <v>0</v>
      </c>
      <c r="E292" s="2" t="s">
        <v>9644</v>
      </c>
      <c r="F292" s="2" t="s">
        <v>1312</v>
      </c>
      <c r="G292" s="2" t="s">
        <v>9645</v>
      </c>
      <c r="H292" s="2" t="s">
        <v>9646</v>
      </c>
      <c r="I292" s="2" t="s">
        <v>2346</v>
      </c>
      <c r="J292" s="2" t="s">
        <v>9647</v>
      </c>
      <c r="K292" s="2" t="s">
        <v>1588</v>
      </c>
      <c r="L292" s="2" t="n">
        <v>0.1</v>
      </c>
      <c r="M292" s="2" t="n">
        <v>1</v>
      </c>
    </row>
    <row r="293" customFormat="false" ht="15" hidden="false" customHeight="false" outlineLevel="0" collapsed="false">
      <c r="A293" s="2" t="n">
        <v>291</v>
      </c>
      <c r="B293" s="2" t="s">
        <v>1784</v>
      </c>
      <c r="C293" s="2" t="n">
        <v>0</v>
      </c>
      <c r="D293" s="2" t="n">
        <v>0</v>
      </c>
      <c r="E293" s="2" t="s">
        <v>9648</v>
      </c>
      <c r="F293" s="2" t="s">
        <v>9649</v>
      </c>
      <c r="G293" s="2" t="s">
        <v>9650</v>
      </c>
      <c r="H293" s="2" t="s">
        <v>2036</v>
      </c>
      <c r="I293" s="2" t="s">
        <v>3823</v>
      </c>
      <c r="J293" s="2" t="s">
        <v>9651</v>
      </c>
      <c r="K293" s="2" t="s">
        <v>1588</v>
      </c>
      <c r="L293" s="2" t="n">
        <v>0.12</v>
      </c>
      <c r="M293" s="2" t="n">
        <v>0.7</v>
      </c>
    </row>
    <row r="294" customFormat="false" ht="15" hidden="false" customHeight="false" outlineLevel="0" collapsed="false">
      <c r="A294" s="2" t="n">
        <v>292</v>
      </c>
      <c r="B294" s="2" t="s">
        <v>1784</v>
      </c>
      <c r="C294" s="2" t="n">
        <v>0</v>
      </c>
      <c r="D294" s="2" t="n">
        <v>0</v>
      </c>
      <c r="E294" s="2" t="s">
        <v>9652</v>
      </c>
      <c r="F294" s="2" t="s">
        <v>2040</v>
      </c>
      <c r="G294" s="2" t="s">
        <v>9653</v>
      </c>
      <c r="H294" s="2" t="s">
        <v>710</v>
      </c>
      <c r="I294" s="2" t="s">
        <v>321</v>
      </c>
      <c r="J294" s="2" t="s">
        <v>9654</v>
      </c>
      <c r="K294" s="2" t="s">
        <v>1588</v>
      </c>
      <c r="L294" s="2" t="n">
        <v>0.09</v>
      </c>
      <c r="M294" s="2" t="n">
        <v>0.75</v>
      </c>
    </row>
    <row r="295" customFormat="false" ht="15" hidden="false" customHeight="false" outlineLevel="0" collapsed="false">
      <c r="A295" s="2" t="n">
        <v>293</v>
      </c>
      <c r="B295" s="2" t="s">
        <v>1784</v>
      </c>
      <c r="C295" s="2" t="n">
        <v>4</v>
      </c>
      <c r="D295" s="2" t="n">
        <v>2</v>
      </c>
      <c r="E295" s="2" t="s">
        <v>1817</v>
      </c>
      <c r="F295" s="2" t="s">
        <v>710</v>
      </c>
      <c r="G295" s="2" t="s">
        <v>1818</v>
      </c>
      <c r="H295" s="2" t="s">
        <v>1819</v>
      </c>
      <c r="I295" s="2" t="s">
        <v>246</v>
      </c>
      <c r="J295" s="2" t="s">
        <v>9655</v>
      </c>
      <c r="K295" s="2" t="s">
        <v>1588</v>
      </c>
      <c r="L295" s="2" t="n">
        <v>0</v>
      </c>
      <c r="M295" s="2" t="n">
        <v>0.58</v>
      </c>
    </row>
    <row r="296" customFormat="false" ht="15" hidden="false" customHeight="false" outlineLevel="0" collapsed="false">
      <c r="A296" s="2" t="n">
        <v>294</v>
      </c>
      <c r="B296" s="2" t="s">
        <v>1784</v>
      </c>
      <c r="C296" s="2" t="n">
        <v>4</v>
      </c>
      <c r="D296" s="2" t="n">
        <v>0</v>
      </c>
      <c r="E296" s="2" t="s">
        <v>1837</v>
      </c>
      <c r="F296" s="2" t="s">
        <v>1838</v>
      </c>
      <c r="G296" s="2" t="s">
        <v>1839</v>
      </c>
      <c r="H296" s="2" t="s">
        <v>420</v>
      </c>
      <c r="I296" s="2" t="s">
        <v>1840</v>
      </c>
      <c r="J296" s="2" t="s">
        <v>9656</v>
      </c>
      <c r="K296" s="2" t="s">
        <v>1588</v>
      </c>
      <c r="L296" s="2" t="n">
        <v>0.12</v>
      </c>
      <c r="M296" s="2" t="n">
        <v>1</v>
      </c>
    </row>
    <row r="297" customFormat="false" ht="15" hidden="false" customHeight="false" outlineLevel="0" collapsed="false">
      <c r="A297" s="2" t="n">
        <v>295</v>
      </c>
      <c r="B297" s="2" t="s">
        <v>1784</v>
      </c>
      <c r="C297" s="2" t="n">
        <v>2</v>
      </c>
      <c r="D297" s="2" t="n">
        <v>0</v>
      </c>
      <c r="E297" s="2" t="s">
        <v>1852</v>
      </c>
      <c r="F297" s="2" t="s">
        <v>1563</v>
      </c>
      <c r="G297" s="2" t="s">
        <v>1853</v>
      </c>
      <c r="H297" s="2" t="s">
        <v>97</v>
      </c>
      <c r="I297" s="2" t="s">
        <v>262</v>
      </c>
      <c r="J297" s="2" t="s">
        <v>9657</v>
      </c>
      <c r="K297" s="2" t="s">
        <v>1588</v>
      </c>
      <c r="L297" s="2" t="n">
        <v>0.18</v>
      </c>
      <c r="M297" s="2" t="n">
        <v>1</v>
      </c>
    </row>
    <row r="298" customFormat="false" ht="15" hidden="false" customHeight="false" outlineLevel="0" collapsed="false">
      <c r="A298" s="2" t="n">
        <v>296</v>
      </c>
      <c r="B298" s="2" t="s">
        <v>1784</v>
      </c>
      <c r="C298" s="2" t="n">
        <v>1</v>
      </c>
      <c r="D298" s="2" t="n">
        <v>0</v>
      </c>
      <c r="E298" s="2" t="s">
        <v>1864</v>
      </c>
      <c r="F298" s="2" t="s">
        <v>95</v>
      </c>
      <c r="G298" s="2" t="s">
        <v>1865</v>
      </c>
      <c r="H298" s="2" t="s">
        <v>1866</v>
      </c>
      <c r="I298" s="2" t="s">
        <v>246</v>
      </c>
      <c r="J298" s="2" t="s">
        <v>9658</v>
      </c>
      <c r="K298" s="2" t="s">
        <v>1588</v>
      </c>
      <c r="L298" s="2" t="n">
        <v>0.2</v>
      </c>
      <c r="M298" s="2" t="n">
        <v>0.77</v>
      </c>
    </row>
    <row r="299" customFormat="false" ht="15" hidden="false" customHeight="false" outlineLevel="0" collapsed="false">
      <c r="A299" s="2" t="n">
        <v>297</v>
      </c>
      <c r="B299" s="2" t="s">
        <v>1784</v>
      </c>
      <c r="C299" s="2" t="n">
        <v>1</v>
      </c>
      <c r="D299" s="2" t="n">
        <v>0</v>
      </c>
      <c r="E299" s="2" t="s">
        <v>1872</v>
      </c>
      <c r="F299" s="2" t="s">
        <v>1866</v>
      </c>
      <c r="G299" s="2" t="s">
        <v>1873</v>
      </c>
      <c r="H299" s="2" t="s">
        <v>1874</v>
      </c>
      <c r="I299" s="2" t="s">
        <v>1875</v>
      </c>
      <c r="J299" s="2" t="s">
        <v>9659</v>
      </c>
      <c r="K299" s="2" t="s">
        <v>1588</v>
      </c>
      <c r="L299" s="2" t="n">
        <v>0</v>
      </c>
      <c r="M299" s="2" t="n">
        <v>0.69</v>
      </c>
    </row>
    <row r="300" customFormat="false" ht="15" hidden="false" customHeight="false" outlineLevel="0" collapsed="false">
      <c r="A300" s="2" t="n">
        <v>298</v>
      </c>
      <c r="B300" s="2" t="s">
        <v>1784</v>
      </c>
      <c r="C300" s="2" t="n">
        <v>3</v>
      </c>
      <c r="D300" s="2" t="n">
        <v>0</v>
      </c>
      <c r="E300" s="2" t="s">
        <v>1881</v>
      </c>
      <c r="F300" s="2" t="s">
        <v>1882</v>
      </c>
      <c r="G300" s="2" t="s">
        <v>1883</v>
      </c>
      <c r="H300" s="2" t="s">
        <v>420</v>
      </c>
      <c r="I300" s="2" t="s">
        <v>987</v>
      </c>
      <c r="J300" s="2" t="s">
        <v>9660</v>
      </c>
      <c r="K300" s="2" t="s">
        <v>1588</v>
      </c>
      <c r="L300" s="2" t="n">
        <v>0.38</v>
      </c>
      <c r="M300" s="2" t="n">
        <v>0.42</v>
      </c>
    </row>
    <row r="301" customFormat="false" ht="15" hidden="false" customHeight="false" outlineLevel="0" collapsed="false">
      <c r="A301" s="2" t="n">
        <v>299</v>
      </c>
      <c r="B301" s="2" t="s">
        <v>1784</v>
      </c>
      <c r="C301" s="2" t="n">
        <v>0</v>
      </c>
      <c r="D301" s="2" t="n">
        <v>0</v>
      </c>
      <c r="E301" s="2" t="s">
        <v>9661</v>
      </c>
      <c r="F301" s="2" t="s">
        <v>95</v>
      </c>
      <c r="G301" s="2" t="s">
        <v>9662</v>
      </c>
      <c r="H301" s="2" t="s">
        <v>745</v>
      </c>
      <c r="I301" s="2" t="s">
        <v>2162</v>
      </c>
      <c r="J301" s="2" t="s">
        <v>9663</v>
      </c>
      <c r="K301" s="2" t="s">
        <v>507</v>
      </c>
      <c r="L301" s="2" t="n">
        <v>0</v>
      </c>
      <c r="M301" s="2" t="n">
        <v>0.7</v>
      </c>
    </row>
    <row r="302" customFormat="false" ht="15" hidden="false" customHeight="false" outlineLevel="0" collapsed="false">
      <c r="A302" s="2" t="n">
        <v>300</v>
      </c>
      <c r="B302" s="2" t="s">
        <v>1893</v>
      </c>
      <c r="C302" s="2" t="n">
        <v>3</v>
      </c>
      <c r="D302" s="2" t="n">
        <v>0</v>
      </c>
      <c r="E302" s="2" t="s">
        <v>1897</v>
      </c>
      <c r="F302" s="2" t="s">
        <v>743</v>
      </c>
      <c r="G302" s="2" t="s">
        <v>1898</v>
      </c>
      <c r="H302" s="2" t="s">
        <v>1874</v>
      </c>
      <c r="I302" s="2" t="s">
        <v>370</v>
      </c>
      <c r="J302" s="2" t="s">
        <v>9664</v>
      </c>
      <c r="K302" s="2" t="s">
        <v>507</v>
      </c>
      <c r="L302" s="2" t="n">
        <v>0.25</v>
      </c>
      <c r="M302" s="2" t="n">
        <v>0.27</v>
      </c>
    </row>
    <row r="303" customFormat="false" ht="15" hidden="false" customHeight="false" outlineLevel="0" collapsed="false">
      <c r="A303" s="2" t="n">
        <v>301</v>
      </c>
      <c r="B303" s="2" t="s">
        <v>1893</v>
      </c>
      <c r="C303" s="2" t="n">
        <v>2</v>
      </c>
      <c r="D303" s="2" t="n">
        <v>0</v>
      </c>
      <c r="E303" s="2" t="s">
        <v>1910</v>
      </c>
      <c r="F303" s="2" t="s">
        <v>1882</v>
      </c>
      <c r="G303" s="2" t="s">
        <v>1911</v>
      </c>
      <c r="H303" s="2" t="s">
        <v>1874</v>
      </c>
      <c r="I303" s="2" t="s">
        <v>370</v>
      </c>
      <c r="J303" s="2" t="s">
        <v>9665</v>
      </c>
      <c r="K303" s="2" t="s">
        <v>68</v>
      </c>
      <c r="L303" s="2" t="n">
        <v>0.71</v>
      </c>
      <c r="M303" s="2" t="n">
        <v>0.31</v>
      </c>
    </row>
    <row r="304" customFormat="false" ht="15" hidden="false" customHeight="false" outlineLevel="0" collapsed="false">
      <c r="A304" s="2" t="n">
        <v>302</v>
      </c>
      <c r="B304" s="2" t="s">
        <v>1893</v>
      </c>
      <c r="C304" s="2" t="n">
        <v>1</v>
      </c>
      <c r="D304" s="2" t="n">
        <v>0</v>
      </c>
      <c r="E304" s="2" t="s">
        <v>1921</v>
      </c>
      <c r="F304" s="2" t="s">
        <v>1882</v>
      </c>
      <c r="G304" s="2" t="s">
        <v>1922</v>
      </c>
      <c r="H304" s="2" t="s">
        <v>420</v>
      </c>
      <c r="I304" s="2" t="s">
        <v>1923</v>
      </c>
      <c r="J304" s="2" t="s">
        <v>9666</v>
      </c>
      <c r="K304" s="2" t="s">
        <v>1588</v>
      </c>
      <c r="L304" s="2" t="n">
        <v>0.09</v>
      </c>
      <c r="M304" s="2" t="n">
        <v>0.42</v>
      </c>
    </row>
    <row r="305" customFormat="false" ht="15" hidden="false" customHeight="false" outlineLevel="0" collapsed="false">
      <c r="A305" s="2" t="n">
        <v>303</v>
      </c>
      <c r="B305" s="2" t="s">
        <v>1893</v>
      </c>
      <c r="C305" s="2" t="n">
        <v>1</v>
      </c>
      <c r="D305" s="2" t="n">
        <v>1</v>
      </c>
      <c r="E305" s="2" t="s">
        <v>1929</v>
      </c>
      <c r="F305" s="2" t="s">
        <v>803</v>
      </c>
      <c r="G305" s="2" t="s">
        <v>1930</v>
      </c>
      <c r="H305" s="2" t="s">
        <v>1931</v>
      </c>
      <c r="I305" s="2" t="s">
        <v>1932</v>
      </c>
      <c r="J305" s="2" t="s">
        <v>9667</v>
      </c>
      <c r="K305" s="2" t="s">
        <v>68</v>
      </c>
      <c r="L305" s="2" t="n">
        <v>0.58</v>
      </c>
      <c r="M305" s="2" t="n">
        <v>1</v>
      </c>
    </row>
    <row r="306" customFormat="false" ht="15" hidden="false" customHeight="false" outlineLevel="0" collapsed="false">
      <c r="A306" s="2" t="n">
        <v>304</v>
      </c>
      <c r="B306" s="2" t="s">
        <v>1893</v>
      </c>
      <c r="C306" s="2" t="n">
        <v>1</v>
      </c>
      <c r="D306" s="2" t="n">
        <v>1</v>
      </c>
      <c r="E306" s="2" t="s">
        <v>1940</v>
      </c>
      <c r="F306" s="2" t="s">
        <v>743</v>
      </c>
      <c r="G306" s="2" t="s">
        <v>1941</v>
      </c>
      <c r="H306" s="2" t="s">
        <v>1077</v>
      </c>
      <c r="I306" s="2" t="s">
        <v>1840</v>
      </c>
      <c r="J306" s="2" t="s">
        <v>9668</v>
      </c>
      <c r="K306" s="2" t="s">
        <v>507</v>
      </c>
      <c r="L306" s="2" t="n">
        <v>0.17</v>
      </c>
      <c r="M306" s="2" t="n">
        <v>0.85</v>
      </c>
    </row>
    <row r="307" customFormat="false" ht="15" hidden="false" customHeight="false" outlineLevel="0" collapsed="false">
      <c r="A307" s="2" t="n">
        <v>305</v>
      </c>
      <c r="B307" s="2" t="s">
        <v>1893</v>
      </c>
      <c r="C307" s="2" t="n">
        <v>1</v>
      </c>
      <c r="D307" s="2" t="n">
        <v>1</v>
      </c>
      <c r="E307" s="2" t="s">
        <v>1947</v>
      </c>
      <c r="F307" s="2" t="s">
        <v>1459</v>
      </c>
      <c r="G307" s="2" t="s">
        <v>1948</v>
      </c>
      <c r="H307" s="2" t="s">
        <v>1931</v>
      </c>
      <c r="I307" s="2" t="s">
        <v>1750</v>
      </c>
      <c r="J307" s="2" t="s">
        <v>9669</v>
      </c>
      <c r="K307" s="2" t="s">
        <v>507</v>
      </c>
      <c r="L307" s="2" t="n">
        <v>0.29</v>
      </c>
      <c r="M307" s="2" t="n">
        <v>1</v>
      </c>
    </row>
    <row r="308" customFormat="false" ht="15" hidden="false" customHeight="false" outlineLevel="0" collapsed="false">
      <c r="A308" s="2" t="n">
        <v>306</v>
      </c>
      <c r="B308" s="2" t="s">
        <v>1893</v>
      </c>
      <c r="C308" s="2" t="n">
        <v>1</v>
      </c>
      <c r="D308" s="2" t="n">
        <v>1</v>
      </c>
      <c r="E308" s="2" t="s">
        <v>1956</v>
      </c>
      <c r="F308" s="2" t="s">
        <v>743</v>
      </c>
      <c r="G308" s="2" t="s">
        <v>1957</v>
      </c>
      <c r="H308" s="2" t="s">
        <v>745</v>
      </c>
      <c r="I308" s="2" t="s">
        <v>1332</v>
      </c>
      <c r="J308" s="2" t="s">
        <v>9670</v>
      </c>
      <c r="K308" s="2" t="s">
        <v>507</v>
      </c>
      <c r="L308" s="2" t="n">
        <v>0</v>
      </c>
      <c r="M308" s="2" t="n">
        <v>0.8</v>
      </c>
    </row>
    <row r="309" customFormat="false" ht="15" hidden="false" customHeight="false" outlineLevel="0" collapsed="false">
      <c r="A309" s="2" t="n">
        <v>307</v>
      </c>
      <c r="B309" s="2" t="s">
        <v>1893</v>
      </c>
      <c r="C309" s="2" t="n">
        <v>1</v>
      </c>
      <c r="D309" s="2" t="n">
        <v>1</v>
      </c>
      <c r="E309" s="2" t="s">
        <v>1962</v>
      </c>
      <c r="F309" s="2" t="s">
        <v>743</v>
      </c>
      <c r="G309" s="2" t="s">
        <v>1963</v>
      </c>
      <c r="H309" s="2" t="s">
        <v>745</v>
      </c>
      <c r="I309" s="2" t="s">
        <v>1964</v>
      </c>
      <c r="J309" s="2" t="s">
        <v>9671</v>
      </c>
      <c r="K309" s="2" t="s">
        <v>1588</v>
      </c>
      <c r="L309" s="2" t="n">
        <v>0.09</v>
      </c>
      <c r="M309" s="2" t="n">
        <v>0.73</v>
      </c>
    </row>
    <row r="310" customFormat="false" ht="15" hidden="false" customHeight="false" outlineLevel="0" collapsed="false">
      <c r="A310" s="2" t="n">
        <v>308</v>
      </c>
      <c r="B310" s="2" t="s">
        <v>1893</v>
      </c>
      <c r="C310" s="2" t="n">
        <v>1</v>
      </c>
      <c r="D310" s="2" t="n">
        <v>1</v>
      </c>
      <c r="E310" s="2" t="s">
        <v>1967</v>
      </c>
      <c r="F310" s="2" t="s">
        <v>743</v>
      </c>
      <c r="G310" s="2" t="s">
        <v>1968</v>
      </c>
      <c r="H310" s="2" t="s">
        <v>1077</v>
      </c>
      <c r="I310" s="2" t="s">
        <v>1078</v>
      </c>
      <c r="J310" s="2" t="s">
        <v>9672</v>
      </c>
      <c r="K310" s="2" t="s">
        <v>1588</v>
      </c>
      <c r="L310" s="2" t="n">
        <v>0.37</v>
      </c>
      <c r="M310" s="2" t="n">
        <v>1</v>
      </c>
    </row>
    <row r="311" customFormat="false" ht="15" hidden="false" customHeight="false" outlineLevel="0" collapsed="false">
      <c r="A311" s="2" t="n">
        <v>309</v>
      </c>
      <c r="B311" s="2" t="s">
        <v>1893</v>
      </c>
      <c r="C311" s="2" t="n">
        <v>1</v>
      </c>
      <c r="D311" s="2" t="n">
        <v>1</v>
      </c>
      <c r="E311" s="2" t="s">
        <v>1970</v>
      </c>
      <c r="F311" s="2" t="s">
        <v>743</v>
      </c>
      <c r="G311" s="2" t="s">
        <v>1971</v>
      </c>
      <c r="H311" s="2" t="s">
        <v>420</v>
      </c>
      <c r="I311" s="2" t="s">
        <v>1972</v>
      </c>
      <c r="J311" s="2" t="s">
        <v>9673</v>
      </c>
      <c r="K311" s="2" t="s">
        <v>68</v>
      </c>
      <c r="L311" s="2" t="n">
        <v>0.5</v>
      </c>
      <c r="M311" s="2" t="n">
        <v>0.91</v>
      </c>
    </row>
    <row r="312" customFormat="false" ht="15" hidden="false" customHeight="false" outlineLevel="0" collapsed="false">
      <c r="A312" s="2" t="n">
        <v>310</v>
      </c>
      <c r="B312" s="2" t="s">
        <v>1893</v>
      </c>
      <c r="C312" s="2" t="n">
        <v>2</v>
      </c>
      <c r="D312" s="2" t="n">
        <v>2</v>
      </c>
      <c r="E312" s="2" t="s">
        <v>1977</v>
      </c>
      <c r="F312" s="2" t="s">
        <v>1459</v>
      </c>
      <c r="G312" s="2" t="s">
        <v>1978</v>
      </c>
      <c r="H312" s="2" t="s">
        <v>1979</v>
      </c>
      <c r="I312" s="2" t="s">
        <v>1306</v>
      </c>
      <c r="J312" s="2" t="s">
        <v>9674</v>
      </c>
      <c r="K312" s="2" t="s">
        <v>1588</v>
      </c>
      <c r="L312" s="2" t="n">
        <v>0.14</v>
      </c>
      <c r="M312" s="2" t="n">
        <v>1</v>
      </c>
    </row>
    <row r="313" customFormat="false" ht="15" hidden="false" customHeight="false" outlineLevel="0" collapsed="false">
      <c r="A313" s="2" t="n">
        <v>311</v>
      </c>
      <c r="B313" s="2" t="s">
        <v>1893</v>
      </c>
      <c r="C313" s="2" t="n">
        <v>1</v>
      </c>
      <c r="D313" s="2" t="n">
        <v>1</v>
      </c>
      <c r="E313" s="2" t="s">
        <v>1989</v>
      </c>
      <c r="F313" s="2" t="s">
        <v>1979</v>
      </c>
      <c r="G313" s="2" t="s">
        <v>1990</v>
      </c>
      <c r="H313" s="2" t="s">
        <v>1991</v>
      </c>
      <c r="I313" s="2" t="s">
        <v>506</v>
      </c>
      <c r="J313" s="2" t="s">
        <v>9675</v>
      </c>
      <c r="K313" s="2" t="s">
        <v>1588</v>
      </c>
      <c r="L313" s="2" t="n">
        <v>0.08</v>
      </c>
      <c r="M313" s="2" t="n">
        <v>1</v>
      </c>
    </row>
    <row r="314" customFormat="false" ht="15" hidden="false" customHeight="false" outlineLevel="0" collapsed="false">
      <c r="A314" s="2" t="n">
        <v>312</v>
      </c>
      <c r="B314" s="2" t="s">
        <v>1893</v>
      </c>
      <c r="C314" s="2" t="n">
        <v>1</v>
      </c>
      <c r="D314" s="2" t="n">
        <v>0</v>
      </c>
      <c r="E314" s="2" t="s">
        <v>1994</v>
      </c>
      <c r="F314" s="2" t="s">
        <v>1995</v>
      </c>
      <c r="G314" s="2" t="s">
        <v>1996</v>
      </c>
      <c r="H314" s="2" t="s">
        <v>392</v>
      </c>
      <c r="I314" s="2" t="s">
        <v>805</v>
      </c>
      <c r="J314" s="2" t="s">
        <v>9676</v>
      </c>
      <c r="K314" s="2" t="s">
        <v>1588</v>
      </c>
      <c r="L314" s="2" t="n">
        <v>0</v>
      </c>
      <c r="M314" s="2" t="n">
        <v>0.83</v>
      </c>
    </row>
    <row r="315" customFormat="false" ht="15" hidden="false" customHeight="false" outlineLevel="0" collapsed="false">
      <c r="A315" s="2" t="n">
        <v>313</v>
      </c>
      <c r="B315" s="2" t="s">
        <v>1893</v>
      </c>
      <c r="C315" s="2" t="n">
        <v>0</v>
      </c>
      <c r="D315" s="2" t="n">
        <v>0</v>
      </c>
      <c r="E315" s="2" t="s">
        <v>9677</v>
      </c>
      <c r="F315" s="2" t="s">
        <v>390</v>
      </c>
      <c r="G315" s="2" t="s">
        <v>9678</v>
      </c>
      <c r="H315" s="2" t="s">
        <v>1077</v>
      </c>
      <c r="I315" s="2" t="s">
        <v>8424</v>
      </c>
      <c r="J315" s="2" t="s">
        <v>9679</v>
      </c>
      <c r="K315" s="2" t="s">
        <v>1588</v>
      </c>
      <c r="L315" s="2" t="n">
        <v>0.19</v>
      </c>
      <c r="M315" s="2" t="n">
        <v>0.5</v>
      </c>
    </row>
    <row r="316" customFormat="false" ht="15" hidden="false" customHeight="false" outlineLevel="0" collapsed="false">
      <c r="A316" s="2" t="n">
        <v>314</v>
      </c>
      <c r="B316" s="2" t="s">
        <v>1893</v>
      </c>
      <c r="C316" s="2" t="n">
        <v>0</v>
      </c>
      <c r="D316" s="2" t="n">
        <v>0</v>
      </c>
      <c r="E316" s="2" t="s">
        <v>9680</v>
      </c>
      <c r="F316" s="2" t="s">
        <v>9681</v>
      </c>
      <c r="G316" s="2" t="s">
        <v>9682</v>
      </c>
      <c r="H316" s="2" t="s">
        <v>9683</v>
      </c>
      <c r="I316" s="2" t="s">
        <v>987</v>
      </c>
      <c r="J316" s="2" t="s">
        <v>9684</v>
      </c>
      <c r="K316" s="2" t="s">
        <v>507</v>
      </c>
      <c r="L316" s="2" t="n">
        <v>0.08</v>
      </c>
      <c r="M316" s="2" t="n">
        <v>0.75</v>
      </c>
    </row>
    <row r="317" customFormat="false" ht="15" hidden="false" customHeight="false" outlineLevel="0" collapsed="false">
      <c r="A317" s="2" t="n">
        <v>315</v>
      </c>
      <c r="B317" s="2" t="s">
        <v>1893</v>
      </c>
      <c r="C317" s="2" t="n">
        <v>0</v>
      </c>
      <c r="D317" s="2" t="n">
        <v>0</v>
      </c>
      <c r="E317" s="2" t="s">
        <v>9685</v>
      </c>
      <c r="F317" s="2" t="s">
        <v>9686</v>
      </c>
      <c r="G317" s="2" t="s">
        <v>9678</v>
      </c>
      <c r="H317" s="2" t="s">
        <v>1077</v>
      </c>
      <c r="I317" s="2" t="s">
        <v>8424</v>
      </c>
      <c r="J317" s="2" t="s">
        <v>9687</v>
      </c>
      <c r="K317" s="2" t="s">
        <v>1588</v>
      </c>
      <c r="L317" s="2" t="n">
        <v>0.12</v>
      </c>
      <c r="M317" s="2" t="n">
        <v>0.69</v>
      </c>
    </row>
    <row r="318" customFormat="false" ht="15" hidden="false" customHeight="false" outlineLevel="0" collapsed="false">
      <c r="A318" s="2" t="n">
        <v>316</v>
      </c>
      <c r="B318" s="2" t="s">
        <v>1893</v>
      </c>
      <c r="C318" s="2" t="n">
        <v>0</v>
      </c>
      <c r="D318" s="2" t="n">
        <v>0</v>
      </c>
      <c r="E318" s="2" t="s">
        <v>9688</v>
      </c>
      <c r="F318" s="2" t="s">
        <v>694</v>
      </c>
      <c r="G318" s="2" t="s">
        <v>9689</v>
      </c>
      <c r="H318" s="2" t="s">
        <v>745</v>
      </c>
      <c r="I318" s="2" t="s">
        <v>1972</v>
      </c>
      <c r="J318" s="2" t="s">
        <v>9690</v>
      </c>
      <c r="K318" s="2" t="s">
        <v>68</v>
      </c>
      <c r="L318" s="2" t="n">
        <v>0.75</v>
      </c>
      <c r="M318" s="2" t="n">
        <v>0.75</v>
      </c>
    </row>
    <row r="319" customFormat="false" ht="15" hidden="false" customHeight="false" outlineLevel="0" collapsed="false">
      <c r="A319" s="2" t="n">
        <v>317</v>
      </c>
      <c r="B319" s="2" t="s">
        <v>1893</v>
      </c>
      <c r="C319" s="2" t="n">
        <v>0</v>
      </c>
      <c r="D319" s="2" t="n">
        <v>0</v>
      </c>
      <c r="E319" s="2" t="s">
        <v>9691</v>
      </c>
      <c r="F319" s="2" t="s">
        <v>743</v>
      </c>
      <c r="G319" s="2" t="s">
        <v>4868</v>
      </c>
      <c r="H319" s="2" t="s">
        <v>745</v>
      </c>
      <c r="I319" s="2" t="s">
        <v>1810</v>
      </c>
      <c r="J319" s="2" t="s">
        <v>9692</v>
      </c>
      <c r="K319" s="2" t="s">
        <v>68</v>
      </c>
      <c r="L319" s="2" t="n">
        <v>0.7</v>
      </c>
      <c r="M319" s="2" t="n">
        <v>0.45</v>
      </c>
    </row>
    <row r="320" customFormat="false" ht="15" hidden="false" customHeight="false" outlineLevel="0" collapsed="false">
      <c r="A320" s="2" t="n">
        <v>318</v>
      </c>
      <c r="B320" s="2" t="s">
        <v>1893</v>
      </c>
      <c r="C320" s="2" t="n">
        <v>0</v>
      </c>
      <c r="D320" s="2" t="n">
        <v>0</v>
      </c>
      <c r="E320" s="2" t="s">
        <v>9693</v>
      </c>
      <c r="F320" s="2" t="s">
        <v>743</v>
      </c>
      <c r="G320" s="2" t="s">
        <v>9694</v>
      </c>
      <c r="H320" s="2" t="s">
        <v>3544</v>
      </c>
      <c r="I320" s="2" t="s">
        <v>5557</v>
      </c>
      <c r="J320" s="2" t="s">
        <v>9695</v>
      </c>
      <c r="K320" s="2" t="s">
        <v>1588</v>
      </c>
      <c r="L320" s="2" t="n">
        <v>0.4</v>
      </c>
      <c r="M320" s="2" t="n">
        <v>0.67</v>
      </c>
    </row>
    <row r="321" customFormat="false" ht="15" hidden="false" customHeight="false" outlineLevel="0" collapsed="false">
      <c r="A321" s="2" t="n">
        <v>319</v>
      </c>
      <c r="B321" s="2" t="s">
        <v>1893</v>
      </c>
      <c r="C321" s="2" t="n">
        <v>0</v>
      </c>
      <c r="D321" s="2" t="n">
        <v>0</v>
      </c>
      <c r="E321" s="2" t="s">
        <v>9696</v>
      </c>
      <c r="F321" s="2" t="s">
        <v>3544</v>
      </c>
      <c r="G321" s="2" t="s">
        <v>9697</v>
      </c>
      <c r="H321" s="2" t="s">
        <v>9698</v>
      </c>
      <c r="I321" s="2" t="s">
        <v>271</v>
      </c>
      <c r="J321" s="2" t="s">
        <v>9699</v>
      </c>
      <c r="K321" s="2" t="s">
        <v>1588</v>
      </c>
      <c r="L321" s="2" t="n">
        <v>0.14</v>
      </c>
      <c r="M321" s="2" t="n">
        <v>0.6</v>
      </c>
    </row>
    <row r="322" customFormat="false" ht="15" hidden="false" customHeight="false" outlineLevel="0" collapsed="false">
      <c r="A322" s="2" t="n">
        <v>320</v>
      </c>
      <c r="B322" s="2" t="s">
        <v>1893</v>
      </c>
      <c r="C322" s="2" t="n">
        <v>0</v>
      </c>
      <c r="D322" s="2" t="n">
        <v>0</v>
      </c>
      <c r="E322" s="2" t="s">
        <v>9700</v>
      </c>
      <c r="F322" s="2" t="s">
        <v>9701</v>
      </c>
      <c r="G322" s="2" t="s">
        <v>4876</v>
      </c>
      <c r="H322" s="2" t="s">
        <v>1525</v>
      </c>
      <c r="I322" s="2" t="s">
        <v>2399</v>
      </c>
      <c r="J322" s="2" t="s">
        <v>9702</v>
      </c>
      <c r="K322" s="2" t="s">
        <v>1588</v>
      </c>
      <c r="L322" s="2" t="n">
        <v>0</v>
      </c>
      <c r="M322" s="2" t="n">
        <v>0.5</v>
      </c>
    </row>
    <row r="323" customFormat="false" ht="15" hidden="false" customHeight="false" outlineLevel="0" collapsed="false">
      <c r="A323" s="2" t="n">
        <v>321</v>
      </c>
      <c r="B323" s="2" t="s">
        <v>1893</v>
      </c>
      <c r="C323" s="2" t="n">
        <v>0</v>
      </c>
      <c r="D323" s="2" t="n">
        <v>0</v>
      </c>
      <c r="E323" s="2" t="s">
        <v>9703</v>
      </c>
      <c r="F323" s="2" t="s">
        <v>1523</v>
      </c>
      <c r="G323" s="2" t="s">
        <v>9704</v>
      </c>
      <c r="H323" s="2" t="s">
        <v>9705</v>
      </c>
      <c r="I323" s="2" t="s">
        <v>2303</v>
      </c>
      <c r="J323" s="2" t="s">
        <v>9706</v>
      </c>
      <c r="K323" s="2" t="s">
        <v>507</v>
      </c>
      <c r="L323" s="2" t="n">
        <v>0</v>
      </c>
      <c r="M323" s="2" t="n">
        <v>0</v>
      </c>
    </row>
    <row r="324" customFormat="false" ht="15" hidden="false" customHeight="false" outlineLevel="0" collapsed="false">
      <c r="A324" s="2" t="n">
        <v>322</v>
      </c>
      <c r="B324" s="2" t="s">
        <v>1893</v>
      </c>
      <c r="C324" s="2" t="n">
        <v>0</v>
      </c>
      <c r="D324" s="2" t="n">
        <v>0</v>
      </c>
      <c r="E324" s="2" t="s">
        <v>9707</v>
      </c>
      <c r="F324" s="2" t="s">
        <v>9708</v>
      </c>
      <c r="G324" s="2" t="s">
        <v>9709</v>
      </c>
      <c r="H324" s="2" t="s">
        <v>1077</v>
      </c>
      <c r="I324" s="2" t="s">
        <v>495</v>
      </c>
      <c r="J324" s="2" t="s">
        <v>9710</v>
      </c>
      <c r="K324" s="2" t="s">
        <v>1588</v>
      </c>
      <c r="L324" s="2" t="n">
        <v>0.14</v>
      </c>
      <c r="M324" s="2" t="n">
        <v>0.83</v>
      </c>
    </row>
    <row r="325" customFormat="false" ht="15" hidden="false" customHeight="false" outlineLevel="0" collapsed="false">
      <c r="A325" s="2" t="n">
        <v>323</v>
      </c>
      <c r="B325" s="2" t="s">
        <v>1893</v>
      </c>
      <c r="C325" s="2" t="n">
        <v>0</v>
      </c>
      <c r="D325" s="2" t="n">
        <v>0</v>
      </c>
      <c r="E325" s="2" t="s">
        <v>9711</v>
      </c>
      <c r="F325" s="2" t="s">
        <v>1075</v>
      </c>
      <c r="G325" s="2" t="s">
        <v>9712</v>
      </c>
      <c r="H325" s="2" t="s">
        <v>420</v>
      </c>
      <c r="I325" s="2" t="s">
        <v>512</v>
      </c>
      <c r="J325" s="2" t="s">
        <v>9713</v>
      </c>
      <c r="K325" s="2" t="s">
        <v>1588</v>
      </c>
      <c r="L325" s="2" t="n">
        <v>0</v>
      </c>
      <c r="M325" s="2" t="n">
        <v>0.83</v>
      </c>
    </row>
    <row r="326" customFormat="false" ht="15" hidden="false" customHeight="false" outlineLevel="0" collapsed="false">
      <c r="A326" s="2" t="n">
        <v>324</v>
      </c>
      <c r="B326" s="2" t="s">
        <v>1893</v>
      </c>
      <c r="C326" s="2" t="n">
        <v>0</v>
      </c>
      <c r="D326" s="2" t="n">
        <v>0</v>
      </c>
      <c r="E326" s="2" t="s">
        <v>9714</v>
      </c>
      <c r="F326" s="2" t="s">
        <v>1459</v>
      </c>
      <c r="G326" s="2" t="s">
        <v>9715</v>
      </c>
      <c r="H326" s="2" t="s">
        <v>9716</v>
      </c>
      <c r="I326" s="2" t="s">
        <v>805</v>
      </c>
      <c r="J326" s="2" t="s">
        <v>9717</v>
      </c>
      <c r="K326" s="2" t="s">
        <v>1588</v>
      </c>
      <c r="L326" s="2" t="n">
        <v>0.27</v>
      </c>
      <c r="M326" s="2" t="n">
        <v>1</v>
      </c>
    </row>
    <row r="327" customFormat="false" ht="15" hidden="false" customHeight="false" outlineLevel="0" collapsed="false">
      <c r="A327" s="2" t="n">
        <v>325</v>
      </c>
      <c r="B327" s="2" t="s">
        <v>1893</v>
      </c>
      <c r="C327" s="2" t="n">
        <v>1</v>
      </c>
      <c r="D327" s="2" t="n">
        <v>0</v>
      </c>
      <c r="E327" s="2" t="s">
        <v>2001</v>
      </c>
      <c r="F327" s="2" t="s">
        <v>2002</v>
      </c>
      <c r="G327" s="2" t="s">
        <v>2003</v>
      </c>
      <c r="H327" s="2" t="s">
        <v>2004</v>
      </c>
      <c r="I327" s="2" t="s">
        <v>2005</v>
      </c>
      <c r="J327" s="2" t="s">
        <v>9718</v>
      </c>
      <c r="K327" s="2" t="s">
        <v>1588</v>
      </c>
      <c r="L327" s="2" t="n">
        <v>0.25</v>
      </c>
      <c r="M327" s="2" t="n">
        <v>1</v>
      </c>
    </row>
    <row r="328" customFormat="false" ht="15" hidden="false" customHeight="false" outlineLevel="0" collapsed="false">
      <c r="A328" s="2" t="n">
        <v>326</v>
      </c>
      <c r="B328" s="2" t="s">
        <v>1893</v>
      </c>
      <c r="C328" s="2" t="n">
        <v>0</v>
      </c>
      <c r="D328" s="2" t="n">
        <v>0</v>
      </c>
      <c r="E328" s="2" t="s">
        <v>9719</v>
      </c>
      <c r="F328" s="2" t="s">
        <v>6869</v>
      </c>
      <c r="G328" s="2" t="s">
        <v>9720</v>
      </c>
      <c r="H328" s="2" t="s">
        <v>97</v>
      </c>
      <c r="I328" s="2" t="s">
        <v>918</v>
      </c>
      <c r="J328" s="2" t="s">
        <v>9721</v>
      </c>
      <c r="K328" s="2" t="s">
        <v>68</v>
      </c>
      <c r="L328" s="2" t="n">
        <v>0.57</v>
      </c>
      <c r="M328" s="2" t="n">
        <v>1</v>
      </c>
    </row>
    <row r="329" customFormat="false" ht="15" hidden="false" customHeight="false" outlineLevel="0" collapsed="false">
      <c r="A329" s="2" t="n">
        <v>327</v>
      </c>
      <c r="B329" s="2" t="s">
        <v>1893</v>
      </c>
      <c r="C329" s="2" t="n">
        <v>1</v>
      </c>
      <c r="D329" s="2" t="n">
        <v>0</v>
      </c>
      <c r="E329" s="2" t="s">
        <v>2010</v>
      </c>
      <c r="F329" s="2" t="s">
        <v>95</v>
      </c>
      <c r="G329" s="2" t="s">
        <v>2011</v>
      </c>
      <c r="H329" s="2" t="s">
        <v>2012</v>
      </c>
      <c r="I329" s="2" t="s">
        <v>2013</v>
      </c>
      <c r="J329" s="2" t="s">
        <v>9722</v>
      </c>
      <c r="K329" s="2" t="s">
        <v>1588</v>
      </c>
      <c r="L329" s="2" t="n">
        <v>0.12</v>
      </c>
      <c r="M329" s="2" t="n">
        <v>0.78</v>
      </c>
    </row>
    <row r="330" customFormat="false" ht="15" hidden="false" customHeight="false" outlineLevel="0" collapsed="false">
      <c r="A330" s="2" t="n">
        <v>328</v>
      </c>
      <c r="B330" s="2" t="s">
        <v>1893</v>
      </c>
      <c r="C330" s="2" t="n">
        <v>1</v>
      </c>
      <c r="D330" s="2" t="n">
        <v>0</v>
      </c>
      <c r="E330" s="2" t="s">
        <v>2020</v>
      </c>
      <c r="F330" s="2" t="s">
        <v>2021</v>
      </c>
      <c r="G330" s="2" t="s">
        <v>2022</v>
      </c>
      <c r="H330" s="2" t="s">
        <v>2023</v>
      </c>
      <c r="I330" s="2" t="s">
        <v>1587</v>
      </c>
      <c r="J330" s="2" t="s">
        <v>9723</v>
      </c>
      <c r="K330" s="2" t="s">
        <v>1588</v>
      </c>
      <c r="L330" s="2" t="n">
        <v>0.1</v>
      </c>
      <c r="M330" s="2" t="n">
        <v>0.89</v>
      </c>
    </row>
    <row r="331" customFormat="false" ht="15" hidden="false" customHeight="false" outlineLevel="0" collapsed="false">
      <c r="A331" s="2" t="n">
        <v>329</v>
      </c>
      <c r="B331" s="2" t="s">
        <v>1893</v>
      </c>
      <c r="C331" s="2" t="n">
        <v>1</v>
      </c>
      <c r="D331" s="2" t="n">
        <v>1</v>
      </c>
      <c r="E331" s="2" t="s">
        <v>2025</v>
      </c>
      <c r="F331" s="2" t="s">
        <v>1459</v>
      </c>
      <c r="G331" s="2" t="s">
        <v>2026</v>
      </c>
      <c r="H331" s="2" t="s">
        <v>2027</v>
      </c>
      <c r="I331" s="2" t="s">
        <v>1501</v>
      </c>
      <c r="J331" s="2" t="s">
        <v>9724</v>
      </c>
      <c r="K331" s="2" t="s">
        <v>507</v>
      </c>
      <c r="L331" s="2" t="n">
        <v>0</v>
      </c>
      <c r="M331" s="2" t="n">
        <v>1</v>
      </c>
    </row>
    <row r="332" customFormat="false" ht="15" hidden="false" customHeight="false" outlineLevel="0" collapsed="false">
      <c r="A332" s="2" t="n">
        <v>330</v>
      </c>
      <c r="B332" s="2" t="s">
        <v>2028</v>
      </c>
      <c r="C332" s="2" t="n">
        <v>1</v>
      </c>
      <c r="D332" s="2" t="n">
        <v>1</v>
      </c>
      <c r="E332" s="2" t="s">
        <v>2033</v>
      </c>
      <c r="F332" s="2" t="s">
        <v>2034</v>
      </c>
      <c r="G332" s="2" t="s">
        <v>2035</v>
      </c>
      <c r="H332" s="2" t="s">
        <v>2036</v>
      </c>
      <c r="I332" s="2" t="s">
        <v>2037</v>
      </c>
      <c r="J332" s="2" t="s">
        <v>9725</v>
      </c>
      <c r="K332" s="2" t="s">
        <v>1588</v>
      </c>
      <c r="L332" s="2" t="n">
        <v>0</v>
      </c>
      <c r="M332" s="2" t="n">
        <v>0.78</v>
      </c>
    </row>
    <row r="333" customFormat="false" ht="15" hidden="false" customHeight="false" outlineLevel="0" collapsed="false">
      <c r="A333" s="2" t="n">
        <v>331</v>
      </c>
      <c r="B333" s="2" t="s">
        <v>2028</v>
      </c>
      <c r="C333" s="2" t="n">
        <v>1</v>
      </c>
      <c r="D333" s="2" t="n">
        <v>0</v>
      </c>
      <c r="E333" s="2" t="s">
        <v>2039</v>
      </c>
      <c r="F333" s="2" t="s">
        <v>2040</v>
      </c>
      <c r="G333" s="2" t="s">
        <v>2041</v>
      </c>
      <c r="H333" s="2" t="s">
        <v>2012</v>
      </c>
      <c r="I333" s="2" t="s">
        <v>1354</v>
      </c>
      <c r="J333" s="2" t="s">
        <v>9726</v>
      </c>
      <c r="K333" s="2" t="s">
        <v>1588</v>
      </c>
      <c r="L333" s="2" t="n">
        <v>0.12</v>
      </c>
      <c r="M333" s="2" t="n">
        <v>0.57</v>
      </c>
    </row>
    <row r="334" customFormat="false" ht="15" hidden="false" customHeight="false" outlineLevel="0" collapsed="false">
      <c r="A334" s="2" t="n">
        <v>332</v>
      </c>
      <c r="B334" s="2" t="s">
        <v>2028</v>
      </c>
      <c r="C334" s="2" t="n">
        <v>1</v>
      </c>
      <c r="D334" s="2" t="n">
        <v>0</v>
      </c>
      <c r="E334" s="2" t="s">
        <v>2044</v>
      </c>
      <c r="F334" s="2" t="s">
        <v>2021</v>
      </c>
      <c r="G334" s="2" t="s">
        <v>2045</v>
      </c>
      <c r="H334" s="2" t="s">
        <v>2036</v>
      </c>
      <c r="I334" s="2" t="s">
        <v>2005</v>
      </c>
      <c r="J334" s="2" t="s">
        <v>9727</v>
      </c>
      <c r="K334" s="2" t="s">
        <v>1588</v>
      </c>
      <c r="L334" s="2" t="n">
        <v>0.2</v>
      </c>
      <c r="M334" s="2" t="n">
        <v>0.89</v>
      </c>
    </row>
    <row r="335" customFormat="false" ht="15" hidden="false" customHeight="false" outlineLevel="0" collapsed="false">
      <c r="A335" s="2" t="n">
        <v>333</v>
      </c>
      <c r="B335" s="2" t="s">
        <v>2028</v>
      </c>
      <c r="C335" s="2" t="n">
        <v>0</v>
      </c>
      <c r="D335" s="2" t="n">
        <v>0</v>
      </c>
      <c r="E335" s="2" t="s">
        <v>9728</v>
      </c>
      <c r="F335" s="2" t="s">
        <v>2040</v>
      </c>
      <c r="G335" s="2" t="s">
        <v>9729</v>
      </c>
      <c r="H335" s="2" t="s">
        <v>1874</v>
      </c>
      <c r="I335" s="2" t="s">
        <v>4314</v>
      </c>
      <c r="J335" s="2" t="s">
        <v>9730</v>
      </c>
      <c r="K335" s="2" t="s">
        <v>1588</v>
      </c>
      <c r="L335" s="2" t="n">
        <v>0.12</v>
      </c>
      <c r="M335" s="2" t="n">
        <v>0.8</v>
      </c>
    </row>
    <row r="336" customFormat="false" ht="15" hidden="false" customHeight="false" outlineLevel="0" collapsed="false">
      <c r="A336" s="2" t="n">
        <v>334</v>
      </c>
      <c r="B336" s="2" t="s">
        <v>2028</v>
      </c>
      <c r="C336" s="2" t="n">
        <v>1</v>
      </c>
      <c r="D336" s="2" t="n">
        <v>0</v>
      </c>
      <c r="E336" s="2" t="s">
        <v>2048</v>
      </c>
      <c r="F336" s="2" t="s">
        <v>1882</v>
      </c>
      <c r="G336" s="2" t="s">
        <v>2049</v>
      </c>
      <c r="H336" s="2" t="s">
        <v>66</v>
      </c>
      <c r="I336" s="2" t="s">
        <v>132</v>
      </c>
      <c r="J336" s="2" t="s">
        <v>9731</v>
      </c>
      <c r="K336" s="2" t="s">
        <v>1588</v>
      </c>
      <c r="L336" s="2" t="n">
        <v>0</v>
      </c>
      <c r="M336" s="2" t="n">
        <v>0.58</v>
      </c>
    </row>
    <row r="337" customFormat="false" ht="15" hidden="false" customHeight="false" outlineLevel="0" collapsed="false">
      <c r="A337" s="2" t="n">
        <v>335</v>
      </c>
      <c r="B337" s="2" t="s">
        <v>2028</v>
      </c>
      <c r="C337" s="2" t="n">
        <v>4</v>
      </c>
      <c r="D337" s="2" t="n">
        <v>0</v>
      </c>
      <c r="E337" s="2" t="s">
        <v>2054</v>
      </c>
      <c r="F337" s="2" t="s">
        <v>64</v>
      </c>
      <c r="G337" s="2" t="s">
        <v>2055</v>
      </c>
      <c r="H337" s="2" t="s">
        <v>661</v>
      </c>
      <c r="I337" s="2" t="s">
        <v>115</v>
      </c>
      <c r="J337" s="2" t="s">
        <v>9732</v>
      </c>
      <c r="K337" s="2" t="s">
        <v>1588</v>
      </c>
      <c r="L337" s="2" t="n">
        <v>0.29</v>
      </c>
      <c r="M337" s="2" t="n">
        <v>0.88</v>
      </c>
    </row>
    <row r="338" customFormat="false" ht="15" hidden="false" customHeight="false" outlineLevel="0" collapsed="false">
      <c r="A338" s="2" t="n">
        <v>336</v>
      </c>
      <c r="B338" s="2" t="s">
        <v>2028</v>
      </c>
      <c r="C338" s="2" t="n">
        <v>4</v>
      </c>
      <c r="D338" s="2" t="n">
        <v>0</v>
      </c>
      <c r="E338" s="2" t="s">
        <v>2068</v>
      </c>
      <c r="F338" s="2" t="s">
        <v>659</v>
      </c>
      <c r="G338" s="2" t="s">
        <v>2069</v>
      </c>
      <c r="H338" s="2" t="s">
        <v>2070</v>
      </c>
      <c r="I338" s="2" t="s">
        <v>283</v>
      </c>
      <c r="J338" s="2" t="s">
        <v>9733</v>
      </c>
      <c r="K338" s="2" t="s">
        <v>68</v>
      </c>
      <c r="L338" s="2" t="n">
        <v>0.5</v>
      </c>
      <c r="M338" s="2" t="n">
        <v>0.57</v>
      </c>
    </row>
    <row r="339" customFormat="false" ht="15" hidden="false" customHeight="false" outlineLevel="0" collapsed="false">
      <c r="A339" s="2" t="n">
        <v>337</v>
      </c>
      <c r="B339" s="2" t="s">
        <v>2028</v>
      </c>
      <c r="C339" s="2" t="n">
        <v>2</v>
      </c>
      <c r="D339" s="2" t="n">
        <v>0</v>
      </c>
      <c r="E339" s="2" t="s">
        <v>2088</v>
      </c>
      <c r="F339" s="2" t="s">
        <v>2089</v>
      </c>
      <c r="G339" s="2" t="s">
        <v>2090</v>
      </c>
      <c r="H339" s="2" t="s">
        <v>2091</v>
      </c>
      <c r="I339" s="2" t="s">
        <v>1840</v>
      </c>
      <c r="J339" s="2" t="s">
        <v>9734</v>
      </c>
      <c r="K339" s="2" t="s">
        <v>1588</v>
      </c>
      <c r="L339" s="2" t="n">
        <v>0.09</v>
      </c>
      <c r="M339" s="2" t="n">
        <v>0.83</v>
      </c>
    </row>
    <row r="340" customFormat="false" ht="15" hidden="false" customHeight="false" outlineLevel="0" collapsed="false">
      <c r="A340" s="2" t="n">
        <v>338</v>
      </c>
      <c r="B340" s="2" t="s">
        <v>2028</v>
      </c>
      <c r="C340" s="2" t="n">
        <v>5</v>
      </c>
      <c r="D340" s="2" t="n">
        <v>0</v>
      </c>
      <c r="E340" s="2" t="s">
        <v>2099</v>
      </c>
      <c r="F340" s="2" t="s">
        <v>2100</v>
      </c>
      <c r="G340" s="2" t="s">
        <v>2101</v>
      </c>
      <c r="H340" s="2" t="s">
        <v>66</v>
      </c>
      <c r="I340" s="2" t="s">
        <v>283</v>
      </c>
      <c r="J340" s="2" t="s">
        <v>9735</v>
      </c>
      <c r="K340" s="2" t="s">
        <v>1588</v>
      </c>
      <c r="L340" s="2" t="n">
        <v>0.29</v>
      </c>
      <c r="M340" s="2" t="n">
        <v>0.83</v>
      </c>
    </row>
    <row r="341" customFormat="false" ht="15" hidden="false" customHeight="false" outlineLevel="0" collapsed="false">
      <c r="A341" s="2" t="n">
        <v>339</v>
      </c>
      <c r="B341" s="2" t="s">
        <v>2028</v>
      </c>
      <c r="C341" s="2" t="n">
        <v>3</v>
      </c>
      <c r="D341" s="2" t="n">
        <v>0</v>
      </c>
      <c r="E341" s="2" t="s">
        <v>2116</v>
      </c>
      <c r="F341" s="2" t="s">
        <v>64</v>
      </c>
      <c r="G341" s="2" t="s">
        <v>2117</v>
      </c>
      <c r="H341" s="2" t="s">
        <v>189</v>
      </c>
      <c r="I341" s="2" t="s">
        <v>604</v>
      </c>
      <c r="J341" s="2" t="s">
        <v>9736</v>
      </c>
      <c r="K341" s="2" t="s">
        <v>1588</v>
      </c>
      <c r="L341" s="2" t="n">
        <v>0.38</v>
      </c>
      <c r="M341" s="2" t="n">
        <v>0.78</v>
      </c>
    </row>
    <row r="342" customFormat="false" ht="15" hidden="false" customHeight="false" outlineLevel="0" collapsed="false">
      <c r="A342" s="2" t="n">
        <v>340</v>
      </c>
      <c r="B342" s="2" t="s">
        <v>2028</v>
      </c>
      <c r="C342" s="2" t="n">
        <v>3</v>
      </c>
      <c r="D342" s="2" t="n">
        <v>0</v>
      </c>
      <c r="E342" s="2" t="s">
        <v>2131</v>
      </c>
      <c r="F342" s="2" t="s">
        <v>187</v>
      </c>
      <c r="G342" s="2" t="s">
        <v>2132</v>
      </c>
      <c r="H342" s="2" t="s">
        <v>745</v>
      </c>
      <c r="I342" s="2" t="s">
        <v>945</v>
      </c>
      <c r="J342" s="2" t="s">
        <v>9737</v>
      </c>
      <c r="K342" s="2" t="s">
        <v>1588</v>
      </c>
      <c r="L342" s="2" t="n">
        <v>0.09</v>
      </c>
      <c r="M342" s="2" t="n">
        <v>0.45</v>
      </c>
    </row>
    <row r="343" customFormat="false" ht="15" hidden="false" customHeight="false" outlineLevel="0" collapsed="false">
      <c r="A343" s="2" t="n">
        <v>341</v>
      </c>
      <c r="B343" s="2" t="s">
        <v>2028</v>
      </c>
      <c r="C343" s="2" t="n">
        <v>1</v>
      </c>
      <c r="D343" s="2" t="n">
        <v>1</v>
      </c>
      <c r="E343" s="2" t="s">
        <v>2146</v>
      </c>
      <c r="F343" s="2" t="s">
        <v>743</v>
      </c>
      <c r="G343" s="2" t="s">
        <v>2147</v>
      </c>
      <c r="H343" s="2" t="s">
        <v>2148</v>
      </c>
      <c r="I343" s="2" t="s">
        <v>2149</v>
      </c>
      <c r="J343" s="2" t="s">
        <v>9738</v>
      </c>
      <c r="K343" s="2" t="s">
        <v>1588</v>
      </c>
      <c r="L343" s="2" t="n">
        <v>0</v>
      </c>
      <c r="M343" s="2" t="n">
        <v>0.5</v>
      </c>
    </row>
    <row r="344" customFormat="false" ht="15" hidden="false" customHeight="false" outlineLevel="0" collapsed="false">
      <c r="A344" s="2" t="n">
        <v>342</v>
      </c>
      <c r="B344" s="2" t="s">
        <v>2028</v>
      </c>
      <c r="C344" s="2" t="n">
        <v>1</v>
      </c>
      <c r="D344" s="2" t="n">
        <v>1</v>
      </c>
      <c r="E344" s="2" t="s">
        <v>2155</v>
      </c>
      <c r="F344" s="2" t="s">
        <v>2148</v>
      </c>
      <c r="G344" s="2" t="s">
        <v>2156</v>
      </c>
      <c r="H344" s="2" t="s">
        <v>2157</v>
      </c>
      <c r="I344" s="2" t="s">
        <v>2158</v>
      </c>
      <c r="J344" s="2" t="s">
        <v>9739</v>
      </c>
      <c r="K344" s="2" t="s">
        <v>1588</v>
      </c>
      <c r="L344" s="2" t="n">
        <v>0</v>
      </c>
      <c r="M344" s="2" t="n">
        <v>0.75</v>
      </c>
    </row>
    <row r="345" customFormat="false" ht="15" hidden="false" customHeight="false" outlineLevel="0" collapsed="false">
      <c r="A345" s="2" t="n">
        <v>343</v>
      </c>
      <c r="B345" s="2" t="s">
        <v>2028</v>
      </c>
      <c r="C345" s="2" t="n">
        <v>1</v>
      </c>
      <c r="D345" s="2" t="n">
        <v>1</v>
      </c>
      <c r="E345" s="2" t="s">
        <v>2160</v>
      </c>
      <c r="F345" s="2" t="s">
        <v>963</v>
      </c>
      <c r="G345" s="2" t="s">
        <v>2161</v>
      </c>
      <c r="H345" s="2" t="s">
        <v>178</v>
      </c>
      <c r="I345" s="2" t="s">
        <v>2162</v>
      </c>
      <c r="J345" s="2" t="s">
        <v>9740</v>
      </c>
      <c r="K345" s="2" t="s">
        <v>507</v>
      </c>
      <c r="L345" s="2" t="n">
        <v>0.08</v>
      </c>
      <c r="M345" s="2" t="n">
        <v>0.5</v>
      </c>
    </row>
    <row r="346" customFormat="false" ht="15" hidden="false" customHeight="false" outlineLevel="0" collapsed="false">
      <c r="A346" s="2" t="n">
        <v>344</v>
      </c>
      <c r="B346" s="2" t="s">
        <v>2028</v>
      </c>
      <c r="C346" s="2" t="n">
        <v>5</v>
      </c>
      <c r="D346" s="2" t="n">
        <v>0</v>
      </c>
      <c r="E346" s="2" t="s">
        <v>2166</v>
      </c>
      <c r="F346" s="2" t="s">
        <v>176</v>
      </c>
      <c r="G346" s="2" t="s">
        <v>2167</v>
      </c>
      <c r="H346" s="2" t="s">
        <v>745</v>
      </c>
      <c r="I346" s="2" t="s">
        <v>2168</v>
      </c>
      <c r="J346" s="2" t="s">
        <v>9741</v>
      </c>
      <c r="K346" s="2" t="s">
        <v>507</v>
      </c>
      <c r="L346" s="2" t="n">
        <v>0.14</v>
      </c>
      <c r="M346" s="2" t="n">
        <v>0.45</v>
      </c>
    </row>
    <row r="347" customFormat="false" ht="15" hidden="false" customHeight="false" outlineLevel="0" collapsed="false">
      <c r="A347" s="2" t="n">
        <v>345</v>
      </c>
      <c r="B347" s="2" t="s">
        <v>2028</v>
      </c>
      <c r="C347" s="2" t="n">
        <v>1</v>
      </c>
      <c r="D347" s="2" t="n">
        <v>1</v>
      </c>
      <c r="E347" s="2" t="s">
        <v>2186</v>
      </c>
      <c r="F347" s="2" t="s">
        <v>743</v>
      </c>
      <c r="G347" s="2" t="s">
        <v>2187</v>
      </c>
      <c r="H347" s="2" t="s">
        <v>745</v>
      </c>
      <c r="I347" s="2" t="s">
        <v>1574</v>
      </c>
      <c r="J347" s="2" t="s">
        <v>9742</v>
      </c>
      <c r="K347" s="2" t="s">
        <v>1588</v>
      </c>
      <c r="L347" s="2" t="n">
        <v>0.12</v>
      </c>
      <c r="M347" s="2" t="n">
        <v>0.88</v>
      </c>
    </row>
    <row r="348" customFormat="false" ht="15" hidden="false" customHeight="false" outlineLevel="0" collapsed="false">
      <c r="A348" s="2" t="n">
        <v>346</v>
      </c>
      <c r="B348" s="2" t="s">
        <v>2028</v>
      </c>
      <c r="C348" s="2" t="n">
        <v>1</v>
      </c>
      <c r="D348" s="2" t="n">
        <v>0</v>
      </c>
      <c r="E348" s="2" t="s">
        <v>2193</v>
      </c>
      <c r="F348" s="2" t="s">
        <v>743</v>
      </c>
      <c r="G348" s="2" t="s">
        <v>2194</v>
      </c>
      <c r="H348" s="2" t="s">
        <v>2195</v>
      </c>
      <c r="I348" s="2" t="s">
        <v>2196</v>
      </c>
      <c r="J348" s="2" t="s">
        <v>9743</v>
      </c>
      <c r="K348" s="2" t="s">
        <v>1588</v>
      </c>
      <c r="L348" s="2" t="n">
        <v>0.09</v>
      </c>
      <c r="M348" s="2" t="n">
        <v>0.4</v>
      </c>
    </row>
    <row r="349" customFormat="false" ht="15" hidden="false" customHeight="false" outlineLevel="0" collapsed="false">
      <c r="A349" s="2" t="n">
        <v>347</v>
      </c>
      <c r="B349" s="2" t="s">
        <v>2028</v>
      </c>
      <c r="C349" s="2" t="n">
        <v>0</v>
      </c>
      <c r="D349" s="2" t="n">
        <v>0</v>
      </c>
      <c r="E349" s="2" t="s">
        <v>9744</v>
      </c>
      <c r="F349" s="2" t="s">
        <v>8498</v>
      </c>
      <c r="G349" s="2" t="s">
        <v>4922</v>
      </c>
      <c r="H349" s="2" t="s">
        <v>420</v>
      </c>
      <c r="I349" s="2" t="s">
        <v>4923</v>
      </c>
      <c r="J349" s="2" t="s">
        <v>9745</v>
      </c>
      <c r="K349" s="2" t="s">
        <v>1588</v>
      </c>
      <c r="L349" s="2" t="n">
        <v>0.42</v>
      </c>
      <c r="M349" s="2" t="n">
        <v>0.67</v>
      </c>
    </row>
    <row r="350" customFormat="false" ht="15" hidden="false" customHeight="false" outlineLevel="0" collapsed="false">
      <c r="A350" s="2" t="n">
        <v>348</v>
      </c>
      <c r="B350" s="2" t="s">
        <v>2028</v>
      </c>
      <c r="C350" s="2" t="n">
        <v>0</v>
      </c>
      <c r="D350" s="2" t="n">
        <v>0</v>
      </c>
      <c r="E350" s="2" t="s">
        <v>9746</v>
      </c>
      <c r="F350" s="2" t="s">
        <v>803</v>
      </c>
      <c r="G350" s="2" t="s">
        <v>4932</v>
      </c>
      <c r="H350" s="2" t="s">
        <v>2979</v>
      </c>
      <c r="I350" s="2" t="s">
        <v>2196</v>
      </c>
      <c r="J350" s="2" t="s">
        <v>9747</v>
      </c>
      <c r="K350" s="2" t="s">
        <v>1588</v>
      </c>
      <c r="L350" s="2" t="n">
        <v>0.33</v>
      </c>
      <c r="M350" s="2" t="n">
        <v>1</v>
      </c>
    </row>
    <row r="351" customFormat="false" ht="15" hidden="false" customHeight="false" outlineLevel="0" collapsed="false">
      <c r="A351" s="2" t="n">
        <v>349</v>
      </c>
      <c r="B351" s="2" t="s">
        <v>2028</v>
      </c>
      <c r="C351" s="2" t="n">
        <v>0</v>
      </c>
      <c r="D351" s="2" t="n">
        <v>0</v>
      </c>
      <c r="E351" s="2" t="s">
        <v>9748</v>
      </c>
      <c r="F351" s="2" t="s">
        <v>6694</v>
      </c>
      <c r="G351" s="2" t="s">
        <v>4939</v>
      </c>
      <c r="H351" s="2" t="s">
        <v>745</v>
      </c>
      <c r="I351" s="2" t="s">
        <v>487</v>
      </c>
      <c r="J351" s="2" t="s">
        <v>9749</v>
      </c>
      <c r="K351" s="2" t="s">
        <v>507</v>
      </c>
      <c r="L351" s="2" t="n">
        <v>0.29</v>
      </c>
      <c r="M351" s="2" t="n">
        <v>0.33</v>
      </c>
    </row>
    <row r="352" customFormat="false" ht="15" hidden="false" customHeight="false" outlineLevel="0" collapsed="false">
      <c r="A352" s="2" t="n">
        <v>350</v>
      </c>
      <c r="B352" s="2" t="s">
        <v>2028</v>
      </c>
      <c r="C352" s="2" t="n">
        <v>0</v>
      </c>
      <c r="D352" s="2" t="n">
        <v>0</v>
      </c>
      <c r="E352" s="2" t="s">
        <v>9750</v>
      </c>
      <c r="F352" s="2" t="s">
        <v>743</v>
      </c>
      <c r="G352" s="2" t="s">
        <v>9751</v>
      </c>
      <c r="H352" s="2" t="s">
        <v>4313</v>
      </c>
      <c r="I352" s="2" t="s">
        <v>2939</v>
      </c>
      <c r="J352" s="2" t="s">
        <v>9752</v>
      </c>
      <c r="K352" s="2" t="s">
        <v>1588</v>
      </c>
      <c r="L352" s="2" t="n">
        <v>0.1</v>
      </c>
      <c r="M352" s="2" t="n">
        <v>0.4</v>
      </c>
    </row>
    <row r="353" customFormat="false" ht="15" hidden="false" customHeight="false" outlineLevel="0" collapsed="false">
      <c r="A353" s="2" t="n">
        <v>351</v>
      </c>
      <c r="B353" s="2" t="s">
        <v>2028</v>
      </c>
      <c r="C353" s="2" t="n">
        <v>0</v>
      </c>
      <c r="D353" s="2" t="n">
        <v>0</v>
      </c>
      <c r="E353" s="2" t="s">
        <v>9753</v>
      </c>
      <c r="F353" s="2" t="s">
        <v>4322</v>
      </c>
      <c r="G353" s="2" t="s">
        <v>9754</v>
      </c>
      <c r="H353" s="2" t="s">
        <v>2195</v>
      </c>
      <c r="I353" s="2" t="s">
        <v>1239</v>
      </c>
      <c r="J353" s="2" t="s">
        <v>9755</v>
      </c>
      <c r="K353" s="2" t="s">
        <v>1588</v>
      </c>
      <c r="L353" s="2" t="n">
        <v>0.17</v>
      </c>
      <c r="M353" s="2" t="n">
        <v>0.33</v>
      </c>
    </row>
    <row r="354" customFormat="false" ht="15" hidden="false" customHeight="false" outlineLevel="0" collapsed="false">
      <c r="A354" s="2" t="n">
        <v>352</v>
      </c>
      <c r="B354" s="2" t="s">
        <v>2028</v>
      </c>
      <c r="C354" s="2" t="n">
        <v>0</v>
      </c>
      <c r="D354" s="2" t="n">
        <v>0</v>
      </c>
      <c r="E354" s="2" t="s">
        <v>9756</v>
      </c>
      <c r="F354" s="2" t="s">
        <v>8498</v>
      </c>
      <c r="G354" s="2" t="s">
        <v>9757</v>
      </c>
      <c r="H354" s="2" t="s">
        <v>5376</v>
      </c>
      <c r="I354" s="2" t="s">
        <v>2196</v>
      </c>
      <c r="J354" s="2" t="s">
        <v>9758</v>
      </c>
      <c r="K354" s="2" t="s">
        <v>68</v>
      </c>
      <c r="L354" s="2" t="n">
        <v>0.73</v>
      </c>
      <c r="M354" s="2" t="n">
        <v>0.43</v>
      </c>
    </row>
    <row r="355" customFormat="false" ht="15" hidden="false" customHeight="false" outlineLevel="0" collapsed="false">
      <c r="A355" s="2" t="n">
        <v>353</v>
      </c>
      <c r="B355" s="2" t="s">
        <v>2028</v>
      </c>
      <c r="C355" s="2" t="n">
        <v>0</v>
      </c>
      <c r="D355" s="2" t="n">
        <v>0</v>
      </c>
      <c r="E355" s="2" t="s">
        <v>9759</v>
      </c>
      <c r="F355" s="2" t="s">
        <v>6066</v>
      </c>
      <c r="G355" s="2" t="s">
        <v>9760</v>
      </c>
      <c r="H355" s="2" t="s">
        <v>8998</v>
      </c>
      <c r="I355" s="2" t="s">
        <v>1932</v>
      </c>
      <c r="J355" s="2" t="s">
        <v>9761</v>
      </c>
      <c r="K355" s="2" t="s">
        <v>1588</v>
      </c>
      <c r="L355" s="2" t="n">
        <v>0.33</v>
      </c>
      <c r="M355" s="2" t="n">
        <v>0.55</v>
      </c>
    </row>
    <row r="356" customFormat="false" ht="15" hidden="false" customHeight="false" outlineLevel="0" collapsed="false">
      <c r="A356" s="2" t="n">
        <v>354</v>
      </c>
      <c r="B356" s="2" t="s">
        <v>2028</v>
      </c>
      <c r="C356" s="2" t="n">
        <v>0</v>
      </c>
      <c r="D356" s="2" t="n">
        <v>0</v>
      </c>
      <c r="E356" s="2" t="s">
        <v>9762</v>
      </c>
      <c r="F356" s="2" t="s">
        <v>4322</v>
      </c>
      <c r="G356" s="2" t="s">
        <v>9763</v>
      </c>
      <c r="H356" s="2" t="s">
        <v>9764</v>
      </c>
      <c r="I356" s="2" t="s">
        <v>1342</v>
      </c>
      <c r="J356" s="2" t="s">
        <v>9765</v>
      </c>
      <c r="K356" s="2" t="s">
        <v>507</v>
      </c>
      <c r="L356" s="2" t="n">
        <v>0</v>
      </c>
      <c r="M356" s="2" t="n">
        <v>0</v>
      </c>
    </row>
    <row r="357" customFormat="false" ht="15" hidden="false" customHeight="false" outlineLevel="0" collapsed="false">
      <c r="A357" s="2" t="n">
        <v>355</v>
      </c>
      <c r="B357" s="2" t="s">
        <v>2028</v>
      </c>
      <c r="C357" s="2" t="n">
        <v>1</v>
      </c>
      <c r="D357" s="2" t="n">
        <v>0</v>
      </c>
      <c r="E357" s="2" t="s">
        <v>2201</v>
      </c>
      <c r="F357" s="2" t="s">
        <v>2202</v>
      </c>
      <c r="G357" s="2" t="s">
        <v>2203</v>
      </c>
      <c r="H357" s="2" t="s">
        <v>745</v>
      </c>
      <c r="I357" s="2" t="s">
        <v>2204</v>
      </c>
      <c r="J357" s="2" t="s">
        <v>9766</v>
      </c>
      <c r="K357" s="2" t="s">
        <v>1588</v>
      </c>
      <c r="L357" s="2" t="n">
        <v>0.14</v>
      </c>
      <c r="M357" s="2" t="n">
        <v>0.91</v>
      </c>
    </row>
    <row r="358" customFormat="false" ht="15" hidden="false" customHeight="false" outlineLevel="0" collapsed="false">
      <c r="A358" s="2" t="n">
        <v>356</v>
      </c>
      <c r="B358" s="2" t="s">
        <v>2028</v>
      </c>
      <c r="C358" s="2" t="n">
        <v>0</v>
      </c>
      <c r="D358" s="2" t="n">
        <v>0</v>
      </c>
      <c r="E358" s="2" t="s">
        <v>9767</v>
      </c>
      <c r="F358" s="2" t="s">
        <v>743</v>
      </c>
      <c r="G358" s="2" t="s">
        <v>4945</v>
      </c>
      <c r="H358" s="2" t="s">
        <v>1525</v>
      </c>
      <c r="I358" s="2" t="s">
        <v>271</v>
      </c>
      <c r="J358" s="2" t="s">
        <v>9768</v>
      </c>
      <c r="K358" s="2" t="s">
        <v>1588</v>
      </c>
      <c r="L358" s="2" t="n">
        <v>0.1</v>
      </c>
      <c r="M358" s="2" t="n">
        <v>0.75</v>
      </c>
    </row>
    <row r="359" customFormat="false" ht="15" hidden="false" customHeight="false" outlineLevel="0" collapsed="false">
      <c r="A359" s="2" t="n">
        <v>357</v>
      </c>
      <c r="B359" s="2" t="s">
        <v>2028</v>
      </c>
      <c r="C359" s="2" t="n">
        <v>0</v>
      </c>
      <c r="D359" s="2" t="n">
        <v>0</v>
      </c>
      <c r="E359" s="2" t="s">
        <v>9769</v>
      </c>
      <c r="F359" s="2" t="s">
        <v>1523</v>
      </c>
      <c r="G359" s="2" t="s">
        <v>9770</v>
      </c>
      <c r="H359" s="2" t="s">
        <v>9771</v>
      </c>
      <c r="I359" s="2" t="s">
        <v>2196</v>
      </c>
      <c r="J359" s="2" t="s">
        <v>9772</v>
      </c>
      <c r="K359" s="2" t="s">
        <v>1588</v>
      </c>
      <c r="L359" s="2" t="n">
        <v>0</v>
      </c>
      <c r="M359" s="2" t="n">
        <v>0.91</v>
      </c>
    </row>
    <row r="360" customFormat="false" ht="15" hidden="false" customHeight="false" outlineLevel="0" collapsed="false">
      <c r="A360" s="2" t="n">
        <v>358</v>
      </c>
      <c r="B360" s="2" t="s">
        <v>2028</v>
      </c>
      <c r="C360" s="2" t="n">
        <v>2</v>
      </c>
      <c r="D360" s="2" t="n">
        <v>0</v>
      </c>
      <c r="E360" s="2" t="s">
        <v>2211</v>
      </c>
      <c r="F360" s="2" t="s">
        <v>2212</v>
      </c>
      <c r="G360" s="2" t="s">
        <v>2213</v>
      </c>
      <c r="H360" s="2" t="s">
        <v>2214</v>
      </c>
      <c r="I360" s="2" t="s">
        <v>2215</v>
      </c>
      <c r="J360" s="2" t="s">
        <v>9773</v>
      </c>
      <c r="K360" s="2" t="s">
        <v>507</v>
      </c>
      <c r="L360" s="2" t="n">
        <v>0.08</v>
      </c>
      <c r="M360" s="2" t="n">
        <v>0.9</v>
      </c>
    </row>
    <row r="361" customFormat="false" ht="15" hidden="false" customHeight="false" outlineLevel="0" collapsed="false">
      <c r="A361" s="2" t="n">
        <v>359</v>
      </c>
      <c r="B361" s="2" t="s">
        <v>2028</v>
      </c>
      <c r="C361" s="2" t="n">
        <v>0</v>
      </c>
      <c r="D361" s="2" t="n">
        <v>0</v>
      </c>
      <c r="E361" s="2" t="s">
        <v>9774</v>
      </c>
      <c r="F361" s="2" t="s">
        <v>3762</v>
      </c>
      <c r="G361" s="2" t="s">
        <v>4965</v>
      </c>
      <c r="H361" s="2" t="s">
        <v>1390</v>
      </c>
      <c r="I361" s="2" t="s">
        <v>512</v>
      </c>
      <c r="J361" s="2" t="s">
        <v>9775</v>
      </c>
      <c r="K361" s="2" t="s">
        <v>1588</v>
      </c>
      <c r="L361" s="2" t="n">
        <v>0.08</v>
      </c>
      <c r="M361" s="2" t="n">
        <v>1</v>
      </c>
    </row>
    <row r="362" customFormat="false" ht="15" hidden="false" customHeight="false" outlineLevel="0" collapsed="false">
      <c r="A362" s="2" t="n">
        <v>360</v>
      </c>
      <c r="B362" s="2" t="s">
        <v>2221</v>
      </c>
      <c r="C362" s="2" t="n">
        <v>1</v>
      </c>
      <c r="D362" s="2" t="n">
        <v>0</v>
      </c>
      <c r="E362" s="2" t="s">
        <v>2230</v>
      </c>
      <c r="F362" s="2" t="s">
        <v>2231</v>
      </c>
      <c r="G362" s="2" t="s">
        <v>2232</v>
      </c>
      <c r="H362" s="2" t="s">
        <v>2233</v>
      </c>
      <c r="I362" s="2" t="s">
        <v>2234</v>
      </c>
      <c r="J362" s="2" t="s">
        <v>9776</v>
      </c>
      <c r="K362" s="2" t="s">
        <v>1588</v>
      </c>
      <c r="L362" s="2" t="n">
        <v>0</v>
      </c>
      <c r="M362" s="2" t="n">
        <v>0.92</v>
      </c>
    </row>
    <row r="363" customFormat="false" ht="15" hidden="false" customHeight="false" outlineLevel="0" collapsed="false">
      <c r="A363" s="2" t="n">
        <v>361</v>
      </c>
      <c r="B363" s="2" t="s">
        <v>2221</v>
      </c>
      <c r="C363" s="2" t="n">
        <v>1</v>
      </c>
      <c r="D363" s="2" t="n">
        <v>0</v>
      </c>
      <c r="E363" s="2" t="s">
        <v>2238</v>
      </c>
      <c r="F363" s="2" t="s">
        <v>2239</v>
      </c>
      <c r="G363" s="2" t="s">
        <v>2240</v>
      </c>
      <c r="H363" s="2" t="s">
        <v>745</v>
      </c>
      <c r="I363" s="2" t="s">
        <v>2241</v>
      </c>
      <c r="J363" s="2" t="s">
        <v>9777</v>
      </c>
      <c r="K363" s="2" t="s">
        <v>1588</v>
      </c>
      <c r="L363" s="2" t="n">
        <v>0</v>
      </c>
      <c r="M363" s="2" t="n">
        <v>1</v>
      </c>
    </row>
    <row r="364" customFormat="false" ht="15" hidden="false" customHeight="false" outlineLevel="0" collapsed="false">
      <c r="A364" s="2" t="n">
        <v>362</v>
      </c>
      <c r="B364" s="2" t="s">
        <v>2221</v>
      </c>
      <c r="C364" s="2" t="n">
        <v>1</v>
      </c>
      <c r="D364" s="2" t="n">
        <v>1</v>
      </c>
      <c r="E364" s="2" t="s">
        <v>2250</v>
      </c>
      <c r="F364" s="2" t="s">
        <v>743</v>
      </c>
      <c r="G364" s="2" t="s">
        <v>2251</v>
      </c>
      <c r="H364" s="2" t="s">
        <v>661</v>
      </c>
      <c r="I364" s="2" t="s">
        <v>2252</v>
      </c>
      <c r="J364" s="2" t="s">
        <v>9778</v>
      </c>
      <c r="K364" s="2" t="s">
        <v>1588</v>
      </c>
      <c r="L364" s="2" t="n">
        <v>0</v>
      </c>
      <c r="M364" s="2" t="n">
        <v>0.67</v>
      </c>
    </row>
    <row r="365" customFormat="false" ht="15" hidden="false" customHeight="false" outlineLevel="0" collapsed="false">
      <c r="A365" s="2" t="n">
        <v>363</v>
      </c>
      <c r="B365" s="2" t="s">
        <v>2221</v>
      </c>
      <c r="C365" s="2" t="n">
        <v>5</v>
      </c>
      <c r="D365" s="2" t="n">
        <v>0</v>
      </c>
      <c r="E365" s="2" t="s">
        <v>2257</v>
      </c>
      <c r="F365" s="2" t="s">
        <v>659</v>
      </c>
      <c r="G365" s="2" t="s">
        <v>2258</v>
      </c>
      <c r="H365" s="2" t="s">
        <v>661</v>
      </c>
      <c r="I365" s="2" t="s">
        <v>1138</v>
      </c>
      <c r="J365" s="2" t="s">
        <v>9779</v>
      </c>
      <c r="K365" s="2" t="s">
        <v>160</v>
      </c>
      <c r="L365" s="2" t="n">
        <v>0.44</v>
      </c>
      <c r="M365" s="2" t="n">
        <v>0.44</v>
      </c>
    </row>
    <row r="366" customFormat="false" ht="15" hidden="false" customHeight="false" outlineLevel="0" collapsed="false">
      <c r="A366" s="2" t="n">
        <v>364</v>
      </c>
      <c r="B366" s="2" t="s">
        <v>2221</v>
      </c>
      <c r="C366" s="2" t="n">
        <v>3</v>
      </c>
      <c r="D366" s="2" t="n">
        <v>0</v>
      </c>
      <c r="E366" s="2" t="s">
        <v>2281</v>
      </c>
      <c r="F366" s="2" t="s">
        <v>659</v>
      </c>
      <c r="G366" s="2" t="s">
        <v>2282</v>
      </c>
      <c r="H366" s="2" t="s">
        <v>2283</v>
      </c>
      <c r="I366" s="2" t="s">
        <v>662</v>
      </c>
      <c r="J366" s="2" t="s">
        <v>9780</v>
      </c>
      <c r="K366" s="2" t="s">
        <v>1588</v>
      </c>
      <c r="L366" s="2" t="n">
        <v>0.4</v>
      </c>
      <c r="M366" s="2" t="n">
        <v>0.78</v>
      </c>
    </row>
    <row r="367" customFormat="false" ht="15" hidden="false" customHeight="false" outlineLevel="0" collapsed="false">
      <c r="A367" s="2" t="n">
        <v>365</v>
      </c>
      <c r="B367" s="2" t="s">
        <v>2221</v>
      </c>
      <c r="C367" s="2" t="n">
        <v>2</v>
      </c>
      <c r="D367" s="2" t="n">
        <v>2</v>
      </c>
      <c r="E367" s="2" t="s">
        <v>2292</v>
      </c>
      <c r="F367" s="2" t="s">
        <v>2293</v>
      </c>
      <c r="G367" s="2" t="s">
        <v>2294</v>
      </c>
      <c r="H367" s="2" t="s">
        <v>245</v>
      </c>
      <c r="I367" s="2" t="s">
        <v>1587</v>
      </c>
      <c r="J367" s="2" t="s">
        <v>9781</v>
      </c>
      <c r="K367" s="2" t="s">
        <v>1588</v>
      </c>
      <c r="L367" s="2" t="n">
        <v>0.38</v>
      </c>
      <c r="M367" s="2" t="n">
        <v>0.57</v>
      </c>
    </row>
    <row r="368" customFormat="false" ht="15" hidden="false" customHeight="false" outlineLevel="0" collapsed="false">
      <c r="A368" s="2" t="n">
        <v>366</v>
      </c>
      <c r="B368" s="2" t="s">
        <v>2221</v>
      </c>
      <c r="C368" s="2" t="n">
        <v>2</v>
      </c>
      <c r="D368" s="2" t="n">
        <v>0</v>
      </c>
      <c r="E368" s="2" t="s">
        <v>2301</v>
      </c>
      <c r="F368" s="2" t="s">
        <v>243</v>
      </c>
      <c r="G368" s="2" t="s">
        <v>2302</v>
      </c>
      <c r="H368" s="2" t="s">
        <v>661</v>
      </c>
      <c r="I368" s="2" t="s">
        <v>2303</v>
      </c>
      <c r="J368" s="2" t="s">
        <v>9782</v>
      </c>
      <c r="K368" s="2" t="s">
        <v>1588</v>
      </c>
      <c r="L368" s="2" t="n">
        <v>0.38</v>
      </c>
      <c r="M368" s="2" t="n">
        <v>0.8</v>
      </c>
    </row>
    <row r="369" customFormat="false" ht="15" hidden="false" customHeight="false" outlineLevel="0" collapsed="false">
      <c r="A369" s="2" t="n">
        <v>367</v>
      </c>
      <c r="B369" s="2" t="s">
        <v>2221</v>
      </c>
      <c r="C369" s="2" t="n">
        <v>5</v>
      </c>
      <c r="D369" s="2" t="n">
        <v>5</v>
      </c>
      <c r="E369" s="2" t="s">
        <v>2310</v>
      </c>
      <c r="F369" s="2" t="s">
        <v>659</v>
      </c>
      <c r="G369" s="2" t="s">
        <v>2311</v>
      </c>
      <c r="H369" s="2" t="s">
        <v>2312</v>
      </c>
      <c r="I369" s="2" t="s">
        <v>2313</v>
      </c>
      <c r="J369" s="2" t="s">
        <v>9783</v>
      </c>
      <c r="K369" s="2" t="s">
        <v>1588</v>
      </c>
      <c r="L369" s="2" t="n">
        <v>0.33</v>
      </c>
      <c r="M369" s="2" t="n">
        <v>0.75</v>
      </c>
    </row>
    <row r="370" customFormat="false" ht="15" hidden="false" customHeight="false" outlineLevel="0" collapsed="false">
      <c r="A370" s="2" t="n">
        <v>368</v>
      </c>
      <c r="B370" s="2" t="s">
        <v>2221</v>
      </c>
      <c r="C370" s="2" t="n">
        <v>0</v>
      </c>
      <c r="D370" s="2" t="n">
        <v>0</v>
      </c>
      <c r="E370" s="2" t="s">
        <v>9784</v>
      </c>
      <c r="F370" s="2" t="s">
        <v>2332</v>
      </c>
      <c r="G370" s="2" t="s">
        <v>4980</v>
      </c>
      <c r="H370" s="2" t="s">
        <v>2312</v>
      </c>
      <c r="I370" s="2" t="s">
        <v>4981</v>
      </c>
      <c r="J370" s="2" t="s">
        <v>9785</v>
      </c>
      <c r="K370" s="2" t="s">
        <v>1588</v>
      </c>
      <c r="L370" s="2" t="n">
        <v>0.36</v>
      </c>
      <c r="M370" s="2" t="n">
        <v>0.57</v>
      </c>
    </row>
    <row r="371" customFormat="false" ht="15" hidden="false" customHeight="false" outlineLevel="0" collapsed="false">
      <c r="A371" s="2" t="n">
        <v>369</v>
      </c>
      <c r="B371" s="2" t="s">
        <v>2221</v>
      </c>
      <c r="C371" s="2" t="n">
        <v>2</v>
      </c>
      <c r="D371" s="2" t="n">
        <v>0</v>
      </c>
      <c r="E371" s="2" t="s">
        <v>2331</v>
      </c>
      <c r="F371" s="2" t="s">
        <v>2332</v>
      </c>
      <c r="G371" s="2" t="s">
        <v>2333</v>
      </c>
      <c r="H371" s="2" t="s">
        <v>2312</v>
      </c>
      <c r="I371" s="2" t="s">
        <v>2334</v>
      </c>
      <c r="J371" s="2" t="s">
        <v>9786</v>
      </c>
      <c r="K371" s="2" t="s">
        <v>1588</v>
      </c>
      <c r="L371" s="2" t="n">
        <v>0.43</v>
      </c>
      <c r="M371" s="2" t="n">
        <v>0.67</v>
      </c>
    </row>
    <row r="372" customFormat="false" ht="15" hidden="false" customHeight="false" outlineLevel="0" collapsed="false">
      <c r="A372" s="2" t="n">
        <v>370</v>
      </c>
      <c r="B372" s="2" t="s">
        <v>2221</v>
      </c>
      <c r="C372" s="2" t="n">
        <v>0</v>
      </c>
      <c r="D372" s="2" t="n">
        <v>0</v>
      </c>
      <c r="E372" s="2" t="s">
        <v>9787</v>
      </c>
      <c r="F372" s="2" t="s">
        <v>2332</v>
      </c>
      <c r="G372" s="2" t="s">
        <v>9788</v>
      </c>
      <c r="H372" s="2" t="s">
        <v>9789</v>
      </c>
      <c r="I372" s="2" t="s">
        <v>262</v>
      </c>
      <c r="J372" s="2" t="s">
        <v>9790</v>
      </c>
      <c r="K372" s="2" t="s">
        <v>1588</v>
      </c>
      <c r="L372" s="2" t="n">
        <v>0.25</v>
      </c>
      <c r="M372" s="2" t="n">
        <v>0.62</v>
      </c>
    </row>
    <row r="373" customFormat="false" ht="15" hidden="false" customHeight="false" outlineLevel="0" collapsed="false">
      <c r="A373" s="2" t="n">
        <v>371</v>
      </c>
      <c r="B373" s="2" t="s">
        <v>2221</v>
      </c>
      <c r="C373" s="2" t="n">
        <v>1</v>
      </c>
      <c r="D373" s="2" t="n">
        <v>0</v>
      </c>
      <c r="E373" s="2" t="s">
        <v>2342</v>
      </c>
      <c r="F373" s="2" t="s">
        <v>2343</v>
      </c>
      <c r="G373" s="2" t="s">
        <v>2344</v>
      </c>
      <c r="H373" s="2" t="s">
        <v>2345</v>
      </c>
      <c r="I373" s="2" t="s">
        <v>2346</v>
      </c>
      <c r="J373" s="2" t="s">
        <v>9791</v>
      </c>
      <c r="K373" s="2" t="s">
        <v>1588</v>
      </c>
      <c r="L373" s="2" t="n">
        <v>0.2</v>
      </c>
      <c r="M373" s="2" t="n">
        <v>0.64</v>
      </c>
    </row>
    <row r="374" customFormat="false" ht="15" hidden="false" customHeight="false" outlineLevel="0" collapsed="false">
      <c r="A374" s="2" t="n">
        <v>372</v>
      </c>
      <c r="B374" s="2" t="s">
        <v>2221</v>
      </c>
      <c r="C374" s="2" t="n">
        <v>0</v>
      </c>
      <c r="D374" s="2" t="n">
        <v>0</v>
      </c>
      <c r="E374" s="2" t="s">
        <v>9792</v>
      </c>
      <c r="F374" s="2" t="s">
        <v>9793</v>
      </c>
      <c r="G374" s="2" t="s">
        <v>9794</v>
      </c>
      <c r="H374" s="2" t="s">
        <v>9795</v>
      </c>
      <c r="I374" s="2" t="s">
        <v>1700</v>
      </c>
      <c r="J374" s="2" t="s">
        <v>9796</v>
      </c>
      <c r="K374" s="2" t="s">
        <v>1588</v>
      </c>
      <c r="L374" s="2" t="n">
        <v>0.22</v>
      </c>
      <c r="M374" s="2" t="n">
        <v>0.55</v>
      </c>
    </row>
    <row r="375" customFormat="false" ht="15" hidden="false" customHeight="false" outlineLevel="0" collapsed="false">
      <c r="A375" s="2" t="n">
        <v>373</v>
      </c>
      <c r="B375" s="2" t="s">
        <v>2221</v>
      </c>
      <c r="C375" s="2" t="n">
        <v>0</v>
      </c>
      <c r="D375" s="2" t="n">
        <v>0</v>
      </c>
      <c r="E375" s="2" t="s">
        <v>9797</v>
      </c>
      <c r="F375" s="2" t="s">
        <v>743</v>
      </c>
      <c r="G375" s="2" t="s">
        <v>9798</v>
      </c>
      <c r="H375" s="2" t="s">
        <v>6718</v>
      </c>
      <c r="I375" s="2" t="s">
        <v>1055</v>
      </c>
      <c r="J375" s="2" t="s">
        <v>9799</v>
      </c>
      <c r="K375" s="2" t="s">
        <v>68</v>
      </c>
      <c r="L375" s="2" t="n">
        <v>0.8</v>
      </c>
      <c r="M375" s="2" t="n">
        <v>0.71</v>
      </c>
    </row>
    <row r="376" customFormat="false" ht="15" hidden="false" customHeight="false" outlineLevel="0" collapsed="false">
      <c r="A376" s="2" t="n">
        <v>374</v>
      </c>
      <c r="B376" s="2" t="s">
        <v>2221</v>
      </c>
      <c r="C376" s="2" t="n">
        <v>0</v>
      </c>
      <c r="D376" s="2" t="n">
        <v>0</v>
      </c>
      <c r="E376" s="2" t="s">
        <v>9800</v>
      </c>
      <c r="F376" s="2" t="s">
        <v>2924</v>
      </c>
      <c r="G376" s="2" t="s">
        <v>9801</v>
      </c>
      <c r="H376" s="2" t="s">
        <v>696</v>
      </c>
      <c r="I376" s="2" t="s">
        <v>1055</v>
      </c>
      <c r="J376" s="2" t="s">
        <v>9802</v>
      </c>
      <c r="K376" s="2" t="s">
        <v>68</v>
      </c>
      <c r="L376" s="2" t="n">
        <v>0.67</v>
      </c>
      <c r="M376" s="2" t="n">
        <v>0.9</v>
      </c>
    </row>
    <row r="377" customFormat="false" ht="15" hidden="false" customHeight="false" outlineLevel="0" collapsed="false">
      <c r="A377" s="2" t="n">
        <v>375</v>
      </c>
      <c r="B377" s="2" t="s">
        <v>2221</v>
      </c>
      <c r="C377" s="2" t="n">
        <v>0</v>
      </c>
      <c r="D377" s="2" t="n">
        <v>0</v>
      </c>
      <c r="E377" s="2" t="s">
        <v>9803</v>
      </c>
      <c r="F377" s="2" t="s">
        <v>694</v>
      </c>
      <c r="G377" s="2" t="s">
        <v>9804</v>
      </c>
      <c r="H377" s="2" t="s">
        <v>6718</v>
      </c>
      <c r="I377" s="2" t="s">
        <v>3194</v>
      </c>
      <c r="J377" s="2" t="s">
        <v>9805</v>
      </c>
      <c r="K377" s="2" t="s">
        <v>1588</v>
      </c>
      <c r="L377" s="2" t="n">
        <v>0</v>
      </c>
      <c r="M377" s="2" t="n">
        <v>0.83</v>
      </c>
    </row>
    <row r="378" customFormat="false" ht="15" hidden="false" customHeight="false" outlineLevel="0" collapsed="false">
      <c r="A378" s="2" t="n">
        <v>376</v>
      </c>
      <c r="B378" s="2" t="s">
        <v>2221</v>
      </c>
      <c r="C378" s="2" t="n">
        <v>1</v>
      </c>
      <c r="D378" s="2" t="n">
        <v>1</v>
      </c>
      <c r="E378" s="2" t="s">
        <v>2351</v>
      </c>
      <c r="F378" s="2" t="s">
        <v>2352</v>
      </c>
      <c r="G378" s="2" t="s">
        <v>2353</v>
      </c>
      <c r="H378" s="2" t="s">
        <v>2354</v>
      </c>
      <c r="I378" s="2" t="s">
        <v>262</v>
      </c>
      <c r="J378" s="2" t="s">
        <v>9806</v>
      </c>
      <c r="K378" s="2" t="s">
        <v>507</v>
      </c>
      <c r="L378" s="2" t="n">
        <v>0.11</v>
      </c>
      <c r="M378" s="2" t="n">
        <v>0.25</v>
      </c>
    </row>
    <row r="379" customFormat="false" ht="15" hidden="false" customHeight="false" outlineLevel="0" collapsed="false">
      <c r="A379" s="2" t="n">
        <v>377</v>
      </c>
      <c r="B379" s="2" t="s">
        <v>2221</v>
      </c>
      <c r="C379" s="2" t="n">
        <v>1</v>
      </c>
      <c r="D379" s="2" t="n">
        <v>0</v>
      </c>
      <c r="E379" s="2" t="s">
        <v>2359</v>
      </c>
      <c r="F379" s="2" t="s">
        <v>2360</v>
      </c>
      <c r="G379" s="2" t="s">
        <v>2361</v>
      </c>
      <c r="H379" s="2" t="s">
        <v>1077</v>
      </c>
      <c r="I379" s="2" t="s">
        <v>1932</v>
      </c>
      <c r="J379" s="2" t="s">
        <v>9807</v>
      </c>
      <c r="K379" s="2" t="s">
        <v>1588</v>
      </c>
      <c r="L379" s="2" t="n">
        <v>0.31</v>
      </c>
      <c r="M379" s="2" t="n">
        <v>0.67</v>
      </c>
    </row>
    <row r="380" customFormat="false" ht="15" hidden="false" customHeight="false" outlineLevel="0" collapsed="false">
      <c r="A380" s="2" t="n">
        <v>378</v>
      </c>
      <c r="B380" s="2" t="s">
        <v>2221</v>
      </c>
      <c r="C380" s="2" t="n">
        <v>0</v>
      </c>
      <c r="D380" s="2" t="n">
        <v>0</v>
      </c>
      <c r="E380" s="2" t="s">
        <v>9808</v>
      </c>
      <c r="F380" s="2" t="s">
        <v>2343</v>
      </c>
      <c r="G380" s="2" t="s">
        <v>4993</v>
      </c>
      <c r="H380" s="2" t="s">
        <v>4994</v>
      </c>
      <c r="I380" s="2" t="s">
        <v>813</v>
      </c>
      <c r="J380" s="2" t="s">
        <v>9809</v>
      </c>
      <c r="K380" s="2" t="s">
        <v>507</v>
      </c>
      <c r="L380" s="2" t="n">
        <v>0.18</v>
      </c>
      <c r="M380" s="2" t="n">
        <v>0.82</v>
      </c>
    </row>
    <row r="381" customFormat="false" ht="15" hidden="false" customHeight="false" outlineLevel="0" collapsed="false">
      <c r="A381" s="2" t="n">
        <v>379</v>
      </c>
      <c r="B381" s="2" t="s">
        <v>2221</v>
      </c>
      <c r="C381" s="2" t="n">
        <v>0</v>
      </c>
      <c r="D381" s="2" t="n">
        <v>0</v>
      </c>
      <c r="E381" s="2" t="s">
        <v>9810</v>
      </c>
      <c r="F381" s="2" t="s">
        <v>2367</v>
      </c>
      <c r="G381" s="2" t="s">
        <v>9811</v>
      </c>
      <c r="H381" s="2" t="s">
        <v>9812</v>
      </c>
      <c r="I381" s="2" t="s">
        <v>1774</v>
      </c>
      <c r="J381" s="2" t="s">
        <v>9813</v>
      </c>
      <c r="K381" s="2" t="s">
        <v>1588</v>
      </c>
      <c r="L381" s="2" t="n">
        <v>0.11</v>
      </c>
      <c r="M381" s="2" t="n">
        <v>0.67</v>
      </c>
    </row>
    <row r="382" customFormat="false" ht="15" hidden="false" customHeight="false" outlineLevel="0" collapsed="false">
      <c r="A382" s="2" t="n">
        <v>380</v>
      </c>
      <c r="B382" s="2" t="s">
        <v>2221</v>
      </c>
      <c r="C382" s="2" t="n">
        <v>0</v>
      </c>
      <c r="D382" s="2" t="n">
        <v>0</v>
      </c>
      <c r="E382" s="2" t="s">
        <v>9814</v>
      </c>
      <c r="F382" s="2" t="s">
        <v>9815</v>
      </c>
      <c r="G382" s="2" t="s">
        <v>9816</v>
      </c>
      <c r="H382" s="2" t="s">
        <v>2567</v>
      </c>
      <c r="I382" s="2" t="s">
        <v>1654</v>
      </c>
      <c r="J382" s="2" t="s">
        <v>9817</v>
      </c>
      <c r="K382" s="2" t="s">
        <v>1588</v>
      </c>
      <c r="L382" s="2" t="n">
        <v>0.14</v>
      </c>
      <c r="M382" s="2" t="n">
        <v>0.56</v>
      </c>
    </row>
    <row r="383" customFormat="false" ht="15" hidden="false" customHeight="false" outlineLevel="0" collapsed="false">
      <c r="A383" s="2" t="n">
        <v>381</v>
      </c>
      <c r="B383" s="2" t="s">
        <v>2221</v>
      </c>
      <c r="C383" s="2" t="n">
        <v>0</v>
      </c>
      <c r="D383" s="2" t="n">
        <v>0</v>
      </c>
      <c r="E383" s="2" t="s">
        <v>9818</v>
      </c>
      <c r="F383" s="2" t="s">
        <v>803</v>
      </c>
      <c r="G383" s="2" t="s">
        <v>9819</v>
      </c>
      <c r="H383" s="2" t="s">
        <v>9795</v>
      </c>
      <c r="I383" s="2" t="s">
        <v>813</v>
      </c>
      <c r="J383" s="2" t="s">
        <v>9820</v>
      </c>
      <c r="K383" s="2" t="s">
        <v>160</v>
      </c>
      <c r="L383" s="2" t="n">
        <v>0.4</v>
      </c>
      <c r="M383" s="2" t="n">
        <v>1</v>
      </c>
    </row>
    <row r="384" customFormat="false" ht="15" hidden="false" customHeight="false" outlineLevel="0" collapsed="false">
      <c r="A384" s="2" t="n">
        <v>382</v>
      </c>
      <c r="B384" s="2" t="s">
        <v>2221</v>
      </c>
      <c r="C384" s="2" t="n">
        <v>1</v>
      </c>
      <c r="D384" s="2" t="n">
        <v>1</v>
      </c>
      <c r="E384" s="2" t="s">
        <v>2366</v>
      </c>
      <c r="F384" s="2" t="s">
        <v>2367</v>
      </c>
      <c r="G384" s="2" t="s">
        <v>2368</v>
      </c>
      <c r="H384" s="2" t="s">
        <v>2369</v>
      </c>
      <c r="I384" s="2" t="s">
        <v>2370</v>
      </c>
      <c r="J384" s="2" t="s">
        <v>9821</v>
      </c>
      <c r="K384" s="2" t="s">
        <v>507</v>
      </c>
      <c r="L384" s="2" t="n">
        <v>0.15</v>
      </c>
      <c r="M384" s="2" t="n">
        <v>0.78</v>
      </c>
    </row>
    <row r="385" customFormat="false" ht="15" hidden="false" customHeight="false" outlineLevel="0" collapsed="false">
      <c r="A385" s="2" t="n">
        <v>383</v>
      </c>
      <c r="B385" s="2" t="s">
        <v>2221</v>
      </c>
      <c r="C385" s="2" t="n">
        <v>6</v>
      </c>
      <c r="D385" s="2" t="n">
        <v>2</v>
      </c>
      <c r="E385" s="2" t="s">
        <v>2375</v>
      </c>
      <c r="F385" s="2" t="s">
        <v>2376</v>
      </c>
      <c r="G385" s="2" t="s">
        <v>2377</v>
      </c>
      <c r="H385" s="2" t="s">
        <v>2378</v>
      </c>
      <c r="I385" s="2" t="s">
        <v>2379</v>
      </c>
      <c r="J385" s="2" t="s">
        <v>9822</v>
      </c>
      <c r="K385" s="2" t="s">
        <v>1588</v>
      </c>
      <c r="L385" s="2" t="n">
        <v>0.23</v>
      </c>
      <c r="M385" s="2" t="n">
        <v>0.71</v>
      </c>
    </row>
    <row r="386" customFormat="false" ht="15" hidden="false" customHeight="false" outlineLevel="0" collapsed="false">
      <c r="A386" s="2" t="n">
        <v>384</v>
      </c>
      <c r="B386" s="2" t="s">
        <v>2221</v>
      </c>
      <c r="C386" s="2" t="n">
        <v>0</v>
      </c>
      <c r="D386" s="2" t="n">
        <v>0</v>
      </c>
      <c r="E386" s="2" t="s">
        <v>9823</v>
      </c>
      <c r="F386" s="2" t="s">
        <v>2378</v>
      </c>
      <c r="G386" s="2" t="s">
        <v>5007</v>
      </c>
      <c r="H386" s="2" t="s">
        <v>2567</v>
      </c>
      <c r="I386" s="2" t="s">
        <v>301</v>
      </c>
      <c r="J386" s="2" t="s">
        <v>9824</v>
      </c>
      <c r="K386" s="2" t="s">
        <v>1588</v>
      </c>
      <c r="L386" s="2" t="n">
        <v>0.09</v>
      </c>
      <c r="M386" s="2" t="n">
        <v>1</v>
      </c>
    </row>
    <row r="387" customFormat="false" ht="15" hidden="false" customHeight="false" outlineLevel="0" collapsed="false">
      <c r="A387" s="2" t="n">
        <v>385</v>
      </c>
      <c r="B387" s="2" t="s">
        <v>2221</v>
      </c>
      <c r="C387" s="2" t="n">
        <v>4</v>
      </c>
      <c r="D387" s="2" t="n">
        <v>0</v>
      </c>
      <c r="E387" s="2" t="s">
        <v>2397</v>
      </c>
      <c r="F387" s="2" t="s">
        <v>659</v>
      </c>
      <c r="G387" s="2" t="s">
        <v>2398</v>
      </c>
      <c r="H387" s="2" t="s">
        <v>661</v>
      </c>
      <c r="I387" s="2" t="s">
        <v>2399</v>
      </c>
      <c r="J387" s="2" t="s">
        <v>9825</v>
      </c>
      <c r="K387" s="2" t="s">
        <v>68</v>
      </c>
      <c r="L387" s="2" t="n">
        <v>0.62</v>
      </c>
      <c r="M387" s="2" t="n">
        <v>0.6</v>
      </c>
    </row>
    <row r="388" customFormat="false" ht="15" hidden="false" customHeight="false" outlineLevel="0" collapsed="false">
      <c r="A388" s="2" t="n">
        <v>386</v>
      </c>
      <c r="B388" s="2" t="s">
        <v>2221</v>
      </c>
      <c r="C388" s="2" t="n">
        <v>5</v>
      </c>
      <c r="D388" s="2" t="n">
        <v>0</v>
      </c>
      <c r="E388" s="2" t="s">
        <v>2413</v>
      </c>
      <c r="F388" s="2" t="s">
        <v>659</v>
      </c>
      <c r="G388" s="2" t="s">
        <v>2414</v>
      </c>
      <c r="H388" s="2" t="s">
        <v>661</v>
      </c>
      <c r="I388" s="2" t="s">
        <v>1397</v>
      </c>
      <c r="J388" s="2" t="s">
        <v>9826</v>
      </c>
      <c r="K388" s="2" t="s">
        <v>160</v>
      </c>
      <c r="L388" s="2" t="n">
        <v>0.44</v>
      </c>
      <c r="M388" s="2" t="n">
        <v>0.62</v>
      </c>
    </row>
    <row r="389" customFormat="false" ht="15" hidden="false" customHeight="false" outlineLevel="0" collapsed="false">
      <c r="A389" s="2" t="n">
        <v>387</v>
      </c>
      <c r="B389" s="2" t="s">
        <v>2221</v>
      </c>
      <c r="C389" s="2" t="n">
        <v>4</v>
      </c>
      <c r="D389" s="2" t="n">
        <v>0</v>
      </c>
      <c r="E389" s="2" t="s">
        <v>2429</v>
      </c>
      <c r="F389" s="2" t="s">
        <v>659</v>
      </c>
      <c r="G389" s="2" t="s">
        <v>2430</v>
      </c>
      <c r="H389" s="2" t="s">
        <v>661</v>
      </c>
      <c r="I389" s="2" t="s">
        <v>2431</v>
      </c>
      <c r="J389" s="2" t="s">
        <v>9827</v>
      </c>
      <c r="K389" s="2" t="s">
        <v>1588</v>
      </c>
      <c r="L389" s="2" t="n">
        <v>0</v>
      </c>
      <c r="M389" s="2" t="n">
        <v>0.89</v>
      </c>
    </row>
    <row r="390" customFormat="false" ht="15" hidden="false" customHeight="false" outlineLevel="0" collapsed="false">
      <c r="A390" s="2" t="n">
        <v>388</v>
      </c>
      <c r="B390" s="2" t="s">
        <v>2221</v>
      </c>
      <c r="C390" s="2" t="n">
        <v>0</v>
      </c>
      <c r="D390" s="2" t="n">
        <v>0</v>
      </c>
      <c r="E390" s="2" t="s">
        <v>9828</v>
      </c>
      <c r="F390" s="2" t="s">
        <v>659</v>
      </c>
      <c r="G390" s="2" t="s">
        <v>5021</v>
      </c>
      <c r="H390" s="2" t="s">
        <v>2449</v>
      </c>
      <c r="I390" s="2" t="s">
        <v>1840</v>
      </c>
      <c r="J390" s="2" t="s">
        <v>9829</v>
      </c>
      <c r="K390" s="2" t="s">
        <v>1588</v>
      </c>
      <c r="L390" s="2" t="n">
        <v>0.4</v>
      </c>
      <c r="M390" s="2" t="n">
        <v>0.67</v>
      </c>
    </row>
    <row r="391" customFormat="false" ht="15" hidden="false" customHeight="false" outlineLevel="0" collapsed="false">
      <c r="A391" s="2" t="n">
        <v>389</v>
      </c>
      <c r="B391" s="2" t="s">
        <v>2221</v>
      </c>
      <c r="C391" s="2" t="n">
        <v>1</v>
      </c>
      <c r="D391" s="2" t="n">
        <v>0</v>
      </c>
      <c r="E391" s="2" t="s">
        <v>2448</v>
      </c>
      <c r="F391" s="2" t="s">
        <v>2449</v>
      </c>
      <c r="G391" s="2" t="s">
        <v>2450</v>
      </c>
      <c r="H391" s="2" t="s">
        <v>2451</v>
      </c>
      <c r="I391" s="2" t="s">
        <v>1932</v>
      </c>
      <c r="J391" s="2" t="s">
        <v>9830</v>
      </c>
      <c r="K391" s="2" t="s">
        <v>1588</v>
      </c>
      <c r="L391" s="2" t="n">
        <v>0.43</v>
      </c>
      <c r="M391" s="2" t="n">
        <v>0.7</v>
      </c>
    </row>
    <row r="392" customFormat="false" ht="15" hidden="false" customHeight="false" outlineLevel="0" collapsed="false">
      <c r="A392" s="2" t="n">
        <v>390</v>
      </c>
      <c r="B392" s="2" t="s">
        <v>2452</v>
      </c>
      <c r="C392" s="2" t="n">
        <v>0</v>
      </c>
      <c r="D392" s="2" t="n">
        <v>0</v>
      </c>
      <c r="E392" s="2" t="s">
        <v>9831</v>
      </c>
      <c r="F392" s="2" t="s">
        <v>2496</v>
      </c>
      <c r="G392" s="2" t="s">
        <v>9832</v>
      </c>
      <c r="H392" s="2" t="s">
        <v>2601</v>
      </c>
      <c r="I392" s="2" t="s">
        <v>246</v>
      </c>
      <c r="J392" s="2" t="s">
        <v>9833</v>
      </c>
      <c r="K392" s="2" t="s">
        <v>1588</v>
      </c>
      <c r="L392" s="2" t="n">
        <v>0.17</v>
      </c>
      <c r="M392" s="2" t="n">
        <v>0.71</v>
      </c>
    </row>
    <row r="393" customFormat="false" ht="15" hidden="false" customHeight="false" outlineLevel="0" collapsed="false">
      <c r="A393" s="2" t="n">
        <v>391</v>
      </c>
      <c r="B393" s="2" t="s">
        <v>2452</v>
      </c>
      <c r="C393" s="2" t="n">
        <v>0</v>
      </c>
      <c r="D393" s="2" t="n">
        <v>0</v>
      </c>
      <c r="E393" s="2" t="s">
        <v>9834</v>
      </c>
      <c r="F393" s="2" t="s">
        <v>2601</v>
      </c>
      <c r="G393" s="2" t="s">
        <v>9835</v>
      </c>
      <c r="H393" s="2" t="s">
        <v>965</v>
      </c>
      <c r="I393" s="2" t="s">
        <v>538</v>
      </c>
      <c r="J393" s="2" t="s">
        <v>9836</v>
      </c>
      <c r="K393" s="2" t="s">
        <v>1588</v>
      </c>
      <c r="L393" s="2" t="n">
        <v>0.1</v>
      </c>
      <c r="M393" s="2" t="n">
        <v>0.67</v>
      </c>
    </row>
    <row r="394" customFormat="false" ht="15" hidden="false" customHeight="false" outlineLevel="0" collapsed="false">
      <c r="A394" s="2" t="n">
        <v>392</v>
      </c>
      <c r="B394" s="2" t="s">
        <v>2452</v>
      </c>
      <c r="C394" s="2" t="n">
        <v>0</v>
      </c>
      <c r="D394" s="2" t="n">
        <v>0</v>
      </c>
      <c r="E394" s="2" t="s">
        <v>9837</v>
      </c>
      <c r="F394" s="2" t="s">
        <v>963</v>
      </c>
      <c r="G394" s="2" t="s">
        <v>9838</v>
      </c>
      <c r="H394" s="2" t="s">
        <v>420</v>
      </c>
      <c r="I394" s="2" t="s">
        <v>2825</v>
      </c>
      <c r="J394" s="2" t="s">
        <v>9839</v>
      </c>
      <c r="K394" s="2" t="s">
        <v>1588</v>
      </c>
      <c r="L394" s="2" t="n">
        <v>0.09</v>
      </c>
      <c r="M394" s="2" t="n">
        <v>0.73</v>
      </c>
    </row>
    <row r="395" customFormat="false" ht="15" hidden="false" customHeight="false" outlineLevel="0" collapsed="false">
      <c r="A395" s="2" t="n">
        <v>393</v>
      </c>
      <c r="B395" s="2" t="s">
        <v>2452</v>
      </c>
      <c r="C395" s="2" t="n">
        <v>1</v>
      </c>
      <c r="D395" s="2" t="n">
        <v>0</v>
      </c>
      <c r="E395" s="2" t="s">
        <v>2457</v>
      </c>
      <c r="F395" s="2" t="s">
        <v>803</v>
      </c>
      <c r="G395" s="2" t="s">
        <v>2458</v>
      </c>
      <c r="H395" s="2" t="s">
        <v>2459</v>
      </c>
      <c r="I395" s="2" t="s">
        <v>1793</v>
      </c>
      <c r="J395" s="2" t="s">
        <v>9840</v>
      </c>
      <c r="K395" s="2" t="s">
        <v>1588</v>
      </c>
      <c r="L395" s="2" t="n">
        <v>0.29</v>
      </c>
      <c r="M395" s="2" t="n">
        <v>1</v>
      </c>
    </row>
    <row r="396" customFormat="false" ht="15" hidden="false" customHeight="false" outlineLevel="0" collapsed="false">
      <c r="A396" s="2" t="n">
        <v>394</v>
      </c>
      <c r="B396" s="2" t="s">
        <v>2452</v>
      </c>
      <c r="C396" s="2" t="n">
        <v>4</v>
      </c>
      <c r="D396" s="2" t="n">
        <v>0</v>
      </c>
      <c r="E396" s="2" t="s">
        <v>2467</v>
      </c>
      <c r="F396" s="2" t="s">
        <v>2468</v>
      </c>
      <c r="G396" s="2" t="s">
        <v>2469</v>
      </c>
      <c r="H396" s="2" t="s">
        <v>2470</v>
      </c>
      <c r="I396" s="2" t="s">
        <v>1793</v>
      </c>
      <c r="J396" s="2" t="s">
        <v>9841</v>
      </c>
      <c r="K396" s="2" t="s">
        <v>68</v>
      </c>
      <c r="L396" s="2" t="n">
        <v>0.71</v>
      </c>
      <c r="M396" s="2" t="n">
        <v>0.86</v>
      </c>
    </row>
    <row r="397" customFormat="false" ht="15" hidden="false" customHeight="false" outlineLevel="0" collapsed="false">
      <c r="A397" s="2" t="n">
        <v>395</v>
      </c>
      <c r="B397" s="2" t="s">
        <v>2452</v>
      </c>
      <c r="C397" s="2" t="n">
        <v>2</v>
      </c>
      <c r="D397" s="2" t="n">
        <v>0</v>
      </c>
      <c r="E397" s="2" t="s">
        <v>2486</v>
      </c>
      <c r="F397" s="2" t="s">
        <v>2470</v>
      </c>
      <c r="G397" s="2" t="s">
        <v>2487</v>
      </c>
      <c r="H397" s="2" t="s">
        <v>2488</v>
      </c>
      <c r="I397" s="2" t="s">
        <v>2489</v>
      </c>
      <c r="J397" s="2" t="s">
        <v>9842</v>
      </c>
      <c r="K397" s="2" t="s">
        <v>1588</v>
      </c>
      <c r="L397" s="2" t="n">
        <v>0.33</v>
      </c>
      <c r="M397" s="2" t="n">
        <v>0.57</v>
      </c>
    </row>
    <row r="398" customFormat="false" ht="15" hidden="false" customHeight="false" outlineLevel="0" collapsed="false">
      <c r="A398" s="2" t="n">
        <v>396</v>
      </c>
      <c r="B398" s="2" t="s">
        <v>2452</v>
      </c>
      <c r="C398" s="2" t="n">
        <v>0</v>
      </c>
      <c r="D398" s="2" t="n">
        <v>0</v>
      </c>
      <c r="E398" s="2" t="s">
        <v>9843</v>
      </c>
      <c r="F398" s="2" t="s">
        <v>2533</v>
      </c>
      <c r="G398" s="2" t="s">
        <v>9844</v>
      </c>
      <c r="H398" s="2" t="s">
        <v>2451</v>
      </c>
      <c r="I398" s="2" t="s">
        <v>1217</v>
      </c>
      <c r="J398" s="2" t="s">
        <v>9845</v>
      </c>
      <c r="K398" s="2" t="s">
        <v>1588</v>
      </c>
      <c r="L398" s="2" t="n">
        <v>0</v>
      </c>
      <c r="M398" s="2" t="n">
        <v>0.44</v>
      </c>
    </row>
    <row r="399" customFormat="false" ht="15" hidden="false" customHeight="false" outlineLevel="0" collapsed="false">
      <c r="A399" s="2" t="n">
        <v>397</v>
      </c>
      <c r="B399" s="2" t="s">
        <v>2452</v>
      </c>
      <c r="C399" s="2" t="n">
        <v>2</v>
      </c>
      <c r="D399" s="2" t="n">
        <v>1</v>
      </c>
      <c r="E399" s="2" t="s">
        <v>2495</v>
      </c>
      <c r="F399" s="2" t="s">
        <v>2496</v>
      </c>
      <c r="G399" s="2" t="s">
        <v>2497</v>
      </c>
      <c r="H399" s="2" t="s">
        <v>2449</v>
      </c>
      <c r="I399" s="2" t="s">
        <v>1972</v>
      </c>
      <c r="J399" s="2" t="s">
        <v>9846</v>
      </c>
      <c r="K399" s="2" t="s">
        <v>1588</v>
      </c>
      <c r="L399" s="2" t="n">
        <v>0.17</v>
      </c>
      <c r="M399" s="2" t="n">
        <v>1</v>
      </c>
    </row>
    <row r="400" customFormat="false" ht="15" hidden="false" customHeight="false" outlineLevel="0" collapsed="false">
      <c r="A400" s="2" t="n">
        <v>398</v>
      </c>
      <c r="B400" s="2" t="s">
        <v>2452</v>
      </c>
      <c r="C400" s="2" t="n">
        <v>0</v>
      </c>
      <c r="D400" s="2" t="n">
        <v>0</v>
      </c>
      <c r="E400" s="2" t="s">
        <v>9847</v>
      </c>
      <c r="F400" s="2" t="s">
        <v>2449</v>
      </c>
      <c r="G400" s="2" t="s">
        <v>9848</v>
      </c>
      <c r="H400" s="2" t="s">
        <v>2378</v>
      </c>
      <c r="I400" s="2" t="s">
        <v>115</v>
      </c>
      <c r="J400" s="2" t="s">
        <v>9849</v>
      </c>
      <c r="K400" s="2" t="s">
        <v>1588</v>
      </c>
      <c r="L400" s="2" t="n">
        <v>0.3</v>
      </c>
      <c r="M400" s="2" t="n">
        <v>0.83</v>
      </c>
    </row>
    <row r="401" customFormat="false" ht="15" hidden="false" customHeight="false" outlineLevel="0" collapsed="false">
      <c r="A401" s="2" t="n">
        <v>399</v>
      </c>
      <c r="B401" s="2" t="s">
        <v>2452</v>
      </c>
      <c r="C401" s="2" t="n">
        <v>3</v>
      </c>
      <c r="D401" s="2" t="n">
        <v>0</v>
      </c>
      <c r="E401" s="2" t="s">
        <v>2504</v>
      </c>
      <c r="F401" s="2" t="s">
        <v>2378</v>
      </c>
      <c r="G401" s="2" t="s">
        <v>2505</v>
      </c>
      <c r="H401" s="2" t="s">
        <v>2449</v>
      </c>
      <c r="I401" s="2" t="s">
        <v>2506</v>
      </c>
      <c r="J401" s="2" t="s">
        <v>9850</v>
      </c>
      <c r="K401" s="2" t="s">
        <v>1588</v>
      </c>
      <c r="L401" s="2" t="n">
        <v>0.08</v>
      </c>
      <c r="M401" s="2" t="n">
        <v>0.8</v>
      </c>
    </row>
    <row r="402" customFormat="false" ht="15" hidden="false" customHeight="false" outlineLevel="0" collapsed="false">
      <c r="A402" s="2" t="n">
        <v>400</v>
      </c>
      <c r="B402" s="2" t="s">
        <v>2452</v>
      </c>
      <c r="C402" s="2" t="n">
        <v>0</v>
      </c>
      <c r="D402" s="2" t="n">
        <v>0</v>
      </c>
      <c r="E402" s="2" t="s">
        <v>9851</v>
      </c>
      <c r="F402" s="2" t="s">
        <v>2449</v>
      </c>
      <c r="G402" s="2" t="s">
        <v>9852</v>
      </c>
      <c r="H402" s="2" t="s">
        <v>2451</v>
      </c>
      <c r="I402" s="2" t="s">
        <v>1654</v>
      </c>
      <c r="J402" s="2" t="s">
        <v>9853</v>
      </c>
      <c r="K402" s="2" t="s">
        <v>1588</v>
      </c>
      <c r="L402" s="2" t="n">
        <v>0.22</v>
      </c>
      <c r="M402" s="2" t="n">
        <v>0.67</v>
      </c>
    </row>
    <row r="403" customFormat="false" ht="15" hidden="false" customHeight="false" outlineLevel="0" collapsed="false">
      <c r="A403" s="2" t="n">
        <v>401</v>
      </c>
      <c r="B403" s="2" t="s">
        <v>2452</v>
      </c>
      <c r="C403" s="2" t="n">
        <v>1</v>
      </c>
      <c r="D403" s="2" t="n">
        <v>1</v>
      </c>
      <c r="E403" s="2" t="s">
        <v>2518</v>
      </c>
      <c r="F403" s="2" t="s">
        <v>2496</v>
      </c>
      <c r="G403" s="2" t="s">
        <v>2519</v>
      </c>
      <c r="H403" s="2" t="s">
        <v>2520</v>
      </c>
      <c r="I403" s="2" t="s">
        <v>262</v>
      </c>
      <c r="J403" s="2" t="s">
        <v>9854</v>
      </c>
      <c r="K403" s="2" t="s">
        <v>1588</v>
      </c>
      <c r="L403" s="2" t="n">
        <v>0.08</v>
      </c>
      <c r="M403" s="2" t="n">
        <v>0.78</v>
      </c>
    </row>
    <row r="404" customFormat="false" ht="15" hidden="false" customHeight="false" outlineLevel="0" collapsed="false">
      <c r="A404" s="2" t="n">
        <v>402</v>
      </c>
      <c r="B404" s="2" t="s">
        <v>2452</v>
      </c>
      <c r="C404" s="2" t="n">
        <v>1</v>
      </c>
      <c r="D404" s="2" t="n">
        <v>0</v>
      </c>
      <c r="E404" s="2" t="s">
        <v>2525</v>
      </c>
      <c r="F404" s="2" t="s">
        <v>2520</v>
      </c>
      <c r="G404" s="2" t="s">
        <v>2526</v>
      </c>
      <c r="H404" s="2" t="s">
        <v>2449</v>
      </c>
      <c r="I404" s="2" t="s">
        <v>262</v>
      </c>
      <c r="J404" s="2" t="s">
        <v>9855</v>
      </c>
      <c r="K404" s="2" t="s">
        <v>68</v>
      </c>
      <c r="L404" s="2" t="n">
        <v>0.82</v>
      </c>
      <c r="M404" s="2" t="n">
        <v>0.92</v>
      </c>
    </row>
    <row r="405" customFormat="false" ht="15" hidden="false" customHeight="false" outlineLevel="0" collapsed="false">
      <c r="A405" s="2" t="n">
        <v>403</v>
      </c>
      <c r="B405" s="2" t="s">
        <v>2452</v>
      </c>
      <c r="C405" s="2" t="n">
        <v>1</v>
      </c>
      <c r="D405" s="2" t="n">
        <v>0</v>
      </c>
      <c r="E405" s="2" t="s">
        <v>2529</v>
      </c>
      <c r="F405" s="2" t="s">
        <v>2449</v>
      </c>
      <c r="G405" s="2" t="s">
        <v>2530</v>
      </c>
      <c r="H405" s="2" t="s">
        <v>2488</v>
      </c>
      <c r="I405" s="2" t="s">
        <v>262</v>
      </c>
      <c r="J405" s="2" t="s">
        <v>9856</v>
      </c>
      <c r="K405" s="2" t="s">
        <v>68</v>
      </c>
      <c r="L405" s="2" t="n">
        <v>0.8</v>
      </c>
      <c r="M405" s="2" t="n">
        <v>1</v>
      </c>
    </row>
    <row r="406" customFormat="false" ht="15" hidden="false" customHeight="false" outlineLevel="0" collapsed="false">
      <c r="A406" s="2" t="n">
        <v>404</v>
      </c>
      <c r="B406" s="2" t="s">
        <v>2452</v>
      </c>
      <c r="C406" s="2" t="n">
        <v>1</v>
      </c>
      <c r="D406" s="2" t="n">
        <v>0</v>
      </c>
      <c r="E406" s="2" t="s">
        <v>2532</v>
      </c>
      <c r="F406" s="2" t="s">
        <v>2533</v>
      </c>
      <c r="G406" s="2" t="s">
        <v>2534</v>
      </c>
      <c r="H406" s="2" t="s">
        <v>2535</v>
      </c>
      <c r="I406" s="2" t="s">
        <v>262</v>
      </c>
      <c r="J406" s="2" t="s">
        <v>9857</v>
      </c>
      <c r="K406" s="2" t="s">
        <v>68</v>
      </c>
      <c r="L406" s="2" t="n">
        <v>0.5</v>
      </c>
      <c r="M406" s="2" t="n">
        <v>0.9</v>
      </c>
    </row>
    <row r="407" customFormat="false" ht="15" hidden="false" customHeight="false" outlineLevel="0" collapsed="false">
      <c r="A407" s="2" t="n">
        <v>405</v>
      </c>
      <c r="B407" s="2" t="s">
        <v>2452</v>
      </c>
      <c r="C407" s="2" t="n">
        <v>1</v>
      </c>
      <c r="D407" s="2" t="n">
        <v>0</v>
      </c>
      <c r="E407" s="2" t="s">
        <v>2538</v>
      </c>
      <c r="F407" s="2" t="s">
        <v>2539</v>
      </c>
      <c r="G407" s="2" t="s">
        <v>2540</v>
      </c>
      <c r="H407" s="2" t="s">
        <v>2378</v>
      </c>
      <c r="I407" s="2" t="s">
        <v>421</v>
      </c>
      <c r="J407" s="2" t="s">
        <v>9858</v>
      </c>
      <c r="K407" s="2" t="s">
        <v>1588</v>
      </c>
      <c r="L407" s="2" t="n">
        <v>0.4</v>
      </c>
      <c r="M407" s="2" t="n">
        <v>0.8</v>
      </c>
    </row>
    <row r="408" customFormat="false" ht="15" hidden="false" customHeight="false" outlineLevel="0" collapsed="false">
      <c r="A408" s="2" t="n">
        <v>406</v>
      </c>
      <c r="B408" s="2" t="s">
        <v>2452</v>
      </c>
      <c r="C408" s="2" t="n">
        <v>0</v>
      </c>
      <c r="D408" s="2" t="n">
        <v>0</v>
      </c>
      <c r="E408" s="2" t="s">
        <v>9859</v>
      </c>
      <c r="F408" s="2" t="s">
        <v>2378</v>
      </c>
      <c r="G408" s="2" t="s">
        <v>5055</v>
      </c>
      <c r="H408" s="2" t="s">
        <v>745</v>
      </c>
      <c r="I408" s="2" t="s">
        <v>3023</v>
      </c>
      <c r="J408" s="2" t="s">
        <v>9860</v>
      </c>
      <c r="K408" s="2" t="s">
        <v>68</v>
      </c>
      <c r="L408" s="2" t="n">
        <v>0.7</v>
      </c>
      <c r="M408" s="2" t="n">
        <v>0.7</v>
      </c>
    </row>
    <row r="409" customFormat="false" ht="15" hidden="false" customHeight="false" outlineLevel="0" collapsed="false">
      <c r="A409" s="2" t="n">
        <v>407</v>
      </c>
      <c r="B409" s="2" t="s">
        <v>2452</v>
      </c>
      <c r="C409" s="2" t="n">
        <v>1</v>
      </c>
      <c r="D409" s="2" t="n">
        <v>0</v>
      </c>
      <c r="E409" s="2" t="s">
        <v>2543</v>
      </c>
      <c r="F409" s="2" t="s">
        <v>743</v>
      </c>
      <c r="G409" s="2" t="s">
        <v>2544</v>
      </c>
      <c r="H409" s="2" t="s">
        <v>2535</v>
      </c>
      <c r="I409" s="2" t="s">
        <v>262</v>
      </c>
      <c r="J409" s="2" t="s">
        <v>9861</v>
      </c>
      <c r="K409" s="2" t="s">
        <v>68</v>
      </c>
      <c r="L409" s="2" t="n">
        <v>0.57</v>
      </c>
      <c r="M409" s="2" t="n">
        <v>0.6</v>
      </c>
    </row>
    <row r="410" customFormat="false" ht="15" hidden="false" customHeight="false" outlineLevel="0" collapsed="false">
      <c r="A410" s="2" t="n">
        <v>408</v>
      </c>
      <c r="B410" s="2" t="s">
        <v>2452</v>
      </c>
      <c r="C410" s="2" t="n">
        <v>1</v>
      </c>
      <c r="D410" s="2" t="n">
        <v>0</v>
      </c>
      <c r="E410" s="2" t="s">
        <v>2546</v>
      </c>
      <c r="F410" s="2" t="s">
        <v>2539</v>
      </c>
      <c r="G410" s="2" t="s">
        <v>2547</v>
      </c>
      <c r="H410" s="2" t="s">
        <v>2449</v>
      </c>
      <c r="I410" s="2" t="s">
        <v>1365</v>
      </c>
      <c r="J410" s="2" t="s">
        <v>9862</v>
      </c>
      <c r="K410" s="2" t="s">
        <v>68</v>
      </c>
      <c r="L410" s="2" t="n">
        <v>0.64</v>
      </c>
      <c r="M410" s="2" t="n">
        <v>1</v>
      </c>
    </row>
    <row r="411" customFormat="false" ht="15" hidden="false" customHeight="false" outlineLevel="0" collapsed="false">
      <c r="A411" s="2" t="n">
        <v>409</v>
      </c>
      <c r="B411" s="2" t="s">
        <v>2452</v>
      </c>
      <c r="C411" s="2" t="n">
        <v>1</v>
      </c>
      <c r="D411" s="2" t="n">
        <v>0</v>
      </c>
      <c r="E411" s="2" t="s">
        <v>2549</v>
      </c>
      <c r="F411" s="2" t="s">
        <v>2449</v>
      </c>
      <c r="G411" s="2" t="s">
        <v>2550</v>
      </c>
      <c r="H411" s="2" t="s">
        <v>2535</v>
      </c>
      <c r="I411" s="2" t="s">
        <v>421</v>
      </c>
      <c r="J411" s="2" t="s">
        <v>9863</v>
      </c>
      <c r="K411" s="2" t="s">
        <v>68</v>
      </c>
      <c r="L411" s="2" t="n">
        <v>0.64</v>
      </c>
      <c r="M411" s="2" t="n">
        <v>0.82</v>
      </c>
    </row>
    <row r="412" customFormat="false" ht="15" hidden="false" customHeight="false" outlineLevel="0" collapsed="false">
      <c r="A412" s="2" t="n">
        <v>410</v>
      </c>
      <c r="B412" s="2" t="s">
        <v>2452</v>
      </c>
      <c r="C412" s="2" t="n">
        <v>1</v>
      </c>
      <c r="D412" s="2" t="n">
        <v>0</v>
      </c>
      <c r="E412" s="2" t="s">
        <v>2554</v>
      </c>
      <c r="F412" s="2" t="s">
        <v>2539</v>
      </c>
      <c r="G412" s="2" t="s">
        <v>2555</v>
      </c>
      <c r="H412" s="2" t="s">
        <v>2459</v>
      </c>
      <c r="I412" s="2" t="s">
        <v>1875</v>
      </c>
      <c r="J412" s="2" t="s">
        <v>9864</v>
      </c>
      <c r="K412" s="2" t="s">
        <v>68</v>
      </c>
      <c r="L412" s="2" t="n">
        <v>0.56</v>
      </c>
      <c r="M412" s="2" t="n">
        <v>1</v>
      </c>
    </row>
    <row r="413" customFormat="false" ht="15" hidden="false" customHeight="false" outlineLevel="0" collapsed="false">
      <c r="A413" s="2" t="n">
        <v>411</v>
      </c>
      <c r="B413" s="2" t="s">
        <v>2452</v>
      </c>
      <c r="C413" s="2" t="n">
        <v>1</v>
      </c>
      <c r="D413" s="2" t="n">
        <v>0</v>
      </c>
      <c r="E413" s="2" t="s">
        <v>2559</v>
      </c>
      <c r="F413" s="2" t="s">
        <v>2468</v>
      </c>
      <c r="G413" s="2" t="s">
        <v>2560</v>
      </c>
      <c r="H413" s="2" t="s">
        <v>2561</v>
      </c>
      <c r="I413" s="2" t="s">
        <v>647</v>
      </c>
      <c r="J413" s="2" t="s">
        <v>9865</v>
      </c>
      <c r="K413" s="2" t="s">
        <v>1588</v>
      </c>
      <c r="L413" s="2" t="n">
        <v>0.11</v>
      </c>
      <c r="M413" s="2" t="n">
        <v>0.78</v>
      </c>
    </row>
    <row r="414" customFormat="false" ht="15" hidden="false" customHeight="false" outlineLevel="0" collapsed="false">
      <c r="A414" s="2" t="n">
        <v>412</v>
      </c>
      <c r="B414" s="2" t="s">
        <v>2452</v>
      </c>
      <c r="C414" s="2" t="n">
        <v>1</v>
      </c>
      <c r="D414" s="2" t="n">
        <v>1</v>
      </c>
      <c r="E414" s="2" t="s">
        <v>2565</v>
      </c>
      <c r="F414" s="2" t="s">
        <v>2561</v>
      </c>
      <c r="G414" s="2" t="s">
        <v>2566</v>
      </c>
      <c r="H414" s="2" t="s">
        <v>2567</v>
      </c>
      <c r="I414" s="2" t="s">
        <v>1648</v>
      </c>
      <c r="J414" s="2" t="s">
        <v>9866</v>
      </c>
      <c r="K414" s="2" t="s">
        <v>1588</v>
      </c>
      <c r="L414" s="2" t="n">
        <v>0</v>
      </c>
      <c r="M414" s="2" t="n">
        <v>0.89</v>
      </c>
    </row>
    <row r="415" customFormat="false" ht="15" hidden="false" customHeight="false" outlineLevel="0" collapsed="false">
      <c r="A415" s="2" t="n">
        <v>413</v>
      </c>
      <c r="B415" s="2" t="s">
        <v>2452</v>
      </c>
      <c r="C415" s="2" t="n">
        <v>1</v>
      </c>
      <c r="D415" s="2" t="n">
        <v>0</v>
      </c>
      <c r="E415" s="2" t="s">
        <v>2569</v>
      </c>
      <c r="F415" s="2" t="s">
        <v>2570</v>
      </c>
      <c r="G415" s="2" t="s">
        <v>2571</v>
      </c>
      <c r="H415" s="2" t="s">
        <v>745</v>
      </c>
      <c r="I415" s="2" t="s">
        <v>159</v>
      </c>
      <c r="J415" s="2" t="s">
        <v>9867</v>
      </c>
      <c r="K415" s="2" t="s">
        <v>507</v>
      </c>
      <c r="L415" s="2" t="n">
        <v>0</v>
      </c>
      <c r="M415" s="2" t="n">
        <v>0.91</v>
      </c>
    </row>
    <row r="416" customFormat="false" ht="15" hidden="false" customHeight="false" outlineLevel="0" collapsed="false">
      <c r="A416" s="2" t="n">
        <v>414</v>
      </c>
      <c r="B416" s="2" t="s">
        <v>2452</v>
      </c>
      <c r="C416" s="2" t="n">
        <v>0</v>
      </c>
      <c r="D416" s="2" t="n">
        <v>0</v>
      </c>
      <c r="E416" s="2" t="s">
        <v>9868</v>
      </c>
      <c r="F416" s="2" t="s">
        <v>743</v>
      </c>
      <c r="G416" s="2" t="s">
        <v>9869</v>
      </c>
      <c r="H416" s="2" t="s">
        <v>420</v>
      </c>
      <c r="I416" s="2" t="s">
        <v>1261</v>
      </c>
      <c r="J416" s="2" t="s">
        <v>9870</v>
      </c>
      <c r="K416" s="2" t="s">
        <v>1588</v>
      </c>
      <c r="L416" s="2" t="n">
        <v>0.2</v>
      </c>
      <c r="M416" s="2" t="n">
        <v>0.47</v>
      </c>
    </row>
    <row r="417" customFormat="false" ht="15" hidden="false" customHeight="false" outlineLevel="0" collapsed="false">
      <c r="A417" s="2" t="n">
        <v>415</v>
      </c>
      <c r="B417" s="2" t="s">
        <v>2452</v>
      </c>
      <c r="C417" s="2" t="n">
        <v>0</v>
      </c>
      <c r="D417" s="2" t="n">
        <v>0</v>
      </c>
      <c r="E417" s="2" t="s">
        <v>9871</v>
      </c>
      <c r="F417" s="2" t="s">
        <v>803</v>
      </c>
      <c r="G417" s="2" t="s">
        <v>9872</v>
      </c>
      <c r="H417" s="2" t="s">
        <v>2577</v>
      </c>
      <c r="I417" s="2" t="s">
        <v>1509</v>
      </c>
      <c r="J417" s="2" t="s">
        <v>9873</v>
      </c>
      <c r="K417" s="2" t="s">
        <v>1588</v>
      </c>
      <c r="L417" s="2" t="n">
        <v>0.08</v>
      </c>
      <c r="M417" s="2" t="n">
        <v>1</v>
      </c>
    </row>
    <row r="418" customFormat="false" ht="15" hidden="false" customHeight="false" outlineLevel="0" collapsed="false">
      <c r="A418" s="2" t="n">
        <v>416</v>
      </c>
      <c r="B418" s="2" t="s">
        <v>2452</v>
      </c>
      <c r="C418" s="2" t="n">
        <v>0</v>
      </c>
      <c r="D418" s="2" t="n">
        <v>0</v>
      </c>
      <c r="E418" s="2" t="s">
        <v>9874</v>
      </c>
      <c r="F418" s="2" t="s">
        <v>2577</v>
      </c>
      <c r="G418" s="2" t="s">
        <v>9875</v>
      </c>
      <c r="H418" s="2" t="s">
        <v>131</v>
      </c>
      <c r="I418" s="2" t="s">
        <v>430</v>
      </c>
      <c r="J418" s="2" t="s">
        <v>9876</v>
      </c>
      <c r="K418" s="2" t="s">
        <v>507</v>
      </c>
      <c r="L418" s="2" t="n">
        <v>0.17</v>
      </c>
      <c r="M418" s="2" t="n">
        <v>0.42</v>
      </c>
    </row>
    <row r="419" customFormat="false" ht="15" hidden="false" customHeight="false" outlineLevel="0" collapsed="false">
      <c r="A419" s="2" t="n">
        <v>417</v>
      </c>
      <c r="B419" s="2" t="s">
        <v>2452</v>
      </c>
      <c r="C419" s="2" t="n">
        <v>0</v>
      </c>
      <c r="D419" s="2" t="n">
        <v>0</v>
      </c>
      <c r="E419" s="2" t="s">
        <v>9877</v>
      </c>
      <c r="F419" s="2" t="s">
        <v>129</v>
      </c>
      <c r="G419" s="2" t="s">
        <v>9878</v>
      </c>
      <c r="H419" s="2" t="s">
        <v>9795</v>
      </c>
      <c r="I419" s="2" t="s">
        <v>5744</v>
      </c>
      <c r="J419" s="2" t="s">
        <v>9879</v>
      </c>
      <c r="K419" s="2" t="s">
        <v>1588</v>
      </c>
      <c r="L419" s="2" t="n">
        <v>0.22</v>
      </c>
      <c r="M419" s="2" t="n">
        <v>0.86</v>
      </c>
    </row>
    <row r="420" customFormat="false" ht="15" hidden="false" customHeight="false" outlineLevel="0" collapsed="false">
      <c r="A420" s="2" t="n">
        <v>418</v>
      </c>
      <c r="B420" s="2" t="s">
        <v>2452</v>
      </c>
      <c r="C420" s="2" t="n">
        <v>2</v>
      </c>
      <c r="D420" s="2" t="n">
        <v>0</v>
      </c>
      <c r="E420" s="2" t="s">
        <v>2575</v>
      </c>
      <c r="F420" s="2" t="s">
        <v>243</v>
      </c>
      <c r="G420" s="2" t="s">
        <v>2576</v>
      </c>
      <c r="H420" s="2" t="s">
        <v>2577</v>
      </c>
      <c r="I420" s="2" t="s">
        <v>421</v>
      </c>
      <c r="J420" s="2" t="s">
        <v>9880</v>
      </c>
      <c r="K420" s="2" t="s">
        <v>507</v>
      </c>
      <c r="L420" s="2" t="n">
        <v>0.09</v>
      </c>
      <c r="M420" s="2" t="n">
        <v>0.75</v>
      </c>
    </row>
    <row r="421" customFormat="false" ht="15" hidden="false" customHeight="false" outlineLevel="0" collapsed="false">
      <c r="A421" s="2" t="n">
        <v>419</v>
      </c>
      <c r="B421" s="2" t="s">
        <v>2452</v>
      </c>
      <c r="C421" s="2" t="n">
        <v>0</v>
      </c>
      <c r="D421" s="2" t="n">
        <v>0</v>
      </c>
      <c r="E421" s="2" t="s">
        <v>9881</v>
      </c>
      <c r="F421" s="2" t="s">
        <v>2577</v>
      </c>
      <c r="G421" s="2" t="s">
        <v>9882</v>
      </c>
      <c r="H421" s="2" t="s">
        <v>2451</v>
      </c>
      <c r="I421" s="2" t="s">
        <v>1397</v>
      </c>
      <c r="J421" s="2" t="s">
        <v>9883</v>
      </c>
      <c r="K421" s="2" t="s">
        <v>68</v>
      </c>
      <c r="L421" s="2" t="n">
        <v>0.5</v>
      </c>
      <c r="M421" s="2" t="n">
        <v>0.82</v>
      </c>
    </row>
    <row r="422" customFormat="false" ht="15" hidden="false" customHeight="false" outlineLevel="0" collapsed="false">
      <c r="A422" s="2" t="n">
        <v>420</v>
      </c>
      <c r="B422" s="2" t="s">
        <v>2581</v>
      </c>
      <c r="C422" s="2" t="n">
        <v>1</v>
      </c>
      <c r="D422" s="2" t="n">
        <v>0</v>
      </c>
      <c r="E422" s="2" t="s">
        <v>2587</v>
      </c>
      <c r="F422" s="2" t="s">
        <v>2496</v>
      </c>
      <c r="G422" s="2" t="s">
        <v>2588</v>
      </c>
      <c r="H422" s="2" t="s">
        <v>2195</v>
      </c>
      <c r="I422" s="2" t="s">
        <v>344</v>
      </c>
      <c r="J422" s="2" t="s">
        <v>9884</v>
      </c>
      <c r="K422" s="2" t="s">
        <v>1588</v>
      </c>
      <c r="L422" s="2" t="n">
        <v>0.17</v>
      </c>
      <c r="M422" s="2" t="n">
        <v>0.5</v>
      </c>
    </row>
    <row r="423" customFormat="false" ht="15" hidden="false" customHeight="false" outlineLevel="0" collapsed="false">
      <c r="A423" s="2" t="n">
        <v>421</v>
      </c>
      <c r="B423" s="2" t="s">
        <v>2581</v>
      </c>
      <c r="C423" s="2" t="n">
        <v>0</v>
      </c>
      <c r="D423" s="2" t="n">
        <v>0</v>
      </c>
      <c r="E423" s="2" t="s">
        <v>9885</v>
      </c>
      <c r="F423" s="2" t="s">
        <v>8498</v>
      </c>
      <c r="G423" s="2" t="s">
        <v>5116</v>
      </c>
      <c r="H423" s="2" t="s">
        <v>2567</v>
      </c>
      <c r="I423" s="2" t="s">
        <v>908</v>
      </c>
      <c r="J423" s="2" t="s">
        <v>9886</v>
      </c>
      <c r="K423" s="2" t="s">
        <v>1588</v>
      </c>
      <c r="L423" s="2" t="n">
        <v>0</v>
      </c>
      <c r="M423" s="2" t="n">
        <v>0.77</v>
      </c>
    </row>
    <row r="424" customFormat="false" ht="15" hidden="false" customHeight="false" outlineLevel="0" collapsed="false">
      <c r="A424" s="2" t="n">
        <v>422</v>
      </c>
      <c r="B424" s="2" t="s">
        <v>2581</v>
      </c>
      <c r="C424" s="2" t="n">
        <v>1</v>
      </c>
      <c r="D424" s="2" t="n">
        <v>1</v>
      </c>
      <c r="E424" s="2" t="s">
        <v>2591</v>
      </c>
      <c r="F424" s="2" t="s">
        <v>2592</v>
      </c>
      <c r="G424" s="2" t="s">
        <v>2593</v>
      </c>
      <c r="H424" s="2" t="s">
        <v>2567</v>
      </c>
      <c r="I424" s="2" t="s">
        <v>2594</v>
      </c>
      <c r="J424" s="2" t="s">
        <v>9887</v>
      </c>
      <c r="K424" s="2" t="s">
        <v>507</v>
      </c>
      <c r="L424" s="2" t="n">
        <v>0.08</v>
      </c>
      <c r="M424" s="2" t="n">
        <v>0.7</v>
      </c>
    </row>
    <row r="425" customFormat="false" ht="15" hidden="false" customHeight="false" outlineLevel="0" collapsed="false">
      <c r="A425" s="2" t="n">
        <v>423</v>
      </c>
      <c r="B425" s="2" t="s">
        <v>2581</v>
      </c>
      <c r="C425" s="2" t="n">
        <v>1</v>
      </c>
      <c r="D425" s="2" t="n">
        <v>0</v>
      </c>
      <c r="E425" s="2" t="s">
        <v>2599</v>
      </c>
      <c r="F425" s="2" t="s">
        <v>2496</v>
      </c>
      <c r="G425" s="2" t="s">
        <v>2600</v>
      </c>
      <c r="H425" s="2" t="s">
        <v>2601</v>
      </c>
      <c r="I425" s="2" t="s">
        <v>1266</v>
      </c>
      <c r="J425" s="2" t="s">
        <v>9888</v>
      </c>
      <c r="K425" s="2" t="s">
        <v>68</v>
      </c>
      <c r="L425" s="2" t="n">
        <v>0.6</v>
      </c>
      <c r="M425" s="2" t="n">
        <v>0.82</v>
      </c>
    </row>
    <row r="426" customFormat="false" ht="15" hidden="false" customHeight="false" outlineLevel="0" collapsed="false">
      <c r="A426" s="2" t="n">
        <v>424</v>
      </c>
      <c r="B426" s="2" t="s">
        <v>2581</v>
      </c>
      <c r="C426" s="2" t="n">
        <v>1</v>
      </c>
      <c r="D426" s="2" t="n">
        <v>0</v>
      </c>
      <c r="E426" s="2" t="s">
        <v>2607</v>
      </c>
      <c r="F426" s="2" t="s">
        <v>2601</v>
      </c>
      <c r="G426" s="2" t="s">
        <v>2608</v>
      </c>
      <c r="H426" s="2" t="s">
        <v>2520</v>
      </c>
      <c r="I426" s="2" t="s">
        <v>795</v>
      </c>
      <c r="J426" s="2" t="s">
        <v>9889</v>
      </c>
      <c r="K426" s="2" t="s">
        <v>1588</v>
      </c>
      <c r="L426" s="2" t="n">
        <v>0.07</v>
      </c>
      <c r="M426" s="2" t="n">
        <v>0.9</v>
      </c>
    </row>
    <row r="427" customFormat="false" ht="15" hidden="false" customHeight="false" outlineLevel="0" collapsed="false">
      <c r="A427" s="2" t="n">
        <v>425</v>
      </c>
      <c r="B427" s="2" t="s">
        <v>2581</v>
      </c>
      <c r="C427" s="2" t="n">
        <v>0</v>
      </c>
      <c r="D427" s="2" t="n">
        <v>0</v>
      </c>
      <c r="E427" s="2" t="s">
        <v>9890</v>
      </c>
      <c r="F427" s="2" t="s">
        <v>2520</v>
      </c>
      <c r="G427" s="2" t="s">
        <v>9891</v>
      </c>
      <c r="H427" s="2" t="s">
        <v>2488</v>
      </c>
      <c r="I427" s="2" t="s">
        <v>1741</v>
      </c>
      <c r="J427" s="2" t="s">
        <v>9892</v>
      </c>
      <c r="K427" s="2" t="s">
        <v>1588</v>
      </c>
      <c r="L427" s="2" t="n">
        <v>0</v>
      </c>
      <c r="M427" s="2" t="n">
        <v>0.71</v>
      </c>
    </row>
    <row r="428" customFormat="false" ht="15" hidden="false" customHeight="false" outlineLevel="0" collapsed="false">
      <c r="A428" s="2" t="n">
        <v>426</v>
      </c>
      <c r="B428" s="2" t="s">
        <v>2581</v>
      </c>
      <c r="C428" s="2" t="n">
        <v>1</v>
      </c>
      <c r="D428" s="2" t="n">
        <v>0</v>
      </c>
      <c r="E428" s="2" t="s">
        <v>2611</v>
      </c>
      <c r="F428" s="2" t="s">
        <v>2601</v>
      </c>
      <c r="G428" s="2" t="s">
        <v>2612</v>
      </c>
      <c r="H428" s="2" t="s">
        <v>2520</v>
      </c>
      <c r="I428" s="2" t="s">
        <v>2613</v>
      </c>
      <c r="J428" s="2" t="s">
        <v>9893</v>
      </c>
      <c r="K428" s="2" t="s">
        <v>507</v>
      </c>
      <c r="L428" s="2" t="n">
        <v>0.25</v>
      </c>
      <c r="M428" s="2" t="n">
        <v>0.8</v>
      </c>
    </row>
    <row r="429" customFormat="false" ht="15" hidden="false" customHeight="false" outlineLevel="0" collapsed="false">
      <c r="A429" s="2" t="n">
        <v>427</v>
      </c>
      <c r="B429" s="2" t="s">
        <v>2581</v>
      </c>
      <c r="C429" s="2" t="n">
        <v>0</v>
      </c>
      <c r="D429" s="2" t="n">
        <v>0</v>
      </c>
      <c r="E429" s="2" t="s">
        <v>9894</v>
      </c>
      <c r="F429" s="2" t="s">
        <v>2520</v>
      </c>
      <c r="G429" s="2" t="s">
        <v>5150</v>
      </c>
      <c r="H429" s="2" t="s">
        <v>2451</v>
      </c>
      <c r="I429" s="2" t="s">
        <v>370</v>
      </c>
      <c r="J429" s="2" t="s">
        <v>9895</v>
      </c>
      <c r="K429" s="2" t="s">
        <v>1588</v>
      </c>
      <c r="L429" s="2" t="n">
        <v>0.3</v>
      </c>
      <c r="M429" s="2" t="n">
        <v>0.75</v>
      </c>
    </row>
    <row r="430" customFormat="false" ht="15" hidden="false" customHeight="false" outlineLevel="0" collapsed="false">
      <c r="A430" s="2" t="n">
        <v>428</v>
      </c>
      <c r="B430" s="2" t="s">
        <v>2581</v>
      </c>
      <c r="C430" s="2" t="n">
        <v>0</v>
      </c>
      <c r="D430" s="2" t="n">
        <v>0</v>
      </c>
      <c r="E430" s="2" t="s">
        <v>9896</v>
      </c>
      <c r="F430" s="2" t="s">
        <v>2496</v>
      </c>
      <c r="G430" s="2" t="s">
        <v>5167</v>
      </c>
      <c r="H430" s="2" t="s">
        <v>2620</v>
      </c>
      <c r="I430" s="2" t="s">
        <v>190</v>
      </c>
      <c r="J430" s="2" t="s">
        <v>9897</v>
      </c>
      <c r="K430" s="2" t="s">
        <v>1588</v>
      </c>
      <c r="L430" s="2" t="n">
        <v>0.13</v>
      </c>
      <c r="M430" s="2" t="n">
        <v>0.6</v>
      </c>
    </row>
    <row r="431" customFormat="false" ht="15" hidden="false" customHeight="false" outlineLevel="0" collapsed="false">
      <c r="A431" s="2" t="n">
        <v>429</v>
      </c>
      <c r="B431" s="2" t="s">
        <v>2581</v>
      </c>
      <c r="C431" s="2" t="n">
        <v>0</v>
      </c>
      <c r="D431" s="2" t="n">
        <v>0</v>
      </c>
      <c r="E431" s="2" t="s">
        <v>9898</v>
      </c>
      <c r="F431" s="2" t="s">
        <v>2627</v>
      </c>
      <c r="G431" s="2" t="s">
        <v>9899</v>
      </c>
      <c r="H431" s="2" t="s">
        <v>1137</v>
      </c>
      <c r="I431" s="2" t="s">
        <v>2731</v>
      </c>
      <c r="J431" s="2" t="s">
        <v>9900</v>
      </c>
      <c r="K431" s="2" t="s">
        <v>1588</v>
      </c>
      <c r="L431" s="2" t="n">
        <v>0.2</v>
      </c>
      <c r="M431" s="2" t="n">
        <v>0.69</v>
      </c>
    </row>
    <row r="432" customFormat="false" ht="15" hidden="false" customHeight="false" outlineLevel="0" collapsed="false">
      <c r="A432" s="2" t="n">
        <v>430</v>
      </c>
      <c r="B432" s="2" t="s">
        <v>2581</v>
      </c>
      <c r="C432" s="2" t="n">
        <v>1</v>
      </c>
      <c r="D432" s="2" t="n">
        <v>0</v>
      </c>
      <c r="E432" s="2" t="s">
        <v>2618</v>
      </c>
      <c r="F432" s="2" t="s">
        <v>1135</v>
      </c>
      <c r="G432" s="2" t="s">
        <v>2619</v>
      </c>
      <c r="H432" s="2" t="s">
        <v>2620</v>
      </c>
      <c r="I432" s="2" t="s">
        <v>1875</v>
      </c>
      <c r="J432" s="2" t="s">
        <v>9901</v>
      </c>
      <c r="K432" s="2" t="s">
        <v>1588</v>
      </c>
      <c r="L432" s="2" t="n">
        <v>0.33</v>
      </c>
      <c r="M432" s="2" t="n">
        <v>0.75</v>
      </c>
    </row>
    <row r="433" customFormat="false" ht="15" hidden="false" customHeight="false" outlineLevel="0" collapsed="false">
      <c r="A433" s="2" t="n">
        <v>431</v>
      </c>
      <c r="B433" s="2" t="s">
        <v>2581</v>
      </c>
      <c r="C433" s="2" t="n">
        <v>1</v>
      </c>
      <c r="D433" s="2" t="n">
        <v>0</v>
      </c>
      <c r="E433" s="2" t="s">
        <v>2626</v>
      </c>
      <c r="F433" s="2" t="s">
        <v>2627</v>
      </c>
      <c r="G433" s="2" t="s">
        <v>2628</v>
      </c>
      <c r="H433" s="2" t="s">
        <v>2629</v>
      </c>
      <c r="I433" s="2" t="s">
        <v>1424</v>
      </c>
      <c r="J433" s="2" t="s">
        <v>9902</v>
      </c>
      <c r="K433" s="2" t="s">
        <v>1588</v>
      </c>
      <c r="L433" s="2" t="n">
        <v>0.12</v>
      </c>
      <c r="M433" s="2" t="n">
        <v>0.69</v>
      </c>
    </row>
    <row r="434" customFormat="false" ht="15" hidden="false" customHeight="false" outlineLevel="0" collapsed="false">
      <c r="A434" s="2" t="n">
        <v>432</v>
      </c>
      <c r="B434" s="2" t="s">
        <v>2581</v>
      </c>
      <c r="C434" s="2" t="n">
        <v>0</v>
      </c>
      <c r="D434" s="2" t="n">
        <v>0</v>
      </c>
      <c r="E434" s="2" t="s">
        <v>9903</v>
      </c>
      <c r="F434" s="2" t="s">
        <v>9904</v>
      </c>
      <c r="G434" s="2" t="s">
        <v>5195</v>
      </c>
      <c r="H434" s="2" t="s">
        <v>1238</v>
      </c>
      <c r="I434" s="2" t="s">
        <v>1793</v>
      </c>
      <c r="J434" s="2" t="s">
        <v>9905</v>
      </c>
      <c r="K434" s="2" t="s">
        <v>1588</v>
      </c>
      <c r="L434" s="2" t="n">
        <v>0</v>
      </c>
      <c r="M434" s="2" t="n">
        <v>0.5</v>
      </c>
    </row>
    <row r="435" customFormat="false" ht="15" hidden="false" customHeight="false" outlineLevel="0" collapsed="false">
      <c r="A435" s="2" t="n">
        <v>433</v>
      </c>
      <c r="B435" s="2" t="s">
        <v>2581</v>
      </c>
      <c r="C435" s="2" t="n">
        <v>4</v>
      </c>
      <c r="D435" s="2" t="n">
        <v>0</v>
      </c>
      <c r="E435" s="2" t="s">
        <v>2632</v>
      </c>
      <c r="F435" s="2" t="s">
        <v>1236</v>
      </c>
      <c r="G435" s="2" t="s">
        <v>2633</v>
      </c>
      <c r="H435" s="2" t="s">
        <v>1238</v>
      </c>
      <c r="I435" s="2" t="s">
        <v>1332</v>
      </c>
      <c r="J435" s="2" t="s">
        <v>9906</v>
      </c>
      <c r="K435" s="2" t="s">
        <v>68</v>
      </c>
      <c r="L435" s="2" t="n">
        <v>0.7</v>
      </c>
      <c r="M435" s="2" t="n">
        <v>1</v>
      </c>
    </row>
    <row r="436" customFormat="false" ht="15" hidden="false" customHeight="false" outlineLevel="0" collapsed="false">
      <c r="A436" s="2" t="n">
        <v>434</v>
      </c>
      <c r="B436" s="2" t="s">
        <v>2581</v>
      </c>
      <c r="C436" s="2" t="n">
        <v>4</v>
      </c>
      <c r="D436" s="2" t="n">
        <v>0</v>
      </c>
      <c r="E436" s="2" t="s">
        <v>2650</v>
      </c>
      <c r="F436" s="2" t="s">
        <v>1236</v>
      </c>
      <c r="G436" s="2" t="s">
        <v>2651</v>
      </c>
      <c r="H436" s="2" t="s">
        <v>2652</v>
      </c>
      <c r="I436" s="2" t="s">
        <v>2252</v>
      </c>
      <c r="J436" s="2" t="s">
        <v>9907</v>
      </c>
      <c r="K436" s="2" t="s">
        <v>1588</v>
      </c>
      <c r="L436" s="2" t="n">
        <v>0.31</v>
      </c>
      <c r="M436" s="2" t="n">
        <v>1</v>
      </c>
    </row>
    <row r="437" customFormat="false" ht="15" hidden="false" customHeight="false" outlineLevel="0" collapsed="false">
      <c r="A437" s="2" t="n">
        <v>435</v>
      </c>
      <c r="B437" s="2" t="s">
        <v>2581</v>
      </c>
      <c r="C437" s="2" t="n">
        <v>1</v>
      </c>
      <c r="D437" s="2" t="n">
        <v>0</v>
      </c>
      <c r="E437" s="2" t="s">
        <v>2666</v>
      </c>
      <c r="F437" s="2" t="s">
        <v>2667</v>
      </c>
      <c r="G437" s="2" t="s">
        <v>2668</v>
      </c>
      <c r="H437" s="2" t="s">
        <v>2652</v>
      </c>
      <c r="I437" s="2" t="s">
        <v>2613</v>
      </c>
      <c r="J437" s="2" t="s">
        <v>9908</v>
      </c>
      <c r="K437" s="2" t="s">
        <v>1588</v>
      </c>
      <c r="L437" s="2" t="n">
        <v>0.46</v>
      </c>
      <c r="M437" s="2" t="n">
        <v>1</v>
      </c>
    </row>
    <row r="438" customFormat="false" ht="15" hidden="false" customHeight="false" outlineLevel="0" collapsed="false">
      <c r="A438" s="2" t="n">
        <v>436</v>
      </c>
      <c r="B438" s="2" t="s">
        <v>2581</v>
      </c>
      <c r="C438" s="2" t="n">
        <v>2</v>
      </c>
      <c r="D438" s="2" t="n">
        <v>0</v>
      </c>
      <c r="E438" s="2" t="s">
        <v>2673</v>
      </c>
      <c r="F438" s="2" t="s">
        <v>2667</v>
      </c>
      <c r="G438" s="2" t="s">
        <v>2674</v>
      </c>
      <c r="H438" s="2" t="s">
        <v>97</v>
      </c>
      <c r="I438" s="2" t="s">
        <v>2675</v>
      </c>
      <c r="J438" s="2" t="s">
        <v>9909</v>
      </c>
      <c r="K438" s="2" t="s">
        <v>1588</v>
      </c>
      <c r="L438" s="2" t="n">
        <v>0.29</v>
      </c>
      <c r="M438" s="2" t="n">
        <v>1</v>
      </c>
    </row>
    <row r="439" customFormat="false" ht="15" hidden="false" customHeight="false" outlineLevel="0" collapsed="false">
      <c r="A439" s="2" t="n">
        <v>437</v>
      </c>
      <c r="B439" s="2" t="s">
        <v>2581</v>
      </c>
      <c r="C439" s="2" t="n">
        <v>1</v>
      </c>
      <c r="D439" s="2" t="n">
        <v>0</v>
      </c>
      <c r="E439" s="2" t="s">
        <v>2683</v>
      </c>
      <c r="F439" s="2" t="s">
        <v>95</v>
      </c>
      <c r="G439" s="2" t="s">
        <v>2684</v>
      </c>
      <c r="H439" s="2" t="s">
        <v>2685</v>
      </c>
      <c r="I439" s="2" t="s">
        <v>1332</v>
      </c>
      <c r="J439" s="2" t="s">
        <v>9910</v>
      </c>
      <c r="K439" s="2" t="s">
        <v>68</v>
      </c>
      <c r="L439" s="2" t="n">
        <v>0.58</v>
      </c>
      <c r="M439" s="2" t="n">
        <v>0.88</v>
      </c>
    </row>
    <row r="440" customFormat="false" ht="15" hidden="false" customHeight="false" outlineLevel="0" collapsed="false">
      <c r="A440" s="2" t="n">
        <v>438</v>
      </c>
      <c r="B440" s="2" t="s">
        <v>2581</v>
      </c>
      <c r="C440" s="2" t="n">
        <v>1</v>
      </c>
      <c r="D440" s="2" t="n">
        <v>0</v>
      </c>
      <c r="E440" s="2" t="s">
        <v>2688</v>
      </c>
      <c r="F440" s="2" t="s">
        <v>2689</v>
      </c>
      <c r="G440" s="2" t="s">
        <v>2690</v>
      </c>
      <c r="H440" s="2" t="s">
        <v>2691</v>
      </c>
      <c r="I440" s="2" t="s">
        <v>2692</v>
      </c>
      <c r="J440" s="2" t="s">
        <v>9911</v>
      </c>
      <c r="K440" s="2" t="s">
        <v>1588</v>
      </c>
      <c r="L440" s="2" t="n">
        <v>0.18</v>
      </c>
      <c r="M440" s="2" t="n">
        <v>1</v>
      </c>
    </row>
    <row r="441" customFormat="false" ht="15" hidden="false" customHeight="false" outlineLevel="0" collapsed="false">
      <c r="A441" s="2" t="n">
        <v>439</v>
      </c>
      <c r="B441" s="2" t="s">
        <v>2581</v>
      </c>
      <c r="C441" s="2" t="n">
        <v>0</v>
      </c>
      <c r="D441" s="2" t="n">
        <v>0</v>
      </c>
      <c r="E441" s="2" t="s">
        <v>9912</v>
      </c>
      <c r="F441" s="2" t="s">
        <v>9913</v>
      </c>
      <c r="G441" s="2" t="s">
        <v>9914</v>
      </c>
      <c r="H441" s="2" t="s">
        <v>9915</v>
      </c>
      <c r="I441" s="2" t="s">
        <v>1332</v>
      </c>
      <c r="J441" s="2" t="s">
        <v>9916</v>
      </c>
      <c r="K441" s="2" t="s">
        <v>1588</v>
      </c>
      <c r="L441" s="2" t="n">
        <v>0.07</v>
      </c>
      <c r="M441" s="2" t="n">
        <v>0.73</v>
      </c>
    </row>
    <row r="442" customFormat="false" ht="15" hidden="false" customHeight="false" outlineLevel="0" collapsed="false">
      <c r="A442" s="2" t="n">
        <v>440</v>
      </c>
      <c r="B442" s="2" t="s">
        <v>2581</v>
      </c>
      <c r="C442" s="2" t="n">
        <v>3</v>
      </c>
      <c r="D442" s="2" t="n">
        <v>0</v>
      </c>
      <c r="E442" s="2" t="s">
        <v>2694</v>
      </c>
      <c r="F442" s="2" t="s">
        <v>2695</v>
      </c>
      <c r="G442" s="2" t="s">
        <v>2696</v>
      </c>
      <c r="H442" s="2" t="s">
        <v>2697</v>
      </c>
      <c r="I442" s="2" t="s">
        <v>821</v>
      </c>
      <c r="J442" s="2" t="s">
        <v>9917</v>
      </c>
      <c r="K442" s="2" t="s">
        <v>1588</v>
      </c>
      <c r="L442" s="2" t="n">
        <v>0.44</v>
      </c>
      <c r="M442" s="2" t="n">
        <v>0.75</v>
      </c>
    </row>
    <row r="443" customFormat="false" ht="15" hidden="false" customHeight="false" outlineLevel="0" collapsed="false">
      <c r="A443" s="2" t="n">
        <v>441</v>
      </c>
      <c r="B443" s="2" t="s">
        <v>2581</v>
      </c>
      <c r="C443" s="2" t="n">
        <v>1</v>
      </c>
      <c r="D443" s="2" t="n">
        <v>0</v>
      </c>
      <c r="E443" s="2" t="s">
        <v>2705</v>
      </c>
      <c r="F443" s="2" t="s">
        <v>2697</v>
      </c>
      <c r="G443" s="2" t="s">
        <v>2706</v>
      </c>
      <c r="H443" s="2" t="s">
        <v>2707</v>
      </c>
      <c r="I443" s="2" t="s">
        <v>1774</v>
      </c>
      <c r="J443" s="2" t="s">
        <v>9918</v>
      </c>
      <c r="K443" s="2" t="s">
        <v>1588</v>
      </c>
      <c r="L443" s="2" t="n">
        <v>0.25</v>
      </c>
      <c r="M443" s="2" t="n">
        <v>0.67</v>
      </c>
    </row>
    <row r="444" customFormat="false" ht="15" hidden="false" customHeight="false" outlineLevel="0" collapsed="false">
      <c r="A444" s="2" t="n">
        <v>442</v>
      </c>
      <c r="B444" s="2" t="s">
        <v>2581</v>
      </c>
      <c r="C444" s="2" t="n">
        <v>0</v>
      </c>
      <c r="D444" s="2" t="n">
        <v>0</v>
      </c>
      <c r="E444" s="2" t="s">
        <v>9919</v>
      </c>
      <c r="F444" s="2" t="s">
        <v>9920</v>
      </c>
      <c r="G444" s="2" t="s">
        <v>5202</v>
      </c>
      <c r="H444" s="2" t="s">
        <v>5203</v>
      </c>
      <c r="I444" s="2" t="s">
        <v>2939</v>
      </c>
      <c r="J444" s="2" t="s">
        <v>9921</v>
      </c>
      <c r="K444" s="2" t="s">
        <v>1588</v>
      </c>
      <c r="L444" s="2" t="n">
        <v>0.1</v>
      </c>
      <c r="M444" s="2" t="n">
        <v>0.5</v>
      </c>
    </row>
    <row r="445" customFormat="false" ht="15" hidden="false" customHeight="false" outlineLevel="0" collapsed="false">
      <c r="A445" s="2" t="n">
        <v>443</v>
      </c>
      <c r="B445" s="2" t="s">
        <v>2581</v>
      </c>
      <c r="C445" s="2" t="n">
        <v>0</v>
      </c>
      <c r="D445" s="2" t="n">
        <v>0</v>
      </c>
      <c r="E445" s="2" t="s">
        <v>9922</v>
      </c>
      <c r="F445" s="2" t="s">
        <v>9923</v>
      </c>
      <c r="G445" s="2" t="s">
        <v>9924</v>
      </c>
      <c r="H445" s="2" t="s">
        <v>5415</v>
      </c>
      <c r="I445" s="2" t="s">
        <v>1840</v>
      </c>
      <c r="J445" s="2" t="s">
        <v>9925</v>
      </c>
      <c r="K445" s="2" t="s">
        <v>1588</v>
      </c>
      <c r="L445" s="2" t="n">
        <v>0.18</v>
      </c>
      <c r="M445" s="2" t="n">
        <v>0.6</v>
      </c>
    </row>
    <row r="446" customFormat="false" ht="15" hidden="false" customHeight="false" outlineLevel="0" collapsed="false">
      <c r="A446" s="2" t="n">
        <v>444</v>
      </c>
      <c r="B446" s="2" t="s">
        <v>2581</v>
      </c>
      <c r="C446" s="2" t="n">
        <v>0</v>
      </c>
      <c r="D446" s="2" t="n">
        <v>0</v>
      </c>
      <c r="E446" s="2" t="s">
        <v>9926</v>
      </c>
      <c r="F446" s="2" t="s">
        <v>5415</v>
      </c>
      <c r="G446" s="2" t="s">
        <v>9927</v>
      </c>
      <c r="H446" s="2" t="s">
        <v>9928</v>
      </c>
      <c r="I446" s="2" t="s">
        <v>1574</v>
      </c>
      <c r="J446" s="2" t="s">
        <v>9929</v>
      </c>
      <c r="K446" s="2" t="s">
        <v>68</v>
      </c>
      <c r="L446" s="2" t="n">
        <v>0.69</v>
      </c>
      <c r="M446" s="2" t="n">
        <v>0.73</v>
      </c>
    </row>
    <row r="447" customFormat="false" ht="15" hidden="false" customHeight="false" outlineLevel="0" collapsed="false">
      <c r="A447" s="2" t="n">
        <v>445</v>
      </c>
      <c r="B447" s="2" t="s">
        <v>2581</v>
      </c>
      <c r="C447" s="2" t="n">
        <v>0</v>
      </c>
      <c r="D447" s="2" t="n">
        <v>0</v>
      </c>
      <c r="E447" s="2" t="s">
        <v>9930</v>
      </c>
      <c r="F447" s="2" t="s">
        <v>9931</v>
      </c>
      <c r="G447" s="2" t="s">
        <v>9932</v>
      </c>
      <c r="H447" s="2" t="s">
        <v>9933</v>
      </c>
      <c r="I447" s="2" t="s">
        <v>1810</v>
      </c>
      <c r="J447" s="2" t="s">
        <v>9934</v>
      </c>
      <c r="K447" s="2" t="s">
        <v>1588</v>
      </c>
      <c r="L447" s="2" t="n">
        <v>0.11</v>
      </c>
      <c r="M447" s="2" t="n">
        <v>0.58</v>
      </c>
    </row>
    <row r="448" customFormat="false" ht="15" hidden="false" customHeight="false" outlineLevel="0" collapsed="false">
      <c r="A448" s="2" t="n">
        <v>446</v>
      </c>
      <c r="B448" s="2" t="s">
        <v>2581</v>
      </c>
      <c r="C448" s="2" t="n">
        <v>0</v>
      </c>
      <c r="D448" s="2" t="n">
        <v>0</v>
      </c>
      <c r="E448" s="2" t="s">
        <v>9935</v>
      </c>
      <c r="F448" s="2" t="s">
        <v>9933</v>
      </c>
      <c r="G448" s="2" t="s">
        <v>9936</v>
      </c>
      <c r="H448" s="2" t="s">
        <v>2620</v>
      </c>
      <c r="I448" s="2" t="s">
        <v>1793</v>
      </c>
      <c r="J448" s="2" t="s">
        <v>9937</v>
      </c>
      <c r="K448" s="2" t="s">
        <v>1588</v>
      </c>
      <c r="L448" s="2" t="n">
        <v>0.25</v>
      </c>
      <c r="M448" s="2" t="n">
        <v>0.67</v>
      </c>
    </row>
    <row r="449" customFormat="false" ht="15" hidden="false" customHeight="false" outlineLevel="0" collapsed="false">
      <c r="A449" s="2" t="n">
        <v>447</v>
      </c>
      <c r="B449" s="2" t="s">
        <v>2581</v>
      </c>
      <c r="C449" s="2" t="n">
        <v>0</v>
      </c>
      <c r="D449" s="2" t="n">
        <v>0</v>
      </c>
      <c r="E449" s="2" t="s">
        <v>9938</v>
      </c>
      <c r="F449" s="2" t="s">
        <v>2627</v>
      </c>
      <c r="G449" s="2" t="s">
        <v>9939</v>
      </c>
      <c r="H449" s="2" t="s">
        <v>2629</v>
      </c>
      <c r="I449" s="2" t="s">
        <v>2939</v>
      </c>
      <c r="J449" s="2" t="s">
        <v>9940</v>
      </c>
      <c r="K449" s="2" t="s">
        <v>1588</v>
      </c>
      <c r="L449" s="2" t="n">
        <v>0.09</v>
      </c>
      <c r="M449" s="2" t="n">
        <v>0.7</v>
      </c>
    </row>
    <row r="450" customFormat="false" ht="15" hidden="false" customHeight="false" outlineLevel="0" collapsed="false">
      <c r="A450" s="2" t="n">
        <v>448</v>
      </c>
      <c r="B450" s="2" t="s">
        <v>2581</v>
      </c>
      <c r="C450" s="2" t="n">
        <v>0</v>
      </c>
      <c r="D450" s="2" t="n">
        <v>0</v>
      </c>
      <c r="E450" s="2" t="s">
        <v>9941</v>
      </c>
      <c r="F450" s="2" t="s">
        <v>9904</v>
      </c>
      <c r="G450" s="2" t="s">
        <v>5211</v>
      </c>
      <c r="H450" s="2" t="s">
        <v>2652</v>
      </c>
      <c r="I450" s="2" t="s">
        <v>3744</v>
      </c>
      <c r="J450" s="2" t="s">
        <v>9942</v>
      </c>
      <c r="K450" s="2" t="s">
        <v>1588</v>
      </c>
      <c r="L450" s="2" t="n">
        <v>0</v>
      </c>
      <c r="M450" s="2" t="n">
        <v>0.73</v>
      </c>
    </row>
    <row r="451" customFormat="false" ht="15" hidden="false" customHeight="false" outlineLevel="0" collapsed="false">
      <c r="A451" s="2" t="n">
        <v>449</v>
      </c>
      <c r="B451" s="2" t="s">
        <v>2581</v>
      </c>
      <c r="C451" s="2" t="n">
        <v>1</v>
      </c>
      <c r="D451" s="2" t="n">
        <v>0</v>
      </c>
      <c r="E451" s="2" t="s">
        <v>2713</v>
      </c>
      <c r="F451" s="2" t="s">
        <v>2667</v>
      </c>
      <c r="G451" s="2" t="s">
        <v>2714</v>
      </c>
      <c r="H451" s="2" t="s">
        <v>2697</v>
      </c>
      <c r="I451" s="2" t="s">
        <v>795</v>
      </c>
      <c r="J451" s="2" t="s">
        <v>9943</v>
      </c>
      <c r="K451" s="2" t="s">
        <v>1588</v>
      </c>
      <c r="L451" s="2" t="n">
        <v>0.29</v>
      </c>
      <c r="M451" s="2" t="n">
        <v>0.78</v>
      </c>
    </row>
    <row r="452" customFormat="false" ht="15" hidden="false" customHeight="false" outlineLevel="0" collapsed="false">
      <c r="A452" s="2" t="n">
        <v>450</v>
      </c>
      <c r="B452" s="2" t="s">
        <v>2715</v>
      </c>
      <c r="C452" s="2" t="n">
        <v>1</v>
      </c>
      <c r="D452" s="2" t="n">
        <v>0</v>
      </c>
      <c r="E452" s="2" t="s">
        <v>2721</v>
      </c>
      <c r="F452" s="2" t="s">
        <v>2697</v>
      </c>
      <c r="G452" s="2" t="s">
        <v>2722</v>
      </c>
      <c r="H452" s="2" t="s">
        <v>420</v>
      </c>
      <c r="I452" s="2" t="s">
        <v>2723</v>
      </c>
      <c r="J452" s="2" t="s">
        <v>9944</v>
      </c>
      <c r="K452" s="2" t="s">
        <v>1588</v>
      </c>
      <c r="L452" s="2" t="n">
        <v>0.17</v>
      </c>
      <c r="M452" s="2" t="n">
        <v>0.86</v>
      </c>
    </row>
    <row r="453" customFormat="false" ht="15" hidden="false" customHeight="false" outlineLevel="0" collapsed="false">
      <c r="A453" s="2" t="n">
        <v>451</v>
      </c>
      <c r="B453" s="2" t="s">
        <v>2715</v>
      </c>
      <c r="C453" s="2" t="n">
        <v>0</v>
      </c>
      <c r="D453" s="2" t="n">
        <v>0</v>
      </c>
      <c r="E453" s="2" t="s">
        <v>9945</v>
      </c>
      <c r="F453" s="2" t="s">
        <v>803</v>
      </c>
      <c r="G453" s="2" t="s">
        <v>5227</v>
      </c>
      <c r="H453" s="2" t="s">
        <v>745</v>
      </c>
      <c r="I453" s="2" t="s">
        <v>697</v>
      </c>
      <c r="J453" s="2" t="s">
        <v>9946</v>
      </c>
      <c r="K453" s="2" t="s">
        <v>1588</v>
      </c>
      <c r="L453" s="2" t="n">
        <v>0.12</v>
      </c>
      <c r="M453" s="2" t="n">
        <v>1</v>
      </c>
    </row>
    <row r="454" customFormat="false" ht="15" hidden="false" customHeight="false" outlineLevel="0" collapsed="false">
      <c r="A454" s="2" t="n">
        <v>452</v>
      </c>
      <c r="B454" s="2" t="s">
        <v>2715</v>
      </c>
      <c r="C454" s="2" t="n">
        <v>0</v>
      </c>
      <c r="D454" s="2" t="n">
        <v>0</v>
      </c>
      <c r="E454" s="2" t="s">
        <v>9947</v>
      </c>
      <c r="F454" s="2" t="s">
        <v>743</v>
      </c>
      <c r="G454" s="2" t="s">
        <v>5232</v>
      </c>
      <c r="H454" s="2" t="s">
        <v>420</v>
      </c>
      <c r="I454" s="2" t="s">
        <v>3888</v>
      </c>
      <c r="J454" s="2" t="s">
        <v>9948</v>
      </c>
      <c r="K454" s="2" t="s">
        <v>1588</v>
      </c>
      <c r="L454" s="2" t="n">
        <v>0.1</v>
      </c>
      <c r="M454" s="2" t="n">
        <v>0.44</v>
      </c>
    </row>
    <row r="455" customFormat="false" ht="15" hidden="false" customHeight="false" outlineLevel="0" collapsed="false">
      <c r="A455" s="2" t="n">
        <v>453</v>
      </c>
      <c r="B455" s="2" t="s">
        <v>2715</v>
      </c>
      <c r="C455" s="2" t="n">
        <v>1</v>
      </c>
      <c r="D455" s="2" t="n">
        <v>0</v>
      </c>
      <c r="E455" s="2" t="s">
        <v>2729</v>
      </c>
      <c r="F455" s="2" t="s">
        <v>803</v>
      </c>
      <c r="G455" s="2" t="s">
        <v>2730</v>
      </c>
      <c r="H455" s="2" t="s">
        <v>494</v>
      </c>
      <c r="I455" s="2" t="s">
        <v>2731</v>
      </c>
      <c r="J455" s="2" t="s">
        <v>9949</v>
      </c>
      <c r="K455" s="2" t="s">
        <v>1588</v>
      </c>
      <c r="L455" s="2" t="n">
        <v>0</v>
      </c>
      <c r="M455" s="2" t="n">
        <v>1</v>
      </c>
    </row>
    <row r="456" customFormat="false" ht="15" hidden="false" customHeight="false" outlineLevel="0" collapsed="false">
      <c r="A456" s="2" t="n">
        <v>454</v>
      </c>
      <c r="B456" s="2" t="s">
        <v>2715</v>
      </c>
      <c r="C456" s="2" t="n">
        <v>2</v>
      </c>
      <c r="D456" s="2" t="n">
        <v>0</v>
      </c>
      <c r="E456" s="2" t="s">
        <v>2737</v>
      </c>
      <c r="F456" s="2" t="s">
        <v>492</v>
      </c>
      <c r="G456" s="2" t="s">
        <v>2738</v>
      </c>
      <c r="H456" s="2" t="s">
        <v>2739</v>
      </c>
      <c r="I456" s="2" t="s">
        <v>1424</v>
      </c>
      <c r="J456" s="2" t="s">
        <v>9950</v>
      </c>
      <c r="K456" s="2" t="s">
        <v>68</v>
      </c>
      <c r="L456" s="2" t="n">
        <v>0.78</v>
      </c>
      <c r="M456" s="2" t="n">
        <v>1</v>
      </c>
    </row>
    <row r="457" customFormat="false" ht="15" hidden="false" customHeight="false" outlineLevel="0" collapsed="false">
      <c r="A457" s="2" t="n">
        <v>455</v>
      </c>
      <c r="B457" s="2" t="s">
        <v>2715</v>
      </c>
      <c r="C457" s="2" t="n">
        <v>3</v>
      </c>
      <c r="D457" s="2" t="n">
        <v>0</v>
      </c>
      <c r="E457" s="2" t="s">
        <v>2747</v>
      </c>
      <c r="F457" s="2" t="s">
        <v>2748</v>
      </c>
      <c r="G457" s="2" t="s">
        <v>2749</v>
      </c>
      <c r="H457" s="2" t="s">
        <v>2750</v>
      </c>
      <c r="I457" s="2" t="s">
        <v>1768</v>
      </c>
      <c r="J457" s="2" t="s">
        <v>9951</v>
      </c>
      <c r="K457" s="2" t="s">
        <v>1588</v>
      </c>
      <c r="L457" s="2" t="n">
        <v>0</v>
      </c>
      <c r="M457" s="2" t="n">
        <v>0.67</v>
      </c>
    </row>
    <row r="458" customFormat="false" ht="15" hidden="false" customHeight="false" outlineLevel="0" collapsed="false">
      <c r="A458" s="2" t="n">
        <v>456</v>
      </c>
      <c r="B458" s="2" t="s">
        <v>2715</v>
      </c>
      <c r="C458" s="2" t="n">
        <v>1</v>
      </c>
      <c r="D458" s="2" t="n">
        <v>1</v>
      </c>
      <c r="E458" s="2" t="s">
        <v>2765</v>
      </c>
      <c r="F458" s="2" t="s">
        <v>2766</v>
      </c>
      <c r="G458" s="2" t="s">
        <v>2767</v>
      </c>
      <c r="H458" s="2" t="s">
        <v>2768</v>
      </c>
      <c r="I458" s="2" t="s">
        <v>370</v>
      </c>
      <c r="J458" s="2" t="s">
        <v>9952</v>
      </c>
      <c r="K458" s="2" t="s">
        <v>1588</v>
      </c>
      <c r="L458" s="2" t="n">
        <v>0.2</v>
      </c>
      <c r="M458" s="2" t="n">
        <v>0.85</v>
      </c>
    </row>
    <row r="459" customFormat="false" ht="15" hidden="false" customHeight="false" outlineLevel="0" collapsed="false">
      <c r="A459" s="2" t="n">
        <v>457</v>
      </c>
      <c r="B459" s="2" t="s">
        <v>2715</v>
      </c>
      <c r="C459" s="2" t="n">
        <v>3</v>
      </c>
      <c r="D459" s="2" t="n">
        <v>1</v>
      </c>
      <c r="E459" s="2" t="s">
        <v>2776</v>
      </c>
      <c r="F459" s="2" t="s">
        <v>2777</v>
      </c>
      <c r="G459" s="2" t="s">
        <v>2778</v>
      </c>
      <c r="H459" s="2" t="s">
        <v>965</v>
      </c>
      <c r="I459" s="2" t="s">
        <v>2158</v>
      </c>
      <c r="J459" s="2" t="s">
        <v>9953</v>
      </c>
      <c r="K459" s="2" t="s">
        <v>1588</v>
      </c>
      <c r="L459" s="2" t="n">
        <v>0.33</v>
      </c>
      <c r="M459" s="2" t="n">
        <v>0.57</v>
      </c>
    </row>
    <row r="460" customFormat="false" ht="15" hidden="false" customHeight="false" outlineLevel="0" collapsed="false">
      <c r="A460" s="2" t="n">
        <v>458</v>
      </c>
      <c r="B460" s="2" t="s">
        <v>2715</v>
      </c>
      <c r="C460" s="2" t="n">
        <v>1</v>
      </c>
      <c r="D460" s="2" t="n">
        <v>0</v>
      </c>
      <c r="E460" s="2" t="s">
        <v>2790</v>
      </c>
      <c r="F460" s="2" t="s">
        <v>963</v>
      </c>
      <c r="G460" s="2" t="s">
        <v>2791</v>
      </c>
      <c r="H460" s="2" t="s">
        <v>734</v>
      </c>
      <c r="I460" s="2" t="s">
        <v>1429</v>
      </c>
      <c r="J460" s="2" t="s">
        <v>9954</v>
      </c>
      <c r="K460" s="2" t="s">
        <v>1588</v>
      </c>
      <c r="L460" s="2" t="n">
        <v>0.14</v>
      </c>
      <c r="M460" s="2" t="n">
        <v>0.8</v>
      </c>
    </row>
    <row r="461" customFormat="false" ht="15" hidden="false" customHeight="false" outlineLevel="0" collapsed="false">
      <c r="A461" s="2" t="n">
        <v>459</v>
      </c>
      <c r="B461" s="2" t="s">
        <v>2715</v>
      </c>
      <c r="C461" s="2" t="n">
        <v>0</v>
      </c>
      <c r="D461" s="2" t="n">
        <v>0</v>
      </c>
      <c r="E461" s="2" t="s">
        <v>9955</v>
      </c>
      <c r="F461" s="2" t="s">
        <v>734</v>
      </c>
      <c r="G461" s="2" t="s">
        <v>9956</v>
      </c>
      <c r="H461" s="2" t="s">
        <v>420</v>
      </c>
      <c r="I461" s="2" t="s">
        <v>1964</v>
      </c>
      <c r="J461" s="2" t="s">
        <v>9957</v>
      </c>
      <c r="K461" s="2" t="s">
        <v>1588</v>
      </c>
      <c r="L461" s="2" t="n">
        <v>0.18</v>
      </c>
      <c r="M461" s="2" t="n">
        <v>0.86</v>
      </c>
    </row>
    <row r="462" customFormat="false" ht="15" hidden="false" customHeight="false" outlineLevel="0" collapsed="false">
      <c r="A462" s="2" t="n">
        <v>460</v>
      </c>
      <c r="B462" s="2" t="s">
        <v>2715</v>
      </c>
      <c r="C462" s="2" t="n">
        <v>0</v>
      </c>
      <c r="D462" s="2" t="n">
        <v>0</v>
      </c>
      <c r="E462" s="2" t="s">
        <v>9958</v>
      </c>
      <c r="F462" s="2" t="s">
        <v>803</v>
      </c>
      <c r="G462" s="2" t="s">
        <v>5279</v>
      </c>
      <c r="H462" s="2" t="s">
        <v>2851</v>
      </c>
      <c r="I462" s="2" t="s">
        <v>4923</v>
      </c>
      <c r="J462" s="2" t="s">
        <v>9959</v>
      </c>
      <c r="K462" s="2" t="s">
        <v>1588</v>
      </c>
      <c r="L462" s="2" t="n">
        <v>0.14</v>
      </c>
      <c r="M462" s="2" t="n">
        <v>1</v>
      </c>
    </row>
    <row r="463" customFormat="false" ht="15" hidden="false" customHeight="false" outlineLevel="0" collapsed="false">
      <c r="A463" s="2" t="n">
        <v>461</v>
      </c>
      <c r="B463" s="2" t="s">
        <v>2715</v>
      </c>
      <c r="C463" s="2" t="n">
        <v>1</v>
      </c>
      <c r="D463" s="2" t="n">
        <v>1</v>
      </c>
      <c r="E463" s="2" t="s">
        <v>2799</v>
      </c>
      <c r="F463" s="2" t="s">
        <v>2800</v>
      </c>
      <c r="G463" s="2" t="s">
        <v>2801</v>
      </c>
      <c r="H463" s="2" t="s">
        <v>2802</v>
      </c>
      <c r="I463" s="2" t="s">
        <v>1964</v>
      </c>
      <c r="J463" s="2" t="s">
        <v>9960</v>
      </c>
      <c r="K463" s="2" t="s">
        <v>1588</v>
      </c>
      <c r="L463" s="2" t="n">
        <v>0.15</v>
      </c>
      <c r="M463" s="2" t="n">
        <v>0.67</v>
      </c>
    </row>
    <row r="464" customFormat="false" ht="15" hidden="false" customHeight="false" outlineLevel="0" collapsed="false">
      <c r="A464" s="2" t="n">
        <v>462</v>
      </c>
      <c r="B464" s="2" t="s">
        <v>2715</v>
      </c>
      <c r="C464" s="2" t="n">
        <v>0</v>
      </c>
      <c r="D464" s="2" t="n">
        <v>0</v>
      </c>
      <c r="E464" s="2" t="s">
        <v>9961</v>
      </c>
      <c r="F464" s="2" t="s">
        <v>9962</v>
      </c>
      <c r="G464" s="2" t="s">
        <v>9963</v>
      </c>
      <c r="H464" s="2" t="s">
        <v>420</v>
      </c>
      <c r="I464" s="2" t="s">
        <v>1204</v>
      </c>
      <c r="J464" s="2" t="s">
        <v>9964</v>
      </c>
      <c r="K464" s="2" t="s">
        <v>1588</v>
      </c>
      <c r="L464" s="2" t="n">
        <v>0.2</v>
      </c>
      <c r="M464" s="2" t="n">
        <v>0.53</v>
      </c>
    </row>
    <row r="465" customFormat="false" ht="15" hidden="false" customHeight="false" outlineLevel="0" collapsed="false">
      <c r="A465" s="2" t="n">
        <v>463</v>
      </c>
      <c r="B465" s="2" t="s">
        <v>2715</v>
      </c>
      <c r="C465" s="2" t="n">
        <v>0</v>
      </c>
      <c r="D465" s="2" t="n">
        <v>0</v>
      </c>
      <c r="E465" s="2" t="s">
        <v>9965</v>
      </c>
      <c r="F465" s="2" t="s">
        <v>1459</v>
      </c>
      <c r="G465" s="2" t="s">
        <v>9966</v>
      </c>
      <c r="H465" s="2" t="s">
        <v>965</v>
      </c>
      <c r="I465" s="2" t="s">
        <v>2158</v>
      </c>
      <c r="J465" s="2" t="s">
        <v>9967</v>
      </c>
      <c r="K465" s="2" t="s">
        <v>1588</v>
      </c>
      <c r="L465" s="2" t="n">
        <v>0.22</v>
      </c>
      <c r="M465" s="2" t="n">
        <v>1</v>
      </c>
    </row>
    <row r="466" customFormat="false" ht="15" hidden="false" customHeight="false" outlineLevel="0" collapsed="false">
      <c r="A466" s="2" t="n">
        <v>464</v>
      </c>
      <c r="B466" s="2" t="s">
        <v>2715</v>
      </c>
      <c r="C466" s="2" t="n">
        <v>1</v>
      </c>
      <c r="D466" s="2" t="n">
        <v>1</v>
      </c>
      <c r="E466" s="2" t="s">
        <v>2810</v>
      </c>
      <c r="F466" s="2" t="s">
        <v>963</v>
      </c>
      <c r="G466" s="2" t="s">
        <v>2811</v>
      </c>
      <c r="H466" s="2" t="s">
        <v>2750</v>
      </c>
      <c r="I466" s="2" t="s">
        <v>538</v>
      </c>
      <c r="J466" s="2" t="s">
        <v>9968</v>
      </c>
      <c r="K466" s="2" t="s">
        <v>1588</v>
      </c>
      <c r="L466" s="2" t="n">
        <v>0.3</v>
      </c>
      <c r="M466" s="2" t="n">
        <v>0.8</v>
      </c>
    </row>
    <row r="467" customFormat="false" ht="15" hidden="false" customHeight="false" outlineLevel="0" collapsed="false">
      <c r="A467" s="2" t="n">
        <v>465</v>
      </c>
      <c r="B467" s="2" t="s">
        <v>2715</v>
      </c>
      <c r="C467" s="2" t="n">
        <v>1</v>
      </c>
      <c r="D467" s="2" t="n">
        <v>1</v>
      </c>
      <c r="E467" s="2" t="s">
        <v>2816</v>
      </c>
      <c r="F467" s="2" t="s">
        <v>2766</v>
      </c>
      <c r="G467" s="2" t="s">
        <v>2817</v>
      </c>
      <c r="H467" s="2" t="s">
        <v>420</v>
      </c>
      <c r="I467" s="2" t="s">
        <v>283</v>
      </c>
      <c r="J467" s="2" t="s">
        <v>9969</v>
      </c>
      <c r="K467" s="2" t="s">
        <v>1588</v>
      </c>
      <c r="L467" s="2" t="n">
        <v>0.09</v>
      </c>
      <c r="M467" s="2" t="n">
        <v>0.6</v>
      </c>
    </row>
    <row r="468" customFormat="false" ht="15" hidden="false" customHeight="false" outlineLevel="0" collapsed="false">
      <c r="A468" s="2" t="n">
        <v>466</v>
      </c>
      <c r="B468" s="2" t="s">
        <v>2715</v>
      </c>
      <c r="C468" s="2" t="n">
        <v>1</v>
      </c>
      <c r="D468" s="2" t="n">
        <v>1</v>
      </c>
      <c r="E468" s="2" t="s">
        <v>2820</v>
      </c>
      <c r="F468" s="2" t="s">
        <v>803</v>
      </c>
      <c r="G468" s="2" t="s">
        <v>2821</v>
      </c>
      <c r="H468" s="2" t="s">
        <v>745</v>
      </c>
      <c r="I468" s="2" t="s">
        <v>283</v>
      </c>
      <c r="J468" s="2" t="s">
        <v>9970</v>
      </c>
      <c r="K468" s="2" t="s">
        <v>68</v>
      </c>
      <c r="L468" s="2" t="n">
        <v>0.7</v>
      </c>
      <c r="M468" s="2" t="n">
        <v>1</v>
      </c>
    </row>
    <row r="469" customFormat="false" ht="15" hidden="false" customHeight="false" outlineLevel="0" collapsed="false">
      <c r="A469" s="2" t="n">
        <v>467</v>
      </c>
      <c r="B469" s="2" t="s">
        <v>2715</v>
      </c>
      <c r="C469" s="2" t="n">
        <v>1</v>
      </c>
      <c r="D469" s="2" t="n">
        <v>1</v>
      </c>
      <c r="E469" s="2" t="s">
        <v>2823</v>
      </c>
      <c r="F469" s="2" t="s">
        <v>743</v>
      </c>
      <c r="G469" s="2" t="s">
        <v>2824</v>
      </c>
      <c r="H469" s="2" t="s">
        <v>420</v>
      </c>
      <c r="I469" s="2" t="s">
        <v>2825</v>
      </c>
      <c r="J469" s="2" t="s">
        <v>9971</v>
      </c>
      <c r="K469" s="2" t="s">
        <v>1588</v>
      </c>
      <c r="L469" s="2" t="n">
        <v>0.31</v>
      </c>
      <c r="M469" s="2" t="n">
        <v>0.82</v>
      </c>
    </row>
    <row r="470" customFormat="false" ht="15" hidden="false" customHeight="false" outlineLevel="0" collapsed="false">
      <c r="A470" s="2" t="n">
        <v>468</v>
      </c>
      <c r="B470" s="2" t="s">
        <v>2715</v>
      </c>
      <c r="C470" s="2" t="n">
        <v>1</v>
      </c>
      <c r="D470" s="2" t="n">
        <v>1</v>
      </c>
      <c r="E470" s="2" t="s">
        <v>2828</v>
      </c>
      <c r="F470" s="2" t="s">
        <v>803</v>
      </c>
      <c r="G470" s="2" t="s">
        <v>2829</v>
      </c>
      <c r="H470" s="2" t="s">
        <v>2830</v>
      </c>
      <c r="I470" s="2" t="s">
        <v>1793</v>
      </c>
      <c r="J470" s="2" t="s">
        <v>9972</v>
      </c>
      <c r="K470" s="2" t="s">
        <v>68</v>
      </c>
      <c r="L470" s="2" t="n">
        <v>0.56</v>
      </c>
      <c r="M470" s="2" t="n">
        <v>1</v>
      </c>
    </row>
    <row r="471" customFormat="false" ht="15" hidden="false" customHeight="false" outlineLevel="0" collapsed="false">
      <c r="A471" s="2" t="n">
        <v>469</v>
      </c>
      <c r="B471" s="2" t="s">
        <v>2715</v>
      </c>
      <c r="C471" s="2" t="n">
        <v>1</v>
      </c>
      <c r="D471" s="2" t="n">
        <v>1</v>
      </c>
      <c r="E471" s="2" t="s">
        <v>2832</v>
      </c>
      <c r="F471" s="2" t="s">
        <v>2830</v>
      </c>
      <c r="G471" s="2" t="s">
        <v>2833</v>
      </c>
      <c r="H471" s="2" t="s">
        <v>745</v>
      </c>
      <c r="I471" s="2" t="s">
        <v>2168</v>
      </c>
      <c r="J471" s="2" t="s">
        <v>9973</v>
      </c>
      <c r="K471" s="2" t="s">
        <v>1588</v>
      </c>
      <c r="L471" s="2" t="n">
        <v>0.12</v>
      </c>
      <c r="M471" s="2" t="n">
        <v>0.67</v>
      </c>
    </row>
    <row r="472" customFormat="false" ht="15" hidden="false" customHeight="false" outlineLevel="0" collapsed="false">
      <c r="A472" s="2" t="n">
        <v>470</v>
      </c>
      <c r="B472" s="2" t="s">
        <v>2715</v>
      </c>
      <c r="C472" s="2" t="n">
        <v>1</v>
      </c>
      <c r="D472" s="2" t="n">
        <v>1</v>
      </c>
      <c r="E472" s="2" t="s">
        <v>2838</v>
      </c>
      <c r="F472" s="2" t="s">
        <v>743</v>
      </c>
      <c r="G472" s="2" t="s">
        <v>2839</v>
      </c>
      <c r="H472" s="2" t="s">
        <v>2840</v>
      </c>
      <c r="I472" s="2" t="s">
        <v>1509</v>
      </c>
      <c r="J472" s="2" t="s">
        <v>9974</v>
      </c>
      <c r="K472" s="2" t="s">
        <v>1588</v>
      </c>
      <c r="L472" s="2" t="n">
        <v>0.25</v>
      </c>
      <c r="M472" s="2" t="n">
        <v>0.67</v>
      </c>
    </row>
    <row r="473" customFormat="false" ht="15" hidden="false" customHeight="false" outlineLevel="0" collapsed="false">
      <c r="A473" s="2" t="n">
        <v>471</v>
      </c>
      <c r="B473" s="2" t="s">
        <v>2715</v>
      </c>
      <c r="C473" s="2" t="n">
        <v>1</v>
      </c>
      <c r="D473" s="2" t="n">
        <v>1</v>
      </c>
      <c r="E473" s="2" t="s">
        <v>2843</v>
      </c>
      <c r="F473" s="2" t="s">
        <v>2844</v>
      </c>
      <c r="G473" s="2" t="s">
        <v>2845</v>
      </c>
      <c r="H473" s="2" t="s">
        <v>1314</v>
      </c>
      <c r="I473" s="2" t="s">
        <v>2846</v>
      </c>
      <c r="J473" s="2" t="s">
        <v>9975</v>
      </c>
      <c r="K473" s="2" t="s">
        <v>1588</v>
      </c>
      <c r="L473" s="2" t="n">
        <v>0.12</v>
      </c>
      <c r="M473" s="2" t="n">
        <v>0.88</v>
      </c>
    </row>
    <row r="474" customFormat="false" ht="15" hidden="false" customHeight="false" outlineLevel="0" collapsed="false">
      <c r="A474" s="2" t="n">
        <v>472</v>
      </c>
      <c r="B474" s="2" t="s">
        <v>2715</v>
      </c>
      <c r="C474" s="2" t="n">
        <v>0</v>
      </c>
      <c r="D474" s="2" t="n">
        <v>0</v>
      </c>
      <c r="E474" s="2" t="s">
        <v>9976</v>
      </c>
      <c r="F474" s="2" t="s">
        <v>1312</v>
      </c>
      <c r="G474" s="2" t="s">
        <v>5305</v>
      </c>
      <c r="H474" s="2" t="s">
        <v>745</v>
      </c>
      <c r="I474" s="2" t="s">
        <v>1324</v>
      </c>
      <c r="J474" s="2" t="s">
        <v>9977</v>
      </c>
      <c r="K474" s="2" t="s">
        <v>1588</v>
      </c>
      <c r="L474" s="2" t="n">
        <v>0.25</v>
      </c>
      <c r="M474" s="2" t="n">
        <v>0.88</v>
      </c>
    </row>
    <row r="475" customFormat="false" ht="15" hidden="false" customHeight="false" outlineLevel="0" collapsed="false">
      <c r="A475" s="2" t="n">
        <v>473</v>
      </c>
      <c r="B475" s="2" t="s">
        <v>2715</v>
      </c>
      <c r="C475" s="2" t="n">
        <v>0</v>
      </c>
      <c r="D475" s="2" t="n">
        <v>0</v>
      </c>
      <c r="E475" s="2" t="s">
        <v>9978</v>
      </c>
      <c r="F475" s="2" t="s">
        <v>743</v>
      </c>
      <c r="G475" s="2" t="s">
        <v>9979</v>
      </c>
      <c r="H475" s="2" t="s">
        <v>745</v>
      </c>
      <c r="I475" s="2" t="s">
        <v>1509</v>
      </c>
      <c r="J475" s="2" t="s">
        <v>9980</v>
      </c>
      <c r="K475" s="2" t="s">
        <v>1588</v>
      </c>
      <c r="L475" s="2" t="n">
        <v>0.12</v>
      </c>
      <c r="M475" s="2" t="n">
        <v>0.64</v>
      </c>
    </row>
    <row r="476" customFormat="false" ht="15" hidden="false" customHeight="false" outlineLevel="0" collapsed="false">
      <c r="A476" s="2" t="n">
        <v>474</v>
      </c>
      <c r="B476" s="2" t="s">
        <v>2715</v>
      </c>
      <c r="C476" s="2" t="n">
        <v>1</v>
      </c>
      <c r="D476" s="2" t="n">
        <v>1</v>
      </c>
      <c r="E476" s="2" t="s">
        <v>2849</v>
      </c>
      <c r="F476" s="2" t="s">
        <v>743</v>
      </c>
      <c r="G476" s="2" t="s">
        <v>2850</v>
      </c>
      <c r="H476" s="2" t="s">
        <v>2851</v>
      </c>
      <c r="I476" s="2" t="s">
        <v>2852</v>
      </c>
      <c r="J476" s="2" t="s">
        <v>9981</v>
      </c>
      <c r="K476" s="2" t="s">
        <v>1588</v>
      </c>
      <c r="L476" s="2" t="n">
        <v>0</v>
      </c>
      <c r="M476" s="2" t="n">
        <v>0.78</v>
      </c>
    </row>
    <row r="477" customFormat="false" ht="15" hidden="false" customHeight="false" outlineLevel="0" collapsed="false">
      <c r="A477" s="2" t="n">
        <v>475</v>
      </c>
      <c r="B477" s="2" t="s">
        <v>2715</v>
      </c>
      <c r="C477" s="2" t="n">
        <v>1</v>
      </c>
      <c r="D477" s="2" t="n">
        <v>0</v>
      </c>
      <c r="E477" s="2" t="s">
        <v>2857</v>
      </c>
      <c r="F477" s="2" t="s">
        <v>2800</v>
      </c>
      <c r="G477" s="2" t="s">
        <v>2858</v>
      </c>
      <c r="H477" s="2" t="s">
        <v>2859</v>
      </c>
      <c r="I477" s="2" t="s">
        <v>1261</v>
      </c>
      <c r="J477" s="2" t="s">
        <v>9982</v>
      </c>
      <c r="K477" s="2" t="s">
        <v>1588</v>
      </c>
      <c r="L477" s="2" t="n">
        <v>0.17</v>
      </c>
      <c r="M477" s="2" t="n">
        <v>1</v>
      </c>
    </row>
    <row r="478" customFormat="false" ht="15" hidden="false" customHeight="false" outlineLevel="0" collapsed="false">
      <c r="A478" s="2" t="n">
        <v>476</v>
      </c>
      <c r="B478" s="2" t="s">
        <v>2715</v>
      </c>
      <c r="C478" s="2" t="n">
        <v>1</v>
      </c>
      <c r="D478" s="2" t="n">
        <v>1</v>
      </c>
      <c r="E478" s="2" t="s">
        <v>2865</v>
      </c>
      <c r="F478" s="2" t="s">
        <v>2859</v>
      </c>
      <c r="G478" s="2" t="s">
        <v>2866</v>
      </c>
      <c r="H478" s="2" t="s">
        <v>2867</v>
      </c>
      <c r="I478" s="2" t="s">
        <v>604</v>
      </c>
      <c r="J478" s="2" t="s">
        <v>9983</v>
      </c>
      <c r="K478" s="2" t="s">
        <v>1588</v>
      </c>
      <c r="L478" s="2" t="n">
        <v>0</v>
      </c>
      <c r="M478" s="2" t="n">
        <v>0.46</v>
      </c>
    </row>
    <row r="479" customFormat="false" ht="15" hidden="false" customHeight="false" outlineLevel="0" collapsed="false">
      <c r="A479" s="2" t="n">
        <v>477</v>
      </c>
      <c r="B479" s="2" t="s">
        <v>2715</v>
      </c>
      <c r="C479" s="2" t="n">
        <v>0</v>
      </c>
      <c r="D479" s="2" t="n">
        <v>0</v>
      </c>
      <c r="E479" s="2" t="s">
        <v>9984</v>
      </c>
      <c r="F479" s="2" t="s">
        <v>9985</v>
      </c>
      <c r="G479" s="2" t="s">
        <v>9986</v>
      </c>
      <c r="H479" s="2" t="s">
        <v>2851</v>
      </c>
      <c r="I479" s="2" t="s">
        <v>4096</v>
      </c>
      <c r="J479" s="2" t="s">
        <v>9987</v>
      </c>
      <c r="K479" s="2" t="s">
        <v>1588</v>
      </c>
      <c r="L479" s="2" t="n">
        <v>0.07</v>
      </c>
      <c r="M479" s="2" t="n">
        <v>0.55</v>
      </c>
    </row>
    <row r="480" customFormat="false" ht="15" hidden="false" customHeight="false" outlineLevel="0" collapsed="false">
      <c r="A480" s="2" t="n">
        <v>478</v>
      </c>
      <c r="B480" s="2" t="s">
        <v>2715</v>
      </c>
      <c r="C480" s="2" t="n">
        <v>6</v>
      </c>
      <c r="D480" s="2" t="n">
        <v>6</v>
      </c>
      <c r="E480" s="2" t="s">
        <v>2870</v>
      </c>
      <c r="F480" s="2" t="s">
        <v>2800</v>
      </c>
      <c r="G480" s="2" t="s">
        <v>2871</v>
      </c>
      <c r="H480" s="2" t="s">
        <v>2750</v>
      </c>
      <c r="I480" s="2" t="s">
        <v>370</v>
      </c>
      <c r="J480" s="2" t="s">
        <v>9988</v>
      </c>
      <c r="K480" s="2" t="s">
        <v>1588</v>
      </c>
      <c r="L480" s="2" t="n">
        <v>0.18</v>
      </c>
      <c r="M480" s="2" t="n">
        <v>0.85</v>
      </c>
    </row>
    <row r="481" customFormat="false" ht="15" hidden="false" customHeight="false" outlineLevel="0" collapsed="false">
      <c r="A481" s="2" t="n">
        <v>479</v>
      </c>
      <c r="B481" s="2" t="s">
        <v>2715</v>
      </c>
      <c r="C481" s="2" t="n">
        <v>1</v>
      </c>
      <c r="D481" s="2" t="n">
        <v>0</v>
      </c>
      <c r="E481" s="2" t="s">
        <v>2882</v>
      </c>
      <c r="F481" s="2" t="s">
        <v>2766</v>
      </c>
      <c r="G481" s="2" t="s">
        <v>2883</v>
      </c>
      <c r="H481" s="2" t="s">
        <v>494</v>
      </c>
      <c r="I481" s="2" t="s">
        <v>512</v>
      </c>
      <c r="J481" s="2" t="s">
        <v>9989</v>
      </c>
      <c r="K481" s="2" t="s">
        <v>1588</v>
      </c>
      <c r="L481" s="2" t="n">
        <v>0.11</v>
      </c>
      <c r="M481" s="2" t="n">
        <v>0.6</v>
      </c>
    </row>
    <row r="482" customFormat="false" ht="15" hidden="false" customHeight="false" outlineLevel="0" collapsed="false">
      <c r="A482" s="2" t="n">
        <v>480</v>
      </c>
      <c r="B482" s="2" t="s">
        <v>2884</v>
      </c>
      <c r="C482" s="2" t="n">
        <v>1</v>
      </c>
      <c r="D482" s="2" t="n">
        <v>0</v>
      </c>
      <c r="E482" s="2" t="s">
        <v>2892</v>
      </c>
      <c r="F482" s="2" t="s">
        <v>492</v>
      </c>
      <c r="G482" s="2" t="s">
        <v>2893</v>
      </c>
      <c r="H482" s="2" t="s">
        <v>745</v>
      </c>
      <c r="I482" s="2" t="s">
        <v>2013</v>
      </c>
      <c r="J482" s="2" t="s">
        <v>9990</v>
      </c>
      <c r="K482" s="2" t="s">
        <v>1588</v>
      </c>
      <c r="L482" s="2" t="n">
        <v>0.25</v>
      </c>
      <c r="M482" s="2" t="n">
        <v>1</v>
      </c>
    </row>
    <row r="483" customFormat="false" ht="15" hidden="false" customHeight="false" outlineLevel="0" collapsed="false">
      <c r="A483" s="2" t="n">
        <v>481</v>
      </c>
      <c r="B483" s="2" t="s">
        <v>2884</v>
      </c>
      <c r="C483" s="2" t="n">
        <v>0</v>
      </c>
      <c r="D483" s="2" t="n">
        <v>0</v>
      </c>
      <c r="E483" s="2" t="s">
        <v>9991</v>
      </c>
      <c r="F483" s="2" t="s">
        <v>743</v>
      </c>
      <c r="G483" s="2" t="s">
        <v>9992</v>
      </c>
      <c r="H483" s="2" t="s">
        <v>97</v>
      </c>
      <c r="I483" s="2" t="s">
        <v>98</v>
      </c>
      <c r="J483" s="2" t="s">
        <v>9993</v>
      </c>
      <c r="K483" s="2" t="s">
        <v>1588</v>
      </c>
      <c r="L483" s="2" t="n">
        <v>0</v>
      </c>
      <c r="M483" s="2" t="n">
        <v>0.7</v>
      </c>
    </row>
    <row r="484" customFormat="false" ht="15" hidden="false" customHeight="false" outlineLevel="0" collapsed="false">
      <c r="A484" s="2" t="n">
        <v>482</v>
      </c>
      <c r="B484" s="2" t="s">
        <v>2884</v>
      </c>
      <c r="C484" s="2" t="n">
        <v>0</v>
      </c>
      <c r="D484" s="2" t="n">
        <v>0</v>
      </c>
      <c r="E484" s="2" t="s">
        <v>9994</v>
      </c>
      <c r="F484" s="2" t="s">
        <v>95</v>
      </c>
      <c r="G484" s="2" t="s">
        <v>5324</v>
      </c>
      <c r="H484" s="2" t="s">
        <v>2926</v>
      </c>
      <c r="I484" s="2" t="s">
        <v>1543</v>
      </c>
      <c r="J484" s="2" t="s">
        <v>9995</v>
      </c>
      <c r="K484" s="2" t="s">
        <v>1588</v>
      </c>
      <c r="L484" s="2" t="n">
        <v>0.18</v>
      </c>
      <c r="M484" s="2" t="n">
        <v>1</v>
      </c>
    </row>
    <row r="485" customFormat="false" ht="15" hidden="false" customHeight="false" outlineLevel="0" collapsed="false">
      <c r="A485" s="2" t="n">
        <v>483</v>
      </c>
      <c r="B485" s="2" t="s">
        <v>2884</v>
      </c>
      <c r="C485" s="2" t="n">
        <v>0</v>
      </c>
      <c r="D485" s="2" t="n">
        <v>0</v>
      </c>
      <c r="E485" s="2" t="s">
        <v>9996</v>
      </c>
      <c r="F485" s="2" t="s">
        <v>9997</v>
      </c>
      <c r="G485" s="2" t="s">
        <v>5337</v>
      </c>
      <c r="H485" s="2" t="s">
        <v>97</v>
      </c>
      <c r="I485" s="2" t="s">
        <v>1587</v>
      </c>
      <c r="J485" s="2" t="s">
        <v>9998</v>
      </c>
      <c r="K485" s="2" t="s">
        <v>1588</v>
      </c>
      <c r="L485" s="2" t="n">
        <v>0.33</v>
      </c>
      <c r="M485" s="2" t="n">
        <v>0.75</v>
      </c>
    </row>
    <row r="486" customFormat="false" ht="15" hidden="false" customHeight="false" outlineLevel="0" collapsed="false">
      <c r="A486" s="2" t="n">
        <v>484</v>
      </c>
      <c r="B486" s="2" t="s">
        <v>2884</v>
      </c>
      <c r="C486" s="2" t="n">
        <v>1</v>
      </c>
      <c r="D486" s="2" t="n">
        <v>0</v>
      </c>
      <c r="E486" s="2" t="s">
        <v>2899</v>
      </c>
      <c r="F486" s="2" t="s">
        <v>95</v>
      </c>
      <c r="G486" s="2" t="s">
        <v>2900</v>
      </c>
      <c r="H486" s="2" t="s">
        <v>745</v>
      </c>
      <c r="I486" s="2" t="s">
        <v>2901</v>
      </c>
      <c r="J486" s="2" t="s">
        <v>9999</v>
      </c>
      <c r="K486" s="2" t="s">
        <v>1588</v>
      </c>
      <c r="L486" s="2" t="n">
        <v>0.29</v>
      </c>
      <c r="M486" s="2" t="n">
        <v>1</v>
      </c>
    </row>
    <row r="487" customFormat="false" ht="15" hidden="false" customHeight="false" outlineLevel="0" collapsed="false">
      <c r="A487" s="2" t="n">
        <v>485</v>
      </c>
      <c r="B487" s="2" t="s">
        <v>2884</v>
      </c>
      <c r="C487" s="2" t="n">
        <v>2</v>
      </c>
      <c r="D487" s="2" t="n">
        <v>0</v>
      </c>
      <c r="E487" s="2" t="s">
        <v>2905</v>
      </c>
      <c r="F487" s="2" t="s">
        <v>743</v>
      </c>
      <c r="G487" s="2" t="s">
        <v>2906</v>
      </c>
      <c r="H487" s="2" t="s">
        <v>420</v>
      </c>
      <c r="I487" s="2" t="s">
        <v>67</v>
      </c>
      <c r="J487" s="2" t="s">
        <v>10000</v>
      </c>
      <c r="K487" s="2" t="s">
        <v>1588</v>
      </c>
      <c r="L487" s="2" t="n">
        <v>0.11</v>
      </c>
      <c r="M487" s="2" t="n">
        <v>0.88</v>
      </c>
    </row>
    <row r="488" customFormat="false" ht="15" hidden="false" customHeight="false" outlineLevel="0" collapsed="false">
      <c r="A488" s="2" t="n">
        <v>486</v>
      </c>
      <c r="B488" s="2" t="s">
        <v>2884</v>
      </c>
      <c r="C488" s="2" t="n">
        <v>1</v>
      </c>
      <c r="D488" s="2" t="n">
        <v>0</v>
      </c>
      <c r="E488" s="2" t="s">
        <v>2914</v>
      </c>
      <c r="F488" s="2" t="s">
        <v>803</v>
      </c>
      <c r="G488" s="2" t="s">
        <v>2915</v>
      </c>
      <c r="H488" s="2" t="s">
        <v>2916</v>
      </c>
      <c r="I488" s="2" t="s">
        <v>2506</v>
      </c>
      <c r="J488" s="2" t="s">
        <v>10001</v>
      </c>
      <c r="K488" s="2" t="s">
        <v>1588</v>
      </c>
      <c r="L488" s="2" t="n">
        <v>0.11</v>
      </c>
      <c r="M488" s="2" t="n">
        <v>1</v>
      </c>
    </row>
    <row r="489" customFormat="false" ht="15" hidden="false" customHeight="false" outlineLevel="0" collapsed="false">
      <c r="A489" s="2" t="n">
        <v>487</v>
      </c>
      <c r="B489" s="2" t="s">
        <v>2884</v>
      </c>
      <c r="C489" s="2" t="n">
        <v>0</v>
      </c>
      <c r="D489" s="2" t="n">
        <v>0</v>
      </c>
      <c r="E489" s="2" t="s">
        <v>10002</v>
      </c>
      <c r="F489" s="2" t="s">
        <v>10003</v>
      </c>
      <c r="G489" s="2" t="s">
        <v>10004</v>
      </c>
      <c r="H489" s="2" t="s">
        <v>10005</v>
      </c>
      <c r="I489" s="2" t="s">
        <v>1932</v>
      </c>
      <c r="J489" s="2" t="s">
        <v>10006</v>
      </c>
      <c r="K489" s="2" t="s">
        <v>507</v>
      </c>
      <c r="L489" s="2" t="n">
        <v>0.23</v>
      </c>
      <c r="M489" s="2" t="n">
        <v>0.4</v>
      </c>
    </row>
    <row r="490" customFormat="false" ht="15" hidden="false" customHeight="false" outlineLevel="0" collapsed="false">
      <c r="A490" s="2" t="n">
        <v>488</v>
      </c>
      <c r="B490" s="2" t="s">
        <v>2884</v>
      </c>
      <c r="C490" s="2" t="n">
        <v>0</v>
      </c>
      <c r="D490" s="2" t="n">
        <v>0</v>
      </c>
      <c r="E490" s="2" t="s">
        <v>10007</v>
      </c>
      <c r="F490" s="2" t="s">
        <v>10008</v>
      </c>
      <c r="G490" s="2" t="s">
        <v>10009</v>
      </c>
      <c r="H490" s="2" t="s">
        <v>10005</v>
      </c>
      <c r="I490" s="2" t="s">
        <v>5557</v>
      </c>
      <c r="J490" s="2" t="s">
        <v>10010</v>
      </c>
      <c r="K490" s="2" t="s">
        <v>1588</v>
      </c>
      <c r="L490" s="2" t="n">
        <v>0</v>
      </c>
      <c r="M490" s="2" t="n">
        <v>0.64</v>
      </c>
    </row>
    <row r="491" customFormat="false" ht="15" hidden="false" customHeight="false" outlineLevel="0" collapsed="false">
      <c r="A491" s="2" t="n">
        <v>489</v>
      </c>
      <c r="B491" s="2" t="s">
        <v>2884</v>
      </c>
      <c r="C491" s="2" t="n">
        <v>0</v>
      </c>
      <c r="D491" s="2" t="n">
        <v>0</v>
      </c>
      <c r="E491" s="2" t="s">
        <v>10011</v>
      </c>
      <c r="F491" s="2" t="s">
        <v>10008</v>
      </c>
      <c r="G491" s="2" t="s">
        <v>5343</v>
      </c>
      <c r="H491" s="2" t="s">
        <v>2926</v>
      </c>
      <c r="I491" s="2" t="s">
        <v>331</v>
      </c>
      <c r="J491" s="2" t="s">
        <v>10012</v>
      </c>
      <c r="K491" s="2" t="s">
        <v>1588</v>
      </c>
      <c r="L491" s="2" t="n">
        <v>0.25</v>
      </c>
      <c r="M491" s="2" t="n">
        <v>0.55</v>
      </c>
    </row>
    <row r="492" customFormat="false" ht="15" hidden="false" customHeight="false" outlineLevel="0" collapsed="false">
      <c r="A492" s="2" t="n">
        <v>490</v>
      </c>
      <c r="B492" s="2" t="s">
        <v>2884</v>
      </c>
      <c r="C492" s="2" t="n">
        <v>0</v>
      </c>
      <c r="D492" s="2" t="n">
        <v>0</v>
      </c>
      <c r="E492" s="2" t="s">
        <v>10013</v>
      </c>
      <c r="F492" s="2" t="s">
        <v>9997</v>
      </c>
      <c r="G492" s="2" t="s">
        <v>10014</v>
      </c>
      <c r="H492" s="2" t="s">
        <v>6718</v>
      </c>
      <c r="I492" s="2" t="s">
        <v>4606</v>
      </c>
      <c r="J492" s="2" t="s">
        <v>10015</v>
      </c>
      <c r="K492" s="2" t="s">
        <v>1588</v>
      </c>
      <c r="L492" s="2" t="n">
        <v>0</v>
      </c>
      <c r="M492" s="2" t="n">
        <v>0.44</v>
      </c>
    </row>
    <row r="493" customFormat="false" ht="15" hidden="false" customHeight="false" outlineLevel="0" collapsed="false">
      <c r="A493" s="2" t="n">
        <v>491</v>
      </c>
      <c r="B493" s="2" t="s">
        <v>2884</v>
      </c>
      <c r="C493" s="2" t="n">
        <v>2</v>
      </c>
      <c r="D493" s="2" t="n">
        <v>0</v>
      </c>
      <c r="E493" s="2" t="s">
        <v>2923</v>
      </c>
      <c r="F493" s="2" t="s">
        <v>2924</v>
      </c>
      <c r="G493" s="2" t="s">
        <v>2925</v>
      </c>
      <c r="H493" s="2" t="s">
        <v>2926</v>
      </c>
      <c r="I493" s="2" t="s">
        <v>2927</v>
      </c>
      <c r="J493" s="2" t="s">
        <v>10016</v>
      </c>
      <c r="K493" s="2" t="s">
        <v>1588</v>
      </c>
      <c r="L493" s="2" t="n">
        <v>0.25</v>
      </c>
      <c r="M493" s="2" t="n">
        <v>0.73</v>
      </c>
    </row>
    <row r="494" customFormat="false" ht="15" hidden="false" customHeight="false" outlineLevel="0" collapsed="false">
      <c r="A494" s="2" t="n">
        <v>492</v>
      </c>
      <c r="B494" s="2" t="s">
        <v>2884</v>
      </c>
      <c r="C494" s="2" t="n">
        <v>0</v>
      </c>
      <c r="D494" s="2" t="n">
        <v>0</v>
      </c>
      <c r="E494" s="2" t="s">
        <v>10017</v>
      </c>
      <c r="F494" s="2" t="s">
        <v>9997</v>
      </c>
      <c r="G494" s="2" t="s">
        <v>5375</v>
      </c>
      <c r="H494" s="2" t="s">
        <v>5376</v>
      </c>
      <c r="I494" s="2" t="s">
        <v>2431</v>
      </c>
      <c r="J494" s="2" t="s">
        <v>10018</v>
      </c>
      <c r="K494" s="2" t="s">
        <v>507</v>
      </c>
      <c r="L494" s="2" t="n">
        <v>0</v>
      </c>
      <c r="M494" s="2" t="n">
        <v>0.38</v>
      </c>
    </row>
    <row r="495" customFormat="false" ht="15" hidden="false" customHeight="false" outlineLevel="0" collapsed="false">
      <c r="A495" s="2" t="n">
        <v>493</v>
      </c>
      <c r="B495" s="2" t="s">
        <v>2884</v>
      </c>
      <c r="C495" s="2" t="n">
        <v>0</v>
      </c>
      <c r="D495" s="2" t="n">
        <v>0</v>
      </c>
      <c r="E495" s="2" t="s">
        <v>10019</v>
      </c>
      <c r="F495" s="2" t="s">
        <v>6066</v>
      </c>
      <c r="G495" s="2" t="s">
        <v>5382</v>
      </c>
      <c r="H495" s="2" t="s">
        <v>2926</v>
      </c>
      <c r="I495" s="2" t="s">
        <v>2252</v>
      </c>
      <c r="J495" s="2" t="s">
        <v>10020</v>
      </c>
      <c r="K495" s="2" t="s">
        <v>1588</v>
      </c>
      <c r="L495" s="2" t="n">
        <v>0.12</v>
      </c>
      <c r="M495" s="2" t="n">
        <v>0.58</v>
      </c>
    </row>
    <row r="496" customFormat="false" ht="15" hidden="false" customHeight="false" outlineLevel="0" collapsed="false">
      <c r="A496" s="2" t="n">
        <v>494</v>
      </c>
      <c r="B496" s="2" t="s">
        <v>2884</v>
      </c>
      <c r="C496" s="2" t="n">
        <v>0</v>
      </c>
      <c r="D496" s="2" t="n">
        <v>0</v>
      </c>
      <c r="E496" s="2" t="s">
        <v>10021</v>
      </c>
      <c r="F496" s="2" t="s">
        <v>9997</v>
      </c>
      <c r="G496" s="2" t="s">
        <v>5386</v>
      </c>
      <c r="H496" s="2" t="s">
        <v>5387</v>
      </c>
      <c r="I496" s="2" t="s">
        <v>5388</v>
      </c>
      <c r="J496" s="2" t="s">
        <v>10022</v>
      </c>
      <c r="K496" s="2" t="s">
        <v>1588</v>
      </c>
      <c r="L496" s="2" t="n">
        <v>0.1</v>
      </c>
      <c r="M496" s="2" t="n">
        <v>0.56</v>
      </c>
    </row>
    <row r="497" customFormat="false" ht="15" hidden="false" customHeight="false" outlineLevel="0" collapsed="false">
      <c r="A497" s="2" t="n">
        <v>495</v>
      </c>
      <c r="B497" s="2" t="s">
        <v>2884</v>
      </c>
      <c r="C497" s="2" t="n">
        <v>0</v>
      </c>
      <c r="D497" s="2" t="n">
        <v>0</v>
      </c>
      <c r="E497" s="2" t="s">
        <v>10023</v>
      </c>
      <c r="F497" s="2" t="s">
        <v>5387</v>
      </c>
      <c r="G497" s="2" t="s">
        <v>5394</v>
      </c>
      <c r="H497" s="2" t="s">
        <v>2926</v>
      </c>
      <c r="I497" s="2" t="s">
        <v>344</v>
      </c>
      <c r="J497" s="2" t="s">
        <v>10024</v>
      </c>
      <c r="K497" s="2" t="s">
        <v>1588</v>
      </c>
      <c r="L497" s="2" t="n">
        <v>0.1</v>
      </c>
      <c r="M497" s="2" t="n">
        <v>0.73</v>
      </c>
    </row>
    <row r="498" customFormat="false" ht="15" hidden="false" customHeight="false" outlineLevel="0" collapsed="false">
      <c r="A498" s="2" t="n">
        <v>496</v>
      </c>
      <c r="B498" s="2" t="s">
        <v>2884</v>
      </c>
      <c r="C498" s="2" t="n">
        <v>0</v>
      </c>
      <c r="D498" s="2" t="n">
        <v>0</v>
      </c>
      <c r="E498" s="2" t="s">
        <v>10025</v>
      </c>
      <c r="F498" s="2" t="s">
        <v>9997</v>
      </c>
      <c r="G498" s="2" t="s">
        <v>10026</v>
      </c>
      <c r="H498" s="2" t="s">
        <v>10027</v>
      </c>
      <c r="I498" s="2" t="s">
        <v>595</v>
      </c>
      <c r="J498" s="2" t="s">
        <v>10028</v>
      </c>
      <c r="K498" s="2" t="s">
        <v>1588</v>
      </c>
      <c r="L498" s="2" t="n">
        <v>0</v>
      </c>
      <c r="M498" s="2" t="n">
        <v>0.45</v>
      </c>
    </row>
    <row r="499" customFormat="false" ht="15" hidden="false" customHeight="false" outlineLevel="0" collapsed="false">
      <c r="A499" s="2" t="n">
        <v>497</v>
      </c>
      <c r="B499" s="2" t="s">
        <v>2884</v>
      </c>
      <c r="C499" s="2" t="n">
        <v>0</v>
      </c>
      <c r="D499" s="2" t="n">
        <v>0</v>
      </c>
      <c r="E499" s="2" t="s">
        <v>10029</v>
      </c>
      <c r="F499" s="2" t="s">
        <v>10030</v>
      </c>
      <c r="G499" s="2" t="s">
        <v>10031</v>
      </c>
      <c r="H499" s="2" t="s">
        <v>420</v>
      </c>
      <c r="I499" s="2" t="s">
        <v>1750</v>
      </c>
      <c r="J499" s="2" t="s">
        <v>10032</v>
      </c>
      <c r="K499" s="2" t="s">
        <v>507</v>
      </c>
      <c r="L499" s="2" t="n">
        <v>0.1</v>
      </c>
      <c r="M499" s="2" t="n">
        <v>0.78</v>
      </c>
    </row>
    <row r="500" customFormat="false" ht="15" hidden="false" customHeight="false" outlineLevel="0" collapsed="false">
      <c r="A500" s="2" t="n">
        <v>498</v>
      </c>
      <c r="B500" s="2" t="s">
        <v>2884</v>
      </c>
      <c r="C500" s="2" t="n">
        <v>0</v>
      </c>
      <c r="D500" s="2" t="n">
        <v>0</v>
      </c>
      <c r="E500" s="2" t="s">
        <v>10033</v>
      </c>
      <c r="F500" s="2" t="s">
        <v>803</v>
      </c>
      <c r="G500" s="2" t="s">
        <v>10034</v>
      </c>
      <c r="H500" s="2" t="s">
        <v>2983</v>
      </c>
      <c r="I500" s="2" t="s">
        <v>1972</v>
      </c>
      <c r="J500" s="2" t="s">
        <v>10035</v>
      </c>
      <c r="K500" s="2" t="s">
        <v>1588</v>
      </c>
      <c r="L500" s="2" t="n">
        <v>0</v>
      </c>
      <c r="M500" s="2" t="n">
        <v>1</v>
      </c>
    </row>
    <row r="501" customFormat="false" ht="15" hidden="false" customHeight="false" outlineLevel="0" collapsed="false">
      <c r="A501" s="2" t="n">
        <v>499</v>
      </c>
      <c r="B501" s="2" t="s">
        <v>2884</v>
      </c>
      <c r="C501" s="2" t="n">
        <v>1</v>
      </c>
      <c r="D501" s="2" t="n">
        <v>0</v>
      </c>
      <c r="E501" s="2" t="s">
        <v>2935</v>
      </c>
      <c r="F501" s="2" t="s">
        <v>2936</v>
      </c>
      <c r="G501" s="2" t="s">
        <v>2937</v>
      </c>
      <c r="H501" s="2" t="s">
        <v>2938</v>
      </c>
      <c r="I501" s="2" t="s">
        <v>2939</v>
      </c>
      <c r="J501" s="2" t="s">
        <v>10036</v>
      </c>
      <c r="K501" s="2" t="s">
        <v>1588</v>
      </c>
      <c r="L501" s="2" t="n">
        <v>0.4</v>
      </c>
      <c r="M501" s="2" t="n">
        <v>0.62</v>
      </c>
    </row>
    <row r="502" customFormat="false" ht="15" hidden="false" customHeight="false" outlineLevel="0" collapsed="false">
      <c r="A502" s="2" t="n">
        <v>500</v>
      </c>
      <c r="B502" s="2" t="s">
        <v>2884</v>
      </c>
      <c r="C502" s="2" t="n">
        <v>1</v>
      </c>
      <c r="D502" s="2" t="n">
        <v>1</v>
      </c>
      <c r="E502" s="2" t="s">
        <v>2945</v>
      </c>
      <c r="F502" s="2" t="s">
        <v>2946</v>
      </c>
      <c r="G502" s="2" t="s">
        <v>2947</v>
      </c>
      <c r="H502" s="2" t="s">
        <v>2948</v>
      </c>
      <c r="I502" s="2" t="s">
        <v>1429</v>
      </c>
      <c r="J502" s="2" t="s">
        <v>10037</v>
      </c>
      <c r="K502" s="2" t="s">
        <v>160</v>
      </c>
      <c r="L502" s="2" t="n">
        <v>0.46</v>
      </c>
      <c r="M502" s="2" t="n">
        <v>0.6</v>
      </c>
    </row>
    <row r="503" customFormat="false" ht="15" hidden="false" customHeight="false" outlineLevel="0" collapsed="false">
      <c r="A503" s="2" t="n">
        <v>501</v>
      </c>
      <c r="B503" s="2" t="s">
        <v>2884</v>
      </c>
      <c r="C503" s="2" t="n">
        <v>2</v>
      </c>
      <c r="D503" s="2" t="n">
        <v>0</v>
      </c>
      <c r="E503" s="2" t="s">
        <v>2951</v>
      </c>
      <c r="F503" s="2" t="s">
        <v>2952</v>
      </c>
      <c r="G503" s="2" t="s">
        <v>2953</v>
      </c>
      <c r="H503" s="2" t="s">
        <v>1238</v>
      </c>
      <c r="I503" s="2" t="s">
        <v>1964</v>
      </c>
      <c r="J503" s="2" t="s">
        <v>10038</v>
      </c>
      <c r="K503" s="2" t="s">
        <v>1588</v>
      </c>
      <c r="L503" s="2" t="n">
        <v>0.25</v>
      </c>
      <c r="M503" s="2" t="n">
        <v>0.82</v>
      </c>
    </row>
    <row r="504" customFormat="false" ht="15" hidden="false" customHeight="false" outlineLevel="0" collapsed="false">
      <c r="A504" s="2" t="n">
        <v>502</v>
      </c>
      <c r="B504" s="2" t="s">
        <v>2884</v>
      </c>
      <c r="C504" s="2" t="n">
        <v>4</v>
      </c>
      <c r="D504" s="2" t="n">
        <v>0</v>
      </c>
      <c r="E504" s="2" t="s">
        <v>2958</v>
      </c>
      <c r="F504" s="2" t="s">
        <v>1236</v>
      </c>
      <c r="G504" s="2" t="s">
        <v>2959</v>
      </c>
      <c r="H504" s="2" t="s">
        <v>97</v>
      </c>
      <c r="I504" s="2" t="s">
        <v>918</v>
      </c>
      <c r="J504" s="2" t="s">
        <v>10039</v>
      </c>
      <c r="K504" s="2" t="s">
        <v>1588</v>
      </c>
      <c r="L504" s="2" t="n">
        <v>0.38</v>
      </c>
      <c r="M504" s="2" t="n">
        <v>0.75</v>
      </c>
    </row>
    <row r="505" customFormat="false" ht="15" hidden="false" customHeight="false" outlineLevel="0" collapsed="false">
      <c r="A505" s="2" t="n">
        <v>503</v>
      </c>
      <c r="B505" s="2" t="s">
        <v>2884</v>
      </c>
      <c r="C505" s="2" t="n">
        <v>1</v>
      </c>
      <c r="D505" s="2" t="n">
        <v>1</v>
      </c>
      <c r="E505" s="2" t="s">
        <v>2977</v>
      </c>
      <c r="F505" s="2" t="s">
        <v>95</v>
      </c>
      <c r="G505" s="2" t="s">
        <v>2978</v>
      </c>
      <c r="H505" s="2" t="s">
        <v>2979</v>
      </c>
      <c r="I505" s="2" t="s">
        <v>1700</v>
      </c>
      <c r="J505" s="2" t="s">
        <v>10040</v>
      </c>
      <c r="K505" s="2" t="s">
        <v>1588</v>
      </c>
      <c r="L505" s="2" t="n">
        <v>0.43</v>
      </c>
      <c r="M505" s="2" t="n">
        <v>0.9</v>
      </c>
    </row>
    <row r="506" customFormat="false" ht="15" hidden="false" customHeight="false" outlineLevel="0" collapsed="false">
      <c r="A506" s="2" t="n">
        <v>504</v>
      </c>
      <c r="B506" s="2" t="s">
        <v>2884</v>
      </c>
      <c r="C506" s="2" t="n">
        <v>1</v>
      </c>
      <c r="D506" s="2" t="n">
        <v>0</v>
      </c>
      <c r="E506" s="2" t="s">
        <v>2981</v>
      </c>
      <c r="F506" s="2" t="s">
        <v>2952</v>
      </c>
      <c r="G506" s="2" t="s">
        <v>2982</v>
      </c>
      <c r="H506" s="2" t="s">
        <v>2983</v>
      </c>
      <c r="I506" s="2" t="s">
        <v>360</v>
      </c>
      <c r="J506" s="2" t="s">
        <v>10041</v>
      </c>
      <c r="K506" s="2" t="s">
        <v>507</v>
      </c>
      <c r="L506" s="2" t="n">
        <v>0</v>
      </c>
      <c r="M506" s="2" t="n">
        <v>0.92</v>
      </c>
    </row>
    <row r="507" customFormat="false" ht="15" hidden="false" customHeight="false" outlineLevel="0" collapsed="false">
      <c r="A507" s="2" t="n">
        <v>505</v>
      </c>
      <c r="B507" s="2" t="s">
        <v>2884</v>
      </c>
      <c r="C507" s="2" t="n">
        <v>3</v>
      </c>
      <c r="D507" s="2" t="n">
        <v>2</v>
      </c>
      <c r="E507" s="2" t="s">
        <v>2989</v>
      </c>
      <c r="F507" s="2" t="s">
        <v>2936</v>
      </c>
      <c r="G507" s="2" t="s">
        <v>2990</v>
      </c>
      <c r="H507" s="2" t="s">
        <v>2948</v>
      </c>
      <c r="I507" s="2" t="s">
        <v>2313</v>
      </c>
      <c r="J507" s="2" t="s">
        <v>10042</v>
      </c>
      <c r="K507" s="2" t="s">
        <v>1588</v>
      </c>
      <c r="L507" s="2" t="n">
        <v>0.25</v>
      </c>
      <c r="M507" s="2" t="n">
        <v>0.78</v>
      </c>
    </row>
    <row r="508" customFormat="false" ht="15" hidden="false" customHeight="false" outlineLevel="0" collapsed="false">
      <c r="A508" s="2" t="n">
        <v>506</v>
      </c>
      <c r="B508" s="2" t="s">
        <v>2884</v>
      </c>
      <c r="C508" s="2" t="n">
        <v>2</v>
      </c>
      <c r="D508" s="2" t="n">
        <v>0</v>
      </c>
      <c r="E508" s="2" t="s">
        <v>2997</v>
      </c>
      <c r="F508" s="2" t="s">
        <v>2952</v>
      </c>
      <c r="G508" s="2" t="s">
        <v>2998</v>
      </c>
      <c r="H508" s="2" t="s">
        <v>2948</v>
      </c>
      <c r="I508" s="2" t="s">
        <v>2999</v>
      </c>
      <c r="J508" s="2" t="s">
        <v>10043</v>
      </c>
      <c r="K508" s="2" t="s">
        <v>68</v>
      </c>
      <c r="L508" s="2" t="n">
        <v>0.85</v>
      </c>
      <c r="M508" s="2" t="n">
        <v>0.75</v>
      </c>
    </row>
    <row r="509" customFormat="false" ht="15" hidden="false" customHeight="false" outlineLevel="0" collapsed="false">
      <c r="A509" s="2" t="n">
        <v>507</v>
      </c>
      <c r="B509" s="2" t="s">
        <v>2884</v>
      </c>
      <c r="C509" s="2" t="n">
        <v>2</v>
      </c>
      <c r="D509" s="2" t="n">
        <v>0</v>
      </c>
      <c r="E509" s="2" t="s">
        <v>3001</v>
      </c>
      <c r="F509" s="2" t="s">
        <v>2952</v>
      </c>
      <c r="G509" s="2" t="s">
        <v>3002</v>
      </c>
      <c r="H509" s="2" t="s">
        <v>2983</v>
      </c>
      <c r="I509" s="2" t="s">
        <v>159</v>
      </c>
      <c r="J509" s="2" t="s">
        <v>10044</v>
      </c>
      <c r="K509" s="2" t="s">
        <v>1588</v>
      </c>
      <c r="L509" s="2" t="n">
        <v>0.12</v>
      </c>
      <c r="M509" s="2" t="n">
        <v>0.91</v>
      </c>
    </row>
    <row r="510" customFormat="false" ht="15" hidden="false" customHeight="false" outlineLevel="0" collapsed="false">
      <c r="A510" s="2" t="n">
        <v>508</v>
      </c>
      <c r="B510" s="2" t="s">
        <v>2884</v>
      </c>
      <c r="C510" s="2" t="n">
        <v>0</v>
      </c>
      <c r="D510" s="2" t="n">
        <v>0</v>
      </c>
      <c r="E510" s="2" t="s">
        <v>10045</v>
      </c>
      <c r="F510" s="2" t="s">
        <v>2936</v>
      </c>
      <c r="G510" s="2" t="s">
        <v>10046</v>
      </c>
      <c r="H510" s="2" t="s">
        <v>745</v>
      </c>
      <c r="I510" s="2" t="s">
        <v>6803</v>
      </c>
      <c r="J510" s="2" t="s">
        <v>10047</v>
      </c>
      <c r="K510" s="2" t="s">
        <v>1588</v>
      </c>
      <c r="L510" s="2" t="n">
        <v>0.11</v>
      </c>
      <c r="M510" s="2" t="n">
        <v>0.62</v>
      </c>
    </row>
    <row r="511" customFormat="false" ht="15" hidden="false" customHeight="false" outlineLevel="0" collapsed="false">
      <c r="A511" s="2" t="n">
        <v>509</v>
      </c>
      <c r="B511" s="2" t="s">
        <v>2884</v>
      </c>
      <c r="C511" s="2" t="n">
        <v>0</v>
      </c>
      <c r="D511" s="2" t="n">
        <v>0</v>
      </c>
      <c r="E511" s="2" t="s">
        <v>10048</v>
      </c>
      <c r="F511" s="2" t="s">
        <v>743</v>
      </c>
      <c r="G511" s="2" t="s">
        <v>10049</v>
      </c>
      <c r="H511" s="2" t="s">
        <v>2979</v>
      </c>
      <c r="I511" s="2" t="s">
        <v>647</v>
      </c>
      <c r="J511" s="2" t="s">
        <v>10050</v>
      </c>
      <c r="K511" s="2" t="s">
        <v>507</v>
      </c>
      <c r="L511" s="2" t="n">
        <v>0</v>
      </c>
      <c r="M511" s="2" t="n">
        <v>0.4</v>
      </c>
    </row>
    <row r="512" customFormat="false" ht="15" hidden="false" customHeight="false" outlineLevel="0" collapsed="false">
      <c r="A512" s="2" t="n">
        <v>510</v>
      </c>
      <c r="B512" s="2" t="s">
        <v>3003</v>
      </c>
      <c r="C512" s="2" t="n">
        <v>0</v>
      </c>
      <c r="D512" s="2" t="n">
        <v>0</v>
      </c>
      <c r="E512" s="2" t="s">
        <v>10051</v>
      </c>
      <c r="F512" s="2" t="s">
        <v>6694</v>
      </c>
      <c r="G512" s="2" t="s">
        <v>5407</v>
      </c>
      <c r="H512" s="2" t="s">
        <v>5408</v>
      </c>
      <c r="I512" s="2" t="s">
        <v>776</v>
      </c>
      <c r="J512" s="2" t="s">
        <v>10052</v>
      </c>
      <c r="K512" s="2" t="s">
        <v>1588</v>
      </c>
      <c r="L512" s="2" t="n">
        <v>0</v>
      </c>
      <c r="M512" s="2" t="n">
        <v>0.58</v>
      </c>
    </row>
    <row r="513" customFormat="false" ht="15" hidden="false" customHeight="false" outlineLevel="0" collapsed="false">
      <c r="A513" s="2" t="n">
        <v>511</v>
      </c>
      <c r="B513" s="2" t="s">
        <v>3003</v>
      </c>
      <c r="C513" s="2" t="n">
        <v>0</v>
      </c>
      <c r="D513" s="2" t="n">
        <v>0</v>
      </c>
      <c r="E513" s="2" t="s">
        <v>10053</v>
      </c>
      <c r="F513" s="2" t="s">
        <v>3011</v>
      </c>
      <c r="G513" s="2" t="s">
        <v>10054</v>
      </c>
      <c r="H513" s="2" t="s">
        <v>10055</v>
      </c>
      <c r="I513" s="2" t="s">
        <v>2149</v>
      </c>
      <c r="J513" s="2" t="s">
        <v>10056</v>
      </c>
      <c r="K513" s="2" t="s">
        <v>1588</v>
      </c>
      <c r="L513" s="2" t="n">
        <v>0.17</v>
      </c>
      <c r="M513" s="2" t="n">
        <v>0.86</v>
      </c>
    </row>
    <row r="514" customFormat="false" ht="15" hidden="false" customHeight="false" outlineLevel="0" collapsed="false">
      <c r="A514" s="2" t="n">
        <v>512</v>
      </c>
      <c r="B514" s="2" t="s">
        <v>3003</v>
      </c>
      <c r="C514" s="2" t="n">
        <v>0</v>
      </c>
      <c r="D514" s="2" t="n">
        <v>0</v>
      </c>
      <c r="E514" s="2" t="s">
        <v>10057</v>
      </c>
      <c r="F514" s="2" t="s">
        <v>10055</v>
      </c>
      <c r="G514" s="2" t="s">
        <v>10058</v>
      </c>
      <c r="H514" s="2" t="s">
        <v>2948</v>
      </c>
      <c r="I514" s="2" t="s">
        <v>2825</v>
      </c>
      <c r="J514" s="2" t="s">
        <v>10059</v>
      </c>
      <c r="K514" s="2" t="s">
        <v>1588</v>
      </c>
      <c r="L514" s="2" t="n">
        <v>0.17</v>
      </c>
      <c r="M514" s="2" t="n">
        <v>0.73</v>
      </c>
    </row>
    <row r="515" customFormat="false" ht="15" hidden="false" customHeight="false" outlineLevel="0" collapsed="false">
      <c r="A515" s="2" t="n">
        <v>513</v>
      </c>
      <c r="B515" s="2" t="s">
        <v>3003</v>
      </c>
      <c r="C515" s="2" t="n">
        <v>0</v>
      </c>
      <c r="D515" s="2" t="n">
        <v>0</v>
      </c>
      <c r="E515" s="2" t="s">
        <v>10060</v>
      </c>
      <c r="F515" s="2" t="s">
        <v>2952</v>
      </c>
      <c r="G515" s="2" t="s">
        <v>10061</v>
      </c>
      <c r="H515" s="2" t="s">
        <v>745</v>
      </c>
      <c r="I515" s="2" t="s">
        <v>4290</v>
      </c>
      <c r="J515" s="2" t="s">
        <v>10062</v>
      </c>
      <c r="K515" s="2" t="s">
        <v>1588</v>
      </c>
      <c r="L515" s="2" t="n">
        <v>0.2</v>
      </c>
      <c r="M515" s="2" t="n">
        <v>0.83</v>
      </c>
    </row>
    <row r="516" customFormat="false" ht="15" hidden="false" customHeight="false" outlineLevel="0" collapsed="false">
      <c r="A516" s="2" t="n">
        <v>514</v>
      </c>
      <c r="B516" s="2" t="s">
        <v>3003</v>
      </c>
      <c r="C516" s="2" t="n">
        <v>0</v>
      </c>
      <c r="D516" s="2" t="n">
        <v>0</v>
      </c>
      <c r="E516" s="2" t="s">
        <v>10063</v>
      </c>
      <c r="F516" s="2" t="s">
        <v>743</v>
      </c>
      <c r="G516" s="2" t="s">
        <v>5416</v>
      </c>
      <c r="H516" s="2" t="s">
        <v>5408</v>
      </c>
      <c r="I516" s="2" t="s">
        <v>647</v>
      </c>
      <c r="J516" s="2" t="s">
        <v>10064</v>
      </c>
      <c r="K516" s="2" t="s">
        <v>1588</v>
      </c>
      <c r="L516" s="2" t="n">
        <v>0.2</v>
      </c>
      <c r="M516" s="2" t="n">
        <v>0.46</v>
      </c>
    </row>
    <row r="517" customFormat="false" ht="15" hidden="false" customHeight="false" outlineLevel="0" collapsed="false">
      <c r="A517" s="2" t="n">
        <v>515</v>
      </c>
      <c r="B517" s="2" t="s">
        <v>3003</v>
      </c>
      <c r="C517" s="2" t="n">
        <v>1</v>
      </c>
      <c r="D517" s="2" t="n">
        <v>1</v>
      </c>
      <c r="E517" s="2" t="s">
        <v>3010</v>
      </c>
      <c r="F517" s="2" t="s">
        <v>3011</v>
      </c>
      <c r="G517" s="2" t="s">
        <v>3012</v>
      </c>
      <c r="H517" s="2" t="s">
        <v>2948</v>
      </c>
      <c r="I517" s="2" t="s">
        <v>1875</v>
      </c>
      <c r="J517" s="2" t="s">
        <v>10065</v>
      </c>
      <c r="K517" s="2" t="s">
        <v>507</v>
      </c>
      <c r="L517" s="2" t="n">
        <v>0.14</v>
      </c>
      <c r="M517" s="2" t="n">
        <v>0.3</v>
      </c>
    </row>
    <row r="518" customFormat="false" ht="15" hidden="false" customHeight="false" outlineLevel="0" collapsed="false">
      <c r="A518" s="2" t="n">
        <v>516</v>
      </c>
      <c r="B518" s="2" t="s">
        <v>3003</v>
      </c>
      <c r="C518" s="2" t="n">
        <v>1</v>
      </c>
      <c r="D518" s="2" t="n">
        <v>0</v>
      </c>
      <c r="E518" s="2" t="s">
        <v>3015</v>
      </c>
      <c r="F518" s="2" t="s">
        <v>2952</v>
      </c>
      <c r="G518" s="2" t="s">
        <v>3016</v>
      </c>
      <c r="H518" s="2" t="s">
        <v>2948</v>
      </c>
      <c r="I518" s="2" t="s">
        <v>3017</v>
      </c>
      <c r="J518" s="2" t="s">
        <v>10066</v>
      </c>
      <c r="K518" s="2" t="s">
        <v>1588</v>
      </c>
      <c r="L518" s="2" t="n">
        <v>0.15</v>
      </c>
      <c r="M518" s="2" t="n">
        <v>0.64</v>
      </c>
    </row>
    <row r="519" customFormat="false" ht="15" hidden="false" customHeight="false" outlineLevel="0" collapsed="false">
      <c r="A519" s="2" t="n">
        <v>517</v>
      </c>
      <c r="B519" s="2" t="s">
        <v>3003</v>
      </c>
      <c r="C519" s="2" t="n">
        <v>0</v>
      </c>
      <c r="D519" s="2" t="n">
        <v>0</v>
      </c>
      <c r="E519" s="2" t="s">
        <v>10067</v>
      </c>
      <c r="F519" s="2" t="s">
        <v>2952</v>
      </c>
      <c r="G519" s="2" t="s">
        <v>5432</v>
      </c>
      <c r="H519" s="2" t="s">
        <v>2983</v>
      </c>
      <c r="I519" s="2" t="s">
        <v>604</v>
      </c>
      <c r="J519" s="2" t="s">
        <v>10068</v>
      </c>
      <c r="K519" s="2" t="s">
        <v>1588</v>
      </c>
      <c r="L519" s="2" t="n">
        <v>0.11</v>
      </c>
      <c r="M519" s="2" t="n">
        <v>0.92</v>
      </c>
    </row>
    <row r="520" customFormat="false" ht="15" hidden="false" customHeight="false" outlineLevel="0" collapsed="false">
      <c r="A520" s="2" t="n">
        <v>518</v>
      </c>
      <c r="B520" s="2" t="s">
        <v>3003</v>
      </c>
      <c r="C520" s="2" t="n">
        <v>1</v>
      </c>
      <c r="D520" s="2" t="n">
        <v>0</v>
      </c>
      <c r="E520" s="2" t="s">
        <v>3021</v>
      </c>
      <c r="F520" s="2" t="s">
        <v>2936</v>
      </c>
      <c r="G520" s="2" t="s">
        <v>3022</v>
      </c>
      <c r="H520" s="2" t="s">
        <v>420</v>
      </c>
      <c r="I520" s="2" t="s">
        <v>3023</v>
      </c>
      <c r="J520" s="2" t="s">
        <v>10069</v>
      </c>
      <c r="K520" s="2" t="s">
        <v>1588</v>
      </c>
      <c r="L520" s="2" t="n">
        <v>0.44</v>
      </c>
      <c r="M520" s="2" t="n">
        <v>1</v>
      </c>
    </row>
    <row r="521" customFormat="false" ht="15" hidden="false" customHeight="false" outlineLevel="0" collapsed="false">
      <c r="A521" s="2" t="n">
        <v>519</v>
      </c>
      <c r="B521" s="2" t="s">
        <v>3003</v>
      </c>
      <c r="C521" s="2" t="n">
        <v>1</v>
      </c>
      <c r="D521" s="2" t="n">
        <v>0</v>
      </c>
      <c r="E521" s="2" t="s">
        <v>3028</v>
      </c>
      <c r="F521" s="2" t="s">
        <v>1563</v>
      </c>
      <c r="G521" s="2" t="s">
        <v>3029</v>
      </c>
      <c r="H521" s="2" t="s">
        <v>2948</v>
      </c>
      <c r="I521" s="2" t="s">
        <v>3017</v>
      </c>
      <c r="J521" s="2" t="s">
        <v>10070</v>
      </c>
      <c r="K521" s="2" t="s">
        <v>1588</v>
      </c>
      <c r="L521" s="2" t="n">
        <v>0.25</v>
      </c>
      <c r="M521" s="2" t="n">
        <v>1</v>
      </c>
    </row>
    <row r="522" customFormat="false" ht="15" hidden="false" customHeight="false" outlineLevel="0" collapsed="false">
      <c r="A522" s="2" t="n">
        <v>520</v>
      </c>
      <c r="B522" s="2" t="s">
        <v>3003</v>
      </c>
      <c r="C522" s="2" t="n">
        <v>1</v>
      </c>
      <c r="D522" s="2" t="n">
        <v>0</v>
      </c>
      <c r="E522" s="2" t="s">
        <v>3033</v>
      </c>
      <c r="F522" s="2" t="s">
        <v>2952</v>
      </c>
      <c r="G522" s="2" t="s">
        <v>3034</v>
      </c>
      <c r="H522" s="2" t="s">
        <v>2948</v>
      </c>
      <c r="I522" s="2" t="s">
        <v>1972</v>
      </c>
      <c r="J522" s="2" t="s">
        <v>10071</v>
      </c>
      <c r="K522" s="2" t="s">
        <v>1588</v>
      </c>
      <c r="L522" s="2" t="n">
        <v>0.38</v>
      </c>
      <c r="M522" s="2" t="n">
        <v>0.88</v>
      </c>
    </row>
    <row r="523" customFormat="false" ht="15" hidden="false" customHeight="false" outlineLevel="0" collapsed="false">
      <c r="A523" s="2" t="n">
        <v>521</v>
      </c>
      <c r="B523" s="2" t="s">
        <v>3003</v>
      </c>
      <c r="C523" s="2" t="n">
        <v>1</v>
      </c>
      <c r="D523" s="2" t="n">
        <v>0</v>
      </c>
      <c r="E523" s="2" t="s">
        <v>3036</v>
      </c>
      <c r="F523" s="2" t="s">
        <v>2952</v>
      </c>
      <c r="G523" s="2" t="s">
        <v>3037</v>
      </c>
      <c r="H523" s="2" t="s">
        <v>2948</v>
      </c>
      <c r="I523" s="2" t="s">
        <v>1138</v>
      </c>
      <c r="J523" s="2" t="s">
        <v>10072</v>
      </c>
      <c r="K523" s="2" t="s">
        <v>1588</v>
      </c>
      <c r="L523" s="2" t="n">
        <v>0.2</v>
      </c>
      <c r="M523" s="2" t="n">
        <v>0.88</v>
      </c>
    </row>
    <row r="524" customFormat="false" ht="15" hidden="false" customHeight="false" outlineLevel="0" collapsed="false">
      <c r="A524" s="2" t="n">
        <v>522</v>
      </c>
      <c r="B524" s="2" t="s">
        <v>3003</v>
      </c>
      <c r="C524" s="2" t="n">
        <v>0</v>
      </c>
      <c r="D524" s="2" t="n">
        <v>0</v>
      </c>
      <c r="E524" s="2" t="s">
        <v>10073</v>
      </c>
      <c r="F524" s="2" t="s">
        <v>2952</v>
      </c>
      <c r="G524" s="2" t="s">
        <v>10074</v>
      </c>
      <c r="H524" s="2" t="s">
        <v>1378</v>
      </c>
      <c r="I524" s="2" t="s">
        <v>1574</v>
      </c>
      <c r="J524" s="2" t="s">
        <v>10075</v>
      </c>
      <c r="K524" s="2" t="s">
        <v>1588</v>
      </c>
      <c r="L524" s="2" t="n">
        <v>0.25</v>
      </c>
      <c r="M524" s="2" t="n">
        <v>0.67</v>
      </c>
    </row>
    <row r="525" customFormat="false" ht="15" hidden="false" customHeight="false" outlineLevel="0" collapsed="false">
      <c r="A525" s="2" t="n">
        <v>523</v>
      </c>
      <c r="B525" s="2" t="s">
        <v>3003</v>
      </c>
      <c r="C525" s="2" t="n">
        <v>1</v>
      </c>
      <c r="D525" s="2" t="n">
        <v>0</v>
      </c>
      <c r="E525" s="2" t="s">
        <v>3039</v>
      </c>
      <c r="F525" s="2" t="s">
        <v>1378</v>
      </c>
      <c r="G525" s="2" t="s">
        <v>3040</v>
      </c>
      <c r="H525" s="2" t="s">
        <v>2948</v>
      </c>
      <c r="I525" s="2" t="s">
        <v>3017</v>
      </c>
      <c r="J525" s="2" t="s">
        <v>10076</v>
      </c>
      <c r="K525" s="2" t="s">
        <v>1588</v>
      </c>
      <c r="L525" s="2" t="n">
        <v>0.33</v>
      </c>
      <c r="M525" s="2" t="n">
        <v>0.88</v>
      </c>
    </row>
    <row r="526" customFormat="false" ht="15" hidden="false" customHeight="false" outlineLevel="0" collapsed="false">
      <c r="A526" s="2" t="n">
        <v>524</v>
      </c>
      <c r="B526" s="2" t="s">
        <v>3003</v>
      </c>
      <c r="C526" s="2" t="n">
        <v>1</v>
      </c>
      <c r="D526" s="2" t="n">
        <v>0</v>
      </c>
      <c r="E526" s="2" t="s">
        <v>3045</v>
      </c>
      <c r="F526" s="2" t="s">
        <v>2952</v>
      </c>
      <c r="G526" s="2" t="s">
        <v>3046</v>
      </c>
      <c r="H526" s="2" t="s">
        <v>2948</v>
      </c>
      <c r="I526" s="2" t="s">
        <v>2149</v>
      </c>
      <c r="J526" s="2" t="s">
        <v>10077</v>
      </c>
      <c r="K526" s="2" t="s">
        <v>1588</v>
      </c>
      <c r="L526" s="2" t="n">
        <v>0.33</v>
      </c>
      <c r="M526" s="2" t="n">
        <v>0.91</v>
      </c>
    </row>
    <row r="527" customFormat="false" ht="15" hidden="false" customHeight="false" outlineLevel="0" collapsed="false">
      <c r="A527" s="2" t="n">
        <v>525</v>
      </c>
      <c r="B527" s="2" t="s">
        <v>3003</v>
      </c>
      <c r="C527" s="2" t="n">
        <v>0</v>
      </c>
      <c r="D527" s="2" t="n">
        <v>0</v>
      </c>
      <c r="E527" s="2" t="s">
        <v>10078</v>
      </c>
      <c r="F527" s="2" t="s">
        <v>2952</v>
      </c>
      <c r="G527" s="2" t="s">
        <v>10079</v>
      </c>
      <c r="H527" s="2" t="s">
        <v>2983</v>
      </c>
      <c r="I527" s="2" t="s">
        <v>283</v>
      </c>
      <c r="J527" s="2" t="s">
        <v>10080</v>
      </c>
      <c r="K527" s="2" t="s">
        <v>1588</v>
      </c>
      <c r="L527" s="2" t="n">
        <v>0.25</v>
      </c>
      <c r="M527" s="2" t="n">
        <v>0.78</v>
      </c>
    </row>
    <row r="528" customFormat="false" ht="15" hidden="false" customHeight="false" outlineLevel="0" collapsed="false">
      <c r="A528" s="2" t="n">
        <v>526</v>
      </c>
      <c r="B528" s="2" t="s">
        <v>3003</v>
      </c>
      <c r="C528" s="2" t="n">
        <v>1</v>
      </c>
      <c r="D528" s="2" t="n">
        <v>0</v>
      </c>
      <c r="E528" s="2" t="s">
        <v>3052</v>
      </c>
      <c r="F528" s="2" t="s">
        <v>2936</v>
      </c>
      <c r="G528" s="2" t="s">
        <v>3053</v>
      </c>
      <c r="H528" s="2" t="s">
        <v>2983</v>
      </c>
      <c r="I528" s="2" t="s">
        <v>132</v>
      </c>
      <c r="J528" s="2" t="s">
        <v>10081</v>
      </c>
      <c r="K528" s="2" t="s">
        <v>1588</v>
      </c>
      <c r="L528" s="2" t="n">
        <v>0</v>
      </c>
      <c r="M528" s="2" t="n">
        <v>0.5</v>
      </c>
    </row>
    <row r="529" customFormat="false" ht="15" hidden="false" customHeight="false" outlineLevel="0" collapsed="false">
      <c r="A529" s="2" t="n">
        <v>527</v>
      </c>
      <c r="B529" s="2" t="s">
        <v>3003</v>
      </c>
      <c r="C529" s="2" t="n">
        <v>0</v>
      </c>
      <c r="D529" s="2" t="n">
        <v>0</v>
      </c>
      <c r="E529" s="2" t="s">
        <v>10082</v>
      </c>
      <c r="F529" s="2" t="s">
        <v>2936</v>
      </c>
      <c r="G529" s="2" t="s">
        <v>5440</v>
      </c>
      <c r="H529" s="2" t="s">
        <v>245</v>
      </c>
      <c r="I529" s="2" t="s">
        <v>3321</v>
      </c>
      <c r="J529" s="2" t="s">
        <v>10083</v>
      </c>
      <c r="K529" s="2" t="s">
        <v>1588</v>
      </c>
      <c r="L529" s="2" t="n">
        <v>0</v>
      </c>
      <c r="M529" s="2" t="n">
        <v>0.89</v>
      </c>
    </row>
    <row r="530" customFormat="false" ht="15" hidden="false" customHeight="false" outlineLevel="0" collapsed="false">
      <c r="A530" s="2" t="n">
        <v>528</v>
      </c>
      <c r="B530" s="2" t="s">
        <v>3003</v>
      </c>
      <c r="C530" s="2" t="n">
        <v>2</v>
      </c>
      <c r="D530" s="2" t="n">
        <v>0</v>
      </c>
      <c r="E530" s="2" t="s">
        <v>3057</v>
      </c>
      <c r="F530" s="2" t="s">
        <v>243</v>
      </c>
      <c r="G530" s="2" t="s">
        <v>3058</v>
      </c>
      <c r="H530" s="2" t="s">
        <v>594</v>
      </c>
      <c r="I530" s="2" t="s">
        <v>768</v>
      </c>
      <c r="J530" s="2" t="s">
        <v>10084</v>
      </c>
      <c r="K530" s="2" t="s">
        <v>68</v>
      </c>
      <c r="L530" s="2" t="n">
        <v>0.56</v>
      </c>
      <c r="M530" s="2" t="n">
        <v>0.83</v>
      </c>
    </row>
    <row r="531" customFormat="false" ht="15" hidden="false" customHeight="false" outlineLevel="0" collapsed="false">
      <c r="A531" s="2" t="n">
        <v>529</v>
      </c>
      <c r="B531" s="2" t="s">
        <v>3003</v>
      </c>
      <c r="C531" s="2" t="n">
        <v>3</v>
      </c>
      <c r="D531" s="2" t="n">
        <v>1</v>
      </c>
      <c r="E531" s="2" t="s">
        <v>3065</v>
      </c>
      <c r="F531" s="2" t="s">
        <v>592</v>
      </c>
      <c r="G531" s="2" t="s">
        <v>3066</v>
      </c>
      <c r="H531" s="2" t="s">
        <v>745</v>
      </c>
      <c r="I531" s="2" t="s">
        <v>115</v>
      </c>
      <c r="J531" s="2" t="s">
        <v>10085</v>
      </c>
      <c r="K531" s="2" t="s">
        <v>1588</v>
      </c>
      <c r="L531" s="2" t="n">
        <v>0.2</v>
      </c>
      <c r="M531" s="2" t="n">
        <v>0.43</v>
      </c>
    </row>
    <row r="532" customFormat="false" ht="15" hidden="false" customHeight="false" outlineLevel="0" collapsed="false">
      <c r="A532" s="2" t="n">
        <v>530</v>
      </c>
      <c r="B532" s="2" t="s">
        <v>3003</v>
      </c>
      <c r="C532" s="2" t="n">
        <v>2</v>
      </c>
      <c r="D532" s="2" t="n">
        <v>0</v>
      </c>
      <c r="E532" s="2" t="s">
        <v>3076</v>
      </c>
      <c r="F532" s="2" t="s">
        <v>743</v>
      </c>
      <c r="G532" s="2" t="s">
        <v>3077</v>
      </c>
      <c r="H532" s="2" t="s">
        <v>594</v>
      </c>
      <c r="I532" s="2" t="s">
        <v>2506</v>
      </c>
      <c r="J532" s="2" t="s">
        <v>10086</v>
      </c>
      <c r="K532" s="2" t="s">
        <v>1588</v>
      </c>
      <c r="L532" s="2" t="n">
        <v>0.11</v>
      </c>
      <c r="M532" s="2" t="n">
        <v>0.83</v>
      </c>
    </row>
    <row r="533" customFormat="false" ht="15" hidden="false" customHeight="false" outlineLevel="0" collapsed="false">
      <c r="A533" s="2" t="n">
        <v>531</v>
      </c>
      <c r="B533" s="2" t="s">
        <v>3003</v>
      </c>
      <c r="C533" s="2" t="n">
        <v>1</v>
      </c>
      <c r="D533" s="2" t="n">
        <v>1</v>
      </c>
      <c r="E533" s="2" t="s">
        <v>3086</v>
      </c>
      <c r="F533" s="2" t="s">
        <v>592</v>
      </c>
      <c r="G533" s="2" t="s">
        <v>3087</v>
      </c>
      <c r="H533" s="2" t="s">
        <v>594</v>
      </c>
      <c r="I533" s="2" t="s">
        <v>3088</v>
      </c>
      <c r="J533" s="2" t="s">
        <v>10087</v>
      </c>
      <c r="K533" s="2" t="s">
        <v>1588</v>
      </c>
      <c r="L533" s="2" t="n">
        <v>0.29</v>
      </c>
      <c r="M533" s="2" t="n">
        <v>0.57</v>
      </c>
    </row>
    <row r="534" customFormat="false" ht="15" hidden="false" customHeight="false" outlineLevel="0" collapsed="false">
      <c r="A534" s="2" t="n">
        <v>532</v>
      </c>
      <c r="B534" s="2" t="s">
        <v>3003</v>
      </c>
      <c r="C534" s="2" t="n">
        <v>2</v>
      </c>
      <c r="D534" s="2" t="n">
        <v>0</v>
      </c>
      <c r="E534" s="2" t="s">
        <v>3094</v>
      </c>
      <c r="F534" s="2" t="s">
        <v>592</v>
      </c>
      <c r="G534" s="2" t="s">
        <v>3095</v>
      </c>
      <c r="H534" s="2" t="s">
        <v>745</v>
      </c>
      <c r="I534" s="2" t="s">
        <v>2149</v>
      </c>
      <c r="J534" s="2" t="s">
        <v>10088</v>
      </c>
      <c r="K534" s="2" t="s">
        <v>68</v>
      </c>
      <c r="L534" s="2" t="n">
        <v>0.71</v>
      </c>
      <c r="M534" s="2" t="n">
        <v>0.45</v>
      </c>
    </row>
    <row r="535" customFormat="false" ht="15" hidden="false" customHeight="false" outlineLevel="0" collapsed="false">
      <c r="A535" s="2" t="n">
        <v>533</v>
      </c>
      <c r="B535" s="2" t="s">
        <v>3003</v>
      </c>
      <c r="C535" s="2" t="n">
        <v>3</v>
      </c>
      <c r="D535" s="2" t="n">
        <v>3</v>
      </c>
      <c r="E535" s="2" t="s">
        <v>3103</v>
      </c>
      <c r="F535" s="2" t="s">
        <v>743</v>
      </c>
      <c r="G535" s="2" t="s">
        <v>3104</v>
      </c>
      <c r="H535" s="2" t="s">
        <v>1238</v>
      </c>
      <c r="I535" s="2" t="s">
        <v>1332</v>
      </c>
      <c r="J535" s="2" t="s">
        <v>10089</v>
      </c>
      <c r="K535" s="2" t="s">
        <v>1588</v>
      </c>
      <c r="L535" s="2" t="n">
        <v>0.42</v>
      </c>
      <c r="M535" s="2" t="n">
        <v>0.75</v>
      </c>
    </row>
    <row r="536" customFormat="false" ht="15" hidden="false" customHeight="false" outlineLevel="0" collapsed="false">
      <c r="A536" s="2" t="n">
        <v>534</v>
      </c>
      <c r="B536" s="2" t="s">
        <v>3003</v>
      </c>
      <c r="C536" s="2" t="n">
        <v>4</v>
      </c>
      <c r="D536" s="2" t="n">
        <v>0</v>
      </c>
      <c r="E536" s="2" t="s">
        <v>3113</v>
      </c>
      <c r="F536" s="2" t="s">
        <v>1236</v>
      </c>
      <c r="G536" s="2" t="s">
        <v>3114</v>
      </c>
      <c r="H536" s="2" t="s">
        <v>745</v>
      </c>
      <c r="I536" s="2" t="s">
        <v>1768</v>
      </c>
      <c r="J536" s="2" t="s">
        <v>10090</v>
      </c>
      <c r="K536" s="2" t="s">
        <v>68</v>
      </c>
      <c r="L536" s="2" t="n">
        <v>0.71</v>
      </c>
      <c r="M536" s="2" t="n">
        <v>0.92</v>
      </c>
    </row>
    <row r="537" customFormat="false" ht="15" hidden="false" customHeight="false" outlineLevel="0" collapsed="false">
      <c r="A537" s="2" t="n">
        <v>535</v>
      </c>
      <c r="B537" s="2" t="s">
        <v>3003</v>
      </c>
      <c r="C537" s="2" t="n">
        <v>3</v>
      </c>
      <c r="D537" s="2" t="n">
        <v>0</v>
      </c>
      <c r="E537" s="2" t="s">
        <v>3125</v>
      </c>
      <c r="F537" s="2" t="s">
        <v>743</v>
      </c>
      <c r="G537" s="2" t="s">
        <v>3126</v>
      </c>
      <c r="H537" s="2" t="s">
        <v>178</v>
      </c>
      <c r="I537" s="2" t="s">
        <v>1482</v>
      </c>
      <c r="J537" s="2" t="s">
        <v>10091</v>
      </c>
      <c r="K537" s="2" t="s">
        <v>68</v>
      </c>
      <c r="L537" s="2" t="n">
        <v>0.6</v>
      </c>
      <c r="M537" s="2" t="n">
        <v>0.89</v>
      </c>
    </row>
    <row r="538" customFormat="false" ht="15" hidden="false" customHeight="false" outlineLevel="0" collapsed="false">
      <c r="A538" s="2" t="n">
        <v>536</v>
      </c>
      <c r="B538" s="2" t="s">
        <v>3003</v>
      </c>
      <c r="C538" s="2" t="n">
        <v>0</v>
      </c>
      <c r="D538" s="2" t="n">
        <v>0</v>
      </c>
      <c r="E538" s="2" t="s">
        <v>10092</v>
      </c>
      <c r="F538" s="2" t="s">
        <v>176</v>
      </c>
      <c r="G538" s="2" t="s">
        <v>10093</v>
      </c>
      <c r="H538" s="2" t="s">
        <v>745</v>
      </c>
      <c r="I538" s="2" t="s">
        <v>301</v>
      </c>
      <c r="J538" s="2" t="s">
        <v>10094</v>
      </c>
      <c r="K538" s="2" t="s">
        <v>1588</v>
      </c>
      <c r="L538" s="2" t="n">
        <v>0.22</v>
      </c>
      <c r="M538" s="2" t="n">
        <v>0.62</v>
      </c>
    </row>
    <row r="539" customFormat="false" ht="15" hidden="false" customHeight="false" outlineLevel="0" collapsed="false">
      <c r="A539" s="2" t="n">
        <v>537</v>
      </c>
      <c r="B539" s="2" t="s">
        <v>3003</v>
      </c>
      <c r="C539" s="2" t="n">
        <v>1</v>
      </c>
      <c r="D539" s="2" t="n">
        <v>0</v>
      </c>
      <c r="E539" s="2" t="s">
        <v>3140</v>
      </c>
      <c r="F539" s="2" t="s">
        <v>743</v>
      </c>
      <c r="G539" s="2" t="s">
        <v>3141</v>
      </c>
      <c r="H539" s="2" t="s">
        <v>3142</v>
      </c>
      <c r="I539" s="2" t="s">
        <v>2234</v>
      </c>
      <c r="J539" s="2" t="s">
        <v>10095</v>
      </c>
      <c r="K539" s="2" t="s">
        <v>1588</v>
      </c>
      <c r="L539" s="2" t="n">
        <v>0.12</v>
      </c>
      <c r="M539" s="2" t="n">
        <v>0.91</v>
      </c>
    </row>
    <row r="540" customFormat="false" ht="15" hidden="false" customHeight="false" outlineLevel="0" collapsed="false">
      <c r="A540" s="2" t="n">
        <v>538</v>
      </c>
      <c r="B540" s="2" t="s">
        <v>3003</v>
      </c>
      <c r="C540" s="2" t="n">
        <v>1</v>
      </c>
      <c r="D540" s="2" t="n">
        <v>0</v>
      </c>
      <c r="E540" s="2" t="s">
        <v>3146</v>
      </c>
      <c r="F540" s="2" t="s">
        <v>3147</v>
      </c>
      <c r="G540" s="2" t="s">
        <v>3148</v>
      </c>
      <c r="H540" s="2" t="s">
        <v>696</v>
      </c>
      <c r="I540" s="2" t="s">
        <v>1306</v>
      </c>
      <c r="J540" s="2" t="s">
        <v>10096</v>
      </c>
      <c r="K540" s="2" t="s">
        <v>1588</v>
      </c>
      <c r="L540" s="2" t="n">
        <v>0.25</v>
      </c>
      <c r="M540" s="2" t="n">
        <v>1</v>
      </c>
    </row>
    <row r="541" customFormat="false" ht="15" hidden="false" customHeight="false" outlineLevel="0" collapsed="false">
      <c r="A541" s="2" t="n">
        <v>539</v>
      </c>
      <c r="B541" s="2" t="s">
        <v>3003</v>
      </c>
      <c r="C541" s="2" t="n">
        <v>0</v>
      </c>
      <c r="D541" s="2" t="n">
        <v>0</v>
      </c>
      <c r="E541" s="2" t="s">
        <v>10097</v>
      </c>
      <c r="F541" s="2" t="s">
        <v>694</v>
      </c>
      <c r="G541" s="2" t="s">
        <v>5486</v>
      </c>
      <c r="H541" s="2" t="s">
        <v>5487</v>
      </c>
      <c r="I541" s="2" t="s">
        <v>3023</v>
      </c>
      <c r="J541" s="2" t="s">
        <v>10098</v>
      </c>
      <c r="K541" s="2" t="s">
        <v>1588</v>
      </c>
      <c r="L541" s="2" t="n">
        <v>0</v>
      </c>
      <c r="M541" s="2" t="n">
        <v>0.88</v>
      </c>
    </row>
    <row r="542" customFormat="false" ht="15" hidden="false" customHeight="false" outlineLevel="0" collapsed="false">
      <c r="A542" s="2" t="n">
        <v>540</v>
      </c>
      <c r="B542" s="2" t="s">
        <v>3149</v>
      </c>
      <c r="C542" s="2" t="n">
        <v>0</v>
      </c>
      <c r="D542" s="2" t="n">
        <v>0</v>
      </c>
      <c r="E542" s="2" t="s">
        <v>10099</v>
      </c>
      <c r="F542" s="2" t="s">
        <v>10100</v>
      </c>
      <c r="G542" s="2" t="s">
        <v>10101</v>
      </c>
      <c r="H542" s="2" t="s">
        <v>594</v>
      </c>
      <c r="I542" s="2" t="s">
        <v>647</v>
      </c>
      <c r="J542" s="2" t="s">
        <v>10102</v>
      </c>
      <c r="K542" s="2" t="s">
        <v>1588</v>
      </c>
      <c r="L542" s="2" t="n">
        <v>0</v>
      </c>
      <c r="M542" s="2" t="n">
        <v>0.62</v>
      </c>
    </row>
    <row r="543" customFormat="false" ht="15" hidden="false" customHeight="false" outlineLevel="0" collapsed="false">
      <c r="A543" s="2" t="n">
        <v>541</v>
      </c>
      <c r="B543" s="2" t="s">
        <v>3149</v>
      </c>
      <c r="C543" s="2" t="n">
        <v>0</v>
      </c>
      <c r="D543" s="2" t="n">
        <v>0</v>
      </c>
      <c r="E543" s="2" t="s">
        <v>10103</v>
      </c>
      <c r="F543" s="2" t="s">
        <v>3347</v>
      </c>
      <c r="G543" s="2" t="s">
        <v>10104</v>
      </c>
      <c r="H543" s="2" t="s">
        <v>745</v>
      </c>
      <c r="I543" s="2" t="s">
        <v>1354</v>
      </c>
      <c r="J543" s="2" t="s">
        <v>10105</v>
      </c>
      <c r="K543" s="2" t="s">
        <v>507</v>
      </c>
      <c r="L543" s="2" t="n">
        <v>0.22</v>
      </c>
      <c r="M543" s="2" t="n">
        <v>0.8</v>
      </c>
    </row>
    <row r="544" customFormat="false" ht="15" hidden="false" customHeight="false" outlineLevel="0" collapsed="false">
      <c r="A544" s="2" t="n">
        <v>542</v>
      </c>
      <c r="B544" s="2" t="s">
        <v>3149</v>
      </c>
      <c r="C544" s="2" t="n">
        <v>1</v>
      </c>
      <c r="D544" s="2" t="n">
        <v>1</v>
      </c>
      <c r="E544" s="2" t="s">
        <v>3156</v>
      </c>
      <c r="F544" s="2" t="s">
        <v>743</v>
      </c>
      <c r="G544" s="2" t="s">
        <v>3157</v>
      </c>
      <c r="H544" s="2" t="s">
        <v>2070</v>
      </c>
      <c r="I544" s="2" t="s">
        <v>1306</v>
      </c>
      <c r="J544" s="2" t="s">
        <v>10106</v>
      </c>
      <c r="K544" s="2" t="s">
        <v>1588</v>
      </c>
      <c r="L544" s="2" t="n">
        <v>0.12</v>
      </c>
      <c r="M544" s="2" t="n">
        <v>0.9</v>
      </c>
    </row>
    <row r="545" customFormat="false" ht="15" hidden="false" customHeight="false" outlineLevel="0" collapsed="false">
      <c r="A545" s="2" t="n">
        <v>543</v>
      </c>
      <c r="B545" s="2" t="s">
        <v>3149</v>
      </c>
      <c r="C545" s="2" t="n">
        <v>0</v>
      </c>
      <c r="D545" s="2" t="n">
        <v>0</v>
      </c>
      <c r="E545" s="2" t="s">
        <v>10107</v>
      </c>
      <c r="F545" s="2" t="s">
        <v>2089</v>
      </c>
      <c r="G545" s="2" t="s">
        <v>5495</v>
      </c>
      <c r="H545" s="2" t="s">
        <v>3185</v>
      </c>
      <c r="I545" s="2" t="s">
        <v>3169</v>
      </c>
      <c r="J545" s="2" t="s">
        <v>10108</v>
      </c>
      <c r="K545" s="2" t="s">
        <v>1588</v>
      </c>
      <c r="L545" s="2" t="n">
        <v>0.33</v>
      </c>
      <c r="M545" s="2" t="n">
        <v>0.88</v>
      </c>
    </row>
    <row r="546" customFormat="false" ht="15" hidden="false" customHeight="false" outlineLevel="0" collapsed="false">
      <c r="A546" s="2" t="n">
        <v>544</v>
      </c>
      <c r="B546" s="2" t="s">
        <v>3149</v>
      </c>
      <c r="C546" s="2" t="n">
        <v>0</v>
      </c>
      <c r="D546" s="2" t="n">
        <v>0</v>
      </c>
      <c r="E546" s="2" t="s">
        <v>10109</v>
      </c>
      <c r="F546" s="2" t="s">
        <v>10110</v>
      </c>
      <c r="G546" s="2" t="s">
        <v>10111</v>
      </c>
      <c r="H546" s="2" t="s">
        <v>1146</v>
      </c>
      <c r="I546" s="2" t="s">
        <v>3169</v>
      </c>
      <c r="J546" s="2" t="s">
        <v>10112</v>
      </c>
      <c r="K546" s="2" t="s">
        <v>68</v>
      </c>
      <c r="L546" s="2" t="n">
        <v>1</v>
      </c>
      <c r="M546" s="2" t="n">
        <v>1</v>
      </c>
    </row>
    <row r="547" customFormat="false" ht="15" hidden="false" customHeight="false" outlineLevel="0" collapsed="false">
      <c r="A547" s="2" t="n">
        <v>545</v>
      </c>
      <c r="B547" s="2" t="s">
        <v>3149</v>
      </c>
      <c r="C547" s="2" t="n">
        <v>0</v>
      </c>
      <c r="D547" s="2" t="n">
        <v>0</v>
      </c>
      <c r="E547" s="2" t="s">
        <v>10113</v>
      </c>
      <c r="F547" s="2" t="s">
        <v>1144</v>
      </c>
      <c r="G547" s="2" t="s">
        <v>5504</v>
      </c>
      <c r="H547" s="2" t="s">
        <v>3185</v>
      </c>
      <c r="I547" s="2" t="s">
        <v>3744</v>
      </c>
      <c r="J547" s="2" t="s">
        <v>10114</v>
      </c>
      <c r="K547" s="2" t="s">
        <v>68</v>
      </c>
      <c r="L547" s="2" t="n">
        <v>0.75</v>
      </c>
      <c r="M547" s="2" t="n">
        <v>0.64</v>
      </c>
    </row>
    <row r="548" customFormat="false" ht="15" hidden="false" customHeight="false" outlineLevel="0" collapsed="false">
      <c r="A548" s="2" t="n">
        <v>546</v>
      </c>
      <c r="B548" s="2" t="s">
        <v>3149</v>
      </c>
      <c r="C548" s="2" t="n">
        <v>0</v>
      </c>
      <c r="D548" s="2" t="n">
        <v>0</v>
      </c>
      <c r="E548" s="2" t="s">
        <v>10115</v>
      </c>
      <c r="F548" s="2" t="s">
        <v>10110</v>
      </c>
      <c r="G548" s="2" t="s">
        <v>5511</v>
      </c>
      <c r="H548" s="2" t="s">
        <v>1314</v>
      </c>
      <c r="I548" s="2" t="s">
        <v>1397</v>
      </c>
      <c r="J548" s="2" t="s">
        <v>10116</v>
      </c>
      <c r="K548" s="2" t="s">
        <v>1588</v>
      </c>
      <c r="L548" s="2" t="n">
        <v>0.33</v>
      </c>
      <c r="M548" s="2" t="n">
        <v>1</v>
      </c>
    </row>
    <row r="549" customFormat="false" ht="15" hidden="false" customHeight="false" outlineLevel="0" collapsed="false">
      <c r="A549" s="2" t="n">
        <v>547</v>
      </c>
      <c r="B549" s="2" t="s">
        <v>3149</v>
      </c>
      <c r="C549" s="2" t="n">
        <v>0</v>
      </c>
      <c r="D549" s="2" t="n">
        <v>0</v>
      </c>
      <c r="E549" s="2" t="s">
        <v>10117</v>
      </c>
      <c r="F549" s="2" t="s">
        <v>1312</v>
      </c>
      <c r="G549" s="2" t="s">
        <v>10118</v>
      </c>
      <c r="H549" s="2" t="s">
        <v>1146</v>
      </c>
      <c r="I549" s="2" t="s">
        <v>2013</v>
      </c>
      <c r="J549" s="2" t="s">
        <v>10119</v>
      </c>
      <c r="K549" s="2" t="s">
        <v>1588</v>
      </c>
      <c r="L549" s="2" t="n">
        <v>0.11</v>
      </c>
      <c r="M549" s="2" t="n">
        <v>0.56</v>
      </c>
    </row>
    <row r="550" customFormat="false" ht="15" hidden="false" customHeight="false" outlineLevel="0" collapsed="false">
      <c r="A550" s="2" t="n">
        <v>548</v>
      </c>
      <c r="B550" s="2" t="s">
        <v>3149</v>
      </c>
      <c r="C550" s="2" t="n">
        <v>0</v>
      </c>
      <c r="D550" s="2" t="n">
        <v>0</v>
      </c>
      <c r="E550" s="2" t="s">
        <v>10120</v>
      </c>
      <c r="F550" s="2" t="s">
        <v>1144</v>
      </c>
      <c r="G550" s="2" t="s">
        <v>10121</v>
      </c>
      <c r="H550" s="2" t="s">
        <v>3185</v>
      </c>
      <c r="I550" s="2" t="s">
        <v>2149</v>
      </c>
      <c r="J550" s="2" t="s">
        <v>10122</v>
      </c>
      <c r="K550" s="2" t="s">
        <v>1588</v>
      </c>
      <c r="L550" s="2" t="n">
        <v>0.09</v>
      </c>
      <c r="M550" s="2" t="n">
        <v>0.73</v>
      </c>
    </row>
    <row r="551" customFormat="false" ht="15" hidden="false" customHeight="false" outlineLevel="0" collapsed="false">
      <c r="A551" s="2" t="n">
        <v>549</v>
      </c>
      <c r="B551" s="2" t="s">
        <v>3149</v>
      </c>
      <c r="C551" s="2" t="n">
        <v>0</v>
      </c>
      <c r="D551" s="2" t="n">
        <v>0</v>
      </c>
      <c r="E551" s="2" t="s">
        <v>10123</v>
      </c>
      <c r="F551" s="2" t="s">
        <v>10110</v>
      </c>
      <c r="G551" s="2" t="s">
        <v>10124</v>
      </c>
      <c r="H551" s="2" t="s">
        <v>594</v>
      </c>
      <c r="I551" s="2" t="s">
        <v>851</v>
      </c>
      <c r="J551" s="4" t="s">
        <v>10125</v>
      </c>
      <c r="K551" s="2" t="s">
        <v>1588</v>
      </c>
      <c r="L551" s="2" t="n">
        <v>0.12</v>
      </c>
      <c r="M551" s="2" t="n">
        <v>0.82</v>
      </c>
    </row>
    <row r="552" customFormat="false" ht="15" hidden="false" customHeight="false" outlineLevel="0" collapsed="false">
      <c r="A552" s="2" t="n">
        <v>550</v>
      </c>
      <c r="B552" s="2" t="s">
        <v>3149</v>
      </c>
      <c r="C552" s="2" t="n">
        <v>0</v>
      </c>
      <c r="D552" s="2" t="n">
        <v>0</v>
      </c>
      <c r="E552" s="2" t="s">
        <v>10126</v>
      </c>
      <c r="F552" s="2" t="s">
        <v>592</v>
      </c>
      <c r="G552" s="2" t="s">
        <v>10127</v>
      </c>
      <c r="H552" s="2" t="s">
        <v>4313</v>
      </c>
      <c r="I552" s="2" t="s">
        <v>4981</v>
      </c>
      <c r="J552" s="2" t="s">
        <v>10128</v>
      </c>
      <c r="K552" s="2" t="s">
        <v>1588</v>
      </c>
      <c r="L552" s="2" t="n">
        <v>0.14</v>
      </c>
      <c r="M552" s="2" t="n">
        <v>0.73</v>
      </c>
    </row>
    <row r="553" customFormat="false" ht="15" hidden="false" customHeight="false" outlineLevel="0" collapsed="false">
      <c r="A553" s="2" t="n">
        <v>551</v>
      </c>
      <c r="B553" s="2" t="s">
        <v>3149</v>
      </c>
      <c r="C553" s="2" t="n">
        <v>0</v>
      </c>
      <c r="D553" s="2" t="n">
        <v>0</v>
      </c>
      <c r="E553" s="2" t="s">
        <v>10129</v>
      </c>
      <c r="F553" s="2" t="s">
        <v>4322</v>
      </c>
      <c r="G553" s="2" t="s">
        <v>10130</v>
      </c>
      <c r="H553" s="2" t="s">
        <v>10131</v>
      </c>
      <c r="I553" s="2" t="s">
        <v>2162</v>
      </c>
      <c r="J553" s="2" t="s">
        <v>10132</v>
      </c>
      <c r="K553" s="2" t="s">
        <v>1588</v>
      </c>
      <c r="L553" s="2" t="n">
        <v>0</v>
      </c>
      <c r="M553" s="2" t="n">
        <v>0.33</v>
      </c>
    </row>
    <row r="554" customFormat="false" ht="15" hidden="false" customHeight="false" outlineLevel="0" collapsed="false">
      <c r="A554" s="2" t="n">
        <v>552</v>
      </c>
      <c r="B554" s="2" t="s">
        <v>3149</v>
      </c>
      <c r="C554" s="2" t="n">
        <v>0</v>
      </c>
      <c r="D554" s="2" t="n">
        <v>0</v>
      </c>
      <c r="E554" s="2" t="s">
        <v>10133</v>
      </c>
      <c r="F554" s="2" t="s">
        <v>10134</v>
      </c>
      <c r="G554" s="2" t="s">
        <v>5518</v>
      </c>
      <c r="H554" s="2" t="s">
        <v>594</v>
      </c>
      <c r="I554" s="2" t="s">
        <v>5519</v>
      </c>
      <c r="J554" s="2" t="s">
        <v>10135</v>
      </c>
      <c r="K554" s="2" t="s">
        <v>507</v>
      </c>
      <c r="L554" s="2" t="n">
        <v>0.12</v>
      </c>
      <c r="M554" s="2" t="n">
        <v>0.44</v>
      </c>
    </row>
    <row r="555" customFormat="false" ht="15" hidden="false" customHeight="false" outlineLevel="0" collapsed="false">
      <c r="A555" s="2" t="n">
        <v>553</v>
      </c>
      <c r="B555" s="2" t="s">
        <v>3149</v>
      </c>
      <c r="C555" s="2" t="n">
        <v>0</v>
      </c>
      <c r="D555" s="2" t="n">
        <v>0</v>
      </c>
      <c r="E555" s="2" t="s">
        <v>10136</v>
      </c>
      <c r="F555" s="2" t="s">
        <v>592</v>
      </c>
      <c r="G555" s="2" t="s">
        <v>5525</v>
      </c>
      <c r="H555" s="2" t="s">
        <v>420</v>
      </c>
      <c r="I555" s="2" t="s">
        <v>805</v>
      </c>
      <c r="J555" s="2" t="s">
        <v>10137</v>
      </c>
      <c r="K555" s="2" t="s">
        <v>1588</v>
      </c>
      <c r="L555" s="2" t="n">
        <v>0.15</v>
      </c>
      <c r="M555" s="2" t="n">
        <v>0.7</v>
      </c>
    </row>
    <row r="556" customFormat="false" ht="15" hidden="false" customHeight="false" outlineLevel="0" collapsed="false">
      <c r="A556" s="2" t="n">
        <v>554</v>
      </c>
      <c r="B556" s="2" t="s">
        <v>3149</v>
      </c>
      <c r="C556" s="2" t="n">
        <v>0</v>
      </c>
      <c r="D556" s="2" t="n">
        <v>0</v>
      </c>
      <c r="E556" s="2" t="s">
        <v>10138</v>
      </c>
      <c r="F556" s="2" t="s">
        <v>803</v>
      </c>
      <c r="G556" s="2" t="s">
        <v>5533</v>
      </c>
      <c r="H556" s="2" t="s">
        <v>5534</v>
      </c>
      <c r="I556" s="2" t="s">
        <v>3469</v>
      </c>
      <c r="J556" s="2" t="s">
        <v>10139</v>
      </c>
      <c r="K556" s="2" t="s">
        <v>1588</v>
      </c>
      <c r="L556" s="2" t="n">
        <v>0.25</v>
      </c>
      <c r="M556" s="2" t="n">
        <v>1</v>
      </c>
    </row>
    <row r="557" customFormat="false" ht="15" hidden="false" customHeight="false" outlineLevel="0" collapsed="false">
      <c r="A557" s="2" t="n">
        <v>555</v>
      </c>
      <c r="B557" s="2" t="s">
        <v>3149</v>
      </c>
      <c r="C557" s="2" t="n">
        <v>0</v>
      </c>
      <c r="D557" s="2" t="n">
        <v>0</v>
      </c>
      <c r="E557" s="2" t="s">
        <v>10140</v>
      </c>
      <c r="F557" s="2" t="s">
        <v>5534</v>
      </c>
      <c r="G557" s="2" t="s">
        <v>5540</v>
      </c>
      <c r="H557" s="2" t="s">
        <v>3185</v>
      </c>
      <c r="I557" s="2" t="s">
        <v>1543</v>
      </c>
      <c r="J557" s="2" t="s">
        <v>10141</v>
      </c>
      <c r="K557" s="2" t="s">
        <v>1588</v>
      </c>
      <c r="L557" s="2" t="n">
        <v>0.12</v>
      </c>
      <c r="M557" s="2" t="n">
        <v>0.89</v>
      </c>
    </row>
    <row r="558" customFormat="false" ht="15" hidden="false" customHeight="false" outlineLevel="0" collapsed="false">
      <c r="A558" s="2" t="n">
        <v>556</v>
      </c>
      <c r="B558" s="2" t="s">
        <v>3149</v>
      </c>
      <c r="C558" s="2" t="n">
        <v>0</v>
      </c>
      <c r="D558" s="2" t="n">
        <v>0</v>
      </c>
      <c r="E558" s="2" t="s">
        <v>10142</v>
      </c>
      <c r="F558" s="2" t="s">
        <v>10110</v>
      </c>
      <c r="G558" s="2" t="s">
        <v>5547</v>
      </c>
      <c r="H558" s="2" t="s">
        <v>5548</v>
      </c>
      <c r="I558" s="2" t="s">
        <v>3169</v>
      </c>
      <c r="J558" s="2" t="s">
        <v>10143</v>
      </c>
      <c r="K558" s="2" t="s">
        <v>1588</v>
      </c>
      <c r="L558" s="2" t="n">
        <v>0</v>
      </c>
      <c r="M558" s="2" t="n">
        <v>1</v>
      </c>
    </row>
    <row r="559" customFormat="false" ht="15" hidden="false" customHeight="false" outlineLevel="0" collapsed="false">
      <c r="A559" s="2" t="n">
        <v>557</v>
      </c>
      <c r="B559" s="2" t="s">
        <v>3149</v>
      </c>
      <c r="C559" s="2" t="n">
        <v>1</v>
      </c>
      <c r="D559" s="2" t="n">
        <v>1</v>
      </c>
      <c r="E559" s="2" t="s">
        <v>3165</v>
      </c>
      <c r="F559" s="2" t="s">
        <v>3166</v>
      </c>
      <c r="G559" s="2" t="s">
        <v>3167</v>
      </c>
      <c r="H559" s="2" t="s">
        <v>3168</v>
      </c>
      <c r="I559" s="2" t="s">
        <v>3169</v>
      </c>
      <c r="J559" s="2" t="s">
        <v>10144</v>
      </c>
      <c r="K559" s="2" t="s">
        <v>68</v>
      </c>
      <c r="L559" s="2" t="n">
        <v>0.5</v>
      </c>
      <c r="M559" s="2" t="n">
        <v>0.62</v>
      </c>
    </row>
    <row r="560" customFormat="false" ht="15" hidden="false" customHeight="false" outlineLevel="0" collapsed="false">
      <c r="A560" s="2" t="n">
        <v>558</v>
      </c>
      <c r="B560" s="2" t="s">
        <v>3149</v>
      </c>
      <c r="C560" s="2" t="n">
        <v>0</v>
      </c>
      <c r="D560" s="2" t="n">
        <v>0</v>
      </c>
      <c r="E560" s="2" t="s">
        <v>10145</v>
      </c>
      <c r="F560" s="2" t="s">
        <v>3210</v>
      </c>
      <c r="G560" s="2" t="s">
        <v>10146</v>
      </c>
      <c r="H560" s="2" t="s">
        <v>10147</v>
      </c>
      <c r="I560" s="2" t="s">
        <v>1306</v>
      </c>
      <c r="J560" s="4" t="s">
        <v>10148</v>
      </c>
      <c r="K560" s="2" t="s">
        <v>1588</v>
      </c>
      <c r="L560" s="2" t="n">
        <v>0.07</v>
      </c>
      <c r="M560" s="2" t="n">
        <v>0.33</v>
      </c>
    </row>
    <row r="561" customFormat="false" ht="15" hidden="false" customHeight="false" outlineLevel="0" collapsed="false">
      <c r="A561" s="2" t="n">
        <v>559</v>
      </c>
      <c r="B561" s="2" t="s">
        <v>3149</v>
      </c>
      <c r="C561" s="2" t="n">
        <v>1</v>
      </c>
      <c r="D561" s="2" t="n">
        <v>0</v>
      </c>
      <c r="E561" s="2" t="s">
        <v>3176</v>
      </c>
      <c r="F561" s="2" t="s">
        <v>3177</v>
      </c>
      <c r="G561" s="2" t="s">
        <v>3178</v>
      </c>
      <c r="H561" s="2" t="s">
        <v>2948</v>
      </c>
      <c r="I561" s="2" t="s">
        <v>2037</v>
      </c>
      <c r="J561" s="2" t="s">
        <v>10149</v>
      </c>
      <c r="K561" s="2" t="s">
        <v>1588</v>
      </c>
      <c r="L561" s="2" t="n">
        <v>0.23</v>
      </c>
      <c r="M561" s="2" t="n">
        <v>0.57</v>
      </c>
    </row>
    <row r="562" customFormat="false" ht="15" hidden="false" customHeight="false" outlineLevel="0" collapsed="false">
      <c r="A562" s="2" t="n">
        <v>560</v>
      </c>
      <c r="B562" s="2" t="s">
        <v>3149</v>
      </c>
      <c r="C562" s="2" t="n">
        <v>1</v>
      </c>
      <c r="D562" s="2" t="n">
        <v>0</v>
      </c>
      <c r="E562" s="2" t="s">
        <v>3183</v>
      </c>
      <c r="F562" s="2" t="s">
        <v>2952</v>
      </c>
      <c r="G562" s="2" t="s">
        <v>3184</v>
      </c>
      <c r="H562" s="2" t="s">
        <v>3185</v>
      </c>
      <c r="I562" s="2" t="s">
        <v>3186</v>
      </c>
      <c r="J562" s="2" t="s">
        <v>10150</v>
      </c>
      <c r="K562" s="2" t="s">
        <v>1588</v>
      </c>
      <c r="L562" s="2" t="n">
        <v>0.09</v>
      </c>
      <c r="M562" s="2" t="n">
        <v>0.85</v>
      </c>
    </row>
    <row r="563" customFormat="false" ht="15" hidden="false" customHeight="false" outlineLevel="0" collapsed="false">
      <c r="A563" s="2" t="n">
        <v>561</v>
      </c>
      <c r="B563" s="2" t="s">
        <v>3149</v>
      </c>
      <c r="C563" s="2" t="n">
        <v>0</v>
      </c>
      <c r="D563" s="2" t="n">
        <v>0</v>
      </c>
      <c r="E563" s="2" t="s">
        <v>10151</v>
      </c>
      <c r="F563" s="2" t="s">
        <v>10110</v>
      </c>
      <c r="G563" s="2" t="s">
        <v>10152</v>
      </c>
      <c r="H563" s="2" t="s">
        <v>745</v>
      </c>
      <c r="I563" s="2" t="s">
        <v>1750</v>
      </c>
      <c r="J563" s="2" t="s">
        <v>10153</v>
      </c>
      <c r="K563" s="2" t="s">
        <v>1588</v>
      </c>
      <c r="L563" s="2" t="n">
        <v>0.11</v>
      </c>
      <c r="M563" s="2" t="n">
        <v>1</v>
      </c>
    </row>
    <row r="564" customFormat="false" ht="15" hidden="false" customHeight="false" outlineLevel="0" collapsed="false">
      <c r="A564" s="2" t="n">
        <v>562</v>
      </c>
      <c r="B564" s="2" t="s">
        <v>3149</v>
      </c>
      <c r="C564" s="2" t="n">
        <v>0</v>
      </c>
      <c r="D564" s="2" t="n">
        <v>0</v>
      </c>
      <c r="E564" s="2" t="s">
        <v>10154</v>
      </c>
      <c r="F564" s="2" t="s">
        <v>743</v>
      </c>
      <c r="G564" s="2" t="s">
        <v>5556</v>
      </c>
      <c r="H564" s="2" t="s">
        <v>3185</v>
      </c>
      <c r="I564" s="2" t="s">
        <v>5557</v>
      </c>
      <c r="J564" s="2" t="s">
        <v>10155</v>
      </c>
      <c r="K564" s="2" t="s">
        <v>1588</v>
      </c>
      <c r="L564" s="2" t="n">
        <v>0.14</v>
      </c>
      <c r="M564" s="2" t="n">
        <v>0.83</v>
      </c>
    </row>
    <row r="565" customFormat="false" ht="15" hidden="false" customHeight="false" outlineLevel="0" collapsed="false">
      <c r="A565" s="2" t="n">
        <v>563</v>
      </c>
      <c r="B565" s="2" t="s">
        <v>3149</v>
      </c>
      <c r="C565" s="2" t="n">
        <v>0</v>
      </c>
      <c r="D565" s="2" t="n">
        <v>0</v>
      </c>
      <c r="E565" s="2" t="s">
        <v>10156</v>
      </c>
      <c r="F565" s="2" t="s">
        <v>10110</v>
      </c>
      <c r="G565" s="2" t="s">
        <v>10157</v>
      </c>
      <c r="H565" s="2" t="s">
        <v>3223</v>
      </c>
      <c r="I565" s="2" t="s">
        <v>1092</v>
      </c>
      <c r="J565" s="4" t="s">
        <v>10158</v>
      </c>
      <c r="K565" s="2" t="s">
        <v>1588</v>
      </c>
      <c r="L565" s="2" t="n">
        <v>0.15</v>
      </c>
      <c r="M565" s="2" t="n">
        <v>0.64</v>
      </c>
    </row>
    <row r="566" customFormat="false" ht="15" hidden="false" customHeight="false" outlineLevel="0" collapsed="false">
      <c r="A566" s="2" t="n">
        <v>564</v>
      </c>
      <c r="B566" s="2" t="s">
        <v>3149</v>
      </c>
      <c r="C566" s="2" t="n">
        <v>0</v>
      </c>
      <c r="D566" s="2" t="n">
        <v>0</v>
      </c>
      <c r="E566" s="2" t="s">
        <v>10159</v>
      </c>
      <c r="F566" s="2" t="s">
        <v>3228</v>
      </c>
      <c r="G566" s="2" t="s">
        <v>5569</v>
      </c>
      <c r="H566" s="2" t="s">
        <v>3185</v>
      </c>
      <c r="I566" s="2" t="s">
        <v>5570</v>
      </c>
      <c r="J566" s="2" t="s">
        <v>10160</v>
      </c>
      <c r="K566" s="2" t="s">
        <v>1588</v>
      </c>
      <c r="L566" s="2" t="n">
        <v>0.09</v>
      </c>
      <c r="M566" s="2" t="n">
        <v>0.82</v>
      </c>
    </row>
    <row r="567" customFormat="false" ht="15" hidden="false" customHeight="false" outlineLevel="0" collapsed="false">
      <c r="A567" s="2" t="n">
        <v>565</v>
      </c>
      <c r="B567" s="2" t="s">
        <v>3149</v>
      </c>
      <c r="C567" s="2" t="n">
        <v>0</v>
      </c>
      <c r="D567" s="2" t="n">
        <v>0</v>
      </c>
      <c r="E567" s="2" t="s">
        <v>10161</v>
      </c>
      <c r="F567" s="2" t="s">
        <v>10110</v>
      </c>
      <c r="G567" s="2" t="s">
        <v>10162</v>
      </c>
      <c r="H567" s="2" t="s">
        <v>3185</v>
      </c>
      <c r="I567" s="2" t="s">
        <v>3823</v>
      </c>
      <c r="J567" s="2" t="s">
        <v>10163</v>
      </c>
      <c r="K567" s="2" t="s">
        <v>1588</v>
      </c>
      <c r="L567" s="2" t="n">
        <v>0.15</v>
      </c>
      <c r="M567" s="2" t="n">
        <v>0.55</v>
      </c>
    </row>
    <row r="568" customFormat="false" ht="15" hidden="false" customHeight="false" outlineLevel="0" collapsed="false">
      <c r="A568" s="2" t="n">
        <v>566</v>
      </c>
      <c r="B568" s="2" t="s">
        <v>3149</v>
      </c>
      <c r="C568" s="2" t="n">
        <v>0</v>
      </c>
      <c r="D568" s="2" t="n">
        <v>0</v>
      </c>
      <c r="E568" s="2" t="s">
        <v>10164</v>
      </c>
      <c r="F568" s="2" t="s">
        <v>10110</v>
      </c>
      <c r="G568" s="2" t="s">
        <v>10165</v>
      </c>
      <c r="H568" s="2" t="s">
        <v>594</v>
      </c>
      <c r="I568" s="2" t="s">
        <v>1261</v>
      </c>
      <c r="J568" s="4" t="s">
        <v>10166</v>
      </c>
      <c r="K568" s="2" t="s">
        <v>1588</v>
      </c>
      <c r="L568" s="2" t="n">
        <v>0.29</v>
      </c>
      <c r="M568" s="2" t="n">
        <v>0.85</v>
      </c>
    </row>
    <row r="569" customFormat="false" ht="15" hidden="false" customHeight="false" outlineLevel="0" collapsed="false">
      <c r="A569" s="2" t="n">
        <v>567</v>
      </c>
      <c r="B569" s="2" t="s">
        <v>3149</v>
      </c>
      <c r="C569" s="2" t="n">
        <v>3</v>
      </c>
      <c r="D569" s="2" t="n">
        <v>1</v>
      </c>
      <c r="E569" s="2" t="s">
        <v>3192</v>
      </c>
      <c r="F569" s="2" t="s">
        <v>592</v>
      </c>
      <c r="G569" s="2" t="s">
        <v>3193</v>
      </c>
      <c r="H569" s="2" t="s">
        <v>594</v>
      </c>
      <c r="I569" s="2" t="s">
        <v>3194</v>
      </c>
      <c r="J569" s="2" t="s">
        <v>10167</v>
      </c>
      <c r="K569" s="2" t="s">
        <v>68</v>
      </c>
      <c r="L569" s="2" t="n">
        <v>0.62</v>
      </c>
      <c r="M569" s="2" t="n">
        <v>0.5</v>
      </c>
    </row>
    <row r="570" customFormat="false" ht="15" hidden="false" customHeight="false" outlineLevel="0" collapsed="false">
      <c r="A570" s="2" t="n">
        <v>568</v>
      </c>
      <c r="B570" s="2" t="s">
        <v>3149</v>
      </c>
      <c r="C570" s="2" t="n">
        <v>1</v>
      </c>
      <c r="D570" s="2" t="n">
        <v>1</v>
      </c>
      <c r="E570" s="2" t="s">
        <v>3204</v>
      </c>
      <c r="F570" s="2" t="s">
        <v>592</v>
      </c>
      <c r="G570" s="2" t="s">
        <v>3205</v>
      </c>
      <c r="H570" s="2" t="s">
        <v>3168</v>
      </c>
      <c r="I570" s="2" t="s">
        <v>3206</v>
      </c>
      <c r="J570" s="2" t="s">
        <v>10168</v>
      </c>
      <c r="K570" s="2" t="s">
        <v>1588</v>
      </c>
      <c r="L570" s="2" t="n">
        <v>0.3</v>
      </c>
      <c r="M570" s="2" t="n">
        <v>0.5</v>
      </c>
    </row>
    <row r="571" customFormat="false" ht="15" hidden="false" customHeight="false" outlineLevel="0" collapsed="false">
      <c r="A571" s="2" t="n">
        <v>569</v>
      </c>
      <c r="B571" s="2" t="s">
        <v>3149</v>
      </c>
      <c r="C571" s="2" t="n">
        <v>2</v>
      </c>
      <c r="D571" s="2" t="n">
        <v>0</v>
      </c>
      <c r="E571" s="2" t="s">
        <v>3209</v>
      </c>
      <c r="F571" s="2" t="s">
        <v>3210</v>
      </c>
      <c r="G571" s="2" t="s">
        <v>3211</v>
      </c>
      <c r="H571" s="2" t="s">
        <v>3212</v>
      </c>
      <c r="I571" s="2" t="s">
        <v>204</v>
      </c>
      <c r="J571" s="4" t="s">
        <v>10169</v>
      </c>
      <c r="K571" s="2" t="s">
        <v>1588</v>
      </c>
      <c r="L571" s="2" t="n">
        <v>0.3</v>
      </c>
      <c r="M571" s="2" t="n">
        <v>0.57</v>
      </c>
    </row>
    <row r="572" customFormat="false" ht="15" hidden="false" customHeight="false" outlineLevel="0" collapsed="false">
      <c r="A572" s="2" t="n">
        <v>570</v>
      </c>
      <c r="B572" s="2" t="s">
        <v>3215</v>
      </c>
      <c r="C572" s="2" t="n">
        <v>1</v>
      </c>
      <c r="D572" s="2" t="n">
        <v>0</v>
      </c>
      <c r="E572" s="2" t="s">
        <v>3221</v>
      </c>
      <c r="F572" s="2" t="s">
        <v>2212</v>
      </c>
      <c r="G572" s="2" t="s">
        <v>3222</v>
      </c>
      <c r="H572" s="2" t="s">
        <v>3223</v>
      </c>
      <c r="I572" s="2" t="s">
        <v>697</v>
      </c>
      <c r="J572" s="2" t="s">
        <v>10170</v>
      </c>
      <c r="K572" s="2" t="s">
        <v>1588</v>
      </c>
      <c r="L572" s="2" t="n">
        <v>0.08</v>
      </c>
      <c r="M572" s="2" t="n">
        <v>0.8</v>
      </c>
    </row>
    <row r="573" customFormat="false" ht="15" hidden="false" customHeight="false" outlineLevel="0" collapsed="false">
      <c r="A573" s="2" t="n">
        <v>571</v>
      </c>
      <c r="B573" s="2" t="s">
        <v>3215</v>
      </c>
      <c r="C573" s="2" t="n">
        <v>1</v>
      </c>
      <c r="D573" s="2" t="n">
        <v>0</v>
      </c>
      <c r="E573" s="2" t="s">
        <v>3227</v>
      </c>
      <c r="F573" s="2" t="s">
        <v>3228</v>
      </c>
      <c r="G573" s="2" t="s">
        <v>3229</v>
      </c>
      <c r="H573" s="2" t="s">
        <v>97</v>
      </c>
      <c r="I573" s="2" t="s">
        <v>2613</v>
      </c>
      <c r="J573" s="2" t="s">
        <v>10171</v>
      </c>
      <c r="K573" s="2" t="s">
        <v>1588</v>
      </c>
      <c r="L573" s="2" t="n">
        <v>0.1</v>
      </c>
      <c r="M573" s="2" t="n">
        <v>0.58</v>
      </c>
    </row>
    <row r="574" customFormat="false" ht="15" hidden="false" customHeight="false" outlineLevel="0" collapsed="false">
      <c r="A574" s="2" t="n">
        <v>572</v>
      </c>
      <c r="B574" s="2" t="s">
        <v>3215</v>
      </c>
      <c r="C574" s="2" t="n">
        <v>0</v>
      </c>
      <c r="D574" s="2" t="n">
        <v>0</v>
      </c>
      <c r="E574" s="2" t="s">
        <v>10172</v>
      </c>
      <c r="F574" s="2" t="s">
        <v>95</v>
      </c>
      <c r="G574" s="2" t="s">
        <v>5591</v>
      </c>
      <c r="H574" s="2" t="s">
        <v>420</v>
      </c>
      <c r="I574" s="2" t="s">
        <v>1429</v>
      </c>
      <c r="J574" s="2" t="s">
        <v>10173</v>
      </c>
      <c r="K574" s="2" t="s">
        <v>1588</v>
      </c>
      <c r="L574" s="2" t="n">
        <v>0</v>
      </c>
      <c r="M574" s="2" t="n">
        <v>0.82</v>
      </c>
    </row>
    <row r="575" customFormat="false" ht="15" hidden="false" customHeight="false" outlineLevel="0" collapsed="false">
      <c r="A575" s="2" t="n">
        <v>573</v>
      </c>
      <c r="B575" s="2" t="s">
        <v>3215</v>
      </c>
      <c r="C575" s="2" t="n">
        <v>0</v>
      </c>
      <c r="D575" s="2" t="n">
        <v>0</v>
      </c>
      <c r="E575" s="2" t="s">
        <v>10174</v>
      </c>
      <c r="F575" s="2" t="s">
        <v>803</v>
      </c>
      <c r="G575" s="2" t="s">
        <v>10175</v>
      </c>
      <c r="H575" s="2" t="s">
        <v>594</v>
      </c>
      <c r="I575" s="2" t="s">
        <v>1587</v>
      </c>
      <c r="J575" s="2" t="s">
        <v>10176</v>
      </c>
      <c r="K575" s="2" t="s">
        <v>1588</v>
      </c>
      <c r="L575" s="2" t="n">
        <v>0.12</v>
      </c>
      <c r="M575" s="2" t="n">
        <v>1</v>
      </c>
    </row>
    <row r="576" customFormat="false" ht="15" hidden="false" customHeight="false" outlineLevel="0" collapsed="false">
      <c r="A576" s="2" t="n">
        <v>574</v>
      </c>
      <c r="B576" s="2" t="s">
        <v>3215</v>
      </c>
      <c r="C576" s="2" t="n">
        <v>1</v>
      </c>
      <c r="D576" s="2" t="n">
        <v>1</v>
      </c>
      <c r="E576" s="2" t="s">
        <v>3236</v>
      </c>
      <c r="F576" s="2" t="s">
        <v>592</v>
      </c>
      <c r="G576" s="2" t="s">
        <v>3237</v>
      </c>
      <c r="H576" s="2" t="s">
        <v>3238</v>
      </c>
      <c r="I576" s="2" t="s">
        <v>3239</v>
      </c>
      <c r="J576" s="2" t="s">
        <v>10177</v>
      </c>
      <c r="K576" s="2" t="s">
        <v>1588</v>
      </c>
      <c r="L576" s="2" t="n">
        <v>0</v>
      </c>
      <c r="M576" s="2" t="n">
        <v>0.55</v>
      </c>
    </row>
    <row r="577" customFormat="false" ht="15" hidden="false" customHeight="false" outlineLevel="0" collapsed="false">
      <c r="A577" s="2" t="n">
        <v>575</v>
      </c>
      <c r="B577" s="2" t="s">
        <v>3215</v>
      </c>
      <c r="C577" s="2" t="n">
        <v>0</v>
      </c>
      <c r="D577" s="2" t="n">
        <v>0</v>
      </c>
      <c r="E577" s="2" t="s">
        <v>10178</v>
      </c>
      <c r="F577" s="2" t="s">
        <v>5166</v>
      </c>
      <c r="G577" s="2" t="s">
        <v>10179</v>
      </c>
      <c r="H577" s="2" t="s">
        <v>420</v>
      </c>
      <c r="I577" s="2" t="s">
        <v>1741</v>
      </c>
      <c r="J577" s="2" t="s">
        <v>10180</v>
      </c>
      <c r="K577" s="2" t="s">
        <v>1588</v>
      </c>
      <c r="L577" s="2" t="n">
        <v>0.4</v>
      </c>
      <c r="M577" s="2" t="n">
        <v>0.64</v>
      </c>
    </row>
    <row r="578" customFormat="false" ht="15" hidden="false" customHeight="false" outlineLevel="0" collapsed="false">
      <c r="A578" s="2" t="n">
        <v>576</v>
      </c>
      <c r="B578" s="2" t="s">
        <v>3215</v>
      </c>
      <c r="C578" s="2" t="n">
        <v>5</v>
      </c>
      <c r="D578" s="2" t="n">
        <v>0</v>
      </c>
      <c r="E578" s="2" t="s">
        <v>3243</v>
      </c>
      <c r="F578" s="2" t="s">
        <v>64</v>
      </c>
      <c r="G578" s="2" t="s">
        <v>3244</v>
      </c>
      <c r="H578" s="2" t="s">
        <v>965</v>
      </c>
      <c r="I578" s="2" t="s">
        <v>98</v>
      </c>
      <c r="J578" s="2" t="s">
        <v>10181</v>
      </c>
      <c r="K578" s="2" t="s">
        <v>1588</v>
      </c>
      <c r="L578" s="2" t="n">
        <v>0.12</v>
      </c>
      <c r="M578" s="2" t="n">
        <v>0.67</v>
      </c>
    </row>
    <row r="579" customFormat="false" ht="15" hidden="false" customHeight="false" outlineLevel="0" collapsed="false">
      <c r="A579" s="2" t="n">
        <v>577</v>
      </c>
      <c r="B579" s="2" t="s">
        <v>3215</v>
      </c>
      <c r="C579" s="2" t="n">
        <v>1</v>
      </c>
      <c r="D579" s="2" t="n">
        <v>0</v>
      </c>
      <c r="E579" s="2" t="s">
        <v>3260</v>
      </c>
      <c r="F579" s="2" t="s">
        <v>963</v>
      </c>
      <c r="G579" s="2" t="s">
        <v>3261</v>
      </c>
      <c r="H579" s="2" t="s">
        <v>3262</v>
      </c>
      <c r="I579" s="2" t="s">
        <v>67</v>
      </c>
      <c r="J579" s="2" t="s">
        <v>10182</v>
      </c>
      <c r="K579" s="2" t="s">
        <v>1588</v>
      </c>
      <c r="L579" s="2" t="n">
        <v>0.43</v>
      </c>
      <c r="M579" s="2" t="n">
        <v>0.89</v>
      </c>
    </row>
    <row r="580" customFormat="false" ht="15" hidden="false" customHeight="false" outlineLevel="0" collapsed="false">
      <c r="A580" s="2" t="n">
        <v>578</v>
      </c>
      <c r="B580" s="2" t="s">
        <v>3215</v>
      </c>
      <c r="C580" s="2" t="n">
        <v>1</v>
      </c>
      <c r="D580" s="2" t="n">
        <v>0</v>
      </c>
      <c r="E580" s="2" t="s">
        <v>3269</v>
      </c>
      <c r="F580" s="2" t="s">
        <v>3270</v>
      </c>
      <c r="G580" s="2" t="s">
        <v>3271</v>
      </c>
      <c r="H580" s="2" t="s">
        <v>1378</v>
      </c>
      <c r="I580" s="2" t="s">
        <v>421</v>
      </c>
      <c r="J580" s="2" t="s">
        <v>10183</v>
      </c>
      <c r="K580" s="2" t="s">
        <v>1588</v>
      </c>
      <c r="L580" s="2" t="n">
        <v>0.25</v>
      </c>
      <c r="M580" s="2" t="n">
        <v>0.8</v>
      </c>
    </row>
    <row r="581" customFormat="false" ht="15" hidden="false" customHeight="false" outlineLevel="0" collapsed="false">
      <c r="A581" s="2" t="n">
        <v>579</v>
      </c>
      <c r="B581" s="2" t="s">
        <v>3215</v>
      </c>
      <c r="C581" s="2" t="n">
        <v>1</v>
      </c>
      <c r="D581" s="2" t="n">
        <v>0</v>
      </c>
      <c r="E581" s="2" t="s">
        <v>3274</v>
      </c>
      <c r="F581" s="2" t="s">
        <v>1378</v>
      </c>
      <c r="G581" s="2" t="s">
        <v>3275</v>
      </c>
      <c r="H581" s="2" t="s">
        <v>3276</v>
      </c>
      <c r="I581" s="2" t="s">
        <v>421</v>
      </c>
      <c r="J581" s="2" t="s">
        <v>10184</v>
      </c>
      <c r="K581" s="2" t="s">
        <v>68</v>
      </c>
      <c r="L581" s="2" t="n">
        <v>0.7</v>
      </c>
      <c r="M581" s="2" t="n">
        <v>0.5</v>
      </c>
    </row>
    <row r="582" customFormat="false" ht="15" hidden="false" customHeight="false" outlineLevel="0" collapsed="false">
      <c r="A582" s="2" t="n">
        <v>580</v>
      </c>
      <c r="B582" s="2" t="s">
        <v>3215</v>
      </c>
      <c r="C582" s="2" t="n">
        <v>1</v>
      </c>
      <c r="D582" s="2" t="n">
        <v>0</v>
      </c>
      <c r="E582" s="2" t="s">
        <v>3278</v>
      </c>
      <c r="F582" s="2" t="s">
        <v>3279</v>
      </c>
      <c r="G582" s="2" t="s">
        <v>3280</v>
      </c>
      <c r="H582" s="2" t="s">
        <v>2233</v>
      </c>
      <c r="I582" s="2" t="s">
        <v>1147</v>
      </c>
      <c r="J582" s="2" t="s">
        <v>10185</v>
      </c>
      <c r="K582" s="2" t="s">
        <v>1588</v>
      </c>
      <c r="L582" s="2" t="n">
        <v>0</v>
      </c>
      <c r="M582" s="2" t="n">
        <v>0.5</v>
      </c>
    </row>
    <row r="583" customFormat="false" ht="15" hidden="false" customHeight="false" outlineLevel="0" collapsed="false">
      <c r="A583" s="2" t="n">
        <v>581</v>
      </c>
      <c r="B583" s="2" t="s">
        <v>3215</v>
      </c>
      <c r="C583" s="2" t="n">
        <v>0</v>
      </c>
      <c r="D583" s="2" t="n">
        <v>0</v>
      </c>
      <c r="E583" s="2" t="s">
        <v>10186</v>
      </c>
      <c r="F583" s="2" t="s">
        <v>2239</v>
      </c>
      <c r="G583" s="2" t="s">
        <v>5601</v>
      </c>
      <c r="H583" s="2" t="s">
        <v>603</v>
      </c>
      <c r="I583" s="2" t="s">
        <v>370</v>
      </c>
      <c r="J583" s="2" t="s">
        <v>10187</v>
      </c>
      <c r="K583" s="2" t="s">
        <v>1588</v>
      </c>
      <c r="L583" s="2" t="n">
        <v>0.27</v>
      </c>
      <c r="M583" s="2" t="n">
        <v>0.71</v>
      </c>
    </row>
    <row r="584" customFormat="false" ht="15" hidden="false" customHeight="false" outlineLevel="0" collapsed="false">
      <c r="A584" s="2" t="n">
        <v>582</v>
      </c>
      <c r="B584" s="2" t="s">
        <v>3215</v>
      </c>
      <c r="C584" s="2" t="n">
        <v>8</v>
      </c>
      <c r="D584" s="2" t="n">
        <v>0</v>
      </c>
      <c r="E584" s="2" t="s">
        <v>3285</v>
      </c>
      <c r="F584" s="2" t="s">
        <v>601</v>
      </c>
      <c r="G584" s="2" t="s">
        <v>3286</v>
      </c>
      <c r="H584" s="2" t="s">
        <v>420</v>
      </c>
      <c r="I584" s="2" t="s">
        <v>2399</v>
      </c>
      <c r="J584" s="2" t="s">
        <v>10188</v>
      </c>
      <c r="K584" s="2" t="s">
        <v>160</v>
      </c>
      <c r="L584" s="2" t="n">
        <v>0.33</v>
      </c>
      <c r="M584" s="2" t="n">
        <v>0.5</v>
      </c>
    </row>
    <row r="585" customFormat="false" ht="15" hidden="false" customHeight="false" outlineLevel="0" collapsed="false">
      <c r="A585" s="2" t="n">
        <v>583</v>
      </c>
      <c r="B585" s="2" t="s">
        <v>3215</v>
      </c>
      <c r="C585" s="2" t="n">
        <v>1</v>
      </c>
      <c r="D585" s="2" t="n">
        <v>0</v>
      </c>
      <c r="E585" s="2" t="s">
        <v>3312</v>
      </c>
      <c r="F585" s="2" t="s">
        <v>3313</v>
      </c>
      <c r="G585" s="2" t="s">
        <v>3314</v>
      </c>
      <c r="H585" s="2" t="s">
        <v>3315</v>
      </c>
      <c r="I585" s="2" t="s">
        <v>2037</v>
      </c>
      <c r="J585" s="2" t="s">
        <v>10189</v>
      </c>
      <c r="K585" s="2" t="s">
        <v>1588</v>
      </c>
      <c r="L585" s="2" t="n">
        <v>0.27</v>
      </c>
      <c r="M585" s="2" t="n">
        <v>1</v>
      </c>
    </row>
    <row r="586" customFormat="false" ht="15" hidden="false" customHeight="false" outlineLevel="0" collapsed="false">
      <c r="A586" s="2" t="n">
        <v>584</v>
      </c>
      <c r="B586" s="2" t="s">
        <v>3215</v>
      </c>
      <c r="C586" s="2" t="n">
        <v>5</v>
      </c>
      <c r="D586" s="2" t="n">
        <v>0</v>
      </c>
      <c r="E586" s="2" t="s">
        <v>3317</v>
      </c>
      <c r="F586" s="2" t="s">
        <v>3318</v>
      </c>
      <c r="G586" s="2" t="s">
        <v>3319</v>
      </c>
      <c r="H586" s="2" t="s">
        <v>3320</v>
      </c>
      <c r="I586" s="2" t="s">
        <v>3321</v>
      </c>
      <c r="J586" s="2" t="s">
        <v>10190</v>
      </c>
      <c r="K586" s="2" t="s">
        <v>1588</v>
      </c>
      <c r="L586" s="2" t="n">
        <v>0.17</v>
      </c>
      <c r="M586" s="2" t="n">
        <v>0.75</v>
      </c>
    </row>
    <row r="587" customFormat="false" ht="15" hidden="false" customHeight="false" outlineLevel="0" collapsed="false">
      <c r="A587" s="2" t="n">
        <v>585</v>
      </c>
      <c r="B587" s="2" t="s">
        <v>3215</v>
      </c>
      <c r="C587" s="2" t="n">
        <v>4</v>
      </c>
      <c r="D587" s="2" t="n">
        <v>2</v>
      </c>
      <c r="E587" s="2" t="s">
        <v>3327</v>
      </c>
      <c r="F587" s="2" t="s">
        <v>3328</v>
      </c>
      <c r="G587" s="2" t="s">
        <v>3329</v>
      </c>
      <c r="H587" s="2" t="s">
        <v>3330</v>
      </c>
      <c r="I587" s="2" t="s">
        <v>2158</v>
      </c>
      <c r="J587" s="2" t="s">
        <v>10191</v>
      </c>
      <c r="K587" s="2" t="s">
        <v>1588</v>
      </c>
      <c r="L587" s="2" t="n">
        <v>0.3</v>
      </c>
      <c r="M587" s="2" t="n">
        <v>0.57</v>
      </c>
    </row>
    <row r="588" customFormat="false" ht="15" hidden="false" customHeight="false" outlineLevel="0" collapsed="false">
      <c r="A588" s="2" t="n">
        <v>586</v>
      </c>
      <c r="B588" s="2" t="s">
        <v>3215</v>
      </c>
      <c r="C588" s="2" t="n">
        <v>1</v>
      </c>
      <c r="D588" s="2" t="n">
        <v>1</v>
      </c>
      <c r="E588" s="2" t="s">
        <v>3340</v>
      </c>
      <c r="F588" s="2" t="s">
        <v>3341</v>
      </c>
      <c r="G588" s="2" t="s">
        <v>3342</v>
      </c>
      <c r="H588" s="2" t="s">
        <v>3343</v>
      </c>
      <c r="I588" s="2" t="s">
        <v>2489</v>
      </c>
      <c r="J588" s="2" t="s">
        <v>10192</v>
      </c>
      <c r="K588" s="2" t="s">
        <v>1588</v>
      </c>
      <c r="L588" s="2" t="n">
        <v>0.29</v>
      </c>
      <c r="M588" s="2" t="n">
        <v>0.91</v>
      </c>
    </row>
    <row r="589" customFormat="false" ht="15" hidden="false" customHeight="false" outlineLevel="0" collapsed="false">
      <c r="A589" s="2" t="n">
        <v>587</v>
      </c>
      <c r="B589" s="2" t="s">
        <v>3215</v>
      </c>
      <c r="C589" s="2" t="n">
        <v>3</v>
      </c>
      <c r="D589" s="2" t="n">
        <v>0</v>
      </c>
      <c r="E589" s="2" t="s">
        <v>3346</v>
      </c>
      <c r="F589" s="2" t="s">
        <v>3347</v>
      </c>
      <c r="G589" s="2" t="s">
        <v>3348</v>
      </c>
      <c r="H589" s="2" t="s">
        <v>965</v>
      </c>
      <c r="I589" s="2" t="s">
        <v>98</v>
      </c>
      <c r="J589" s="2" t="s">
        <v>10193</v>
      </c>
      <c r="K589" s="2" t="s">
        <v>1588</v>
      </c>
      <c r="L589" s="2" t="n">
        <v>0.14</v>
      </c>
      <c r="M589" s="2" t="n">
        <v>1</v>
      </c>
    </row>
    <row r="590" customFormat="false" ht="15" hidden="false" customHeight="false" outlineLevel="0" collapsed="false">
      <c r="A590" s="2" t="n">
        <v>588</v>
      </c>
      <c r="B590" s="2" t="s">
        <v>3215</v>
      </c>
      <c r="C590" s="2" t="n">
        <v>1</v>
      </c>
      <c r="D590" s="2" t="n">
        <v>0</v>
      </c>
      <c r="E590" s="2" t="s">
        <v>3352</v>
      </c>
      <c r="F590" s="2" t="s">
        <v>963</v>
      </c>
      <c r="G590" s="2" t="s">
        <v>3353</v>
      </c>
      <c r="H590" s="2" t="s">
        <v>1500</v>
      </c>
      <c r="I590" s="2" t="s">
        <v>1501</v>
      </c>
      <c r="J590" s="2" t="s">
        <v>10194</v>
      </c>
      <c r="K590" s="2" t="s">
        <v>507</v>
      </c>
      <c r="L590" s="2" t="n">
        <v>0.11</v>
      </c>
      <c r="M590" s="2" t="n">
        <v>0.38</v>
      </c>
    </row>
    <row r="591" customFormat="false" ht="15" hidden="false" customHeight="false" outlineLevel="0" collapsed="false">
      <c r="A591" s="2" t="n">
        <v>589</v>
      </c>
      <c r="B591" s="2" t="s">
        <v>3215</v>
      </c>
      <c r="C591" s="2" t="n">
        <v>0</v>
      </c>
      <c r="D591" s="2" t="n">
        <v>0</v>
      </c>
      <c r="E591" s="2" t="s">
        <v>10195</v>
      </c>
      <c r="F591" s="2" t="s">
        <v>1498</v>
      </c>
      <c r="G591" s="2" t="s">
        <v>10196</v>
      </c>
      <c r="H591" s="2" t="s">
        <v>696</v>
      </c>
      <c r="I591" s="2" t="s">
        <v>647</v>
      </c>
      <c r="J591" s="2" t="s">
        <v>10197</v>
      </c>
      <c r="K591" s="2" t="s">
        <v>1588</v>
      </c>
      <c r="L591" s="2" t="n">
        <v>0.25</v>
      </c>
      <c r="M591" s="2" t="n">
        <v>0.6</v>
      </c>
    </row>
    <row r="592" customFormat="false" ht="15" hidden="false" customHeight="false" outlineLevel="0" collapsed="false">
      <c r="A592" s="2" t="n">
        <v>590</v>
      </c>
      <c r="B592" s="2" t="s">
        <v>3215</v>
      </c>
      <c r="C592" s="2" t="n">
        <v>0</v>
      </c>
      <c r="D592" s="2" t="n">
        <v>0</v>
      </c>
      <c r="E592" s="2" t="s">
        <v>10198</v>
      </c>
      <c r="F592" s="2" t="s">
        <v>694</v>
      </c>
      <c r="G592" s="2" t="s">
        <v>10199</v>
      </c>
      <c r="H592" s="2" t="s">
        <v>965</v>
      </c>
      <c r="I592" s="2" t="s">
        <v>5557</v>
      </c>
      <c r="J592" s="2" t="s">
        <v>10200</v>
      </c>
      <c r="K592" s="2" t="s">
        <v>1588</v>
      </c>
      <c r="L592" s="2" t="n">
        <v>0.33</v>
      </c>
      <c r="M592" s="2" t="n">
        <v>0.75</v>
      </c>
    </row>
    <row r="593" customFormat="false" ht="15" hidden="false" customHeight="false" outlineLevel="0" collapsed="false">
      <c r="A593" s="2" t="n">
        <v>591</v>
      </c>
      <c r="B593" s="2" t="s">
        <v>3215</v>
      </c>
      <c r="C593" s="2" t="n">
        <v>0</v>
      </c>
      <c r="D593" s="2" t="n">
        <v>0</v>
      </c>
      <c r="E593" s="2" t="s">
        <v>10201</v>
      </c>
      <c r="F593" s="2" t="s">
        <v>963</v>
      </c>
      <c r="G593" s="2" t="s">
        <v>5617</v>
      </c>
      <c r="H593" s="2" t="s">
        <v>965</v>
      </c>
      <c r="I593" s="2" t="s">
        <v>1543</v>
      </c>
      <c r="J593" s="2" t="s">
        <v>10202</v>
      </c>
      <c r="K593" s="2" t="s">
        <v>1588</v>
      </c>
      <c r="L593" s="2" t="n">
        <v>0.43</v>
      </c>
      <c r="M593" s="2" t="n">
        <v>0.9</v>
      </c>
    </row>
    <row r="594" customFormat="false" ht="15" hidden="false" customHeight="false" outlineLevel="0" collapsed="false">
      <c r="A594" s="2" t="n">
        <v>592</v>
      </c>
      <c r="B594" s="2" t="s">
        <v>3215</v>
      </c>
      <c r="C594" s="2" t="n">
        <v>3</v>
      </c>
      <c r="D594" s="2" t="n">
        <v>0</v>
      </c>
      <c r="E594" s="2" t="s">
        <v>3358</v>
      </c>
      <c r="F594" s="2" t="s">
        <v>963</v>
      </c>
      <c r="G594" s="2" t="s">
        <v>3359</v>
      </c>
      <c r="H594" s="2" t="s">
        <v>582</v>
      </c>
      <c r="I594" s="2" t="s">
        <v>487</v>
      </c>
      <c r="J594" s="2" t="s">
        <v>10203</v>
      </c>
      <c r="K594" s="2" t="s">
        <v>1588</v>
      </c>
      <c r="L594" s="2" t="n">
        <v>0.17</v>
      </c>
      <c r="M594" s="2" t="n">
        <v>0.62</v>
      </c>
    </row>
    <row r="595" customFormat="false" ht="15" hidden="false" customHeight="false" outlineLevel="0" collapsed="false">
      <c r="A595" s="2" t="n">
        <v>593</v>
      </c>
      <c r="B595" s="2" t="s">
        <v>3215</v>
      </c>
      <c r="C595" s="2" t="n">
        <v>1</v>
      </c>
      <c r="D595" s="2" t="n">
        <v>0</v>
      </c>
      <c r="E595" s="2" t="s">
        <v>3370</v>
      </c>
      <c r="F595" s="2" t="s">
        <v>580</v>
      </c>
      <c r="G595" s="2" t="s">
        <v>3371</v>
      </c>
      <c r="H595" s="2" t="s">
        <v>965</v>
      </c>
      <c r="I595" s="2" t="s">
        <v>918</v>
      </c>
      <c r="J595" s="2" t="s">
        <v>10204</v>
      </c>
      <c r="K595" s="2" t="s">
        <v>1588</v>
      </c>
      <c r="L595" s="2" t="n">
        <v>0.11</v>
      </c>
      <c r="M595" s="2" t="n">
        <v>0.5</v>
      </c>
    </row>
    <row r="596" customFormat="false" ht="15" hidden="false" customHeight="false" outlineLevel="0" collapsed="false">
      <c r="A596" s="2" t="n">
        <v>594</v>
      </c>
      <c r="B596" s="2" t="s">
        <v>3215</v>
      </c>
      <c r="C596" s="2" t="n">
        <v>3</v>
      </c>
      <c r="D596" s="2" t="n">
        <v>0</v>
      </c>
      <c r="E596" s="2" t="s">
        <v>3375</v>
      </c>
      <c r="F596" s="2" t="s">
        <v>963</v>
      </c>
      <c r="G596" s="2" t="s">
        <v>3376</v>
      </c>
      <c r="H596" s="2" t="s">
        <v>582</v>
      </c>
      <c r="I596" s="2" t="s">
        <v>1261</v>
      </c>
      <c r="J596" s="2" t="s">
        <v>10205</v>
      </c>
      <c r="K596" s="2" t="s">
        <v>507</v>
      </c>
      <c r="L596" s="2" t="n">
        <v>0.14</v>
      </c>
      <c r="M596" s="2" t="n">
        <v>0.36</v>
      </c>
    </row>
    <row r="597" customFormat="false" ht="15" hidden="false" customHeight="false" outlineLevel="0" collapsed="false">
      <c r="A597" s="2" t="n">
        <v>595</v>
      </c>
      <c r="B597" s="2" t="s">
        <v>3215</v>
      </c>
      <c r="C597" s="2" t="n">
        <v>1</v>
      </c>
      <c r="D597" s="2" t="n">
        <v>0</v>
      </c>
      <c r="E597" s="2" t="s">
        <v>3385</v>
      </c>
      <c r="F597" s="2" t="s">
        <v>580</v>
      </c>
      <c r="G597" s="2" t="s">
        <v>3386</v>
      </c>
      <c r="H597" s="2" t="s">
        <v>3387</v>
      </c>
      <c r="I597" s="2" t="s">
        <v>1204</v>
      </c>
      <c r="J597" s="2" t="s">
        <v>10206</v>
      </c>
      <c r="K597" s="2" t="s">
        <v>507</v>
      </c>
      <c r="L597" s="2" t="n">
        <v>0</v>
      </c>
      <c r="M597" s="2" t="n">
        <v>0.33</v>
      </c>
    </row>
    <row r="598" customFormat="false" ht="15" hidden="false" customHeight="false" outlineLevel="0" collapsed="false">
      <c r="A598" s="2" t="n">
        <v>596</v>
      </c>
      <c r="B598" s="2" t="s">
        <v>3215</v>
      </c>
      <c r="C598" s="2" t="n">
        <v>1</v>
      </c>
      <c r="D598" s="2" t="n">
        <v>1</v>
      </c>
      <c r="E598" s="2" t="s">
        <v>3392</v>
      </c>
      <c r="F598" s="2" t="s">
        <v>3393</v>
      </c>
      <c r="G598" s="2" t="s">
        <v>3394</v>
      </c>
      <c r="H598" s="2" t="s">
        <v>3343</v>
      </c>
      <c r="I598" s="2" t="s">
        <v>301</v>
      </c>
      <c r="J598" s="2" t="s">
        <v>10207</v>
      </c>
      <c r="K598" s="2" t="s">
        <v>1588</v>
      </c>
      <c r="L598" s="2" t="n">
        <v>0</v>
      </c>
      <c r="M598" s="2" t="n">
        <v>0.5</v>
      </c>
    </row>
    <row r="599" customFormat="false" ht="15" hidden="false" customHeight="false" outlineLevel="0" collapsed="false">
      <c r="A599" s="2" t="n">
        <v>597</v>
      </c>
      <c r="B599" s="2" t="s">
        <v>3215</v>
      </c>
      <c r="C599" s="2" t="n">
        <v>2</v>
      </c>
      <c r="D599" s="2" t="n">
        <v>0</v>
      </c>
      <c r="E599" s="2" t="s">
        <v>3396</v>
      </c>
      <c r="F599" s="2" t="s">
        <v>3347</v>
      </c>
      <c r="G599" s="2" t="s">
        <v>3397</v>
      </c>
      <c r="H599" s="2" t="s">
        <v>1146</v>
      </c>
      <c r="I599" s="2" t="s">
        <v>3398</v>
      </c>
      <c r="J599" s="2" t="s">
        <v>10208</v>
      </c>
      <c r="K599" s="2" t="s">
        <v>1588</v>
      </c>
      <c r="L599" s="2" t="n">
        <v>0.25</v>
      </c>
      <c r="M599" s="2" t="n">
        <v>0.89</v>
      </c>
    </row>
    <row r="600" customFormat="false" ht="15" hidden="false" customHeight="false" outlineLevel="0" collapsed="false">
      <c r="A600" s="2" t="n">
        <v>598</v>
      </c>
      <c r="B600" s="2" t="s">
        <v>3215</v>
      </c>
      <c r="C600" s="2" t="n">
        <v>0</v>
      </c>
      <c r="D600" s="2" t="n">
        <v>0</v>
      </c>
      <c r="E600" s="2" t="s">
        <v>10209</v>
      </c>
      <c r="F600" s="2" t="s">
        <v>1144</v>
      </c>
      <c r="G600" s="2" t="s">
        <v>5638</v>
      </c>
      <c r="H600" s="2" t="s">
        <v>3212</v>
      </c>
      <c r="I600" s="2" t="s">
        <v>1147</v>
      </c>
      <c r="J600" s="2" t="s">
        <v>10210</v>
      </c>
      <c r="K600" s="2" t="s">
        <v>507</v>
      </c>
      <c r="L600" s="2" t="n">
        <v>0.22</v>
      </c>
      <c r="M600" s="2" t="n">
        <v>0.33</v>
      </c>
    </row>
    <row r="601" customFormat="false" ht="15" hidden="false" customHeight="false" outlineLevel="0" collapsed="false">
      <c r="A601" s="2" t="n">
        <v>599</v>
      </c>
      <c r="B601" s="2" t="s">
        <v>3215</v>
      </c>
      <c r="C601" s="2" t="n">
        <v>0</v>
      </c>
      <c r="D601" s="2" t="n">
        <v>0</v>
      </c>
      <c r="E601" s="2" t="s">
        <v>10211</v>
      </c>
      <c r="F601" s="2" t="s">
        <v>2212</v>
      </c>
      <c r="G601" s="2" t="s">
        <v>10212</v>
      </c>
      <c r="H601" s="2" t="s">
        <v>1137</v>
      </c>
      <c r="I601" s="2" t="s">
        <v>4276</v>
      </c>
      <c r="J601" s="2" t="s">
        <v>10213</v>
      </c>
      <c r="K601" s="2" t="s">
        <v>1588</v>
      </c>
      <c r="L601" s="2" t="n">
        <v>0</v>
      </c>
      <c r="M601" s="2" t="n">
        <v>0.7</v>
      </c>
    </row>
    <row r="602" customFormat="false" ht="15" hidden="false" customHeight="false" outlineLevel="0" collapsed="false">
      <c r="A602" s="2" t="n">
        <v>600</v>
      </c>
      <c r="B602" s="2" t="s">
        <v>3399</v>
      </c>
      <c r="C602" s="2" t="n">
        <v>1</v>
      </c>
      <c r="D602" s="2" t="n">
        <v>1</v>
      </c>
      <c r="E602" s="2" t="s">
        <v>3401</v>
      </c>
      <c r="F602" s="2" t="s">
        <v>1135</v>
      </c>
      <c r="G602" s="2" t="s">
        <v>3402</v>
      </c>
      <c r="H602" s="2" t="s">
        <v>1500</v>
      </c>
      <c r="I602" s="2" t="s">
        <v>1793</v>
      </c>
      <c r="J602" s="4" t="s">
        <v>10214</v>
      </c>
      <c r="K602" s="2" t="s">
        <v>1588</v>
      </c>
      <c r="L602" s="2" t="n">
        <v>0</v>
      </c>
      <c r="M602" s="2" t="n">
        <v>0.5</v>
      </c>
    </row>
    <row r="603" customFormat="false" ht="15" hidden="false" customHeight="false" outlineLevel="0" collapsed="false">
      <c r="A603" s="2" t="n">
        <v>601</v>
      </c>
      <c r="B603" s="2" t="s">
        <v>3399</v>
      </c>
      <c r="C603" s="2" t="n">
        <v>1</v>
      </c>
      <c r="D603" s="2" t="n">
        <v>1</v>
      </c>
      <c r="E603" s="2" t="s">
        <v>3406</v>
      </c>
      <c r="F603" s="2" t="s">
        <v>1498</v>
      </c>
      <c r="G603" s="2" t="s">
        <v>3407</v>
      </c>
      <c r="H603" s="2" t="s">
        <v>3408</v>
      </c>
      <c r="I603" s="2" t="s">
        <v>476</v>
      </c>
      <c r="J603" s="2" t="s">
        <v>10215</v>
      </c>
      <c r="K603" s="2" t="s">
        <v>507</v>
      </c>
      <c r="L603" s="2" t="n">
        <v>0</v>
      </c>
      <c r="M603" s="2" t="n">
        <v>0.38</v>
      </c>
    </row>
    <row r="604" customFormat="false" ht="15" hidden="false" customHeight="false" outlineLevel="0" collapsed="false">
      <c r="A604" s="2" t="n">
        <v>602</v>
      </c>
      <c r="B604" s="2" t="s">
        <v>3399</v>
      </c>
      <c r="C604" s="2" t="n">
        <v>0</v>
      </c>
      <c r="D604" s="2" t="n">
        <v>0</v>
      </c>
      <c r="E604" s="2" t="s">
        <v>10216</v>
      </c>
      <c r="F604" s="2" t="s">
        <v>10217</v>
      </c>
      <c r="G604" s="2" t="s">
        <v>5647</v>
      </c>
      <c r="H604" s="2" t="s">
        <v>5648</v>
      </c>
      <c r="I604" s="2" t="s">
        <v>476</v>
      </c>
      <c r="J604" s="2" t="s">
        <v>10218</v>
      </c>
      <c r="K604" s="2" t="s">
        <v>68</v>
      </c>
      <c r="L604" s="2" t="n">
        <v>0.7</v>
      </c>
      <c r="M604" s="2" t="n">
        <v>0.56</v>
      </c>
    </row>
    <row r="605" customFormat="false" ht="15" hidden="false" customHeight="false" outlineLevel="0" collapsed="false">
      <c r="A605" s="2" t="n">
        <v>603</v>
      </c>
      <c r="B605" s="2" t="s">
        <v>3399</v>
      </c>
      <c r="C605" s="2" t="n">
        <v>0</v>
      </c>
      <c r="D605" s="2" t="n">
        <v>0</v>
      </c>
      <c r="E605" s="2" t="s">
        <v>10219</v>
      </c>
      <c r="F605" s="2" t="s">
        <v>5691</v>
      </c>
      <c r="G605" s="2" t="s">
        <v>10220</v>
      </c>
      <c r="H605" s="2" t="s">
        <v>10221</v>
      </c>
      <c r="I605" s="2" t="s">
        <v>8275</v>
      </c>
      <c r="J605" s="2" t="s">
        <v>10222</v>
      </c>
      <c r="K605" s="2" t="s">
        <v>1588</v>
      </c>
      <c r="L605" s="2" t="n">
        <v>0.33</v>
      </c>
      <c r="M605" s="2" t="n">
        <v>0.8</v>
      </c>
    </row>
    <row r="606" customFormat="false" ht="15" hidden="false" customHeight="false" outlineLevel="0" collapsed="false">
      <c r="A606" s="2" t="n">
        <v>604</v>
      </c>
      <c r="B606" s="2" t="s">
        <v>3399</v>
      </c>
      <c r="C606" s="2" t="n">
        <v>0</v>
      </c>
      <c r="D606" s="2" t="n">
        <v>0</v>
      </c>
      <c r="E606" s="2" t="s">
        <v>10223</v>
      </c>
      <c r="F606" s="2" t="s">
        <v>7991</v>
      </c>
      <c r="G606" s="2" t="s">
        <v>10224</v>
      </c>
      <c r="H606" s="2" t="s">
        <v>2233</v>
      </c>
      <c r="I606" s="2" t="s">
        <v>2825</v>
      </c>
      <c r="J606" s="2" t="s">
        <v>10225</v>
      </c>
      <c r="K606" s="2" t="s">
        <v>1588</v>
      </c>
      <c r="L606" s="2" t="n">
        <v>0.17</v>
      </c>
      <c r="M606" s="2" t="n">
        <v>1</v>
      </c>
    </row>
    <row r="607" customFormat="false" ht="15" hidden="false" customHeight="false" outlineLevel="0" collapsed="false">
      <c r="A607" s="2" t="n">
        <v>605</v>
      </c>
      <c r="B607" s="2" t="s">
        <v>3399</v>
      </c>
      <c r="C607" s="2" t="n">
        <v>0</v>
      </c>
      <c r="D607" s="2" t="n">
        <v>0</v>
      </c>
      <c r="E607" s="2" t="s">
        <v>10226</v>
      </c>
      <c r="F607" s="2" t="s">
        <v>2239</v>
      </c>
      <c r="G607" s="2" t="s">
        <v>10227</v>
      </c>
      <c r="H607" s="2" t="s">
        <v>7461</v>
      </c>
      <c r="I607" s="2" t="s">
        <v>2731</v>
      </c>
      <c r="J607" s="2" t="s">
        <v>10228</v>
      </c>
      <c r="K607" s="2" t="s">
        <v>1588</v>
      </c>
      <c r="L607" s="2" t="n">
        <v>0.36</v>
      </c>
      <c r="M607" s="2" t="n">
        <v>0.67</v>
      </c>
    </row>
    <row r="608" customFormat="false" ht="15" hidden="false" customHeight="false" outlineLevel="0" collapsed="false">
      <c r="A608" s="2" t="n">
        <v>606</v>
      </c>
      <c r="B608" s="2" t="s">
        <v>3399</v>
      </c>
      <c r="C608" s="2" t="n">
        <v>0</v>
      </c>
      <c r="D608" s="2" t="n">
        <v>0</v>
      </c>
      <c r="E608" s="2" t="s">
        <v>10229</v>
      </c>
      <c r="F608" s="2" t="s">
        <v>5210</v>
      </c>
      <c r="G608" s="2" t="s">
        <v>10230</v>
      </c>
      <c r="H608" s="2" t="s">
        <v>2195</v>
      </c>
      <c r="I608" s="2" t="s">
        <v>2613</v>
      </c>
      <c r="J608" s="2" t="s">
        <v>10231</v>
      </c>
      <c r="K608" s="2" t="s">
        <v>1588</v>
      </c>
      <c r="L608" s="2" t="n">
        <v>0.11</v>
      </c>
      <c r="M608" s="2" t="n">
        <v>0.64</v>
      </c>
    </row>
    <row r="609" customFormat="false" ht="15" hidden="false" customHeight="false" outlineLevel="0" collapsed="false">
      <c r="A609" s="2" t="n">
        <v>607</v>
      </c>
      <c r="B609" s="2" t="s">
        <v>3399</v>
      </c>
      <c r="C609" s="2" t="n">
        <v>0</v>
      </c>
      <c r="D609" s="2" t="n">
        <v>0</v>
      </c>
      <c r="E609" s="2" t="s">
        <v>10232</v>
      </c>
      <c r="F609" s="2" t="s">
        <v>8498</v>
      </c>
      <c r="G609" s="2" t="s">
        <v>5657</v>
      </c>
      <c r="H609" s="2" t="s">
        <v>646</v>
      </c>
      <c r="I609" s="2" t="s">
        <v>2613</v>
      </c>
      <c r="J609" s="2" t="s">
        <v>10233</v>
      </c>
      <c r="K609" s="2" t="s">
        <v>68</v>
      </c>
      <c r="L609" s="2" t="n">
        <v>0.5</v>
      </c>
      <c r="M609" s="2" t="n">
        <v>0.6</v>
      </c>
    </row>
    <row r="610" customFormat="false" ht="15" hidden="false" customHeight="false" outlineLevel="0" collapsed="false">
      <c r="A610" s="2" t="n">
        <v>608</v>
      </c>
      <c r="B610" s="2" t="s">
        <v>3399</v>
      </c>
      <c r="C610" s="2" t="n">
        <v>0</v>
      </c>
      <c r="D610" s="2" t="n">
        <v>0</v>
      </c>
      <c r="E610" s="2" t="s">
        <v>10234</v>
      </c>
      <c r="F610" s="2" t="s">
        <v>644</v>
      </c>
      <c r="G610" s="2" t="s">
        <v>10235</v>
      </c>
      <c r="H610" s="2" t="s">
        <v>1146</v>
      </c>
      <c r="I610" s="2" t="s">
        <v>1614</v>
      </c>
      <c r="J610" s="2" t="s">
        <v>10236</v>
      </c>
      <c r="K610" s="2" t="s">
        <v>1588</v>
      </c>
      <c r="L610" s="2" t="n">
        <v>0.12</v>
      </c>
      <c r="M610" s="2" t="n">
        <v>0.8</v>
      </c>
    </row>
    <row r="611" customFormat="false" ht="15" hidden="false" customHeight="false" outlineLevel="0" collapsed="false">
      <c r="A611" s="2" t="n">
        <v>609</v>
      </c>
      <c r="B611" s="2" t="s">
        <v>3399</v>
      </c>
      <c r="C611" s="2" t="n">
        <v>1</v>
      </c>
      <c r="D611" s="2" t="n">
        <v>0</v>
      </c>
      <c r="E611" s="2" t="s">
        <v>3414</v>
      </c>
      <c r="F611" s="2" t="s">
        <v>644</v>
      </c>
      <c r="G611" s="2" t="s">
        <v>3415</v>
      </c>
      <c r="H611" s="2" t="s">
        <v>3416</v>
      </c>
      <c r="I611" s="2" t="s">
        <v>1648</v>
      </c>
      <c r="J611" s="2" t="s">
        <v>10237</v>
      </c>
      <c r="K611" s="2" t="s">
        <v>507</v>
      </c>
      <c r="L611" s="2" t="n">
        <v>0.1</v>
      </c>
      <c r="M611" s="2" t="n">
        <v>0.91</v>
      </c>
    </row>
    <row r="612" customFormat="false" ht="15" hidden="false" customHeight="false" outlineLevel="0" collapsed="false">
      <c r="A612" s="2" t="n">
        <v>610</v>
      </c>
      <c r="B612" s="2" t="s">
        <v>3399</v>
      </c>
      <c r="C612" s="2" t="n">
        <v>1</v>
      </c>
      <c r="D612" s="2" t="n">
        <v>1</v>
      </c>
      <c r="E612" s="2" t="s">
        <v>3423</v>
      </c>
      <c r="F612" s="2" t="s">
        <v>1421</v>
      </c>
      <c r="G612" s="2" t="s">
        <v>3424</v>
      </c>
      <c r="H612" s="2" t="s">
        <v>3425</v>
      </c>
      <c r="I612" s="2" t="s">
        <v>1078</v>
      </c>
      <c r="J612" s="2" t="s">
        <v>10238</v>
      </c>
      <c r="K612" s="2" t="s">
        <v>507</v>
      </c>
      <c r="L612" s="2" t="n">
        <v>0</v>
      </c>
      <c r="M612" s="2" t="n">
        <v>0.62</v>
      </c>
    </row>
    <row r="613" customFormat="false" ht="15" hidden="false" customHeight="false" outlineLevel="0" collapsed="false">
      <c r="A613" s="2" t="n">
        <v>611</v>
      </c>
      <c r="B613" s="2" t="s">
        <v>3399</v>
      </c>
      <c r="C613" s="2" t="n">
        <v>0</v>
      </c>
      <c r="D613" s="2" t="n">
        <v>0</v>
      </c>
      <c r="E613" s="2" t="s">
        <v>10239</v>
      </c>
      <c r="F613" s="2" t="s">
        <v>10240</v>
      </c>
      <c r="G613" s="2" t="s">
        <v>10241</v>
      </c>
      <c r="H613" s="2" t="s">
        <v>158</v>
      </c>
      <c r="I613" s="2" t="s">
        <v>3823</v>
      </c>
      <c r="J613" s="2" t="s">
        <v>10242</v>
      </c>
      <c r="K613" s="2" t="s">
        <v>507</v>
      </c>
      <c r="L613" s="2" t="n">
        <v>0</v>
      </c>
      <c r="M613" s="2" t="n">
        <v>0</v>
      </c>
    </row>
    <row r="614" customFormat="false" ht="15" hidden="false" customHeight="false" outlineLevel="0" collapsed="false">
      <c r="A614" s="2" t="n">
        <v>612</v>
      </c>
      <c r="B614" s="2" t="s">
        <v>3399</v>
      </c>
      <c r="C614" s="2" t="n">
        <v>2</v>
      </c>
      <c r="D614" s="2" t="n">
        <v>0</v>
      </c>
      <c r="E614" s="2" t="s">
        <v>3432</v>
      </c>
      <c r="F614" s="2" t="s">
        <v>156</v>
      </c>
      <c r="G614" s="2" t="s">
        <v>3433</v>
      </c>
      <c r="H614" s="2" t="s">
        <v>3434</v>
      </c>
      <c r="I614" s="2" t="s">
        <v>3435</v>
      </c>
      <c r="J614" s="2" t="s">
        <v>10243</v>
      </c>
      <c r="K614" s="2" t="s">
        <v>1588</v>
      </c>
      <c r="L614" s="2" t="n">
        <v>0.33</v>
      </c>
      <c r="M614" s="2" t="n">
        <v>1</v>
      </c>
    </row>
    <row r="615" customFormat="false" ht="15" hidden="false" customHeight="false" outlineLevel="0" collapsed="false">
      <c r="A615" s="2" t="n">
        <v>613</v>
      </c>
      <c r="B615" s="2" t="s">
        <v>3399</v>
      </c>
      <c r="C615" s="2" t="n">
        <v>1</v>
      </c>
      <c r="D615" s="2" t="n">
        <v>0</v>
      </c>
      <c r="E615" s="2" t="s">
        <v>3447</v>
      </c>
      <c r="F615" s="2" t="s">
        <v>3448</v>
      </c>
      <c r="G615" s="2" t="s">
        <v>3449</v>
      </c>
      <c r="H615" s="2" t="s">
        <v>3434</v>
      </c>
      <c r="I615" s="2" t="s">
        <v>98</v>
      </c>
      <c r="J615" s="2" t="s">
        <v>10244</v>
      </c>
      <c r="K615" s="2" t="s">
        <v>1588</v>
      </c>
      <c r="L615" s="2" t="n">
        <v>0.09</v>
      </c>
      <c r="M615" s="2" t="n">
        <v>0.78</v>
      </c>
    </row>
    <row r="616" customFormat="false" ht="15" hidden="false" customHeight="false" outlineLevel="0" collapsed="false">
      <c r="A616" s="2" t="n">
        <v>614</v>
      </c>
      <c r="B616" s="2" t="s">
        <v>3399</v>
      </c>
      <c r="C616" s="2" t="n">
        <v>0</v>
      </c>
      <c r="D616" s="2" t="n">
        <v>0</v>
      </c>
      <c r="E616" s="2" t="s">
        <v>10245</v>
      </c>
      <c r="F616" s="2" t="s">
        <v>3448</v>
      </c>
      <c r="G616" s="2" t="s">
        <v>10246</v>
      </c>
      <c r="H616" s="2" t="s">
        <v>3434</v>
      </c>
      <c r="I616" s="2" t="s">
        <v>190</v>
      </c>
      <c r="J616" s="2" t="s">
        <v>10247</v>
      </c>
      <c r="K616" s="2" t="s">
        <v>68</v>
      </c>
      <c r="L616" s="2" t="n">
        <v>0.55</v>
      </c>
      <c r="M616" s="2" t="n">
        <v>1</v>
      </c>
    </row>
    <row r="617" customFormat="false" ht="15" hidden="false" customHeight="false" outlineLevel="0" collapsed="false">
      <c r="A617" s="2" t="n">
        <v>615</v>
      </c>
      <c r="B617" s="2" t="s">
        <v>3399</v>
      </c>
      <c r="C617" s="2" t="n">
        <v>1</v>
      </c>
      <c r="D617" s="2" t="n">
        <v>0</v>
      </c>
      <c r="E617" s="2" t="s">
        <v>3454</v>
      </c>
      <c r="F617" s="2" t="s">
        <v>3448</v>
      </c>
      <c r="G617" s="2" t="s">
        <v>3455</v>
      </c>
      <c r="H617" s="2" t="s">
        <v>3456</v>
      </c>
      <c r="I617" s="2" t="s">
        <v>2303</v>
      </c>
      <c r="J617" s="2" t="s">
        <v>10248</v>
      </c>
      <c r="K617" s="2" t="s">
        <v>1588</v>
      </c>
      <c r="L617" s="2" t="n">
        <v>0.18</v>
      </c>
      <c r="M617" s="2" t="n">
        <v>0.82</v>
      </c>
    </row>
    <row r="618" customFormat="false" ht="15" hidden="false" customHeight="false" outlineLevel="0" collapsed="false">
      <c r="A618" s="2" t="n">
        <v>616</v>
      </c>
      <c r="B618" s="2" t="s">
        <v>3399</v>
      </c>
      <c r="C618" s="2" t="n">
        <v>2</v>
      </c>
      <c r="D618" s="2" t="n">
        <v>0</v>
      </c>
      <c r="E618" s="2" t="s">
        <v>3465</v>
      </c>
      <c r="F618" s="2" t="s">
        <v>3466</v>
      </c>
      <c r="G618" s="2" t="s">
        <v>3467</v>
      </c>
      <c r="H618" s="2" t="s">
        <v>3468</v>
      </c>
      <c r="I618" s="2" t="s">
        <v>3469</v>
      </c>
      <c r="J618" s="2" t="s">
        <v>10249</v>
      </c>
      <c r="K618" s="2" t="s">
        <v>1588</v>
      </c>
      <c r="L618" s="2" t="n">
        <v>0.29</v>
      </c>
      <c r="M618" s="2" t="n">
        <v>0.83</v>
      </c>
    </row>
    <row r="619" customFormat="false" ht="15" hidden="false" customHeight="false" outlineLevel="0" collapsed="false">
      <c r="A619" s="2" t="n">
        <v>617</v>
      </c>
      <c r="B619" s="2" t="s">
        <v>3399</v>
      </c>
      <c r="C619" s="2" t="n">
        <v>1</v>
      </c>
      <c r="D619" s="2" t="n">
        <v>0</v>
      </c>
      <c r="E619" s="2" t="s">
        <v>3478</v>
      </c>
      <c r="F619" s="2" t="s">
        <v>3479</v>
      </c>
      <c r="G619" s="2" t="s">
        <v>3480</v>
      </c>
      <c r="H619" s="2" t="s">
        <v>3481</v>
      </c>
      <c r="I619" s="2" t="s">
        <v>1543</v>
      </c>
      <c r="J619" s="2" t="s">
        <v>10250</v>
      </c>
      <c r="K619" s="2" t="s">
        <v>1588</v>
      </c>
      <c r="L619" s="2" t="n">
        <v>0.22</v>
      </c>
      <c r="M619" s="2" t="n">
        <v>0.86</v>
      </c>
    </row>
    <row r="620" customFormat="false" ht="15" hidden="false" customHeight="false" outlineLevel="0" collapsed="false">
      <c r="A620" s="2" t="n">
        <v>618</v>
      </c>
      <c r="B620" s="2" t="s">
        <v>3399</v>
      </c>
      <c r="C620" s="2" t="n">
        <v>2</v>
      </c>
      <c r="D620" s="2" t="n">
        <v>0</v>
      </c>
      <c r="E620" s="2" t="s">
        <v>3485</v>
      </c>
      <c r="F620" s="2" t="s">
        <v>3486</v>
      </c>
      <c r="G620" s="2" t="s">
        <v>3487</v>
      </c>
      <c r="H620" s="2" t="s">
        <v>3434</v>
      </c>
      <c r="I620" s="2" t="s">
        <v>370</v>
      </c>
      <c r="J620" s="2" t="s">
        <v>10251</v>
      </c>
      <c r="K620" s="2" t="s">
        <v>507</v>
      </c>
      <c r="L620" s="2" t="n">
        <v>0.29</v>
      </c>
      <c r="M620" s="2" t="n">
        <v>0.5</v>
      </c>
    </row>
    <row r="621" customFormat="false" ht="15" hidden="false" customHeight="false" outlineLevel="0" collapsed="false">
      <c r="A621" s="2" t="n">
        <v>619</v>
      </c>
      <c r="B621" s="2" t="s">
        <v>3399</v>
      </c>
      <c r="C621" s="2" t="n">
        <v>1</v>
      </c>
      <c r="D621" s="2" t="n">
        <v>0</v>
      </c>
      <c r="E621" s="2" t="s">
        <v>3496</v>
      </c>
      <c r="F621" s="2" t="s">
        <v>3448</v>
      </c>
      <c r="G621" s="2" t="s">
        <v>3497</v>
      </c>
      <c r="H621" s="2" t="s">
        <v>3498</v>
      </c>
      <c r="I621" s="2" t="s">
        <v>421</v>
      </c>
      <c r="J621" s="2" t="s">
        <v>10252</v>
      </c>
      <c r="K621" s="2" t="s">
        <v>1588</v>
      </c>
      <c r="L621" s="2" t="n">
        <v>0.12</v>
      </c>
      <c r="M621" s="2" t="n">
        <v>0.86</v>
      </c>
    </row>
    <row r="622" customFormat="false" ht="15" hidden="false" customHeight="false" outlineLevel="0" collapsed="false">
      <c r="A622" s="2" t="n">
        <v>620</v>
      </c>
      <c r="B622" s="2" t="s">
        <v>3399</v>
      </c>
      <c r="C622" s="2" t="n">
        <v>0</v>
      </c>
      <c r="D622" s="2" t="n">
        <v>0</v>
      </c>
      <c r="E622" s="2" t="s">
        <v>10253</v>
      </c>
      <c r="F622" s="2" t="s">
        <v>10254</v>
      </c>
      <c r="G622" s="2" t="s">
        <v>10255</v>
      </c>
      <c r="H622" s="2" t="s">
        <v>420</v>
      </c>
      <c r="I622" s="2" t="s">
        <v>3017</v>
      </c>
      <c r="J622" s="2" t="s">
        <v>10256</v>
      </c>
      <c r="K622" s="2" t="s">
        <v>1588</v>
      </c>
      <c r="L622" s="2" t="n">
        <v>0</v>
      </c>
      <c r="M622" s="2" t="n">
        <v>0.88</v>
      </c>
    </row>
    <row r="623" customFormat="false" ht="15" hidden="false" customHeight="false" outlineLevel="0" collapsed="false">
      <c r="A623" s="2" t="n">
        <v>621</v>
      </c>
      <c r="B623" s="2" t="s">
        <v>3399</v>
      </c>
      <c r="C623" s="2" t="n">
        <v>2</v>
      </c>
      <c r="D623" s="2" t="n">
        <v>0</v>
      </c>
      <c r="E623" s="2" t="s">
        <v>3504</v>
      </c>
      <c r="F623" s="2" t="s">
        <v>803</v>
      </c>
      <c r="G623" s="2" t="s">
        <v>3505</v>
      </c>
      <c r="H623" s="2" t="s">
        <v>97</v>
      </c>
      <c r="I623" s="2" t="s">
        <v>3506</v>
      </c>
      <c r="J623" s="2" t="s">
        <v>10257</v>
      </c>
      <c r="K623" s="2" t="s">
        <v>1588</v>
      </c>
      <c r="L623" s="2" t="n">
        <v>0.22</v>
      </c>
      <c r="M623" s="2" t="n">
        <v>1</v>
      </c>
    </row>
    <row r="624" customFormat="false" ht="15" hidden="false" customHeight="false" outlineLevel="0" collapsed="false">
      <c r="A624" s="2" t="n">
        <v>622</v>
      </c>
      <c r="B624" s="2" t="s">
        <v>3399</v>
      </c>
      <c r="C624" s="2" t="n">
        <v>0</v>
      </c>
      <c r="D624" s="2" t="n">
        <v>0</v>
      </c>
      <c r="E624" s="2" t="s">
        <v>10258</v>
      </c>
      <c r="F624" s="2" t="s">
        <v>95</v>
      </c>
      <c r="G624" s="2" t="s">
        <v>10259</v>
      </c>
      <c r="H624" s="2" t="s">
        <v>10260</v>
      </c>
      <c r="I624" s="2" t="s">
        <v>2825</v>
      </c>
      <c r="J624" s="2" t="s">
        <v>10261</v>
      </c>
      <c r="K624" s="2" t="s">
        <v>1588</v>
      </c>
      <c r="L624" s="2" t="n">
        <v>0.1</v>
      </c>
      <c r="M624" s="2" t="n">
        <v>0.7</v>
      </c>
    </row>
    <row r="625" customFormat="false" ht="15" hidden="false" customHeight="false" outlineLevel="0" collapsed="false">
      <c r="A625" s="2" t="n">
        <v>623</v>
      </c>
      <c r="B625" s="2" t="s">
        <v>3399</v>
      </c>
      <c r="C625" s="2" t="n">
        <v>1</v>
      </c>
      <c r="D625" s="2" t="n">
        <v>0</v>
      </c>
      <c r="E625" s="2" t="s">
        <v>3514</v>
      </c>
      <c r="F625" s="2" t="s">
        <v>3515</v>
      </c>
      <c r="G625" s="2" t="s">
        <v>3516</v>
      </c>
      <c r="H625" s="2" t="s">
        <v>3517</v>
      </c>
      <c r="I625" s="2" t="s">
        <v>805</v>
      </c>
      <c r="J625" s="2" t="s">
        <v>10262</v>
      </c>
      <c r="K625" s="2" t="s">
        <v>1588</v>
      </c>
      <c r="L625" s="2" t="n">
        <v>0.25</v>
      </c>
      <c r="M625" s="2" t="n">
        <v>0.8</v>
      </c>
    </row>
    <row r="626" customFormat="false" ht="15" hidden="false" customHeight="false" outlineLevel="0" collapsed="false">
      <c r="A626" s="2" t="n">
        <v>624</v>
      </c>
      <c r="B626" s="2" t="s">
        <v>3399</v>
      </c>
      <c r="C626" s="2" t="n">
        <v>2</v>
      </c>
      <c r="D626" s="2" t="n">
        <v>1</v>
      </c>
      <c r="E626" s="2" t="s">
        <v>3523</v>
      </c>
      <c r="F626" s="2" t="s">
        <v>3524</v>
      </c>
      <c r="G626" s="2" t="s">
        <v>3525</v>
      </c>
      <c r="H626" s="2" t="s">
        <v>3526</v>
      </c>
      <c r="I626" s="2" t="s">
        <v>512</v>
      </c>
      <c r="J626" s="2" t="s">
        <v>10263</v>
      </c>
      <c r="K626" s="2" t="s">
        <v>1588</v>
      </c>
      <c r="L626" s="2" t="n">
        <v>0.07</v>
      </c>
      <c r="M626" s="2" t="n">
        <v>0.54</v>
      </c>
    </row>
    <row r="627" customFormat="false" ht="15" hidden="false" customHeight="false" outlineLevel="0" collapsed="false">
      <c r="A627" s="2" t="n">
        <v>625</v>
      </c>
      <c r="B627" s="2" t="s">
        <v>3399</v>
      </c>
      <c r="C627" s="2" t="n">
        <v>0</v>
      </c>
      <c r="D627" s="2" t="n">
        <v>0</v>
      </c>
      <c r="E627" s="2" t="s">
        <v>10264</v>
      </c>
      <c r="F627" s="2" t="s">
        <v>10265</v>
      </c>
      <c r="G627" s="2" t="s">
        <v>10266</v>
      </c>
      <c r="H627" s="2" t="s">
        <v>10267</v>
      </c>
      <c r="I627" s="2" t="s">
        <v>1614</v>
      </c>
      <c r="J627" s="2" t="s">
        <v>10268</v>
      </c>
      <c r="K627" s="2" t="s">
        <v>1588</v>
      </c>
      <c r="L627" s="2" t="n">
        <v>0</v>
      </c>
      <c r="M627" s="2" t="n">
        <v>0.67</v>
      </c>
    </row>
    <row r="628" customFormat="false" ht="15" hidden="false" customHeight="false" outlineLevel="0" collapsed="false">
      <c r="A628" s="2" t="n">
        <v>626</v>
      </c>
      <c r="B628" s="2" t="s">
        <v>3399</v>
      </c>
      <c r="C628" s="2" t="n">
        <v>1</v>
      </c>
      <c r="D628" s="2" t="n">
        <v>1</v>
      </c>
      <c r="E628" s="2" t="s">
        <v>3534</v>
      </c>
      <c r="F628" s="2" t="s">
        <v>3535</v>
      </c>
      <c r="G628" s="2" t="s">
        <v>3536</v>
      </c>
      <c r="H628" s="2" t="s">
        <v>3537</v>
      </c>
      <c r="I628" s="2" t="s">
        <v>1875</v>
      </c>
      <c r="J628" s="2" t="s">
        <v>10269</v>
      </c>
      <c r="K628" s="2" t="s">
        <v>1588</v>
      </c>
      <c r="L628" s="2" t="n">
        <v>0.08</v>
      </c>
      <c r="M628" s="2" t="n">
        <v>0.67</v>
      </c>
    </row>
    <row r="629" customFormat="false" ht="15" hidden="false" customHeight="false" outlineLevel="0" collapsed="false">
      <c r="A629" s="2" t="n">
        <v>627</v>
      </c>
      <c r="B629" s="2" t="s">
        <v>3399</v>
      </c>
      <c r="C629" s="2" t="n">
        <v>0</v>
      </c>
      <c r="D629" s="2" t="n">
        <v>0</v>
      </c>
      <c r="E629" s="2" t="s">
        <v>10270</v>
      </c>
      <c r="F629" s="2" t="s">
        <v>10271</v>
      </c>
      <c r="G629" s="2" t="s">
        <v>10272</v>
      </c>
      <c r="H629" s="2" t="s">
        <v>696</v>
      </c>
      <c r="I629" s="2" t="s">
        <v>5570</v>
      </c>
      <c r="J629" s="2" t="s">
        <v>10273</v>
      </c>
      <c r="K629" s="2" t="s">
        <v>1588</v>
      </c>
      <c r="L629" s="2" t="n">
        <v>0</v>
      </c>
      <c r="M629" s="2" t="n">
        <v>0.45</v>
      </c>
    </row>
    <row r="630" customFormat="false" ht="15" hidden="false" customHeight="false" outlineLevel="0" collapsed="false">
      <c r="A630" s="2" t="n">
        <v>628</v>
      </c>
      <c r="B630" s="2" t="s">
        <v>3399</v>
      </c>
      <c r="C630" s="2" t="n">
        <v>0</v>
      </c>
      <c r="D630" s="2" t="n">
        <v>0</v>
      </c>
      <c r="E630" s="2" t="s">
        <v>10274</v>
      </c>
      <c r="F630" s="2" t="s">
        <v>694</v>
      </c>
      <c r="G630" s="2" t="s">
        <v>10275</v>
      </c>
      <c r="H630" s="2" t="s">
        <v>4764</v>
      </c>
      <c r="I630" s="2" t="s">
        <v>1932</v>
      </c>
      <c r="J630" s="2" t="s">
        <v>10276</v>
      </c>
      <c r="K630" s="2" t="s">
        <v>1588</v>
      </c>
      <c r="L630" s="2" t="n">
        <v>0.11</v>
      </c>
      <c r="M630" s="2" t="n">
        <v>0.56</v>
      </c>
    </row>
    <row r="631" customFormat="false" ht="15" hidden="false" customHeight="false" outlineLevel="0" collapsed="false">
      <c r="A631" s="2" t="n">
        <v>629</v>
      </c>
      <c r="B631" s="2" t="s">
        <v>3399</v>
      </c>
      <c r="C631" s="2" t="n">
        <v>0</v>
      </c>
      <c r="D631" s="2" t="n">
        <v>0</v>
      </c>
      <c r="E631" s="2" t="s">
        <v>10277</v>
      </c>
      <c r="F631" s="2" t="s">
        <v>4798</v>
      </c>
      <c r="G631" s="2" t="s">
        <v>5801</v>
      </c>
      <c r="H631" s="2" t="s">
        <v>3434</v>
      </c>
      <c r="I631" s="2" t="s">
        <v>5802</v>
      </c>
      <c r="J631" s="2" t="s">
        <v>10278</v>
      </c>
      <c r="K631" s="2" t="s">
        <v>1588</v>
      </c>
      <c r="L631" s="2" t="n">
        <v>0.11</v>
      </c>
      <c r="M631" s="2" t="n">
        <v>0.6</v>
      </c>
    </row>
    <row r="632" customFormat="false" ht="15" hidden="false" customHeight="false" outlineLevel="0" collapsed="false">
      <c r="A632" s="2" t="n">
        <v>630</v>
      </c>
      <c r="B632" s="2" t="s">
        <v>3538</v>
      </c>
      <c r="C632" s="2" t="n">
        <v>0</v>
      </c>
      <c r="D632" s="2" t="n">
        <v>0</v>
      </c>
      <c r="E632" s="2" t="s">
        <v>10279</v>
      </c>
      <c r="F632" s="2" t="s">
        <v>3448</v>
      </c>
      <c r="G632" s="2" t="s">
        <v>10280</v>
      </c>
      <c r="H632" s="2" t="s">
        <v>2926</v>
      </c>
      <c r="I632" s="2" t="s">
        <v>1424</v>
      </c>
      <c r="J632" s="2" t="s">
        <v>10281</v>
      </c>
      <c r="K632" s="2" t="s">
        <v>1588</v>
      </c>
      <c r="L632" s="2" t="n">
        <v>0.29</v>
      </c>
      <c r="M632" s="2" t="n">
        <v>0.78</v>
      </c>
    </row>
    <row r="633" customFormat="false" ht="15" hidden="false" customHeight="false" outlineLevel="0" collapsed="false">
      <c r="A633" s="2" t="n">
        <v>631</v>
      </c>
      <c r="B633" s="2" t="s">
        <v>3538</v>
      </c>
      <c r="C633" s="2" t="n">
        <v>0</v>
      </c>
      <c r="D633" s="2" t="n">
        <v>0</v>
      </c>
      <c r="E633" s="2" t="s">
        <v>10282</v>
      </c>
      <c r="F633" s="2" t="s">
        <v>10283</v>
      </c>
      <c r="G633" s="2" t="s">
        <v>5808</v>
      </c>
      <c r="H633" s="2" t="s">
        <v>696</v>
      </c>
      <c r="I633" s="2" t="s">
        <v>3088</v>
      </c>
      <c r="J633" s="2" t="s">
        <v>10284</v>
      </c>
      <c r="K633" s="2" t="s">
        <v>1588</v>
      </c>
      <c r="L633" s="2" t="n">
        <v>0.11</v>
      </c>
      <c r="M633" s="2" t="n">
        <v>1</v>
      </c>
    </row>
    <row r="634" customFormat="false" ht="15" hidden="false" customHeight="false" outlineLevel="0" collapsed="false">
      <c r="A634" s="2" t="n">
        <v>632</v>
      </c>
      <c r="B634" s="2" t="s">
        <v>3538</v>
      </c>
      <c r="C634" s="2" t="n">
        <v>0</v>
      </c>
      <c r="D634" s="2" t="n">
        <v>0</v>
      </c>
      <c r="E634" s="2" t="s">
        <v>10285</v>
      </c>
      <c r="F634" s="2" t="s">
        <v>694</v>
      </c>
      <c r="G634" s="2" t="s">
        <v>10286</v>
      </c>
      <c r="H634" s="2" t="s">
        <v>10260</v>
      </c>
      <c r="I634" s="2" t="s">
        <v>321</v>
      </c>
      <c r="J634" s="2" t="s">
        <v>10287</v>
      </c>
      <c r="K634" s="2" t="s">
        <v>1588</v>
      </c>
      <c r="L634" s="2" t="n">
        <v>0.22</v>
      </c>
      <c r="M634" s="2" t="n">
        <v>0.56</v>
      </c>
    </row>
    <row r="635" customFormat="false" ht="15" hidden="false" customHeight="false" outlineLevel="0" collapsed="false">
      <c r="A635" s="2" t="n">
        <v>633</v>
      </c>
      <c r="B635" s="2" t="s">
        <v>3538</v>
      </c>
      <c r="C635" s="2" t="n">
        <v>0</v>
      </c>
      <c r="D635" s="2" t="n">
        <v>0</v>
      </c>
      <c r="E635" s="2" t="s">
        <v>10288</v>
      </c>
      <c r="F635" s="2" t="s">
        <v>3515</v>
      </c>
      <c r="G635" s="2" t="s">
        <v>10289</v>
      </c>
      <c r="H635" s="2" t="s">
        <v>10290</v>
      </c>
      <c r="I635" s="2" t="s">
        <v>1078</v>
      </c>
      <c r="J635" s="2" t="s">
        <v>10291</v>
      </c>
      <c r="K635" s="2" t="s">
        <v>1588</v>
      </c>
      <c r="L635" s="2" t="n">
        <v>0.12</v>
      </c>
      <c r="M635" s="2" t="n">
        <v>0.89</v>
      </c>
    </row>
    <row r="636" customFormat="false" ht="15" hidden="false" customHeight="false" outlineLevel="0" collapsed="false">
      <c r="A636" s="2" t="n">
        <v>634</v>
      </c>
      <c r="B636" s="2" t="s">
        <v>3538</v>
      </c>
      <c r="C636" s="2" t="n">
        <v>0</v>
      </c>
      <c r="D636" s="2" t="n">
        <v>0</v>
      </c>
      <c r="E636" s="2" t="s">
        <v>10292</v>
      </c>
      <c r="F636" s="2" t="s">
        <v>10293</v>
      </c>
      <c r="G636" s="2" t="s">
        <v>5816</v>
      </c>
      <c r="H636" s="2" t="s">
        <v>3434</v>
      </c>
      <c r="I636" s="2" t="s">
        <v>3088</v>
      </c>
      <c r="J636" s="2" t="s">
        <v>10294</v>
      </c>
      <c r="K636" s="2" t="s">
        <v>1588</v>
      </c>
      <c r="L636" s="2" t="n">
        <v>0.09</v>
      </c>
      <c r="M636" s="2" t="n">
        <v>0.55</v>
      </c>
    </row>
    <row r="637" customFormat="false" ht="15" hidden="false" customHeight="false" outlineLevel="0" collapsed="false">
      <c r="A637" s="2" t="n">
        <v>635</v>
      </c>
      <c r="B637" s="2" t="s">
        <v>3538</v>
      </c>
      <c r="C637" s="2" t="n">
        <v>0</v>
      </c>
      <c r="D637" s="2" t="n">
        <v>0</v>
      </c>
      <c r="E637" s="2" t="s">
        <v>10295</v>
      </c>
      <c r="F637" s="2" t="s">
        <v>3448</v>
      </c>
      <c r="G637" s="2" t="s">
        <v>10296</v>
      </c>
      <c r="H637" s="2" t="s">
        <v>3544</v>
      </c>
      <c r="I637" s="2" t="s">
        <v>246</v>
      </c>
      <c r="J637" s="2" t="s">
        <v>10297</v>
      </c>
      <c r="K637" s="2" t="s">
        <v>1588</v>
      </c>
      <c r="L637" s="2" t="n">
        <v>0.2</v>
      </c>
      <c r="M637" s="2" t="n">
        <v>0.73</v>
      </c>
    </row>
    <row r="638" customFormat="false" ht="15" hidden="false" customHeight="false" outlineLevel="0" collapsed="false">
      <c r="A638" s="2" t="n">
        <v>636</v>
      </c>
      <c r="B638" s="2" t="s">
        <v>3538</v>
      </c>
      <c r="C638" s="2" t="n">
        <v>1</v>
      </c>
      <c r="D638" s="2" t="n">
        <v>1</v>
      </c>
      <c r="E638" s="2" t="s">
        <v>3543</v>
      </c>
      <c r="F638" s="2" t="s">
        <v>3544</v>
      </c>
      <c r="G638" s="2" t="s">
        <v>3545</v>
      </c>
      <c r="H638" s="2" t="s">
        <v>3546</v>
      </c>
      <c r="I638" s="2" t="s">
        <v>1932</v>
      </c>
      <c r="J638" s="2" t="s">
        <v>10298</v>
      </c>
      <c r="K638" s="2" t="s">
        <v>1588</v>
      </c>
      <c r="L638" s="2" t="n">
        <v>0.12</v>
      </c>
      <c r="M638" s="2" t="n">
        <v>0.6</v>
      </c>
    </row>
    <row r="639" customFormat="false" ht="15" hidden="false" customHeight="false" outlineLevel="0" collapsed="false">
      <c r="A639" s="2" t="n">
        <v>637</v>
      </c>
      <c r="B639" s="2" t="s">
        <v>3538</v>
      </c>
      <c r="C639" s="2" t="n">
        <v>0</v>
      </c>
      <c r="D639" s="2" t="n">
        <v>0</v>
      </c>
      <c r="E639" s="2" t="s">
        <v>10299</v>
      </c>
      <c r="F639" s="2" t="s">
        <v>7991</v>
      </c>
      <c r="G639" s="2" t="s">
        <v>10300</v>
      </c>
      <c r="H639" s="2" t="s">
        <v>1390</v>
      </c>
      <c r="I639" s="2" t="s">
        <v>1923</v>
      </c>
      <c r="J639" s="2" t="s">
        <v>10301</v>
      </c>
      <c r="K639" s="2" t="s">
        <v>507</v>
      </c>
      <c r="L639" s="2" t="n">
        <v>0.13</v>
      </c>
      <c r="M639" s="2" t="n">
        <v>1</v>
      </c>
    </row>
    <row r="640" customFormat="false" ht="15" hidden="false" customHeight="false" outlineLevel="0" collapsed="false">
      <c r="A640" s="2" t="n">
        <v>638</v>
      </c>
      <c r="B640" s="2" t="s">
        <v>3538</v>
      </c>
      <c r="C640" s="2" t="n">
        <v>1</v>
      </c>
      <c r="D640" s="2" t="n">
        <v>1</v>
      </c>
      <c r="E640" s="2" t="s">
        <v>3552</v>
      </c>
      <c r="F640" s="2" t="s">
        <v>3553</v>
      </c>
      <c r="G640" s="2" t="s">
        <v>3554</v>
      </c>
      <c r="H640" s="2" t="s">
        <v>2979</v>
      </c>
      <c r="I640" s="2" t="s">
        <v>1078</v>
      </c>
      <c r="J640" s="2" t="s">
        <v>10302</v>
      </c>
      <c r="K640" s="2" t="s">
        <v>1588</v>
      </c>
      <c r="L640" s="2" t="n">
        <v>0.1</v>
      </c>
      <c r="M640" s="2" t="n">
        <v>0.67</v>
      </c>
    </row>
    <row r="641" customFormat="false" ht="15" hidden="false" customHeight="false" outlineLevel="0" collapsed="false">
      <c r="A641" s="2" t="n">
        <v>639</v>
      </c>
      <c r="B641" s="2" t="s">
        <v>3538</v>
      </c>
      <c r="C641" s="2" t="n">
        <v>1</v>
      </c>
      <c r="D641" s="2" t="n">
        <v>0</v>
      </c>
      <c r="E641" s="2" t="s">
        <v>3561</v>
      </c>
      <c r="F641" s="2" t="s">
        <v>95</v>
      </c>
      <c r="G641" s="2" t="s">
        <v>3562</v>
      </c>
      <c r="H641" s="2" t="s">
        <v>2214</v>
      </c>
      <c r="I641" s="2" t="s">
        <v>2939</v>
      </c>
      <c r="J641" s="2" t="s">
        <v>10303</v>
      </c>
      <c r="K641" s="2" t="s">
        <v>507</v>
      </c>
      <c r="L641" s="2" t="n">
        <v>0</v>
      </c>
      <c r="M641" s="2" t="n">
        <v>0.62</v>
      </c>
    </row>
    <row r="642" customFormat="false" ht="15" hidden="false" customHeight="false" outlineLevel="0" collapsed="false">
      <c r="A642" s="2" t="n">
        <v>640</v>
      </c>
      <c r="B642" s="2" t="s">
        <v>3538</v>
      </c>
      <c r="C642" s="2" t="n">
        <v>0</v>
      </c>
      <c r="D642" s="2" t="n">
        <v>0</v>
      </c>
      <c r="E642" s="2" t="s">
        <v>10304</v>
      </c>
      <c r="F642" s="2" t="s">
        <v>3762</v>
      </c>
      <c r="G642" s="2" t="s">
        <v>10305</v>
      </c>
      <c r="H642" s="2" t="s">
        <v>3434</v>
      </c>
      <c r="I642" s="2" t="s">
        <v>2158</v>
      </c>
      <c r="J642" s="2" t="s">
        <v>10306</v>
      </c>
      <c r="K642" s="2" t="s">
        <v>160</v>
      </c>
      <c r="L642" s="2" t="n">
        <v>0.4</v>
      </c>
      <c r="M642" s="2" t="n">
        <v>0.5</v>
      </c>
    </row>
    <row r="643" customFormat="false" ht="15" hidden="false" customHeight="false" outlineLevel="0" collapsed="false">
      <c r="A643" s="2" t="n">
        <v>641</v>
      </c>
      <c r="B643" s="2" t="s">
        <v>3538</v>
      </c>
      <c r="C643" s="2" t="n">
        <v>1</v>
      </c>
      <c r="D643" s="2" t="n">
        <v>0</v>
      </c>
      <c r="E643" s="2" t="s">
        <v>3566</v>
      </c>
      <c r="F643" s="2" t="s">
        <v>3448</v>
      </c>
      <c r="G643" s="2" t="s">
        <v>3567</v>
      </c>
      <c r="H643" s="2" t="s">
        <v>97</v>
      </c>
      <c r="I643" s="2" t="s">
        <v>2005</v>
      </c>
      <c r="J643" s="2" t="s">
        <v>10307</v>
      </c>
      <c r="K643" s="2" t="s">
        <v>1588</v>
      </c>
      <c r="L643" s="2" t="n">
        <v>0.25</v>
      </c>
      <c r="M643" s="2" t="n">
        <v>0.8</v>
      </c>
    </row>
    <row r="644" customFormat="false" ht="15" hidden="false" customHeight="false" outlineLevel="0" collapsed="false">
      <c r="A644" s="2" t="n">
        <v>642</v>
      </c>
      <c r="B644" s="2" t="s">
        <v>3538</v>
      </c>
      <c r="C644" s="2" t="n">
        <v>0</v>
      </c>
      <c r="D644" s="2" t="n">
        <v>0</v>
      </c>
      <c r="E644" s="2" t="s">
        <v>10308</v>
      </c>
      <c r="F644" s="2" t="s">
        <v>95</v>
      </c>
      <c r="G644" s="2" t="s">
        <v>10309</v>
      </c>
      <c r="H644" s="2" t="s">
        <v>3573</v>
      </c>
      <c r="I644" s="2" t="s">
        <v>1648</v>
      </c>
      <c r="J644" s="2" t="s">
        <v>10310</v>
      </c>
      <c r="K644" s="2" t="s">
        <v>1588</v>
      </c>
      <c r="L644" s="2" t="n">
        <v>0</v>
      </c>
      <c r="M644" s="2" t="n">
        <v>0.89</v>
      </c>
    </row>
    <row r="645" customFormat="false" ht="15" hidden="false" customHeight="false" outlineLevel="0" collapsed="false">
      <c r="A645" s="2" t="n">
        <v>643</v>
      </c>
      <c r="B645" s="2" t="s">
        <v>3538</v>
      </c>
      <c r="C645" s="2" t="n">
        <v>1</v>
      </c>
      <c r="D645" s="2" t="n">
        <v>1</v>
      </c>
      <c r="E645" s="2" t="s">
        <v>3572</v>
      </c>
      <c r="F645" s="2" t="s">
        <v>3573</v>
      </c>
      <c r="G645" s="2" t="s">
        <v>3574</v>
      </c>
      <c r="H645" s="2" t="s">
        <v>158</v>
      </c>
      <c r="I645" s="2" t="s">
        <v>530</v>
      </c>
      <c r="J645" s="2" t="s">
        <v>10311</v>
      </c>
      <c r="K645" s="2" t="s">
        <v>1588</v>
      </c>
      <c r="L645" s="2" t="n">
        <v>0.17</v>
      </c>
      <c r="M645" s="2" t="n">
        <v>0.78</v>
      </c>
    </row>
    <row r="646" customFormat="false" ht="15" hidden="false" customHeight="false" outlineLevel="0" collapsed="false">
      <c r="A646" s="2" t="n">
        <v>644</v>
      </c>
      <c r="B646" s="2" t="s">
        <v>3538</v>
      </c>
      <c r="C646" s="2" t="n">
        <v>3</v>
      </c>
      <c r="D646" s="2" t="n">
        <v>0</v>
      </c>
      <c r="E646" s="2" t="s">
        <v>3579</v>
      </c>
      <c r="F646" s="2" t="s">
        <v>156</v>
      </c>
      <c r="G646" s="2" t="s">
        <v>3580</v>
      </c>
      <c r="H646" s="2" t="s">
        <v>66</v>
      </c>
      <c r="I646" s="2" t="s">
        <v>3581</v>
      </c>
      <c r="J646" s="2" t="s">
        <v>10312</v>
      </c>
      <c r="K646" s="2" t="s">
        <v>68</v>
      </c>
      <c r="L646" s="2" t="n">
        <v>0.5</v>
      </c>
      <c r="M646" s="2" t="n">
        <v>1</v>
      </c>
    </row>
    <row r="647" customFormat="false" ht="15" hidden="false" customHeight="false" outlineLevel="0" collapsed="false">
      <c r="A647" s="2" t="n">
        <v>645</v>
      </c>
      <c r="B647" s="2" t="s">
        <v>3538</v>
      </c>
      <c r="C647" s="2" t="n">
        <v>2</v>
      </c>
      <c r="D647" s="2" t="n">
        <v>0</v>
      </c>
      <c r="E647" s="2" t="s">
        <v>3595</v>
      </c>
      <c r="F647" s="2" t="s">
        <v>64</v>
      </c>
      <c r="G647" s="2" t="s">
        <v>3596</v>
      </c>
      <c r="H647" s="2" t="s">
        <v>245</v>
      </c>
      <c r="I647" s="2" t="s">
        <v>1332</v>
      </c>
      <c r="J647" s="2" t="s">
        <v>10313</v>
      </c>
      <c r="K647" s="2" t="s">
        <v>68</v>
      </c>
      <c r="L647" s="2" t="n">
        <v>0.62</v>
      </c>
      <c r="M647" s="2" t="n">
        <v>1</v>
      </c>
    </row>
    <row r="648" customFormat="false" ht="15" hidden="false" customHeight="false" outlineLevel="0" collapsed="false">
      <c r="A648" s="2" t="n">
        <v>646</v>
      </c>
      <c r="B648" s="2" t="s">
        <v>3538</v>
      </c>
      <c r="C648" s="2" t="n">
        <v>2</v>
      </c>
      <c r="D648" s="2" t="n">
        <v>0</v>
      </c>
      <c r="E648" s="2" t="s">
        <v>3606</v>
      </c>
      <c r="F648" s="2" t="s">
        <v>243</v>
      </c>
      <c r="G648" s="2" t="s">
        <v>3607</v>
      </c>
      <c r="H648" s="2" t="s">
        <v>158</v>
      </c>
      <c r="I648" s="2" t="s">
        <v>1429</v>
      </c>
      <c r="J648" s="2" t="s">
        <v>10314</v>
      </c>
      <c r="K648" s="2" t="s">
        <v>68</v>
      </c>
      <c r="L648" s="2" t="n">
        <v>0.5</v>
      </c>
      <c r="M648" s="2" t="n">
        <v>0.8</v>
      </c>
    </row>
    <row r="649" customFormat="false" ht="15" hidden="false" customHeight="false" outlineLevel="0" collapsed="false">
      <c r="A649" s="2" t="n">
        <v>647</v>
      </c>
      <c r="B649" s="2" t="s">
        <v>3538</v>
      </c>
      <c r="C649" s="2" t="n">
        <v>3</v>
      </c>
      <c r="D649" s="2" t="n">
        <v>0</v>
      </c>
      <c r="E649" s="2" t="s">
        <v>3614</v>
      </c>
      <c r="F649" s="2" t="s">
        <v>156</v>
      </c>
      <c r="G649" s="2" t="s">
        <v>3615</v>
      </c>
      <c r="H649" s="2" t="s">
        <v>178</v>
      </c>
      <c r="I649" s="2" t="s">
        <v>2399</v>
      </c>
      <c r="J649" s="2" t="s">
        <v>10315</v>
      </c>
      <c r="K649" s="2" t="s">
        <v>1588</v>
      </c>
      <c r="L649" s="2" t="n">
        <v>0.29</v>
      </c>
      <c r="M649" s="2" t="n">
        <v>1</v>
      </c>
    </row>
    <row r="650" customFormat="false" ht="15" hidden="false" customHeight="false" outlineLevel="0" collapsed="false">
      <c r="A650" s="2" t="n">
        <v>648</v>
      </c>
      <c r="B650" s="2" t="s">
        <v>3538</v>
      </c>
      <c r="C650" s="2" t="n">
        <v>0</v>
      </c>
      <c r="D650" s="2" t="n">
        <v>0</v>
      </c>
      <c r="E650" s="2" t="s">
        <v>10316</v>
      </c>
      <c r="F650" s="2" t="s">
        <v>176</v>
      </c>
      <c r="G650" s="2" t="s">
        <v>10317</v>
      </c>
      <c r="H650" s="2" t="s">
        <v>1170</v>
      </c>
      <c r="I650" s="2" t="s">
        <v>1923</v>
      </c>
      <c r="J650" s="2" t="s">
        <v>10318</v>
      </c>
      <c r="K650" s="2" t="s">
        <v>160</v>
      </c>
      <c r="L650" s="2" t="n">
        <v>0.43</v>
      </c>
      <c r="M650" s="2" t="n">
        <v>0.5</v>
      </c>
    </row>
    <row r="651" customFormat="false" ht="15" hidden="false" customHeight="false" outlineLevel="0" collapsed="false">
      <c r="A651" s="2" t="n">
        <v>649</v>
      </c>
      <c r="B651" s="2" t="s">
        <v>3538</v>
      </c>
      <c r="C651" s="2" t="n">
        <v>2</v>
      </c>
      <c r="D651" s="2" t="n">
        <v>0</v>
      </c>
      <c r="E651" s="2" t="s">
        <v>3629</v>
      </c>
      <c r="F651" s="2" t="s">
        <v>1168</v>
      </c>
      <c r="G651" s="2" t="s">
        <v>3630</v>
      </c>
      <c r="H651" s="2" t="s">
        <v>66</v>
      </c>
      <c r="I651" s="2" t="s">
        <v>1840</v>
      </c>
      <c r="J651" s="2" t="s">
        <v>10319</v>
      </c>
      <c r="K651" s="2" t="s">
        <v>68</v>
      </c>
      <c r="L651" s="2" t="n">
        <v>0.57</v>
      </c>
      <c r="M651" s="2" t="n">
        <v>0.71</v>
      </c>
    </row>
    <row r="652" customFormat="false" ht="15" hidden="false" customHeight="false" outlineLevel="0" collapsed="false">
      <c r="A652" s="2" t="n">
        <v>650</v>
      </c>
      <c r="B652" s="2" t="s">
        <v>3538</v>
      </c>
      <c r="C652" s="2" t="n">
        <v>1</v>
      </c>
      <c r="D652" s="2" t="n">
        <v>0</v>
      </c>
      <c r="E652" s="2" t="s">
        <v>3638</v>
      </c>
      <c r="F652" s="2" t="s">
        <v>64</v>
      </c>
      <c r="G652" s="2" t="s">
        <v>3639</v>
      </c>
      <c r="H652" s="2" t="s">
        <v>1170</v>
      </c>
      <c r="I652" s="2" t="s">
        <v>115</v>
      </c>
      <c r="J652" s="2" t="s">
        <v>10320</v>
      </c>
      <c r="K652" s="2" t="s">
        <v>68</v>
      </c>
      <c r="L652" s="2" t="n">
        <v>0.67</v>
      </c>
      <c r="M652" s="2" t="n">
        <v>0.67</v>
      </c>
    </row>
    <row r="653" customFormat="false" ht="15" hidden="false" customHeight="false" outlineLevel="0" collapsed="false">
      <c r="A653" s="2" t="n">
        <v>651</v>
      </c>
      <c r="B653" s="2" t="s">
        <v>3538</v>
      </c>
      <c r="C653" s="2" t="n">
        <v>2</v>
      </c>
      <c r="D653" s="2" t="n">
        <v>2</v>
      </c>
      <c r="E653" s="2" t="s">
        <v>3644</v>
      </c>
      <c r="F653" s="2" t="s">
        <v>1168</v>
      </c>
      <c r="G653" s="2" t="s">
        <v>3645</v>
      </c>
      <c r="H653" s="2" t="s">
        <v>158</v>
      </c>
      <c r="I653" s="2" t="s">
        <v>3646</v>
      </c>
      <c r="J653" s="2" t="s">
        <v>10321</v>
      </c>
      <c r="K653" s="2" t="s">
        <v>1588</v>
      </c>
      <c r="L653" s="2" t="n">
        <v>0.29</v>
      </c>
      <c r="M653" s="2" t="n">
        <v>1</v>
      </c>
    </row>
    <row r="654" customFormat="false" ht="15" hidden="false" customHeight="false" outlineLevel="0" collapsed="false">
      <c r="A654" s="2" t="n">
        <v>652</v>
      </c>
      <c r="B654" s="2" t="s">
        <v>3538</v>
      </c>
      <c r="C654" s="2" t="n">
        <v>3</v>
      </c>
      <c r="D654" s="2" t="n">
        <v>0</v>
      </c>
      <c r="E654" s="2" t="s">
        <v>3655</v>
      </c>
      <c r="F654" s="2" t="s">
        <v>156</v>
      </c>
      <c r="G654" s="2" t="s">
        <v>3656</v>
      </c>
      <c r="H654" s="2" t="s">
        <v>745</v>
      </c>
      <c r="I654" s="2" t="s">
        <v>945</v>
      </c>
      <c r="J654" s="2" t="s">
        <v>10322</v>
      </c>
      <c r="K654" s="2" t="s">
        <v>1588</v>
      </c>
      <c r="L654" s="2" t="n">
        <v>0.33</v>
      </c>
      <c r="M654" s="2"/>
    </row>
    <row r="655" customFormat="false" ht="15" hidden="false" customHeight="false" outlineLevel="0" collapsed="false">
      <c r="A655" s="2" t="n">
        <v>653</v>
      </c>
      <c r="B655" s="2" t="s">
        <v>3538</v>
      </c>
      <c r="C655" s="2" t="n">
        <v>2</v>
      </c>
      <c r="D655" s="2" t="n">
        <v>0</v>
      </c>
      <c r="E655" s="2" t="s">
        <v>3670</v>
      </c>
      <c r="F655" s="2" t="s">
        <v>743</v>
      </c>
      <c r="G655" s="2" t="s">
        <v>3671</v>
      </c>
      <c r="H655" s="2" t="s">
        <v>66</v>
      </c>
      <c r="I655" s="2" t="s">
        <v>283</v>
      </c>
      <c r="J655" s="2" t="s">
        <v>10323</v>
      </c>
      <c r="K655" s="2" t="s">
        <v>1588</v>
      </c>
      <c r="L655" s="2" t="n">
        <v>0.22</v>
      </c>
      <c r="M655" s="2" t="n">
        <v>0.9</v>
      </c>
    </row>
    <row r="656" customFormat="false" ht="15" hidden="false" customHeight="false" outlineLevel="0" collapsed="false">
      <c r="A656" s="2" t="n">
        <v>654</v>
      </c>
      <c r="B656" s="2" t="s">
        <v>3538</v>
      </c>
      <c r="C656" s="2" t="n">
        <v>2</v>
      </c>
      <c r="D656" s="2" t="n">
        <v>0</v>
      </c>
      <c r="E656" s="2" t="s">
        <v>3678</v>
      </c>
      <c r="F656" s="2" t="s">
        <v>64</v>
      </c>
      <c r="G656" s="2" t="s">
        <v>3679</v>
      </c>
      <c r="H656" s="2" t="s">
        <v>158</v>
      </c>
      <c r="I656" s="2" t="s">
        <v>3506</v>
      </c>
      <c r="J656" s="2" t="s">
        <v>10324</v>
      </c>
      <c r="K656" s="2" t="s">
        <v>1588</v>
      </c>
      <c r="L656" s="2" t="n">
        <v>0.33</v>
      </c>
      <c r="M656" s="2" t="n">
        <v>0.78</v>
      </c>
    </row>
    <row r="657" customFormat="false" ht="15" hidden="false" customHeight="false" outlineLevel="0" collapsed="false">
      <c r="A657" s="2" t="n">
        <v>655</v>
      </c>
      <c r="B657" s="2" t="s">
        <v>3538</v>
      </c>
      <c r="C657" s="2" t="n">
        <v>3</v>
      </c>
      <c r="D657" s="2" t="n">
        <v>0</v>
      </c>
      <c r="E657" s="2" t="s">
        <v>3687</v>
      </c>
      <c r="F657" s="2" t="s">
        <v>156</v>
      </c>
      <c r="G657" s="2" t="s">
        <v>3688</v>
      </c>
      <c r="H657" s="2" t="s">
        <v>66</v>
      </c>
      <c r="I657" s="2" t="s">
        <v>1768</v>
      </c>
      <c r="J657" s="2" t="s">
        <v>10325</v>
      </c>
      <c r="K657" s="2" t="s">
        <v>1588</v>
      </c>
      <c r="L657" s="2" t="n">
        <v>0.25</v>
      </c>
      <c r="M657" s="2" t="n">
        <v>1</v>
      </c>
    </row>
    <row r="658" customFormat="false" ht="15" hidden="false" customHeight="false" outlineLevel="0" collapsed="false">
      <c r="A658" s="2" t="n">
        <v>656</v>
      </c>
      <c r="B658" s="2" t="s">
        <v>3538</v>
      </c>
      <c r="C658" s="2" t="n">
        <v>2</v>
      </c>
      <c r="D658" s="2" t="n">
        <v>1</v>
      </c>
      <c r="E658" s="2" t="s">
        <v>3697</v>
      </c>
      <c r="F658" s="2" t="s">
        <v>64</v>
      </c>
      <c r="G658" s="2" t="s">
        <v>3698</v>
      </c>
      <c r="H658" s="2" t="s">
        <v>158</v>
      </c>
      <c r="I658" s="2" t="s">
        <v>1700</v>
      </c>
      <c r="J658" s="2" t="s">
        <v>10326</v>
      </c>
      <c r="K658" s="2" t="s">
        <v>1588</v>
      </c>
      <c r="L658" s="2" t="n">
        <v>0.33</v>
      </c>
      <c r="M658" s="2" t="n">
        <v>1</v>
      </c>
    </row>
    <row r="659" customFormat="false" ht="15" hidden="false" customHeight="false" outlineLevel="0" collapsed="false">
      <c r="A659" s="2" t="n">
        <v>657</v>
      </c>
      <c r="B659" s="2" t="s">
        <v>3538</v>
      </c>
      <c r="C659" s="2" t="n">
        <v>3</v>
      </c>
      <c r="D659" s="2" t="n">
        <v>0</v>
      </c>
      <c r="E659" s="2" t="s">
        <v>3707</v>
      </c>
      <c r="F659" s="2" t="s">
        <v>156</v>
      </c>
      <c r="G659" s="2" t="s">
        <v>3708</v>
      </c>
      <c r="H659" s="2" t="s">
        <v>745</v>
      </c>
      <c r="I659" s="2" t="s">
        <v>2431</v>
      </c>
      <c r="J659" s="2" t="s">
        <v>10327</v>
      </c>
      <c r="K659" s="2" t="s">
        <v>1588</v>
      </c>
      <c r="L659" s="2" t="n">
        <v>0.22</v>
      </c>
      <c r="M659" s="2"/>
    </row>
    <row r="660" customFormat="false" ht="15" hidden="false" customHeight="false" outlineLevel="0" collapsed="false">
      <c r="A660" s="2" t="n">
        <v>658</v>
      </c>
      <c r="B660" s="2" t="s">
        <v>3538</v>
      </c>
      <c r="C660" s="2" t="n">
        <v>0</v>
      </c>
      <c r="D660" s="2" t="n">
        <v>0</v>
      </c>
      <c r="E660" s="2" t="s">
        <v>10328</v>
      </c>
      <c r="F660" s="2" t="s">
        <v>743</v>
      </c>
      <c r="G660" s="2" t="s">
        <v>10329</v>
      </c>
      <c r="H660" s="2" t="s">
        <v>745</v>
      </c>
      <c r="I660" s="2" t="s">
        <v>204</v>
      </c>
      <c r="J660" s="2" t="s">
        <v>10330</v>
      </c>
      <c r="K660" s="2" t="s">
        <v>68</v>
      </c>
      <c r="L660" s="2" t="n">
        <v>0.57</v>
      </c>
      <c r="M660" s="2" t="n">
        <v>0.55</v>
      </c>
    </row>
    <row r="661" customFormat="false" ht="15" hidden="false" customHeight="false" outlineLevel="0" collapsed="false">
      <c r="A661" s="2" t="n">
        <v>659</v>
      </c>
      <c r="B661" s="2" t="s">
        <v>3538</v>
      </c>
      <c r="C661" s="2" t="n">
        <v>1</v>
      </c>
      <c r="D661" s="2" t="n">
        <v>1</v>
      </c>
      <c r="E661" s="2" t="s">
        <v>3720</v>
      </c>
      <c r="F661" s="2" t="s">
        <v>743</v>
      </c>
      <c r="G661" s="2" t="s">
        <v>3721</v>
      </c>
      <c r="H661" s="2" t="s">
        <v>965</v>
      </c>
      <c r="I661" s="2" t="s">
        <v>1138</v>
      </c>
      <c r="J661" s="2" t="s">
        <v>10331</v>
      </c>
      <c r="K661" s="2" t="s">
        <v>160</v>
      </c>
      <c r="L661" s="2" t="n">
        <v>0.38</v>
      </c>
      <c r="M661" s="2" t="n">
        <v>0.5</v>
      </c>
    </row>
    <row r="662" customFormat="false" ht="15" hidden="false" customHeight="false" outlineLevel="0" collapsed="false">
      <c r="A662" s="2" t="n">
        <v>660</v>
      </c>
      <c r="B662" s="2" t="s">
        <v>3722</v>
      </c>
      <c r="C662" s="2" t="n">
        <v>2</v>
      </c>
      <c r="D662" s="2" t="n">
        <v>0</v>
      </c>
      <c r="E662" s="2" t="s">
        <v>3729</v>
      </c>
      <c r="F662" s="2" t="s">
        <v>963</v>
      </c>
      <c r="G662" s="2" t="s">
        <v>3730</v>
      </c>
      <c r="H662" s="2" t="s">
        <v>3731</v>
      </c>
      <c r="I662" s="2" t="s">
        <v>1923</v>
      </c>
      <c r="J662" s="2" t="s">
        <v>10332</v>
      </c>
      <c r="K662" s="2" t="s">
        <v>1588</v>
      </c>
      <c r="L662" s="2" t="n">
        <v>0.11</v>
      </c>
      <c r="M662" s="2" t="n">
        <v>0.6</v>
      </c>
    </row>
    <row r="663" customFormat="false" ht="15" hidden="false" customHeight="false" outlineLevel="0" collapsed="false">
      <c r="A663" s="2" t="n">
        <v>661</v>
      </c>
      <c r="B663" s="2" t="s">
        <v>3722</v>
      </c>
      <c r="C663" s="2" t="n">
        <v>1</v>
      </c>
      <c r="D663" s="2" t="n">
        <v>1</v>
      </c>
      <c r="E663" s="2" t="s">
        <v>3742</v>
      </c>
      <c r="F663" s="2" t="s">
        <v>1563</v>
      </c>
      <c r="G663" s="2" t="s">
        <v>3743</v>
      </c>
      <c r="H663" s="2" t="s">
        <v>178</v>
      </c>
      <c r="I663" s="2" t="s">
        <v>3744</v>
      </c>
      <c r="J663" s="2" t="s">
        <v>10333</v>
      </c>
      <c r="K663" s="2" t="s">
        <v>507</v>
      </c>
      <c r="L663" s="2" t="n">
        <v>0.18</v>
      </c>
      <c r="M663" s="2" t="n">
        <v>1</v>
      </c>
    </row>
    <row r="664" customFormat="false" ht="15" hidden="false" customHeight="false" outlineLevel="0" collapsed="false">
      <c r="A664" s="2" t="n">
        <v>662</v>
      </c>
      <c r="B664" s="2" t="s">
        <v>3722</v>
      </c>
      <c r="C664" s="2" t="n">
        <v>1</v>
      </c>
      <c r="D664" s="2" t="n">
        <v>1</v>
      </c>
      <c r="E664" s="2" t="s">
        <v>3748</v>
      </c>
      <c r="F664" s="2" t="s">
        <v>176</v>
      </c>
      <c r="G664" s="2" t="s">
        <v>3749</v>
      </c>
      <c r="H664" s="2" t="s">
        <v>1170</v>
      </c>
      <c r="I664" s="2" t="s">
        <v>2241</v>
      </c>
      <c r="J664" s="2" t="s">
        <v>10334</v>
      </c>
      <c r="K664" s="2" t="s">
        <v>1588</v>
      </c>
      <c r="L664" s="2" t="n">
        <v>0.3</v>
      </c>
      <c r="M664" s="2" t="n">
        <v>0.78</v>
      </c>
    </row>
    <row r="665" customFormat="false" ht="15" hidden="false" customHeight="false" outlineLevel="0" collapsed="false">
      <c r="A665" s="2" t="n">
        <v>663</v>
      </c>
      <c r="B665" s="2" t="s">
        <v>3722</v>
      </c>
      <c r="C665" s="2" t="n">
        <v>1</v>
      </c>
      <c r="D665" s="2" t="n">
        <v>1</v>
      </c>
      <c r="E665" s="2" t="s">
        <v>3753</v>
      </c>
      <c r="F665" s="2" t="s">
        <v>1168</v>
      </c>
      <c r="G665" s="2" t="s">
        <v>3754</v>
      </c>
      <c r="H665" s="2" t="s">
        <v>2214</v>
      </c>
      <c r="I665" s="2" t="s">
        <v>2506</v>
      </c>
      <c r="J665" s="2" t="s">
        <v>10335</v>
      </c>
      <c r="K665" s="2" t="s">
        <v>1588</v>
      </c>
      <c r="L665" s="2" t="n">
        <v>0</v>
      </c>
      <c r="M665" s="2" t="n">
        <v>0.91</v>
      </c>
    </row>
    <row r="666" customFormat="false" ht="15" hidden="false" customHeight="false" outlineLevel="0" collapsed="false">
      <c r="A666" s="2" t="n">
        <v>664</v>
      </c>
      <c r="B666" s="2" t="s">
        <v>3722</v>
      </c>
      <c r="C666" s="2" t="n">
        <v>1</v>
      </c>
      <c r="D666" s="2" t="n">
        <v>1</v>
      </c>
      <c r="E666" s="2" t="s">
        <v>3761</v>
      </c>
      <c r="F666" s="2" t="s">
        <v>3762</v>
      </c>
      <c r="G666" s="2" t="s">
        <v>3763</v>
      </c>
      <c r="H666" s="2" t="s">
        <v>3764</v>
      </c>
      <c r="I666" s="2" t="s">
        <v>3765</v>
      </c>
      <c r="J666" s="2" t="s">
        <v>10336</v>
      </c>
      <c r="K666" s="2" t="s">
        <v>1588</v>
      </c>
      <c r="L666" s="2" t="n">
        <v>0</v>
      </c>
      <c r="M666" s="2" t="n">
        <v>0.89</v>
      </c>
    </row>
    <row r="667" customFormat="false" ht="15" hidden="false" customHeight="false" outlineLevel="0" collapsed="false">
      <c r="A667" s="2" t="n">
        <v>665</v>
      </c>
      <c r="B667" s="2" t="s">
        <v>3722</v>
      </c>
      <c r="C667" s="2" t="n">
        <v>1</v>
      </c>
      <c r="D667" s="2" t="n">
        <v>1</v>
      </c>
      <c r="E667" s="2" t="s">
        <v>3772</v>
      </c>
      <c r="F667" s="2" t="s">
        <v>3773</v>
      </c>
      <c r="G667" s="2" t="s">
        <v>3774</v>
      </c>
      <c r="H667" s="2" t="s">
        <v>1931</v>
      </c>
      <c r="I667" s="2" t="s">
        <v>2489</v>
      </c>
      <c r="J667" s="2" t="s">
        <v>10337</v>
      </c>
      <c r="K667" s="2" t="s">
        <v>1588</v>
      </c>
      <c r="L667" s="2" t="n">
        <v>0.15</v>
      </c>
      <c r="M667" s="2" t="n">
        <v>0.83</v>
      </c>
    </row>
    <row r="668" customFormat="false" ht="15" hidden="false" customHeight="false" outlineLevel="0" collapsed="false">
      <c r="A668" s="2" t="n">
        <v>666</v>
      </c>
      <c r="B668" s="2" t="s">
        <v>3722</v>
      </c>
      <c r="C668" s="2" t="n">
        <v>1</v>
      </c>
      <c r="D668" s="2" t="n">
        <v>1</v>
      </c>
      <c r="E668" s="2" t="s">
        <v>3780</v>
      </c>
      <c r="F668" s="2" t="s">
        <v>1168</v>
      </c>
      <c r="G668" s="2" t="s">
        <v>3781</v>
      </c>
      <c r="H668" s="2" t="s">
        <v>745</v>
      </c>
      <c r="I668" s="2" t="s">
        <v>246</v>
      </c>
      <c r="J668" s="2" t="s">
        <v>10338</v>
      </c>
      <c r="K668" s="2" t="s">
        <v>507</v>
      </c>
      <c r="L668" s="2" t="n">
        <v>0.11</v>
      </c>
      <c r="M668" s="2" t="n">
        <v>0.91</v>
      </c>
    </row>
    <row r="669" customFormat="false" ht="15" hidden="false" customHeight="false" outlineLevel="0" collapsed="false">
      <c r="A669" s="2" t="n">
        <v>667</v>
      </c>
      <c r="B669" s="2" t="s">
        <v>3722</v>
      </c>
      <c r="C669" s="2" t="n">
        <v>1</v>
      </c>
      <c r="D669" s="2" t="n">
        <v>1</v>
      </c>
      <c r="E669" s="2" t="s">
        <v>3785</v>
      </c>
      <c r="F669" s="2" t="s">
        <v>743</v>
      </c>
      <c r="G669" s="2" t="s">
        <v>3786</v>
      </c>
      <c r="H669" s="2" t="s">
        <v>745</v>
      </c>
      <c r="I669" s="2" t="s">
        <v>3787</v>
      </c>
      <c r="J669" s="2" t="s">
        <v>10339</v>
      </c>
      <c r="K669" s="2" t="s">
        <v>1588</v>
      </c>
      <c r="L669" s="2" t="n">
        <v>0</v>
      </c>
      <c r="M669" s="2" t="n">
        <v>0.7</v>
      </c>
    </row>
    <row r="670" customFormat="false" ht="15" hidden="false" customHeight="false" outlineLevel="0" collapsed="false">
      <c r="A670" s="2" t="n">
        <v>668</v>
      </c>
      <c r="B670" s="2" t="s">
        <v>3722</v>
      </c>
      <c r="C670" s="2" t="n">
        <v>1</v>
      </c>
      <c r="D670" s="2" t="n">
        <v>1</v>
      </c>
      <c r="E670" s="2" t="s">
        <v>3791</v>
      </c>
      <c r="F670" s="2" t="s">
        <v>743</v>
      </c>
      <c r="G670" s="2" t="s">
        <v>3792</v>
      </c>
      <c r="H670" s="2" t="s">
        <v>3793</v>
      </c>
      <c r="I670" s="2" t="s">
        <v>776</v>
      </c>
      <c r="J670" s="2" t="s">
        <v>10340</v>
      </c>
      <c r="K670" s="2" t="s">
        <v>1588</v>
      </c>
      <c r="L670" s="2" t="n">
        <v>0.14</v>
      </c>
      <c r="M670" s="2" t="n">
        <v>0.78</v>
      </c>
    </row>
    <row r="671" customFormat="false" ht="15" hidden="false" customHeight="false" outlineLevel="0" collapsed="false">
      <c r="A671" s="2" t="n">
        <v>669</v>
      </c>
      <c r="B671" s="2" t="s">
        <v>3722</v>
      </c>
      <c r="C671" s="2" t="n">
        <v>2</v>
      </c>
      <c r="D671" s="2" t="n">
        <v>0</v>
      </c>
      <c r="E671" s="2" t="s">
        <v>3798</v>
      </c>
      <c r="F671" s="2" t="s">
        <v>3799</v>
      </c>
      <c r="G671" s="2" t="s">
        <v>3800</v>
      </c>
      <c r="H671" s="2" t="s">
        <v>1170</v>
      </c>
      <c r="I671" s="2" t="s">
        <v>2168</v>
      </c>
      <c r="J671" s="2" t="s">
        <v>10341</v>
      </c>
      <c r="K671" s="2" t="s">
        <v>1588</v>
      </c>
      <c r="L671" s="2" t="n">
        <v>0.33</v>
      </c>
      <c r="M671" s="2" t="n">
        <v>1</v>
      </c>
    </row>
    <row r="672" customFormat="false" ht="15" hidden="false" customHeight="false" outlineLevel="0" collapsed="false">
      <c r="A672" s="2" t="n">
        <v>670</v>
      </c>
      <c r="B672" s="2" t="s">
        <v>3722</v>
      </c>
      <c r="C672" s="2" t="n">
        <v>1</v>
      </c>
      <c r="D672" s="2" t="n">
        <v>0</v>
      </c>
      <c r="E672" s="2" t="s">
        <v>3806</v>
      </c>
      <c r="F672" s="2" t="s">
        <v>1168</v>
      </c>
      <c r="G672" s="2" t="s">
        <v>3807</v>
      </c>
      <c r="H672" s="2" t="s">
        <v>1170</v>
      </c>
      <c r="I672" s="2" t="s">
        <v>2168</v>
      </c>
      <c r="J672" s="2" t="s">
        <v>10342</v>
      </c>
      <c r="K672" s="2" t="s">
        <v>1588</v>
      </c>
      <c r="L672" s="2" t="n">
        <v>0.38</v>
      </c>
      <c r="M672" s="2" t="n">
        <v>0.86</v>
      </c>
    </row>
    <row r="673" customFormat="false" ht="15" hidden="false" customHeight="false" outlineLevel="0" collapsed="false">
      <c r="A673" s="2" t="n">
        <v>671</v>
      </c>
      <c r="B673" s="2" t="s">
        <v>3722</v>
      </c>
      <c r="C673" s="2" t="n">
        <v>2</v>
      </c>
      <c r="D673" s="2" t="n">
        <v>0</v>
      </c>
      <c r="E673" s="2" t="s">
        <v>3812</v>
      </c>
      <c r="F673" s="2" t="s">
        <v>1168</v>
      </c>
      <c r="G673" s="2" t="s">
        <v>3813</v>
      </c>
      <c r="H673" s="2" t="s">
        <v>745</v>
      </c>
      <c r="I673" s="2" t="s">
        <v>647</v>
      </c>
      <c r="J673" s="2" t="s">
        <v>10343</v>
      </c>
      <c r="K673" s="2" t="s">
        <v>1588</v>
      </c>
      <c r="L673" s="2" t="n">
        <v>0.12</v>
      </c>
      <c r="M673" s="2" t="n">
        <v>0.89</v>
      </c>
    </row>
    <row r="674" customFormat="false" ht="15" hidden="false" customHeight="false" outlineLevel="0" collapsed="false">
      <c r="A674" s="2" t="n">
        <v>672</v>
      </c>
      <c r="B674" s="2" t="s">
        <v>3722</v>
      </c>
      <c r="C674" s="2" t="n">
        <v>1</v>
      </c>
      <c r="D674" s="2" t="n">
        <v>1</v>
      </c>
      <c r="E674" s="2" t="s">
        <v>3821</v>
      </c>
      <c r="F674" s="2" t="s">
        <v>743</v>
      </c>
      <c r="G674" s="2" t="s">
        <v>3822</v>
      </c>
      <c r="H674" s="2" t="s">
        <v>745</v>
      </c>
      <c r="I674" s="2" t="s">
        <v>3823</v>
      </c>
      <c r="J674" s="2" t="s">
        <v>10344</v>
      </c>
      <c r="K674" s="2" t="s">
        <v>1588</v>
      </c>
      <c r="L674" s="2" t="n">
        <v>0.17</v>
      </c>
      <c r="M674" s="2" t="n">
        <v>0.89</v>
      </c>
    </row>
    <row r="675" customFormat="false" ht="15" hidden="false" customHeight="false" outlineLevel="0" collapsed="false">
      <c r="A675" s="2" t="n">
        <v>673</v>
      </c>
      <c r="B675" s="2" t="s">
        <v>3722</v>
      </c>
      <c r="C675" s="2" t="n">
        <v>2</v>
      </c>
      <c r="D675" s="2" t="n">
        <v>1</v>
      </c>
      <c r="E675" s="2" t="s">
        <v>3827</v>
      </c>
      <c r="F675" s="2" t="s">
        <v>743</v>
      </c>
      <c r="G675" s="2" t="s">
        <v>3828</v>
      </c>
      <c r="H675" s="2" t="s">
        <v>3517</v>
      </c>
      <c r="I675" s="2" t="s">
        <v>1092</v>
      </c>
      <c r="J675" s="2" t="s">
        <v>10345</v>
      </c>
      <c r="K675" s="2" t="s">
        <v>1588</v>
      </c>
      <c r="L675" s="2" t="n">
        <v>0.1</v>
      </c>
      <c r="M675" s="2" t="n">
        <v>0.75</v>
      </c>
    </row>
    <row r="676" customFormat="false" ht="15" hidden="false" customHeight="false" outlineLevel="0" collapsed="false">
      <c r="A676" s="2" t="n">
        <v>674</v>
      </c>
      <c r="B676" s="2" t="s">
        <v>3722</v>
      </c>
      <c r="C676" s="2" t="n">
        <v>3</v>
      </c>
      <c r="D676" s="2" t="n">
        <v>0</v>
      </c>
      <c r="E676" s="2" t="s">
        <v>3837</v>
      </c>
      <c r="F676" s="2" t="s">
        <v>3524</v>
      </c>
      <c r="G676" s="2" t="s">
        <v>3838</v>
      </c>
      <c r="H676" s="2" t="s">
        <v>3839</v>
      </c>
      <c r="I676" s="2" t="s">
        <v>1365</v>
      </c>
      <c r="J676" s="2" t="s">
        <v>10346</v>
      </c>
      <c r="K676" s="2" t="s">
        <v>1588</v>
      </c>
      <c r="L676" s="2" t="n">
        <v>0.33</v>
      </c>
      <c r="M676" s="2" t="n">
        <v>1</v>
      </c>
    </row>
    <row r="677" customFormat="false" ht="15" hidden="false" customHeight="false" outlineLevel="0" collapsed="false">
      <c r="A677" s="2" t="n">
        <v>675</v>
      </c>
      <c r="B677" s="2" t="s">
        <v>3722</v>
      </c>
      <c r="C677" s="2" t="n">
        <v>3</v>
      </c>
      <c r="D677" s="2" t="n">
        <v>0</v>
      </c>
      <c r="E677" s="2" t="s">
        <v>3857</v>
      </c>
      <c r="F677" s="2" t="s">
        <v>3858</v>
      </c>
      <c r="G677" s="2" t="s">
        <v>3859</v>
      </c>
      <c r="H677" s="2" t="s">
        <v>3517</v>
      </c>
      <c r="I677" s="2" t="s">
        <v>1424</v>
      </c>
      <c r="J677" s="2" t="s">
        <v>10347</v>
      </c>
      <c r="K677" s="2" t="s">
        <v>1588</v>
      </c>
      <c r="L677" s="2" t="n">
        <v>0.33</v>
      </c>
      <c r="M677" s="2" t="n">
        <v>0.93</v>
      </c>
    </row>
    <row r="678" customFormat="false" ht="15" hidden="false" customHeight="false" outlineLevel="0" collapsed="false">
      <c r="A678" s="2" t="n">
        <v>676</v>
      </c>
      <c r="B678" s="2" t="s">
        <v>3722</v>
      </c>
      <c r="C678" s="2" t="n">
        <v>3</v>
      </c>
      <c r="D678" s="2" t="n">
        <v>0</v>
      </c>
      <c r="E678" s="2" t="s">
        <v>3872</v>
      </c>
      <c r="F678" s="2" t="s">
        <v>3524</v>
      </c>
      <c r="G678" s="2" t="s">
        <v>3873</v>
      </c>
      <c r="H678" s="2" t="s">
        <v>178</v>
      </c>
      <c r="I678" s="2" t="s">
        <v>530</v>
      </c>
      <c r="J678" s="2" t="s">
        <v>10348</v>
      </c>
      <c r="K678" s="2" t="s">
        <v>1588</v>
      </c>
      <c r="L678" s="2" t="n">
        <v>0.08</v>
      </c>
      <c r="M678" s="2" t="n">
        <v>0.75</v>
      </c>
    </row>
    <row r="679" customFormat="false" ht="15" hidden="false" customHeight="false" outlineLevel="0" collapsed="false">
      <c r="A679" s="2" t="n">
        <v>677</v>
      </c>
      <c r="B679" s="2" t="s">
        <v>3722</v>
      </c>
      <c r="C679" s="2" t="n">
        <v>2</v>
      </c>
      <c r="D679" s="2" t="n">
        <v>0</v>
      </c>
      <c r="E679" s="2" t="s">
        <v>3886</v>
      </c>
      <c r="F679" s="2" t="s">
        <v>176</v>
      </c>
      <c r="G679" s="2" t="s">
        <v>3887</v>
      </c>
      <c r="H679" s="2" t="s">
        <v>158</v>
      </c>
      <c r="I679" s="2" t="s">
        <v>3888</v>
      </c>
      <c r="J679" s="2" t="s">
        <v>10349</v>
      </c>
      <c r="K679" s="2" t="s">
        <v>68</v>
      </c>
      <c r="L679" s="2" t="n">
        <v>0.5</v>
      </c>
      <c r="M679" s="2" t="n">
        <v>0.64</v>
      </c>
    </row>
    <row r="680" customFormat="false" ht="15" hidden="false" customHeight="false" outlineLevel="0" collapsed="false">
      <c r="A680" s="2" t="n">
        <v>678</v>
      </c>
      <c r="B680" s="2" t="s">
        <v>3722</v>
      </c>
      <c r="C680" s="2" t="n">
        <v>2</v>
      </c>
      <c r="D680" s="2" t="n">
        <v>0</v>
      </c>
      <c r="E680" s="2" t="s">
        <v>3894</v>
      </c>
      <c r="F680" s="2" t="s">
        <v>156</v>
      </c>
      <c r="G680" s="2" t="s">
        <v>3895</v>
      </c>
      <c r="H680" s="2" t="s">
        <v>114</v>
      </c>
      <c r="I680" s="2" t="s">
        <v>1078</v>
      </c>
      <c r="J680" s="2" t="s">
        <v>10350</v>
      </c>
      <c r="K680" s="2" t="s">
        <v>1588</v>
      </c>
      <c r="L680" s="2" t="n">
        <v>0.2</v>
      </c>
      <c r="M680" s="2" t="n">
        <v>1</v>
      </c>
    </row>
    <row r="681" customFormat="false" ht="15" hidden="false" customHeight="false" outlineLevel="0" collapsed="false">
      <c r="A681" s="2" t="n">
        <v>679</v>
      </c>
      <c r="B681" s="2" t="s">
        <v>3722</v>
      </c>
      <c r="C681" s="2" t="n">
        <v>2</v>
      </c>
      <c r="D681" s="2" t="n">
        <v>0</v>
      </c>
      <c r="E681" s="2" t="s">
        <v>3908</v>
      </c>
      <c r="F681" s="2" t="s">
        <v>112</v>
      </c>
      <c r="G681" s="2" t="s">
        <v>3909</v>
      </c>
      <c r="H681" s="2" t="s">
        <v>3910</v>
      </c>
      <c r="I681" s="2" t="s">
        <v>2489</v>
      </c>
      <c r="J681" s="2" t="s">
        <v>10351</v>
      </c>
      <c r="K681" s="2" t="s">
        <v>160</v>
      </c>
      <c r="L681" s="2" t="n">
        <v>0.45</v>
      </c>
      <c r="M681" s="2" t="n">
        <v>1</v>
      </c>
    </row>
    <row r="682" customFormat="false" ht="15" hidden="false" customHeight="false" outlineLevel="0" collapsed="false">
      <c r="A682" s="2" t="n">
        <v>680</v>
      </c>
      <c r="B682" s="2" t="s">
        <v>3722</v>
      </c>
      <c r="C682" s="2" t="n">
        <v>2</v>
      </c>
      <c r="D682" s="2" t="n">
        <v>2</v>
      </c>
      <c r="E682" s="2" t="s">
        <v>3916</v>
      </c>
      <c r="F682" s="2" t="s">
        <v>3917</v>
      </c>
      <c r="G682" s="2" t="s">
        <v>3918</v>
      </c>
      <c r="H682" s="2" t="s">
        <v>3212</v>
      </c>
      <c r="I682" s="2" t="s">
        <v>3919</v>
      </c>
      <c r="J682" s="2" t="s">
        <v>10352</v>
      </c>
      <c r="K682" s="2" t="s">
        <v>1588</v>
      </c>
      <c r="L682" s="2" t="n">
        <v>0.33</v>
      </c>
      <c r="M682" s="2" t="n">
        <v>0.67</v>
      </c>
    </row>
    <row r="683" customFormat="false" ht="15" hidden="false" customHeight="false" outlineLevel="0" collapsed="false">
      <c r="A683" s="2" t="n">
        <v>681</v>
      </c>
      <c r="B683" s="2" t="s">
        <v>3722</v>
      </c>
      <c r="C683" s="2" t="n">
        <v>5</v>
      </c>
      <c r="D683" s="2" t="n">
        <v>0</v>
      </c>
      <c r="E683" s="2" t="s">
        <v>3928</v>
      </c>
      <c r="F683" s="2" t="s">
        <v>2212</v>
      </c>
      <c r="G683" s="2" t="s">
        <v>3929</v>
      </c>
      <c r="H683" s="2" t="s">
        <v>178</v>
      </c>
      <c r="I683" s="2" t="s">
        <v>476</v>
      </c>
      <c r="J683" s="2" t="s">
        <v>10353</v>
      </c>
      <c r="K683" s="2" t="s">
        <v>68</v>
      </c>
      <c r="L683" s="2" t="n">
        <v>0.5</v>
      </c>
      <c r="M683" s="2" t="n">
        <v>1</v>
      </c>
    </row>
    <row r="684" customFormat="false" ht="15" hidden="false" customHeight="false" outlineLevel="0" collapsed="false">
      <c r="A684" s="2" t="n">
        <v>682</v>
      </c>
      <c r="B684" s="2" t="s">
        <v>3722</v>
      </c>
      <c r="C684" s="2" t="n">
        <v>1</v>
      </c>
      <c r="D684" s="2" t="n">
        <v>0</v>
      </c>
      <c r="E684" s="2" t="s">
        <v>3944</v>
      </c>
      <c r="F684" s="2" t="s">
        <v>176</v>
      </c>
      <c r="G684" s="2" t="s">
        <v>3945</v>
      </c>
      <c r="H684" s="2" t="s">
        <v>97</v>
      </c>
      <c r="I684" s="2" t="s">
        <v>430</v>
      </c>
      <c r="J684" s="2" t="s">
        <v>10354</v>
      </c>
      <c r="K684" s="2" t="s">
        <v>1588</v>
      </c>
      <c r="L684" s="2" t="n">
        <v>0.33</v>
      </c>
      <c r="M684" s="2" t="n">
        <v>0.58</v>
      </c>
    </row>
    <row r="685" customFormat="false" ht="15" hidden="false" customHeight="false" outlineLevel="0" collapsed="false">
      <c r="A685" s="2" t="n">
        <v>683</v>
      </c>
      <c r="B685" s="2" t="s">
        <v>3722</v>
      </c>
      <c r="C685" s="2" t="n">
        <v>1</v>
      </c>
      <c r="D685" s="2" t="n">
        <v>0</v>
      </c>
      <c r="E685" s="2" t="s">
        <v>3950</v>
      </c>
      <c r="F685" s="2" t="s">
        <v>95</v>
      </c>
      <c r="G685" s="2" t="s">
        <v>3951</v>
      </c>
      <c r="H685" s="2" t="s">
        <v>114</v>
      </c>
      <c r="I685" s="2" t="s">
        <v>3765</v>
      </c>
      <c r="J685" s="2" t="s">
        <v>10355</v>
      </c>
      <c r="K685" s="2" t="s">
        <v>1588</v>
      </c>
      <c r="L685" s="2" t="n">
        <v>0</v>
      </c>
      <c r="M685" s="2" t="n">
        <v>0.67</v>
      </c>
    </row>
    <row r="686" customFormat="false" ht="15" hidden="false" customHeight="false" outlineLevel="0" collapsed="false">
      <c r="A686" s="2" t="n">
        <v>684</v>
      </c>
      <c r="B686" s="2" t="s">
        <v>3722</v>
      </c>
      <c r="C686" s="2" t="n">
        <v>2</v>
      </c>
      <c r="D686" s="2" t="n">
        <v>0</v>
      </c>
      <c r="E686" s="2" t="s">
        <v>3956</v>
      </c>
      <c r="F686" s="2" t="s">
        <v>112</v>
      </c>
      <c r="G686" s="2" t="s">
        <v>3957</v>
      </c>
      <c r="H686" s="2" t="s">
        <v>158</v>
      </c>
      <c r="I686" s="2" t="s">
        <v>3194</v>
      </c>
      <c r="J686" s="2" t="s">
        <v>10356</v>
      </c>
      <c r="K686" s="2" t="s">
        <v>68</v>
      </c>
      <c r="L686" s="2" t="n">
        <v>0.83</v>
      </c>
      <c r="M686" s="2" t="n">
        <v>1</v>
      </c>
    </row>
    <row r="687" customFormat="false" ht="15" hidden="false" customHeight="false" outlineLevel="0" collapsed="false">
      <c r="A687" s="2" t="n">
        <v>685</v>
      </c>
      <c r="B687" s="2" t="s">
        <v>3722</v>
      </c>
      <c r="C687" s="2" t="n">
        <v>2</v>
      </c>
      <c r="D687" s="2" t="n">
        <v>0</v>
      </c>
      <c r="E687" s="2" t="s">
        <v>3965</v>
      </c>
      <c r="F687" s="2" t="s">
        <v>156</v>
      </c>
      <c r="G687" s="2" t="s">
        <v>3966</v>
      </c>
      <c r="H687" s="2" t="s">
        <v>3910</v>
      </c>
      <c r="I687" s="2" t="s">
        <v>3646</v>
      </c>
      <c r="J687" s="2" t="s">
        <v>10357</v>
      </c>
      <c r="K687" s="2" t="s">
        <v>68</v>
      </c>
      <c r="L687" s="2" t="n">
        <v>0.53</v>
      </c>
      <c r="M687" s="2" t="n">
        <v>1</v>
      </c>
    </row>
    <row r="688" customFormat="false" ht="15" hidden="false" customHeight="false" outlineLevel="0" collapsed="false">
      <c r="A688" s="2" t="n">
        <v>686</v>
      </c>
      <c r="B688" s="2" t="s">
        <v>3722</v>
      </c>
      <c r="C688" s="2" t="n">
        <v>1</v>
      </c>
      <c r="D688" s="2" t="n">
        <v>1</v>
      </c>
      <c r="E688" s="2" t="s">
        <v>3973</v>
      </c>
      <c r="F688" s="2" t="s">
        <v>3917</v>
      </c>
      <c r="G688" s="2" t="s">
        <v>3974</v>
      </c>
      <c r="H688" s="2" t="s">
        <v>178</v>
      </c>
      <c r="I688" s="2" t="s">
        <v>190</v>
      </c>
      <c r="J688" s="2" t="s">
        <v>10358</v>
      </c>
      <c r="K688" s="2" t="s">
        <v>1588</v>
      </c>
      <c r="L688" s="2" t="n">
        <v>0.27</v>
      </c>
      <c r="M688" s="2" t="n">
        <v>0.5</v>
      </c>
    </row>
    <row r="689" customFormat="false" ht="15" hidden="false" customHeight="false" outlineLevel="0" collapsed="false">
      <c r="A689" s="2" t="n">
        <v>687</v>
      </c>
      <c r="B689" s="2" t="s">
        <v>3722</v>
      </c>
      <c r="C689" s="2" t="n">
        <v>2</v>
      </c>
      <c r="D689" s="2" t="n">
        <v>0</v>
      </c>
      <c r="E689" s="2" t="s">
        <v>3978</v>
      </c>
      <c r="F689" s="2" t="s">
        <v>176</v>
      </c>
      <c r="G689" s="2" t="s">
        <v>3979</v>
      </c>
      <c r="H689" s="2" t="s">
        <v>158</v>
      </c>
      <c r="I689" s="2" t="s">
        <v>2037</v>
      </c>
      <c r="J689" s="2" t="s">
        <v>10359</v>
      </c>
      <c r="K689" s="2" t="s">
        <v>507</v>
      </c>
      <c r="L689" s="2" t="n">
        <v>0.22</v>
      </c>
      <c r="M689" s="2" t="n">
        <v>0.33</v>
      </c>
    </row>
    <row r="690" customFormat="false" ht="15" hidden="false" customHeight="false" outlineLevel="0" collapsed="false">
      <c r="A690" s="2" t="n">
        <v>688</v>
      </c>
      <c r="B690" s="2" t="s">
        <v>3722</v>
      </c>
      <c r="C690" s="2" t="n">
        <v>2</v>
      </c>
      <c r="D690" s="2" t="n">
        <v>0</v>
      </c>
      <c r="E690" s="2" t="s">
        <v>3987</v>
      </c>
      <c r="F690" s="2" t="s">
        <v>156</v>
      </c>
      <c r="G690" s="2" t="s">
        <v>3988</v>
      </c>
      <c r="H690" s="2" t="s">
        <v>178</v>
      </c>
      <c r="I690" s="2" t="s">
        <v>512</v>
      </c>
      <c r="J690" s="2" t="s">
        <v>10360</v>
      </c>
      <c r="K690" s="2" t="s">
        <v>68</v>
      </c>
      <c r="L690" s="2" t="n">
        <v>0.5</v>
      </c>
      <c r="M690" s="2" t="n">
        <v>1</v>
      </c>
    </row>
    <row r="691" customFormat="false" ht="15" hidden="false" customHeight="false" outlineLevel="0" collapsed="false">
      <c r="A691" s="2" t="n">
        <v>689</v>
      </c>
      <c r="B691" s="2" t="s">
        <v>3722</v>
      </c>
      <c r="C691" s="2" t="n">
        <v>3</v>
      </c>
      <c r="D691" s="2" t="n">
        <v>0</v>
      </c>
      <c r="E691" s="2" t="s">
        <v>3996</v>
      </c>
      <c r="F691" s="2" t="s">
        <v>176</v>
      </c>
      <c r="G691" s="2" t="s">
        <v>3997</v>
      </c>
      <c r="H691" s="2" t="s">
        <v>1137</v>
      </c>
      <c r="I691" s="2" t="s">
        <v>3469</v>
      </c>
      <c r="J691" s="2" t="s">
        <v>10361</v>
      </c>
      <c r="K691" s="2" t="s">
        <v>1588</v>
      </c>
      <c r="L691" s="2" t="n">
        <v>0.38</v>
      </c>
      <c r="M691" s="2" t="n">
        <v>0.6</v>
      </c>
    </row>
    <row r="692" customFormat="false" ht="15" hidden="false" customHeight="false" outlineLevel="0" collapsed="false">
      <c r="A692" s="2" t="n">
        <v>690</v>
      </c>
      <c r="B692" s="2" t="s">
        <v>4005</v>
      </c>
      <c r="C692" s="2" t="n">
        <v>1</v>
      </c>
      <c r="D692" s="2" t="n">
        <v>0</v>
      </c>
      <c r="E692" s="2" t="s">
        <v>4008</v>
      </c>
      <c r="F692" s="2" t="s">
        <v>1135</v>
      </c>
      <c r="G692" s="2" t="s">
        <v>4009</v>
      </c>
      <c r="H692" s="2" t="s">
        <v>812</v>
      </c>
      <c r="I692" s="2" t="s">
        <v>1324</v>
      </c>
      <c r="J692" s="2" t="s">
        <v>10362</v>
      </c>
      <c r="K692" s="2" t="s">
        <v>1588</v>
      </c>
      <c r="L692" s="2" t="n">
        <v>0.2</v>
      </c>
      <c r="M692" s="2" t="n">
        <v>0.7</v>
      </c>
    </row>
    <row r="693" customFormat="false" ht="15" hidden="false" customHeight="false" outlineLevel="0" collapsed="false">
      <c r="A693" s="2" t="n">
        <v>691</v>
      </c>
      <c r="B693" s="2" t="s">
        <v>4005</v>
      </c>
      <c r="C693" s="2" t="n">
        <v>1</v>
      </c>
      <c r="D693" s="2" t="n">
        <v>1</v>
      </c>
      <c r="E693" s="2" t="s">
        <v>4012</v>
      </c>
      <c r="F693" s="2" t="s">
        <v>810</v>
      </c>
      <c r="G693" s="2" t="s">
        <v>4013</v>
      </c>
      <c r="H693" s="2" t="s">
        <v>4014</v>
      </c>
      <c r="I693" s="2" t="s">
        <v>331</v>
      </c>
      <c r="J693" s="2" t="s">
        <v>10363</v>
      </c>
      <c r="K693" s="2" t="s">
        <v>1588</v>
      </c>
      <c r="L693" s="2" t="n">
        <v>0.14</v>
      </c>
      <c r="M693" s="2" t="n">
        <v>1</v>
      </c>
    </row>
    <row r="694" customFormat="false" ht="15" hidden="false" customHeight="false" outlineLevel="0" collapsed="false">
      <c r="A694" s="2" t="n">
        <v>692</v>
      </c>
      <c r="B694" s="2" t="s">
        <v>4005</v>
      </c>
      <c r="C694" s="2" t="n">
        <v>4</v>
      </c>
      <c r="D694" s="2" t="n">
        <v>3</v>
      </c>
      <c r="E694" s="2" t="s">
        <v>4019</v>
      </c>
      <c r="F694" s="2" t="s">
        <v>4020</v>
      </c>
      <c r="G694" s="2" t="s">
        <v>4021</v>
      </c>
      <c r="H694" s="2" t="s">
        <v>4022</v>
      </c>
      <c r="I694" s="2" t="s">
        <v>2939</v>
      </c>
      <c r="J694" s="2" t="s">
        <v>10364</v>
      </c>
      <c r="K694" s="2" t="s">
        <v>68</v>
      </c>
      <c r="L694" s="2" t="n">
        <v>0.57</v>
      </c>
      <c r="M694" s="2" t="n">
        <v>0.71</v>
      </c>
    </row>
    <row r="695" customFormat="false" ht="15" hidden="false" customHeight="false" outlineLevel="0" collapsed="false">
      <c r="A695" s="2" t="n">
        <v>693</v>
      </c>
      <c r="B695" s="2" t="s">
        <v>4005</v>
      </c>
      <c r="C695" s="2" t="n">
        <v>3</v>
      </c>
      <c r="D695" s="2" t="n">
        <v>0</v>
      </c>
      <c r="E695" s="2" t="s">
        <v>4035</v>
      </c>
      <c r="F695" s="2" t="s">
        <v>4036</v>
      </c>
      <c r="G695" s="2" t="s">
        <v>4037</v>
      </c>
      <c r="H695" s="2" t="s">
        <v>178</v>
      </c>
      <c r="I695" s="2" t="s">
        <v>1774</v>
      </c>
      <c r="J695" s="2" t="s">
        <v>10365</v>
      </c>
      <c r="K695" s="2" t="s">
        <v>1588</v>
      </c>
      <c r="L695" s="2" t="n">
        <v>0.22</v>
      </c>
      <c r="M695" s="2" t="n">
        <v>0.62</v>
      </c>
    </row>
    <row r="696" customFormat="false" ht="15" hidden="false" customHeight="false" outlineLevel="0" collapsed="false">
      <c r="A696" s="2" t="n">
        <v>694</v>
      </c>
      <c r="B696" s="2" t="s">
        <v>4005</v>
      </c>
      <c r="C696" s="2" t="n">
        <v>1</v>
      </c>
      <c r="D696" s="2" t="n">
        <v>1</v>
      </c>
      <c r="E696" s="2" t="s">
        <v>4046</v>
      </c>
      <c r="F696" s="2" t="s">
        <v>176</v>
      </c>
      <c r="G696" s="2" t="s">
        <v>4047</v>
      </c>
      <c r="H696" s="2" t="s">
        <v>4048</v>
      </c>
      <c r="I696" s="2" t="s">
        <v>604</v>
      </c>
      <c r="J696" s="2" t="s">
        <v>10366</v>
      </c>
      <c r="K696" s="2" t="s">
        <v>1588</v>
      </c>
      <c r="L696" s="2" t="n">
        <v>0.29</v>
      </c>
      <c r="M696" s="2" t="n">
        <v>0.56</v>
      </c>
    </row>
    <row r="697" customFormat="false" ht="15" hidden="false" customHeight="false" outlineLevel="0" collapsed="false">
      <c r="A697" s="2" t="n">
        <v>695</v>
      </c>
      <c r="B697" s="2" t="s">
        <v>4005</v>
      </c>
      <c r="C697" s="2" t="n">
        <v>1</v>
      </c>
      <c r="D697" s="2" t="n">
        <v>0</v>
      </c>
      <c r="E697" s="2" t="s">
        <v>4050</v>
      </c>
      <c r="F697" s="2" t="s">
        <v>4051</v>
      </c>
      <c r="G697" s="2" t="s">
        <v>4052</v>
      </c>
      <c r="H697" s="2" t="s">
        <v>582</v>
      </c>
      <c r="I697" s="2" t="s">
        <v>2158</v>
      </c>
      <c r="J697" s="2" t="s">
        <v>10367</v>
      </c>
      <c r="K697" s="2" t="s">
        <v>1588</v>
      </c>
      <c r="L697" s="2" t="n">
        <v>0</v>
      </c>
      <c r="M697" s="2" t="n">
        <v>0.86</v>
      </c>
    </row>
    <row r="698" customFormat="false" ht="15" hidden="false" customHeight="false" outlineLevel="0" collapsed="false">
      <c r="A698" s="2" t="n">
        <v>696</v>
      </c>
      <c r="B698" s="2" t="s">
        <v>4005</v>
      </c>
      <c r="C698" s="2" t="n">
        <v>0</v>
      </c>
      <c r="D698" s="2" t="n">
        <v>0</v>
      </c>
      <c r="E698" s="2" t="s">
        <v>10368</v>
      </c>
      <c r="F698" s="2" t="s">
        <v>580</v>
      </c>
      <c r="G698" s="2" t="s">
        <v>6003</v>
      </c>
      <c r="H698" s="2" t="s">
        <v>812</v>
      </c>
      <c r="I698" s="2" t="s">
        <v>2037</v>
      </c>
      <c r="J698" s="2" t="s">
        <v>10369</v>
      </c>
      <c r="K698" s="2" t="s">
        <v>1588</v>
      </c>
      <c r="L698" s="2" t="n">
        <v>0.1</v>
      </c>
      <c r="M698" s="2" t="n">
        <v>0.43</v>
      </c>
    </row>
    <row r="699" customFormat="false" ht="15" hidden="false" customHeight="false" outlineLevel="0" collapsed="false">
      <c r="A699" s="2" t="n">
        <v>697</v>
      </c>
      <c r="B699" s="2" t="s">
        <v>4005</v>
      </c>
      <c r="C699" s="2" t="n">
        <v>1</v>
      </c>
      <c r="D699" s="2" t="n">
        <v>1</v>
      </c>
      <c r="E699" s="2" t="s">
        <v>4058</v>
      </c>
      <c r="F699" s="2" t="s">
        <v>810</v>
      </c>
      <c r="G699" s="2" t="s">
        <v>4059</v>
      </c>
      <c r="H699" s="2" t="s">
        <v>965</v>
      </c>
      <c r="I699" s="2" t="s">
        <v>2013</v>
      </c>
      <c r="J699" s="2" t="s">
        <v>10370</v>
      </c>
      <c r="K699" s="2" t="s">
        <v>1588</v>
      </c>
      <c r="L699" s="2" t="n">
        <v>0.2</v>
      </c>
      <c r="M699" s="2" t="n">
        <v>0.8</v>
      </c>
    </row>
    <row r="700" customFormat="false" ht="15" hidden="false" customHeight="false" outlineLevel="0" collapsed="false">
      <c r="A700" s="2" t="n">
        <v>698</v>
      </c>
      <c r="B700" s="2" t="s">
        <v>4005</v>
      </c>
      <c r="C700" s="2" t="n">
        <v>0</v>
      </c>
      <c r="D700" s="2" t="n">
        <v>0</v>
      </c>
      <c r="E700" s="2" t="s">
        <v>10371</v>
      </c>
      <c r="F700" s="2" t="s">
        <v>963</v>
      </c>
      <c r="G700" s="2" t="s">
        <v>10372</v>
      </c>
      <c r="H700" s="2" t="s">
        <v>10373</v>
      </c>
      <c r="I700" s="2" t="s">
        <v>1574</v>
      </c>
      <c r="J700" s="2" t="s">
        <v>10374</v>
      </c>
      <c r="K700" s="2" t="s">
        <v>1588</v>
      </c>
      <c r="L700" s="2" t="n">
        <v>0.33</v>
      </c>
      <c r="M700" s="2" t="n">
        <v>0.67</v>
      </c>
    </row>
    <row r="701" customFormat="false" ht="15" hidden="false" customHeight="false" outlineLevel="0" collapsed="false">
      <c r="A701" s="2" t="n">
        <v>699</v>
      </c>
      <c r="B701" s="2" t="s">
        <v>4005</v>
      </c>
      <c r="C701" s="2" t="n">
        <v>1</v>
      </c>
      <c r="D701" s="2" t="n">
        <v>0</v>
      </c>
      <c r="E701" s="2" t="s">
        <v>4063</v>
      </c>
      <c r="F701" s="2" t="s">
        <v>4064</v>
      </c>
      <c r="G701" s="2" t="s">
        <v>4065</v>
      </c>
      <c r="H701" s="2" t="s">
        <v>4066</v>
      </c>
      <c r="I701" s="2" t="s">
        <v>1365</v>
      </c>
      <c r="J701" s="2" t="s">
        <v>10375</v>
      </c>
      <c r="K701" s="2" t="s">
        <v>507</v>
      </c>
      <c r="L701" s="2" t="n">
        <v>0</v>
      </c>
      <c r="M701" s="2" t="n">
        <v>0.17</v>
      </c>
    </row>
    <row r="702" customFormat="false" ht="15" hidden="false" customHeight="false" outlineLevel="0" collapsed="false">
      <c r="A702" s="2" t="n">
        <v>700</v>
      </c>
      <c r="B702" s="2" t="s">
        <v>4005</v>
      </c>
      <c r="C702" s="2" t="n">
        <v>0</v>
      </c>
      <c r="D702" s="2" t="n">
        <v>0</v>
      </c>
      <c r="E702" s="2" t="s">
        <v>10376</v>
      </c>
      <c r="F702" s="2" t="s">
        <v>4133</v>
      </c>
      <c r="G702" s="2" t="s">
        <v>10377</v>
      </c>
      <c r="H702" s="2" t="s">
        <v>1323</v>
      </c>
      <c r="I702" s="2" t="s">
        <v>3823</v>
      </c>
      <c r="J702" s="2" t="s">
        <v>10378</v>
      </c>
      <c r="K702" s="2" t="s">
        <v>1588</v>
      </c>
      <c r="L702" s="2" t="n">
        <v>0.25</v>
      </c>
      <c r="M702" s="2" t="n">
        <v>0.45</v>
      </c>
    </row>
    <row r="703" customFormat="false" ht="15" hidden="false" customHeight="false" outlineLevel="0" collapsed="false">
      <c r="A703" s="2" t="n">
        <v>701</v>
      </c>
      <c r="B703" s="2" t="s">
        <v>4005</v>
      </c>
      <c r="C703" s="2" t="n">
        <v>1</v>
      </c>
      <c r="D703" s="2" t="n">
        <v>0</v>
      </c>
      <c r="E703" s="2" t="s">
        <v>4070</v>
      </c>
      <c r="F703" s="2" t="s">
        <v>1321</v>
      </c>
      <c r="G703" s="2" t="s">
        <v>4071</v>
      </c>
      <c r="H703" s="2" t="s">
        <v>4072</v>
      </c>
      <c r="I703" s="2" t="s">
        <v>966</v>
      </c>
      <c r="J703" s="2" t="s">
        <v>10379</v>
      </c>
      <c r="K703" s="2" t="s">
        <v>1588</v>
      </c>
      <c r="L703" s="2" t="n">
        <v>0</v>
      </c>
      <c r="M703" s="2" t="n">
        <v>0.6</v>
      </c>
    </row>
    <row r="704" customFormat="false" ht="15" hidden="false" customHeight="false" outlineLevel="0" collapsed="false">
      <c r="A704" s="2" t="n">
        <v>702</v>
      </c>
      <c r="B704" s="2" t="s">
        <v>4005</v>
      </c>
      <c r="C704" s="2" t="n">
        <v>1</v>
      </c>
      <c r="D704" s="2" t="n">
        <v>1</v>
      </c>
      <c r="E704" s="2" t="s">
        <v>4077</v>
      </c>
      <c r="F704" s="2" t="s">
        <v>4078</v>
      </c>
      <c r="G704" s="2" t="s">
        <v>4079</v>
      </c>
      <c r="H704" s="2" t="s">
        <v>178</v>
      </c>
      <c r="I704" s="2" t="s">
        <v>2379</v>
      </c>
      <c r="J704" s="2" t="s">
        <v>10380</v>
      </c>
      <c r="K704" s="2" t="s">
        <v>1588</v>
      </c>
      <c r="L704" s="2" t="n">
        <v>0.25</v>
      </c>
      <c r="M704" s="2" t="n">
        <v>0.9</v>
      </c>
    </row>
    <row r="705" customFormat="false" ht="15" hidden="false" customHeight="false" outlineLevel="0" collapsed="false">
      <c r="A705" s="2" t="n">
        <v>703</v>
      </c>
      <c r="B705" s="2" t="s">
        <v>4005</v>
      </c>
      <c r="C705" s="2" t="n">
        <v>0</v>
      </c>
      <c r="D705" s="2" t="n">
        <v>0</v>
      </c>
      <c r="E705" s="2" t="s">
        <v>10381</v>
      </c>
      <c r="F705" s="2" t="s">
        <v>176</v>
      </c>
      <c r="G705" s="2" t="s">
        <v>10382</v>
      </c>
      <c r="H705" s="2" t="s">
        <v>114</v>
      </c>
      <c r="I705" s="2" t="s">
        <v>1509</v>
      </c>
      <c r="J705" s="2" t="s">
        <v>10383</v>
      </c>
      <c r="K705" s="2" t="s">
        <v>160</v>
      </c>
      <c r="L705" s="2" t="n">
        <v>0.33</v>
      </c>
      <c r="M705" s="2" t="n">
        <v>0.42</v>
      </c>
    </row>
    <row r="706" customFormat="false" ht="15" hidden="false" customHeight="false" outlineLevel="0" collapsed="false">
      <c r="A706" s="2" t="n">
        <v>704</v>
      </c>
      <c r="B706" s="2" t="s">
        <v>4005</v>
      </c>
      <c r="C706" s="2" t="n">
        <v>3</v>
      </c>
      <c r="D706" s="2" t="n">
        <v>1</v>
      </c>
      <c r="E706" s="2" t="s">
        <v>4086</v>
      </c>
      <c r="F706" s="2" t="s">
        <v>112</v>
      </c>
      <c r="G706" s="2" t="s">
        <v>4087</v>
      </c>
      <c r="H706" s="2" t="s">
        <v>745</v>
      </c>
      <c r="I706" s="2" t="s">
        <v>3435</v>
      </c>
      <c r="J706" s="2" t="s">
        <v>10384</v>
      </c>
      <c r="K706" s="2" t="s">
        <v>1588</v>
      </c>
      <c r="L706" s="2" t="n">
        <v>0.14</v>
      </c>
      <c r="M706" s="2" t="n">
        <v>1</v>
      </c>
    </row>
    <row r="707" customFormat="false" ht="15" hidden="false" customHeight="false" outlineLevel="0" collapsed="false">
      <c r="A707" s="2" t="n">
        <v>705</v>
      </c>
      <c r="B707" s="2" t="s">
        <v>4005</v>
      </c>
      <c r="C707" s="2" t="n">
        <v>1</v>
      </c>
      <c r="D707" s="2" t="n">
        <v>0</v>
      </c>
      <c r="E707" s="2" t="s">
        <v>4094</v>
      </c>
      <c r="F707" s="2" t="s">
        <v>743</v>
      </c>
      <c r="G707" s="2" t="s">
        <v>4095</v>
      </c>
      <c r="H707" s="2" t="s">
        <v>158</v>
      </c>
      <c r="I707" s="2" t="s">
        <v>4096</v>
      </c>
      <c r="J707" s="2" t="s">
        <v>10385</v>
      </c>
      <c r="K707" s="2" t="s">
        <v>1588</v>
      </c>
      <c r="L707" s="2" t="n">
        <v>0.25</v>
      </c>
      <c r="M707" s="2" t="n">
        <v>0.88</v>
      </c>
    </row>
    <row r="708" customFormat="false" ht="15" hidden="false" customHeight="false" outlineLevel="0" collapsed="false">
      <c r="A708" s="2" t="n">
        <v>706</v>
      </c>
      <c r="B708" s="2" t="s">
        <v>4005</v>
      </c>
      <c r="C708" s="2" t="n">
        <v>3</v>
      </c>
      <c r="D708" s="2" t="n">
        <v>2</v>
      </c>
      <c r="E708" s="2" t="s">
        <v>4101</v>
      </c>
      <c r="F708" s="2" t="s">
        <v>156</v>
      </c>
      <c r="G708" s="2" t="s">
        <v>4102</v>
      </c>
      <c r="H708" s="2" t="s">
        <v>917</v>
      </c>
      <c r="I708" s="2" t="s">
        <v>2005</v>
      </c>
      <c r="J708" s="2" t="s">
        <v>10386</v>
      </c>
      <c r="K708" s="2" t="s">
        <v>1588</v>
      </c>
      <c r="L708" s="2" t="n">
        <v>0.43</v>
      </c>
      <c r="M708" s="2" t="n">
        <v>1</v>
      </c>
    </row>
    <row r="709" customFormat="false" ht="15" hidden="false" customHeight="false" outlineLevel="0" collapsed="false">
      <c r="A709" s="2" t="n">
        <v>707</v>
      </c>
      <c r="B709" s="2" t="s">
        <v>4005</v>
      </c>
      <c r="C709" s="2" t="n">
        <v>3</v>
      </c>
      <c r="D709" s="2" t="n">
        <v>0</v>
      </c>
      <c r="E709" s="2" t="s">
        <v>4114</v>
      </c>
      <c r="F709" s="2" t="s">
        <v>915</v>
      </c>
      <c r="G709" s="2" t="s">
        <v>4115</v>
      </c>
      <c r="H709" s="2" t="s">
        <v>97</v>
      </c>
      <c r="I709" s="2" t="s">
        <v>2489</v>
      </c>
      <c r="J709" s="2" t="s">
        <v>10387</v>
      </c>
      <c r="K709" s="2" t="s">
        <v>68</v>
      </c>
      <c r="L709" s="2" t="n">
        <v>0.56</v>
      </c>
      <c r="M709" s="2" t="n">
        <v>0.57</v>
      </c>
    </row>
    <row r="710" customFormat="false" ht="15" hidden="false" customHeight="false" outlineLevel="0" collapsed="false">
      <c r="A710" s="2" t="n">
        <v>708</v>
      </c>
      <c r="B710" s="2" t="s">
        <v>4005</v>
      </c>
      <c r="C710" s="2" t="n">
        <v>1</v>
      </c>
      <c r="D710" s="2" t="n">
        <v>1</v>
      </c>
      <c r="E710" s="2" t="s">
        <v>4127</v>
      </c>
      <c r="F710" s="2" t="s">
        <v>95</v>
      </c>
      <c r="G710" s="2" t="s">
        <v>4128</v>
      </c>
      <c r="H710" s="2" t="s">
        <v>4066</v>
      </c>
      <c r="I710" s="2" t="s">
        <v>495</v>
      </c>
      <c r="J710" s="2" t="s">
        <v>10388</v>
      </c>
      <c r="K710" s="2" t="s">
        <v>1588</v>
      </c>
      <c r="L710" s="2" t="n">
        <v>0.2</v>
      </c>
      <c r="M710" s="2" t="n">
        <v>0.89</v>
      </c>
    </row>
    <row r="711" customFormat="false" ht="15" hidden="false" customHeight="false" outlineLevel="0" collapsed="false">
      <c r="A711" s="2" t="n">
        <v>709</v>
      </c>
      <c r="B711" s="2" t="s">
        <v>4005</v>
      </c>
      <c r="C711" s="2" t="n">
        <v>1</v>
      </c>
      <c r="D711" s="2" t="n">
        <v>1</v>
      </c>
      <c r="E711" s="2" t="s">
        <v>4132</v>
      </c>
      <c r="F711" s="2" t="s">
        <v>4133</v>
      </c>
      <c r="G711" s="2" t="s">
        <v>4134</v>
      </c>
      <c r="H711" s="2" t="s">
        <v>745</v>
      </c>
      <c r="I711" s="2" t="s">
        <v>1875</v>
      </c>
      <c r="J711" s="2" t="s">
        <v>10389</v>
      </c>
      <c r="K711" s="2" t="s">
        <v>1588</v>
      </c>
      <c r="L711" s="2" t="n">
        <v>0.38</v>
      </c>
      <c r="M711" s="2" t="n">
        <v>0.56</v>
      </c>
    </row>
    <row r="712" customFormat="false" ht="15" hidden="false" customHeight="false" outlineLevel="0" collapsed="false">
      <c r="A712" s="2" t="n">
        <v>710</v>
      </c>
      <c r="B712" s="2" t="s">
        <v>4005</v>
      </c>
      <c r="C712" s="2" t="n">
        <v>1</v>
      </c>
      <c r="D712" s="2" t="n">
        <v>1</v>
      </c>
      <c r="E712" s="2" t="s">
        <v>4137</v>
      </c>
      <c r="F712" s="2" t="s">
        <v>743</v>
      </c>
      <c r="G712" s="2" t="s">
        <v>4138</v>
      </c>
      <c r="H712" s="2" t="s">
        <v>4139</v>
      </c>
      <c r="I712" s="2" t="s">
        <v>1365</v>
      </c>
      <c r="J712" s="2" t="s">
        <v>10390</v>
      </c>
      <c r="K712" s="2" t="s">
        <v>1588</v>
      </c>
      <c r="L712" s="2" t="n">
        <v>0.21</v>
      </c>
      <c r="M712" s="2" t="n">
        <v>1</v>
      </c>
    </row>
    <row r="713" customFormat="false" ht="15" hidden="false" customHeight="false" outlineLevel="0" collapsed="false">
      <c r="A713" s="2" t="n">
        <v>711</v>
      </c>
      <c r="B713" s="2" t="s">
        <v>4005</v>
      </c>
      <c r="C713" s="2" t="n">
        <v>0</v>
      </c>
      <c r="D713" s="2" t="n">
        <v>0</v>
      </c>
      <c r="E713" s="2" t="s">
        <v>10391</v>
      </c>
      <c r="F713" s="2" t="s">
        <v>4152</v>
      </c>
      <c r="G713" s="2" t="s">
        <v>6051</v>
      </c>
      <c r="H713" s="2" t="s">
        <v>158</v>
      </c>
      <c r="I713" s="2" t="s">
        <v>1482</v>
      </c>
      <c r="J713" s="2" t="s">
        <v>10392</v>
      </c>
      <c r="K713" s="2" t="s">
        <v>1588</v>
      </c>
      <c r="L713" s="2" t="n">
        <v>0.38</v>
      </c>
      <c r="M713" s="2" t="n">
        <v>0.71</v>
      </c>
    </row>
    <row r="714" customFormat="false" ht="15" hidden="false" customHeight="false" outlineLevel="0" collapsed="false">
      <c r="A714" s="2" t="n">
        <v>712</v>
      </c>
      <c r="B714" s="2" t="s">
        <v>4005</v>
      </c>
      <c r="C714" s="2" t="n">
        <v>4</v>
      </c>
      <c r="D714" s="2" t="n">
        <v>1</v>
      </c>
      <c r="E714" s="2" t="s">
        <v>4141</v>
      </c>
      <c r="F714" s="2" t="s">
        <v>156</v>
      </c>
      <c r="G714" s="2" t="s">
        <v>4142</v>
      </c>
      <c r="H714" s="2" t="s">
        <v>745</v>
      </c>
      <c r="I714" s="2" t="s">
        <v>2013</v>
      </c>
      <c r="J714" s="2" t="s">
        <v>10393</v>
      </c>
      <c r="K714" s="2" t="s">
        <v>1588</v>
      </c>
      <c r="L714" s="2" t="n">
        <v>0</v>
      </c>
      <c r="M714" s="2" t="n">
        <v>1</v>
      </c>
    </row>
    <row r="715" customFormat="false" ht="15" hidden="false" customHeight="false" outlineLevel="0" collapsed="false">
      <c r="A715" s="2" t="n">
        <v>713</v>
      </c>
      <c r="B715" s="2" t="s">
        <v>4005</v>
      </c>
      <c r="C715" s="2" t="n">
        <v>0</v>
      </c>
      <c r="D715" s="2" t="n">
        <v>0</v>
      </c>
      <c r="E715" s="2" t="s">
        <v>10394</v>
      </c>
      <c r="F715" s="2" t="s">
        <v>743</v>
      </c>
      <c r="G715" s="2" t="s">
        <v>10395</v>
      </c>
      <c r="H715" s="2" t="s">
        <v>420</v>
      </c>
      <c r="I715" s="2" t="s">
        <v>2013</v>
      </c>
      <c r="J715" s="2" t="s">
        <v>10396</v>
      </c>
      <c r="K715" s="2" t="s">
        <v>1588</v>
      </c>
      <c r="L715" s="2" t="n">
        <v>0.38</v>
      </c>
      <c r="M715" s="2" t="n">
        <v>0.89</v>
      </c>
    </row>
    <row r="716" customFormat="false" ht="15" hidden="false" customHeight="false" outlineLevel="0" collapsed="false">
      <c r="A716" s="2" t="n">
        <v>714</v>
      </c>
      <c r="B716" s="2" t="s">
        <v>4005</v>
      </c>
      <c r="C716" s="2" t="n">
        <v>0</v>
      </c>
      <c r="D716" s="2" t="n">
        <v>0</v>
      </c>
      <c r="E716" s="2" t="s">
        <v>10397</v>
      </c>
      <c r="F716" s="2" t="s">
        <v>10398</v>
      </c>
      <c r="G716" s="2" t="s">
        <v>6055</v>
      </c>
      <c r="H716" s="2" t="s">
        <v>6056</v>
      </c>
      <c r="I716" s="2" t="s">
        <v>2013</v>
      </c>
      <c r="J716" s="2" t="s">
        <v>10399</v>
      </c>
      <c r="K716" s="2" t="s">
        <v>68</v>
      </c>
      <c r="L716" s="2" t="n">
        <v>0.85</v>
      </c>
      <c r="M716" s="2" t="n">
        <v>1</v>
      </c>
    </row>
    <row r="717" customFormat="false" ht="15" hidden="false" customHeight="false" outlineLevel="0" collapsed="false">
      <c r="A717" s="2" t="n">
        <v>715</v>
      </c>
      <c r="B717" s="2" t="s">
        <v>4005</v>
      </c>
      <c r="C717" s="2" t="n">
        <v>0</v>
      </c>
      <c r="D717" s="2" t="n">
        <v>0</v>
      </c>
      <c r="E717" s="2" t="s">
        <v>10400</v>
      </c>
      <c r="F717" s="2" t="s">
        <v>7140</v>
      </c>
      <c r="G717" s="2" t="s">
        <v>6059</v>
      </c>
      <c r="H717" s="2" t="s">
        <v>6060</v>
      </c>
      <c r="I717" s="2" t="s">
        <v>3744</v>
      </c>
      <c r="J717" s="2" t="s">
        <v>10401</v>
      </c>
      <c r="K717" s="2" t="s">
        <v>1588</v>
      </c>
      <c r="L717" s="2" t="n">
        <v>0.43</v>
      </c>
      <c r="M717" s="2" t="n">
        <v>0.67</v>
      </c>
    </row>
    <row r="718" customFormat="false" ht="15" hidden="false" customHeight="false" outlineLevel="0" collapsed="false">
      <c r="A718" s="2" t="n">
        <v>716</v>
      </c>
      <c r="B718" s="2" t="s">
        <v>4005</v>
      </c>
      <c r="C718" s="2" t="n">
        <v>0</v>
      </c>
      <c r="D718" s="2" t="n">
        <v>0</v>
      </c>
      <c r="E718" s="2" t="s">
        <v>10402</v>
      </c>
      <c r="F718" s="2" t="s">
        <v>10403</v>
      </c>
      <c r="G718" s="2" t="s">
        <v>6067</v>
      </c>
      <c r="H718" s="2" t="s">
        <v>4139</v>
      </c>
      <c r="I718" s="2" t="s">
        <v>1648</v>
      </c>
      <c r="J718" s="2" t="s">
        <v>10404</v>
      </c>
      <c r="K718" s="2" t="s">
        <v>1588</v>
      </c>
      <c r="L718" s="2" t="n">
        <v>0.08</v>
      </c>
      <c r="M718" s="2" t="n">
        <v>0.71</v>
      </c>
    </row>
    <row r="719" customFormat="false" ht="15" hidden="false" customHeight="false" outlineLevel="0" collapsed="false">
      <c r="A719" s="2" t="n">
        <v>717</v>
      </c>
      <c r="B719" s="2" t="s">
        <v>4005</v>
      </c>
      <c r="C719" s="2" t="n">
        <v>1</v>
      </c>
      <c r="D719" s="2" t="n">
        <v>0</v>
      </c>
      <c r="E719" s="2" t="s">
        <v>4151</v>
      </c>
      <c r="F719" s="2" t="s">
        <v>4152</v>
      </c>
      <c r="G719" s="2" t="s">
        <v>4153</v>
      </c>
      <c r="H719" s="2" t="s">
        <v>1500</v>
      </c>
      <c r="I719" s="2" t="s">
        <v>2013</v>
      </c>
      <c r="J719" s="2" t="s">
        <v>10405</v>
      </c>
      <c r="K719" s="2" t="s">
        <v>1588</v>
      </c>
      <c r="L719" s="2" t="n">
        <v>0.12</v>
      </c>
      <c r="M719" s="2" t="n">
        <v>0.5</v>
      </c>
    </row>
    <row r="720" customFormat="false" ht="15" hidden="false" customHeight="false" outlineLevel="0" collapsed="false">
      <c r="A720" s="2" t="n">
        <v>718</v>
      </c>
      <c r="B720" s="2" t="s">
        <v>4005</v>
      </c>
      <c r="C720" s="2" t="n">
        <v>0</v>
      </c>
      <c r="D720" s="2" t="n">
        <v>0</v>
      </c>
      <c r="E720" s="2" t="s">
        <v>10406</v>
      </c>
      <c r="F720" s="2" t="s">
        <v>1498</v>
      </c>
      <c r="G720" s="2" t="s">
        <v>6076</v>
      </c>
      <c r="H720" s="2" t="s">
        <v>1991</v>
      </c>
      <c r="I720" s="2" t="s">
        <v>2013</v>
      </c>
      <c r="J720" s="2" t="s">
        <v>10407</v>
      </c>
      <c r="K720" s="2" t="s">
        <v>68</v>
      </c>
      <c r="L720" s="2" t="n">
        <v>0.53</v>
      </c>
      <c r="M720" s="2" t="n">
        <v>0.5</v>
      </c>
    </row>
    <row r="721" customFormat="false" ht="15" hidden="false" customHeight="false" outlineLevel="0" collapsed="false">
      <c r="A721" s="2" t="n">
        <v>719</v>
      </c>
      <c r="B721" s="2" t="s">
        <v>4005</v>
      </c>
      <c r="C721" s="2" t="n">
        <v>0</v>
      </c>
      <c r="D721" s="2" t="n">
        <v>0</v>
      </c>
      <c r="E721" s="2" t="s">
        <v>10408</v>
      </c>
      <c r="F721" s="2" t="s">
        <v>1995</v>
      </c>
      <c r="G721" s="2" t="s">
        <v>6080</v>
      </c>
      <c r="H721" s="2" t="s">
        <v>6081</v>
      </c>
      <c r="I721" s="2" t="s">
        <v>604</v>
      </c>
      <c r="J721" s="4" t="s">
        <v>10409</v>
      </c>
      <c r="K721" s="2" t="s">
        <v>507</v>
      </c>
      <c r="L721" s="2" t="n">
        <v>0</v>
      </c>
      <c r="M721" s="2" t="n">
        <v>0.35</v>
      </c>
    </row>
    <row r="722" customFormat="false" ht="15" hidden="false" customHeight="false" outlineLevel="0" collapsed="false">
      <c r="A722" s="2" t="n">
        <v>720</v>
      </c>
      <c r="B722" s="2" t="s">
        <v>4154</v>
      </c>
      <c r="C722" s="2" t="n">
        <v>0</v>
      </c>
      <c r="D722" s="2" t="n">
        <v>0</v>
      </c>
      <c r="E722" s="2" t="s">
        <v>10410</v>
      </c>
      <c r="F722" s="2" t="s">
        <v>10411</v>
      </c>
      <c r="G722" s="2" t="s">
        <v>6089</v>
      </c>
      <c r="H722" s="2" t="s">
        <v>420</v>
      </c>
      <c r="I722" s="2" t="s">
        <v>604</v>
      </c>
      <c r="J722" s="2" t="s">
        <v>10412</v>
      </c>
      <c r="K722" s="2" t="s">
        <v>160</v>
      </c>
      <c r="L722" s="2" t="n">
        <v>0.4</v>
      </c>
      <c r="M722" s="2" t="n">
        <v>0.44</v>
      </c>
    </row>
    <row r="723" customFormat="false" ht="15" hidden="false" customHeight="false" outlineLevel="0" collapsed="false">
      <c r="A723" s="2" t="n">
        <v>721</v>
      </c>
      <c r="B723" s="2" t="s">
        <v>4154</v>
      </c>
      <c r="C723" s="2" t="n">
        <v>0</v>
      </c>
      <c r="D723" s="2" t="n">
        <v>0</v>
      </c>
      <c r="E723" s="2" t="s">
        <v>10413</v>
      </c>
      <c r="F723" s="2" t="s">
        <v>10398</v>
      </c>
      <c r="G723" s="2" t="s">
        <v>6103</v>
      </c>
      <c r="H723" s="2" t="s">
        <v>420</v>
      </c>
      <c r="I723" s="2" t="s">
        <v>2013</v>
      </c>
      <c r="J723" s="2" t="s">
        <v>10414</v>
      </c>
      <c r="K723" s="2" t="s">
        <v>1588</v>
      </c>
      <c r="L723" s="2" t="n">
        <v>0.1</v>
      </c>
      <c r="M723" s="2" t="n">
        <v>1</v>
      </c>
    </row>
    <row r="724" customFormat="false" ht="15" hidden="false" customHeight="false" outlineLevel="0" collapsed="false">
      <c r="A724" s="2" t="n">
        <v>722</v>
      </c>
      <c r="B724" s="2" t="s">
        <v>4154</v>
      </c>
      <c r="C724" s="2" t="n">
        <v>0</v>
      </c>
      <c r="D724" s="2" t="n">
        <v>0</v>
      </c>
      <c r="E724" s="2" t="s">
        <v>10415</v>
      </c>
      <c r="F724" s="2" t="s">
        <v>10398</v>
      </c>
      <c r="G724" s="2" t="s">
        <v>6108</v>
      </c>
      <c r="H724" s="2" t="s">
        <v>178</v>
      </c>
      <c r="I724" s="2" t="s">
        <v>6109</v>
      </c>
      <c r="J724" s="2" t="s">
        <v>10416</v>
      </c>
      <c r="K724" s="2" t="s">
        <v>1588</v>
      </c>
      <c r="L724" s="2" t="n">
        <v>0.17</v>
      </c>
      <c r="M724" s="2" t="n">
        <v>1</v>
      </c>
    </row>
    <row r="725" customFormat="false" ht="15" hidden="false" customHeight="false" outlineLevel="0" collapsed="false">
      <c r="A725" s="2" t="n">
        <v>723</v>
      </c>
      <c r="B725" s="2" t="s">
        <v>4154</v>
      </c>
      <c r="C725" s="2" t="n">
        <v>2</v>
      </c>
      <c r="D725" s="2" t="n">
        <v>0</v>
      </c>
      <c r="E725" s="2" t="s">
        <v>4156</v>
      </c>
      <c r="F725" s="2" t="s">
        <v>176</v>
      </c>
      <c r="G725" s="2" t="s">
        <v>4157</v>
      </c>
      <c r="H725" s="2" t="s">
        <v>420</v>
      </c>
      <c r="I725" s="2" t="s">
        <v>604</v>
      </c>
      <c r="J725" s="2" t="s">
        <v>10417</v>
      </c>
      <c r="K725" s="2" t="s">
        <v>1588</v>
      </c>
      <c r="L725" s="2" t="n">
        <v>0.21</v>
      </c>
      <c r="M725" s="2" t="n">
        <v>0.5</v>
      </c>
    </row>
    <row r="726" customFormat="false" ht="15" hidden="false" customHeight="false" outlineLevel="0" collapsed="false">
      <c r="A726" s="2" t="n">
        <v>724</v>
      </c>
      <c r="B726" s="2" t="s">
        <v>4154</v>
      </c>
      <c r="C726" s="2" t="n">
        <v>0</v>
      </c>
      <c r="D726" s="2" t="n">
        <v>0</v>
      </c>
      <c r="E726" s="2" t="s">
        <v>10418</v>
      </c>
      <c r="F726" s="2" t="s">
        <v>10398</v>
      </c>
      <c r="G726" s="2" t="s">
        <v>10419</v>
      </c>
      <c r="H726" s="2" t="s">
        <v>6976</v>
      </c>
      <c r="I726" s="2" t="s">
        <v>1138</v>
      </c>
      <c r="J726" s="2" t="s">
        <v>10420</v>
      </c>
      <c r="K726" s="2" t="s">
        <v>1588</v>
      </c>
      <c r="L726" s="2" t="n">
        <v>0.1</v>
      </c>
      <c r="M726" s="2" t="n">
        <v>1</v>
      </c>
    </row>
    <row r="727" customFormat="false" ht="15" hidden="false" customHeight="false" outlineLevel="0" collapsed="false">
      <c r="A727" s="2" t="n">
        <v>725</v>
      </c>
      <c r="B727" s="2" t="s">
        <v>4154</v>
      </c>
      <c r="C727" s="2" t="n">
        <v>1</v>
      </c>
      <c r="D727" s="2" t="n">
        <v>0</v>
      </c>
      <c r="E727" s="2" t="s">
        <v>4165</v>
      </c>
      <c r="F727" s="2" t="s">
        <v>4166</v>
      </c>
      <c r="G727" s="2" t="s">
        <v>4167</v>
      </c>
      <c r="H727" s="2" t="s">
        <v>2214</v>
      </c>
      <c r="I727" s="2" t="s">
        <v>2013</v>
      </c>
      <c r="J727" s="2" t="s">
        <v>10421</v>
      </c>
      <c r="K727" s="2" t="s">
        <v>1588</v>
      </c>
      <c r="L727" s="2" t="n">
        <v>0</v>
      </c>
      <c r="M727" s="2" t="n">
        <v>0.8</v>
      </c>
    </row>
    <row r="728" customFormat="false" ht="15" hidden="false" customHeight="false" outlineLevel="0" collapsed="false">
      <c r="A728" s="2" t="n">
        <v>726</v>
      </c>
      <c r="B728" s="2" t="s">
        <v>4154</v>
      </c>
      <c r="C728" s="2" t="n">
        <v>0</v>
      </c>
      <c r="D728" s="2" t="n">
        <v>0</v>
      </c>
      <c r="E728" s="2" t="s">
        <v>10422</v>
      </c>
      <c r="F728" s="2" t="s">
        <v>3762</v>
      </c>
      <c r="G728" s="2" t="s">
        <v>10423</v>
      </c>
      <c r="H728" s="2" t="s">
        <v>4014</v>
      </c>
      <c r="I728" s="2" t="s">
        <v>6601</v>
      </c>
      <c r="J728" s="2" t="s">
        <v>10424</v>
      </c>
      <c r="K728" s="2" t="s">
        <v>1588</v>
      </c>
      <c r="L728" s="2" t="n">
        <v>0.2</v>
      </c>
      <c r="M728" s="2" t="n">
        <v>0.73</v>
      </c>
    </row>
    <row r="729" customFormat="false" ht="15" hidden="false" customHeight="false" outlineLevel="0" collapsed="false">
      <c r="A729" s="2" t="n">
        <v>727</v>
      </c>
      <c r="B729" s="2" t="s">
        <v>4154</v>
      </c>
      <c r="C729" s="2" t="n">
        <v>0</v>
      </c>
      <c r="D729" s="2" t="n">
        <v>0</v>
      </c>
      <c r="E729" s="2" t="s">
        <v>10425</v>
      </c>
      <c r="F729" s="2" t="s">
        <v>4020</v>
      </c>
      <c r="G729" s="2" t="s">
        <v>10426</v>
      </c>
      <c r="H729" s="2" t="s">
        <v>66</v>
      </c>
      <c r="I729" s="2" t="s">
        <v>2313</v>
      </c>
      <c r="J729" s="2" t="s">
        <v>10427</v>
      </c>
      <c r="K729" s="2" t="s">
        <v>1588</v>
      </c>
      <c r="L729" s="2" t="n">
        <v>0.17</v>
      </c>
      <c r="M729" s="2" t="n">
        <v>0.8</v>
      </c>
    </row>
    <row r="730" customFormat="false" ht="15" hidden="false" customHeight="false" outlineLevel="0" collapsed="false">
      <c r="A730" s="2" t="n">
        <v>728</v>
      </c>
      <c r="B730" s="2" t="s">
        <v>4154</v>
      </c>
      <c r="C730" s="2" t="n">
        <v>3</v>
      </c>
      <c r="D730" s="2" t="n">
        <v>0</v>
      </c>
      <c r="E730" s="2" t="s">
        <v>4171</v>
      </c>
      <c r="F730" s="2" t="s">
        <v>64</v>
      </c>
      <c r="G730" s="2" t="s">
        <v>4172</v>
      </c>
      <c r="H730" s="2" t="s">
        <v>1170</v>
      </c>
      <c r="I730" s="2" t="s">
        <v>430</v>
      </c>
      <c r="J730" s="2" t="s">
        <v>10428</v>
      </c>
      <c r="K730" s="2" t="s">
        <v>1588</v>
      </c>
      <c r="L730" s="2" t="n">
        <v>0.29</v>
      </c>
      <c r="M730" s="2" t="n">
        <v>0.86</v>
      </c>
    </row>
    <row r="731" customFormat="false" ht="15" hidden="false" customHeight="false" outlineLevel="0" collapsed="false">
      <c r="A731" s="2" t="n">
        <v>729</v>
      </c>
      <c r="B731" s="2" t="s">
        <v>4154</v>
      </c>
      <c r="C731" s="2" t="n">
        <v>3</v>
      </c>
      <c r="D731" s="2" t="n">
        <v>0</v>
      </c>
      <c r="E731" s="2" t="s">
        <v>4183</v>
      </c>
      <c r="F731" s="2" t="s">
        <v>1168</v>
      </c>
      <c r="G731" s="2" t="s">
        <v>4184</v>
      </c>
      <c r="H731" s="2" t="s">
        <v>66</v>
      </c>
      <c r="I731" s="2" t="s">
        <v>2927</v>
      </c>
      <c r="J731" s="2" t="s">
        <v>10429</v>
      </c>
      <c r="K731" s="2" t="s">
        <v>1588</v>
      </c>
      <c r="L731" s="2" t="n">
        <v>0.11</v>
      </c>
      <c r="M731" s="2" t="n">
        <v>0.71</v>
      </c>
    </row>
    <row r="732" customFormat="false" ht="15" hidden="false" customHeight="false" outlineLevel="0" collapsed="false">
      <c r="A732" s="2" t="n">
        <v>730</v>
      </c>
      <c r="B732" s="2" t="s">
        <v>4154</v>
      </c>
      <c r="C732" s="2" t="n">
        <v>2</v>
      </c>
      <c r="D732" s="2" t="n">
        <v>0</v>
      </c>
      <c r="E732" s="2" t="s">
        <v>4191</v>
      </c>
      <c r="F732" s="2" t="s">
        <v>64</v>
      </c>
      <c r="G732" s="2" t="s">
        <v>4192</v>
      </c>
      <c r="H732" s="2" t="s">
        <v>841</v>
      </c>
      <c r="I732" s="2" t="s">
        <v>344</v>
      </c>
      <c r="J732" s="2" t="s">
        <v>10430</v>
      </c>
      <c r="K732" s="2" t="s">
        <v>1588</v>
      </c>
      <c r="L732" s="2" t="n">
        <v>0.25</v>
      </c>
      <c r="M732" s="2" t="n">
        <v>0.7</v>
      </c>
    </row>
    <row r="733" customFormat="false" ht="15" hidden="false" customHeight="false" outlineLevel="0" collapsed="false">
      <c r="A733" s="2" t="n">
        <v>731</v>
      </c>
      <c r="B733" s="2" t="s">
        <v>4154</v>
      </c>
      <c r="C733" s="2" t="n">
        <v>1</v>
      </c>
      <c r="D733" s="2" t="n">
        <v>1</v>
      </c>
      <c r="E733" s="2" t="s">
        <v>4197</v>
      </c>
      <c r="F733" s="2" t="s">
        <v>4198</v>
      </c>
      <c r="G733" s="2" t="s">
        <v>4199</v>
      </c>
      <c r="H733" s="2" t="s">
        <v>158</v>
      </c>
      <c r="I733" s="2" t="s">
        <v>1768</v>
      </c>
      <c r="J733" s="2" t="s">
        <v>10431</v>
      </c>
      <c r="K733" s="2" t="s">
        <v>507</v>
      </c>
      <c r="L733" s="2" t="n">
        <v>0.11</v>
      </c>
      <c r="M733" s="2" t="n">
        <v>0.64</v>
      </c>
    </row>
    <row r="734" customFormat="false" ht="15" hidden="false" customHeight="false" outlineLevel="0" collapsed="false">
      <c r="A734" s="2" t="n">
        <v>732</v>
      </c>
      <c r="B734" s="2" t="s">
        <v>4154</v>
      </c>
      <c r="C734" s="2" t="n">
        <v>1</v>
      </c>
      <c r="D734" s="2" t="n">
        <v>0</v>
      </c>
      <c r="E734" s="2" t="s">
        <v>4204</v>
      </c>
      <c r="F734" s="2" t="s">
        <v>156</v>
      </c>
      <c r="G734" s="2" t="s">
        <v>4205</v>
      </c>
      <c r="H734" s="2" t="s">
        <v>245</v>
      </c>
      <c r="I734" s="2" t="s">
        <v>4206</v>
      </c>
      <c r="J734" s="2" t="s">
        <v>10432</v>
      </c>
      <c r="K734" s="2" t="s">
        <v>68</v>
      </c>
      <c r="L734" s="2" t="n">
        <v>0.71</v>
      </c>
      <c r="M734" s="2" t="n">
        <v>1</v>
      </c>
    </row>
    <row r="735" customFormat="false" ht="15" hidden="false" customHeight="false" outlineLevel="0" collapsed="false">
      <c r="A735" s="2" t="n">
        <v>733</v>
      </c>
      <c r="B735" s="2" t="s">
        <v>4154</v>
      </c>
      <c r="C735" s="2" t="n">
        <v>2</v>
      </c>
      <c r="D735" s="2" t="n">
        <v>0</v>
      </c>
      <c r="E735" s="2" t="s">
        <v>4210</v>
      </c>
      <c r="F735" s="2" t="s">
        <v>243</v>
      </c>
      <c r="G735" s="2" t="s">
        <v>4211</v>
      </c>
      <c r="H735" s="2" t="s">
        <v>189</v>
      </c>
      <c r="I735" s="2" t="s">
        <v>1634</v>
      </c>
      <c r="J735" s="2" t="s">
        <v>10433</v>
      </c>
      <c r="K735" s="2" t="s">
        <v>1588</v>
      </c>
      <c r="L735" s="2" t="n">
        <v>0.14</v>
      </c>
      <c r="M735" s="2" t="n">
        <v>0.8</v>
      </c>
    </row>
    <row r="736" customFormat="false" ht="15" hidden="false" customHeight="false" outlineLevel="0" collapsed="false">
      <c r="A736" s="2" t="n">
        <v>734</v>
      </c>
      <c r="B736" s="2" t="s">
        <v>4154</v>
      </c>
      <c r="C736" s="2" t="n">
        <v>4</v>
      </c>
      <c r="D736" s="2" t="n">
        <v>0</v>
      </c>
      <c r="E736" s="2" t="s">
        <v>4220</v>
      </c>
      <c r="F736" s="2" t="s">
        <v>187</v>
      </c>
      <c r="G736" s="2" t="s">
        <v>4221</v>
      </c>
      <c r="H736" s="2" t="s">
        <v>4222</v>
      </c>
      <c r="I736" s="2" t="s">
        <v>3169</v>
      </c>
      <c r="J736" s="2" t="s">
        <v>10434</v>
      </c>
      <c r="K736" s="2" t="s">
        <v>1588</v>
      </c>
      <c r="L736" s="2" t="n">
        <v>0.27</v>
      </c>
      <c r="M736" s="2" t="n">
        <v>0.54</v>
      </c>
    </row>
    <row r="737" customFormat="false" ht="15" hidden="false" customHeight="false" outlineLevel="0" collapsed="false">
      <c r="A737" s="2" t="n">
        <v>735</v>
      </c>
      <c r="B737" s="2" t="s">
        <v>4154</v>
      </c>
      <c r="C737" s="2" t="n">
        <v>2</v>
      </c>
      <c r="D737" s="2" t="n">
        <v>0</v>
      </c>
      <c r="E737" s="2" t="s">
        <v>4238</v>
      </c>
      <c r="F737" s="2" t="s">
        <v>243</v>
      </c>
      <c r="G737" s="2" t="s">
        <v>4239</v>
      </c>
      <c r="H737" s="2" t="s">
        <v>1170</v>
      </c>
      <c r="I737" s="2" t="s">
        <v>246</v>
      </c>
      <c r="J737" s="2" t="s">
        <v>10435</v>
      </c>
      <c r="K737" s="2" t="s">
        <v>507</v>
      </c>
      <c r="L737" s="2" t="n">
        <v>0</v>
      </c>
      <c r="M737" s="2" t="n">
        <v>0.75</v>
      </c>
    </row>
    <row r="738" customFormat="false" ht="15" hidden="false" customHeight="false" outlineLevel="0" collapsed="false">
      <c r="A738" s="2" t="n">
        <v>736</v>
      </c>
      <c r="B738" s="2" t="s">
        <v>4154</v>
      </c>
      <c r="C738" s="2" t="n">
        <v>3</v>
      </c>
      <c r="D738" s="2" t="n">
        <v>0</v>
      </c>
      <c r="E738" s="2" t="s">
        <v>4243</v>
      </c>
      <c r="F738" s="2" t="s">
        <v>1168</v>
      </c>
      <c r="G738" s="2" t="s">
        <v>4244</v>
      </c>
      <c r="H738" s="2" t="s">
        <v>189</v>
      </c>
      <c r="I738" s="2" t="s">
        <v>1810</v>
      </c>
      <c r="J738" s="2" t="s">
        <v>10436</v>
      </c>
      <c r="K738" s="2" t="s">
        <v>1588</v>
      </c>
      <c r="L738" s="2" t="n">
        <v>0.22</v>
      </c>
      <c r="M738" s="2" t="n">
        <v>0.71</v>
      </c>
    </row>
    <row r="739" customFormat="false" ht="15" hidden="false" customHeight="false" outlineLevel="0" collapsed="false">
      <c r="A739" s="2" t="n">
        <v>737</v>
      </c>
      <c r="B739" s="2" t="s">
        <v>4154</v>
      </c>
      <c r="C739" s="2" t="n">
        <v>1</v>
      </c>
      <c r="D739" s="2" t="n">
        <v>0</v>
      </c>
      <c r="E739" s="2" t="s">
        <v>4250</v>
      </c>
      <c r="F739" s="2" t="s">
        <v>187</v>
      </c>
      <c r="G739" s="2" t="s">
        <v>4251</v>
      </c>
      <c r="H739" s="2" t="s">
        <v>1170</v>
      </c>
      <c r="I739" s="2" t="s">
        <v>4096</v>
      </c>
      <c r="J739" s="2" t="s">
        <v>10437</v>
      </c>
      <c r="K739" s="2" t="s">
        <v>1588</v>
      </c>
      <c r="L739" s="2" t="n">
        <v>0.45</v>
      </c>
      <c r="M739" s="2" t="n">
        <v>0.57</v>
      </c>
    </row>
    <row r="740" customFormat="false" ht="15" hidden="false" customHeight="false" outlineLevel="0" collapsed="false">
      <c r="A740" s="2" t="n">
        <v>738</v>
      </c>
      <c r="B740" s="2" t="s">
        <v>4154</v>
      </c>
      <c r="C740" s="2" t="n">
        <v>2</v>
      </c>
      <c r="D740" s="2" t="n">
        <v>0</v>
      </c>
      <c r="E740" s="2" t="s">
        <v>4255</v>
      </c>
      <c r="F740" s="2" t="s">
        <v>1168</v>
      </c>
      <c r="G740" s="2" t="s">
        <v>4256</v>
      </c>
      <c r="H740" s="2" t="s">
        <v>1500</v>
      </c>
      <c r="I740" s="2" t="s">
        <v>3469</v>
      </c>
      <c r="J740" s="2" t="s">
        <v>10438</v>
      </c>
      <c r="K740" s="2" t="s">
        <v>1588</v>
      </c>
      <c r="L740" s="2" t="n">
        <v>0</v>
      </c>
      <c r="M740" s="2" t="n">
        <v>0.92</v>
      </c>
    </row>
    <row r="741" customFormat="false" ht="15" hidden="false" customHeight="false" outlineLevel="0" collapsed="false">
      <c r="A741" s="2" t="n">
        <v>739</v>
      </c>
      <c r="B741" s="2" t="s">
        <v>4154</v>
      </c>
      <c r="C741" s="2" t="n">
        <v>0</v>
      </c>
      <c r="D741" s="2" t="n">
        <v>0</v>
      </c>
      <c r="E741" s="2" t="s">
        <v>10439</v>
      </c>
      <c r="F741" s="2" t="s">
        <v>1498</v>
      </c>
      <c r="G741" s="2" t="s">
        <v>6172</v>
      </c>
      <c r="H741" s="2" t="s">
        <v>745</v>
      </c>
      <c r="I741" s="2" t="s">
        <v>3787</v>
      </c>
      <c r="J741" s="2" t="s">
        <v>10440</v>
      </c>
      <c r="K741" s="2" t="s">
        <v>1588</v>
      </c>
      <c r="L741" s="2" t="n">
        <v>0.12</v>
      </c>
      <c r="M741" s="2" t="n">
        <v>0.64</v>
      </c>
    </row>
    <row r="742" customFormat="false" ht="15" hidden="false" customHeight="false" outlineLevel="0" collapsed="false">
      <c r="A742" s="2" t="n">
        <v>740</v>
      </c>
      <c r="B742" s="2" t="s">
        <v>4154</v>
      </c>
      <c r="C742" s="2" t="n">
        <v>1</v>
      </c>
      <c r="D742" s="2" t="n">
        <v>1</v>
      </c>
      <c r="E742" s="2" t="s">
        <v>4264</v>
      </c>
      <c r="F742" s="2" t="s">
        <v>743</v>
      </c>
      <c r="G742" s="2" t="s">
        <v>4265</v>
      </c>
      <c r="H742" s="2" t="s">
        <v>97</v>
      </c>
      <c r="I742" s="2" t="s">
        <v>1266</v>
      </c>
      <c r="J742" s="2" t="s">
        <v>10441</v>
      </c>
      <c r="K742" s="2" t="s">
        <v>1588</v>
      </c>
      <c r="L742" s="2" t="n">
        <v>0.22</v>
      </c>
      <c r="M742" s="2" t="n">
        <v>0.78</v>
      </c>
    </row>
    <row r="743" customFormat="false" ht="15" hidden="false" customHeight="false" outlineLevel="0" collapsed="false">
      <c r="A743" s="2" t="n">
        <v>741</v>
      </c>
      <c r="B743" s="2" t="s">
        <v>4154</v>
      </c>
      <c r="C743" s="2" t="n">
        <v>0</v>
      </c>
      <c r="D743" s="2" t="n">
        <v>0</v>
      </c>
      <c r="E743" s="2" t="s">
        <v>10442</v>
      </c>
      <c r="F743" s="2" t="s">
        <v>95</v>
      </c>
      <c r="G743" s="2" t="s">
        <v>6188</v>
      </c>
      <c r="H743" s="2" t="s">
        <v>494</v>
      </c>
      <c r="I743" s="2" t="s">
        <v>2037</v>
      </c>
      <c r="J743" s="2" t="s">
        <v>10443</v>
      </c>
      <c r="K743" s="2" t="s">
        <v>1588</v>
      </c>
      <c r="L743" s="2" t="n">
        <v>0.4</v>
      </c>
      <c r="M743" s="2" t="n">
        <v>0.82</v>
      </c>
    </row>
    <row r="744" customFormat="false" ht="15" hidden="false" customHeight="false" outlineLevel="0" collapsed="false">
      <c r="A744" s="2" t="n">
        <v>742</v>
      </c>
      <c r="B744" s="2" t="s">
        <v>4154</v>
      </c>
      <c r="C744" s="2" t="n">
        <v>1</v>
      </c>
      <c r="D744" s="2" t="n">
        <v>1</v>
      </c>
      <c r="E744" s="2" t="s">
        <v>4273</v>
      </c>
      <c r="F744" s="2" t="s">
        <v>492</v>
      </c>
      <c r="G744" s="2" t="s">
        <v>4274</v>
      </c>
      <c r="H744" s="2" t="s">
        <v>4275</v>
      </c>
      <c r="I744" s="2" t="s">
        <v>4276</v>
      </c>
      <c r="J744" s="2" t="s">
        <v>10444</v>
      </c>
      <c r="K744" s="2" t="s">
        <v>1588</v>
      </c>
      <c r="L744" s="2" t="n">
        <v>0.22</v>
      </c>
      <c r="M744" s="2" t="n">
        <v>1</v>
      </c>
    </row>
    <row r="745" customFormat="false" ht="15" hidden="false" customHeight="false" outlineLevel="0" collapsed="false">
      <c r="A745" s="2" t="n">
        <v>743</v>
      </c>
      <c r="B745" s="2" t="s">
        <v>4154</v>
      </c>
      <c r="C745" s="2" t="n">
        <v>1</v>
      </c>
      <c r="D745" s="2" t="n">
        <v>1</v>
      </c>
      <c r="E745" s="2" t="s">
        <v>4280</v>
      </c>
      <c r="F745" s="2" t="s">
        <v>4275</v>
      </c>
      <c r="G745" s="2" t="s">
        <v>4281</v>
      </c>
      <c r="H745" s="2" t="s">
        <v>158</v>
      </c>
      <c r="I745" s="2" t="s">
        <v>1700</v>
      </c>
      <c r="J745" s="2" t="s">
        <v>10445</v>
      </c>
      <c r="K745" s="2" t="s">
        <v>1588</v>
      </c>
      <c r="L745" s="2" t="n">
        <v>0.11</v>
      </c>
      <c r="M745" s="2" t="n">
        <v>0.78</v>
      </c>
    </row>
    <row r="746" customFormat="false" ht="15" hidden="false" customHeight="false" outlineLevel="0" collapsed="false">
      <c r="A746" s="2" t="n">
        <v>744</v>
      </c>
      <c r="B746" s="2" t="s">
        <v>4154</v>
      </c>
      <c r="C746" s="2" t="n">
        <v>1</v>
      </c>
      <c r="D746" s="2" t="n">
        <v>0</v>
      </c>
      <c r="E746" s="2" t="s">
        <v>4287</v>
      </c>
      <c r="F746" s="2" t="s">
        <v>156</v>
      </c>
      <c r="G746" s="2" t="s">
        <v>4288</v>
      </c>
      <c r="H746" s="2" t="s">
        <v>4289</v>
      </c>
      <c r="I746" s="2" t="s">
        <v>4290</v>
      </c>
      <c r="J746" s="2" t="s">
        <v>10446</v>
      </c>
      <c r="K746" s="2" t="s">
        <v>507</v>
      </c>
      <c r="L746" s="2" t="n">
        <v>0.25</v>
      </c>
      <c r="M746" s="2" t="n">
        <v>1</v>
      </c>
    </row>
    <row r="747" customFormat="false" ht="15" hidden="false" customHeight="false" outlineLevel="0" collapsed="false">
      <c r="A747" s="2" t="n">
        <v>745</v>
      </c>
      <c r="B747" s="2" t="s">
        <v>4154</v>
      </c>
      <c r="C747" s="2" t="n">
        <v>1</v>
      </c>
      <c r="D747" s="2" t="n">
        <v>1</v>
      </c>
      <c r="E747" s="2" t="s">
        <v>4296</v>
      </c>
      <c r="F747" s="2" t="s">
        <v>4297</v>
      </c>
      <c r="G747" s="2" t="s">
        <v>4298</v>
      </c>
      <c r="H747" s="2" t="s">
        <v>4299</v>
      </c>
      <c r="I747" s="2" t="s">
        <v>604</v>
      </c>
      <c r="J747" s="2" t="s">
        <v>10447</v>
      </c>
      <c r="K747" s="2" t="s">
        <v>1588</v>
      </c>
      <c r="L747" s="2" t="n">
        <v>0.12</v>
      </c>
      <c r="M747" s="2" t="n">
        <v>0.62</v>
      </c>
    </row>
    <row r="748" customFormat="false" ht="15" hidden="false" customHeight="false" outlineLevel="0" collapsed="false">
      <c r="A748" s="2" t="n">
        <v>746</v>
      </c>
      <c r="B748" s="2" t="s">
        <v>4154</v>
      </c>
      <c r="C748" s="2" t="n">
        <v>1</v>
      </c>
      <c r="D748" s="2" t="n">
        <v>1</v>
      </c>
      <c r="E748" s="2" t="s">
        <v>4304</v>
      </c>
      <c r="F748" s="2" t="s">
        <v>4299</v>
      </c>
      <c r="G748" s="2" t="s">
        <v>4305</v>
      </c>
      <c r="H748" s="2" t="s">
        <v>1500</v>
      </c>
      <c r="I748" s="2" t="s">
        <v>1055</v>
      </c>
      <c r="J748" s="2" t="s">
        <v>10448</v>
      </c>
      <c r="K748" s="2" t="s">
        <v>1588</v>
      </c>
      <c r="L748" s="2" t="n">
        <v>0.1</v>
      </c>
      <c r="M748" s="2" t="n">
        <v>0.5</v>
      </c>
    </row>
    <row r="749" customFormat="false" ht="15" hidden="false" customHeight="false" outlineLevel="0" collapsed="false">
      <c r="A749" s="2" t="n">
        <v>747</v>
      </c>
      <c r="B749" s="2" t="s">
        <v>4154</v>
      </c>
      <c r="C749" s="2" t="n">
        <v>0</v>
      </c>
      <c r="D749" s="2" t="n">
        <v>0</v>
      </c>
      <c r="E749" s="2" t="s">
        <v>10449</v>
      </c>
      <c r="F749" s="2" t="s">
        <v>1498</v>
      </c>
      <c r="G749" s="2" t="s">
        <v>10450</v>
      </c>
      <c r="H749" s="2" t="s">
        <v>3315</v>
      </c>
      <c r="I749" s="2" t="s">
        <v>3469</v>
      </c>
      <c r="J749" s="2" t="s">
        <v>10451</v>
      </c>
      <c r="K749" s="2" t="s">
        <v>68</v>
      </c>
      <c r="L749" s="2" t="n">
        <v>0.54</v>
      </c>
      <c r="M749" s="2" t="n">
        <v>0.55</v>
      </c>
    </row>
    <row r="750" customFormat="false" ht="15" hidden="false" customHeight="false" outlineLevel="0" collapsed="false">
      <c r="A750" s="2" t="n">
        <v>748</v>
      </c>
      <c r="B750" s="2" t="s">
        <v>4154</v>
      </c>
      <c r="C750" s="2" t="n">
        <v>0</v>
      </c>
      <c r="D750" s="2" t="n">
        <v>0</v>
      </c>
      <c r="E750" s="2" t="s">
        <v>10452</v>
      </c>
      <c r="F750" s="2" t="s">
        <v>3318</v>
      </c>
      <c r="G750" s="2" t="s">
        <v>10453</v>
      </c>
      <c r="H750" s="2" t="s">
        <v>745</v>
      </c>
      <c r="I750" s="2" t="s">
        <v>3919</v>
      </c>
      <c r="J750" s="2" t="s">
        <v>10454</v>
      </c>
      <c r="K750" s="2" t="s">
        <v>68</v>
      </c>
      <c r="L750" s="2" t="n">
        <v>0.5</v>
      </c>
      <c r="M750" s="2" t="n">
        <v>0.64</v>
      </c>
    </row>
    <row r="751" customFormat="false" ht="15" hidden="false" customHeight="false" outlineLevel="0" collapsed="false">
      <c r="A751" s="2" t="n">
        <v>749</v>
      </c>
      <c r="B751" s="2" t="s">
        <v>4154</v>
      </c>
      <c r="C751" s="2" t="n">
        <v>0</v>
      </c>
      <c r="D751" s="2" t="n">
        <v>0</v>
      </c>
      <c r="E751" s="2" t="s">
        <v>10455</v>
      </c>
      <c r="F751" s="2" t="s">
        <v>743</v>
      </c>
      <c r="G751" s="2" t="s">
        <v>10456</v>
      </c>
      <c r="H751" s="2" t="s">
        <v>6572</v>
      </c>
      <c r="I751" s="2" t="s">
        <v>686</v>
      </c>
      <c r="J751" s="2" t="s">
        <v>10457</v>
      </c>
      <c r="K751" s="2" t="s">
        <v>68</v>
      </c>
      <c r="L751" s="2" t="n">
        <v>0.6</v>
      </c>
      <c r="M751" s="2" t="n">
        <v>0.9</v>
      </c>
    </row>
    <row r="752" customFormat="false" ht="15" hidden="false" customHeight="false" outlineLevel="0" collapsed="false">
      <c r="A752" s="2" t="n">
        <v>750</v>
      </c>
      <c r="B752" s="2" t="s">
        <v>4306</v>
      </c>
      <c r="C752" s="2" t="n">
        <v>0</v>
      </c>
      <c r="D752" s="2" t="n">
        <v>0</v>
      </c>
      <c r="E752" s="2" t="s">
        <v>10458</v>
      </c>
      <c r="F752" s="2" t="s">
        <v>6572</v>
      </c>
      <c r="G752" s="2" t="s">
        <v>10459</v>
      </c>
      <c r="H752" s="2" t="s">
        <v>745</v>
      </c>
      <c r="I752" s="2" t="s">
        <v>686</v>
      </c>
      <c r="J752" s="2" t="s">
        <v>10460</v>
      </c>
      <c r="K752" s="2" t="s">
        <v>1588</v>
      </c>
      <c r="L752" s="2" t="n">
        <v>0.38</v>
      </c>
      <c r="M752" s="2" t="n">
        <v>0.7</v>
      </c>
    </row>
    <row r="753" customFormat="false" ht="15" hidden="false" customHeight="false" outlineLevel="0" collapsed="false">
      <c r="A753" s="2" t="n">
        <v>751</v>
      </c>
      <c r="B753" s="2" t="s">
        <v>4306</v>
      </c>
      <c r="C753" s="2" t="n">
        <v>0</v>
      </c>
      <c r="D753" s="2" t="n">
        <v>0</v>
      </c>
      <c r="E753" s="2" t="s">
        <v>10461</v>
      </c>
      <c r="F753" s="2" t="s">
        <v>743</v>
      </c>
      <c r="G753" s="2" t="s">
        <v>6223</v>
      </c>
      <c r="H753" s="2" t="s">
        <v>696</v>
      </c>
      <c r="I753" s="2" t="s">
        <v>3469</v>
      </c>
      <c r="J753" s="2" t="s">
        <v>10462</v>
      </c>
      <c r="K753" s="2" t="s">
        <v>1588</v>
      </c>
      <c r="L753" s="2" t="n">
        <v>0.25</v>
      </c>
      <c r="M753" s="2" t="n">
        <v>0.4</v>
      </c>
    </row>
    <row r="754" customFormat="false" ht="15" hidden="false" customHeight="false" outlineLevel="0" collapsed="false">
      <c r="A754" s="2" t="n">
        <v>752</v>
      </c>
      <c r="B754" s="2" t="s">
        <v>4306</v>
      </c>
      <c r="C754" s="2" t="n">
        <v>0</v>
      </c>
      <c r="D754" s="2" t="n">
        <v>0</v>
      </c>
      <c r="E754" s="2" t="s">
        <v>10463</v>
      </c>
      <c r="F754" s="2" t="s">
        <v>694</v>
      </c>
      <c r="G754" s="2" t="s">
        <v>10464</v>
      </c>
      <c r="H754" s="2" t="s">
        <v>812</v>
      </c>
      <c r="I754" s="2" t="s">
        <v>190</v>
      </c>
      <c r="J754" s="2" t="s">
        <v>10465</v>
      </c>
      <c r="K754" s="2" t="s">
        <v>1588</v>
      </c>
      <c r="L754" s="2" t="n">
        <v>0.12</v>
      </c>
      <c r="M754" s="2" t="n">
        <v>0.88</v>
      </c>
    </row>
    <row r="755" customFormat="false" ht="15" hidden="false" customHeight="false" outlineLevel="0" collapsed="false">
      <c r="A755" s="2" t="n">
        <v>753</v>
      </c>
      <c r="B755" s="2" t="s">
        <v>4306</v>
      </c>
      <c r="C755" s="2" t="n">
        <v>1</v>
      </c>
      <c r="D755" s="2" t="n">
        <v>0</v>
      </c>
      <c r="E755" s="2" t="s">
        <v>4311</v>
      </c>
      <c r="F755" s="2" t="s">
        <v>810</v>
      </c>
      <c r="G755" s="2" t="s">
        <v>4312</v>
      </c>
      <c r="H755" s="2" t="s">
        <v>4313</v>
      </c>
      <c r="I755" s="2" t="s">
        <v>4314</v>
      </c>
      <c r="J755" s="2" t="s">
        <v>10466</v>
      </c>
      <c r="K755" s="2" t="s">
        <v>507</v>
      </c>
      <c r="L755" s="2" t="n">
        <v>0.12</v>
      </c>
      <c r="M755" s="2" t="n">
        <v>0.33</v>
      </c>
    </row>
    <row r="756" customFormat="false" ht="15" hidden="false" customHeight="false" outlineLevel="0" collapsed="false">
      <c r="A756" s="2" t="n">
        <v>754</v>
      </c>
      <c r="B756" s="2" t="s">
        <v>4306</v>
      </c>
      <c r="C756" s="2" t="n">
        <v>1</v>
      </c>
      <c r="D756" s="2" t="n">
        <v>0</v>
      </c>
      <c r="E756" s="2" t="s">
        <v>4321</v>
      </c>
      <c r="F756" s="2" t="s">
        <v>4322</v>
      </c>
      <c r="G756" s="2" t="s">
        <v>4323</v>
      </c>
      <c r="H756" s="2" t="s">
        <v>841</v>
      </c>
      <c r="I756" s="2" t="s">
        <v>190</v>
      </c>
      <c r="J756" s="2" t="s">
        <v>10467</v>
      </c>
      <c r="K756" s="2" t="s">
        <v>1588</v>
      </c>
      <c r="L756" s="2" t="n">
        <v>0.27</v>
      </c>
      <c r="M756" s="2" t="n">
        <v>0.33</v>
      </c>
    </row>
    <row r="757" customFormat="false" ht="15" hidden="false" customHeight="false" outlineLevel="0" collapsed="false">
      <c r="A757" s="2" t="n">
        <v>755</v>
      </c>
      <c r="B757" s="2" t="s">
        <v>4306</v>
      </c>
      <c r="C757" s="2" t="n">
        <v>1</v>
      </c>
      <c r="D757" s="2" t="n">
        <v>0</v>
      </c>
      <c r="E757" s="2" t="s">
        <v>4326</v>
      </c>
      <c r="F757" s="2" t="s">
        <v>841</v>
      </c>
      <c r="G757" s="2" t="s">
        <v>4327</v>
      </c>
      <c r="H757" s="2" t="s">
        <v>4313</v>
      </c>
      <c r="I757" s="2" t="s">
        <v>3506</v>
      </c>
      <c r="J757" s="2" t="s">
        <v>10468</v>
      </c>
      <c r="K757" s="2" t="s">
        <v>1588</v>
      </c>
      <c r="L757" s="2" t="n">
        <v>0</v>
      </c>
      <c r="M757" s="2" t="n">
        <v>0.69</v>
      </c>
    </row>
    <row r="758" customFormat="false" ht="15" hidden="false" customHeight="false" outlineLevel="0" collapsed="false">
      <c r="A758" s="2" t="n">
        <v>756</v>
      </c>
      <c r="B758" s="2" t="s">
        <v>4306</v>
      </c>
      <c r="C758" s="2" t="n">
        <v>1</v>
      </c>
      <c r="D758" s="2" t="n">
        <v>0</v>
      </c>
      <c r="E758" s="2" t="s">
        <v>4330</v>
      </c>
      <c r="F758" s="2" t="s">
        <v>4322</v>
      </c>
      <c r="G758" s="2" t="s">
        <v>4331</v>
      </c>
      <c r="H758" s="2" t="s">
        <v>841</v>
      </c>
      <c r="I758" s="2" t="s">
        <v>1648</v>
      </c>
      <c r="J758" s="2" t="s">
        <v>10469</v>
      </c>
      <c r="K758" s="2" t="s">
        <v>1588</v>
      </c>
      <c r="L758" s="2" t="n">
        <v>0</v>
      </c>
      <c r="M758" s="2" t="n">
        <v>0.33</v>
      </c>
    </row>
    <row r="759" customFormat="false" ht="15" hidden="false" customHeight="false" outlineLevel="0" collapsed="false">
      <c r="A759" s="2" t="n">
        <v>757</v>
      </c>
      <c r="B759" s="2" t="s">
        <v>4306</v>
      </c>
      <c r="C759" s="2" t="n">
        <v>1</v>
      </c>
      <c r="D759" s="2" t="n">
        <v>0</v>
      </c>
      <c r="E759" s="2" t="s">
        <v>4338</v>
      </c>
      <c r="F759" s="2" t="s">
        <v>4339</v>
      </c>
      <c r="G759" s="2" t="s">
        <v>4340</v>
      </c>
      <c r="H759" s="2" t="s">
        <v>4341</v>
      </c>
      <c r="I759" s="2" t="s">
        <v>1932</v>
      </c>
      <c r="J759" s="2" t="s">
        <v>10470</v>
      </c>
      <c r="K759" s="2" t="s">
        <v>160</v>
      </c>
      <c r="L759" s="2" t="n">
        <v>0.38</v>
      </c>
      <c r="M759" s="2" t="n">
        <v>0.91</v>
      </c>
    </row>
    <row r="760" customFormat="false" ht="15" hidden="false" customHeight="false" outlineLevel="0" collapsed="false">
      <c r="A760" s="2" t="n">
        <v>758</v>
      </c>
      <c r="B760" s="2" t="s">
        <v>4306</v>
      </c>
      <c r="C760" s="2" t="n">
        <v>0</v>
      </c>
      <c r="D760" s="2" t="n">
        <v>0</v>
      </c>
      <c r="E760" s="2" t="s">
        <v>10471</v>
      </c>
      <c r="F760" s="2" t="s">
        <v>10472</v>
      </c>
      <c r="G760" s="2" t="s">
        <v>10473</v>
      </c>
      <c r="H760" s="2" t="s">
        <v>4347</v>
      </c>
      <c r="I760" s="2" t="s">
        <v>1147</v>
      </c>
      <c r="J760" s="2" t="s">
        <v>10474</v>
      </c>
      <c r="K760" s="2" t="s">
        <v>1588</v>
      </c>
      <c r="L760" s="2" t="n">
        <v>0.25</v>
      </c>
      <c r="M760" s="2" t="n">
        <v>0.62</v>
      </c>
    </row>
    <row r="761" customFormat="false" ht="15" hidden="false" customHeight="false" outlineLevel="0" collapsed="false">
      <c r="A761" s="2" t="n">
        <v>759</v>
      </c>
      <c r="B761" s="2" t="s">
        <v>4306</v>
      </c>
      <c r="C761" s="2" t="n">
        <v>2</v>
      </c>
      <c r="D761" s="2" t="n">
        <v>0</v>
      </c>
      <c r="E761" s="2" t="s">
        <v>4346</v>
      </c>
      <c r="F761" s="2" t="s">
        <v>4347</v>
      </c>
      <c r="G761" s="2" t="s">
        <v>4348</v>
      </c>
      <c r="H761" s="2" t="s">
        <v>745</v>
      </c>
      <c r="I761" s="2" t="s">
        <v>1188</v>
      </c>
      <c r="J761" s="2" t="s">
        <v>10475</v>
      </c>
      <c r="K761" s="2" t="s">
        <v>1588</v>
      </c>
      <c r="L761" s="2" t="n">
        <v>0</v>
      </c>
      <c r="M761" s="2" t="n">
        <v>0.75</v>
      </c>
    </row>
    <row r="762" customFormat="false" ht="15" hidden="false" customHeight="false" outlineLevel="0" collapsed="false">
      <c r="A762" s="2" t="n">
        <v>760</v>
      </c>
      <c r="B762" s="2" t="s">
        <v>4306</v>
      </c>
      <c r="C762" s="2" t="n">
        <v>2</v>
      </c>
      <c r="D762" s="2" t="n">
        <v>1</v>
      </c>
      <c r="E762" s="2" t="s">
        <v>4357</v>
      </c>
      <c r="F762" s="2" t="s">
        <v>743</v>
      </c>
      <c r="G762" s="2" t="s">
        <v>4358</v>
      </c>
      <c r="H762" s="2" t="s">
        <v>4359</v>
      </c>
      <c r="I762" s="2" t="s">
        <v>3398</v>
      </c>
      <c r="J762" s="2" t="s">
        <v>10476</v>
      </c>
      <c r="K762" s="2" t="s">
        <v>507</v>
      </c>
      <c r="L762" s="2" t="n">
        <v>0.2</v>
      </c>
      <c r="M762" s="2" t="n">
        <v>0.33</v>
      </c>
    </row>
    <row r="763" customFormat="false" ht="15" hidden="false" customHeight="false" outlineLevel="0" collapsed="false">
      <c r="A763" s="2" t="n">
        <v>761</v>
      </c>
      <c r="B763" s="2" t="s">
        <v>4306</v>
      </c>
      <c r="C763" s="2" t="n">
        <v>1</v>
      </c>
      <c r="D763" s="2" t="n">
        <v>1</v>
      </c>
      <c r="E763" s="2" t="s">
        <v>4370</v>
      </c>
      <c r="F763" s="2" t="s">
        <v>4371</v>
      </c>
      <c r="G763" s="2" t="s">
        <v>4372</v>
      </c>
      <c r="H763" s="2" t="s">
        <v>2214</v>
      </c>
      <c r="I763" s="2" t="s">
        <v>1138</v>
      </c>
      <c r="J763" s="2" t="s">
        <v>10477</v>
      </c>
      <c r="K763" s="2" t="s">
        <v>1588</v>
      </c>
      <c r="L763" s="2" t="n">
        <v>0.2</v>
      </c>
      <c r="M763" s="2" t="n">
        <v>0.7</v>
      </c>
    </row>
    <row r="764" customFormat="false" ht="15" hidden="false" customHeight="false" outlineLevel="0" collapsed="false">
      <c r="A764" s="2" t="n">
        <v>762</v>
      </c>
      <c r="B764" s="2" t="s">
        <v>4306</v>
      </c>
      <c r="C764" s="2" t="n">
        <v>0</v>
      </c>
      <c r="D764" s="2" t="n">
        <v>0</v>
      </c>
      <c r="E764" s="2" t="s">
        <v>10478</v>
      </c>
      <c r="F764" s="2" t="s">
        <v>3762</v>
      </c>
      <c r="G764" s="2" t="s">
        <v>10479</v>
      </c>
      <c r="H764" s="2" t="s">
        <v>4275</v>
      </c>
      <c r="I764" s="2" t="s">
        <v>1614</v>
      </c>
      <c r="J764" s="2" t="s">
        <v>10480</v>
      </c>
      <c r="K764" s="2" t="s">
        <v>1588</v>
      </c>
      <c r="L764" s="2" t="n">
        <v>0.18</v>
      </c>
      <c r="M764" s="2" t="n">
        <v>0.5</v>
      </c>
    </row>
    <row r="765" customFormat="false" ht="15" hidden="false" customHeight="false" outlineLevel="0" collapsed="false">
      <c r="A765" s="2" t="n">
        <v>763</v>
      </c>
      <c r="B765" s="2" t="s">
        <v>4306</v>
      </c>
      <c r="C765" s="2" t="n">
        <v>0</v>
      </c>
      <c r="D765" s="2" t="n">
        <v>0</v>
      </c>
      <c r="E765" s="2" t="s">
        <v>10481</v>
      </c>
      <c r="F765" s="2" t="s">
        <v>4275</v>
      </c>
      <c r="G765" s="2" t="s">
        <v>10482</v>
      </c>
      <c r="H765" s="2" t="s">
        <v>8735</v>
      </c>
      <c r="I765" s="2" t="s">
        <v>697</v>
      </c>
      <c r="J765" s="2" t="s">
        <v>10483</v>
      </c>
      <c r="K765" s="2" t="s">
        <v>1588</v>
      </c>
      <c r="L765" s="2" t="n">
        <v>0.14</v>
      </c>
      <c r="M765" s="2" t="n">
        <v>0.9</v>
      </c>
    </row>
    <row r="766" customFormat="false" ht="15" hidden="false" customHeight="false" outlineLevel="0" collapsed="false">
      <c r="A766" s="2" t="n">
        <v>764</v>
      </c>
      <c r="B766" s="2" t="s">
        <v>4306</v>
      </c>
      <c r="C766" s="2" t="n">
        <v>1</v>
      </c>
      <c r="D766" s="2" t="n">
        <v>1</v>
      </c>
      <c r="E766" s="2" t="s">
        <v>4377</v>
      </c>
      <c r="F766" s="2" t="s">
        <v>4378</v>
      </c>
      <c r="G766" s="2" t="s">
        <v>4379</v>
      </c>
      <c r="H766" s="2" t="s">
        <v>4380</v>
      </c>
      <c r="I766" s="2" t="s">
        <v>2196</v>
      </c>
      <c r="J766" s="2" t="s">
        <v>10484</v>
      </c>
      <c r="K766" s="2" t="s">
        <v>1588</v>
      </c>
      <c r="L766" s="2" t="n">
        <v>0.1</v>
      </c>
      <c r="M766" s="2" t="n">
        <v>0.62</v>
      </c>
    </row>
    <row r="767" customFormat="false" ht="15" hidden="false" customHeight="false" outlineLevel="0" collapsed="false">
      <c r="A767" s="2" t="n">
        <v>765</v>
      </c>
      <c r="B767" s="2" t="s">
        <v>4306</v>
      </c>
      <c r="C767" s="2" t="n">
        <v>0</v>
      </c>
      <c r="D767" s="2" t="n">
        <v>0</v>
      </c>
      <c r="E767" s="2" t="s">
        <v>10485</v>
      </c>
      <c r="F767" s="2" t="s">
        <v>4742</v>
      </c>
      <c r="G767" s="2" t="s">
        <v>6236</v>
      </c>
      <c r="H767" s="2" t="s">
        <v>2979</v>
      </c>
      <c r="I767" s="2" t="s">
        <v>3787</v>
      </c>
      <c r="J767" s="2" t="s">
        <v>10486</v>
      </c>
      <c r="K767" s="2" t="s">
        <v>1588</v>
      </c>
      <c r="L767" s="2" t="n">
        <v>0</v>
      </c>
      <c r="M767" s="2" t="n">
        <v>0.55</v>
      </c>
    </row>
    <row r="768" customFormat="false" ht="15" hidden="false" customHeight="false" outlineLevel="0" collapsed="false">
      <c r="A768" s="2" t="n">
        <v>766</v>
      </c>
      <c r="B768" s="2" t="s">
        <v>4306</v>
      </c>
      <c r="C768" s="2" t="n">
        <v>1</v>
      </c>
      <c r="D768" s="2" t="n">
        <v>0</v>
      </c>
      <c r="E768" s="2" t="s">
        <v>4384</v>
      </c>
      <c r="F768" s="2" t="s">
        <v>1043</v>
      </c>
      <c r="G768" s="2" t="s">
        <v>4385</v>
      </c>
      <c r="H768" s="2" t="s">
        <v>4386</v>
      </c>
      <c r="I768" s="2" t="s">
        <v>828</v>
      </c>
      <c r="J768" s="2" t="s">
        <v>10487</v>
      </c>
      <c r="K768" s="2" t="s">
        <v>68</v>
      </c>
      <c r="L768" s="2" t="n">
        <v>0.69</v>
      </c>
      <c r="M768" s="2" t="n">
        <v>0.75</v>
      </c>
    </row>
    <row r="769" customFormat="false" ht="15" hidden="false" customHeight="false" outlineLevel="0" collapsed="false">
      <c r="A769" s="2" t="n">
        <v>767</v>
      </c>
      <c r="B769" s="2" t="s">
        <v>4306</v>
      </c>
      <c r="C769" s="2" t="n">
        <v>1</v>
      </c>
      <c r="D769" s="2" t="n">
        <v>0</v>
      </c>
      <c r="E769" s="2" t="s">
        <v>4393</v>
      </c>
      <c r="F769" s="2" t="s">
        <v>4394</v>
      </c>
      <c r="G769" s="2" t="s">
        <v>4395</v>
      </c>
      <c r="H769" s="2" t="s">
        <v>4396</v>
      </c>
      <c r="I769" s="2" t="s">
        <v>828</v>
      </c>
      <c r="J769" s="2" t="s">
        <v>10488</v>
      </c>
      <c r="K769" s="2" t="s">
        <v>1588</v>
      </c>
      <c r="L769" s="2" t="n">
        <v>0.17</v>
      </c>
      <c r="M769" s="2" t="n">
        <v>0.64</v>
      </c>
    </row>
    <row r="770" customFormat="false" ht="15" hidden="false" customHeight="false" outlineLevel="0" collapsed="false">
      <c r="A770" s="2" t="n">
        <v>768</v>
      </c>
      <c r="B770" s="2" t="s">
        <v>4306</v>
      </c>
      <c r="C770" s="2" t="n">
        <v>1</v>
      </c>
      <c r="D770" s="2" t="n">
        <v>0</v>
      </c>
      <c r="E770" s="2" t="s">
        <v>4399</v>
      </c>
      <c r="F770" s="2" t="s">
        <v>4400</v>
      </c>
      <c r="G770" s="2" t="s">
        <v>4401</v>
      </c>
      <c r="H770" s="2" t="s">
        <v>745</v>
      </c>
      <c r="I770" s="2" t="s">
        <v>271</v>
      </c>
      <c r="J770" s="2" t="s">
        <v>10489</v>
      </c>
      <c r="K770" s="2" t="s">
        <v>1588</v>
      </c>
      <c r="L770" s="2" t="n">
        <v>0</v>
      </c>
      <c r="M770" s="2" t="n">
        <v>0.64</v>
      </c>
    </row>
    <row r="771" customFormat="false" ht="15" hidden="false" customHeight="false" outlineLevel="0" collapsed="false">
      <c r="A771" s="2" t="n">
        <v>769</v>
      </c>
      <c r="B771" s="2" t="s">
        <v>4306</v>
      </c>
      <c r="C771" s="2" t="n">
        <v>1</v>
      </c>
      <c r="D771" s="2" t="n">
        <v>0</v>
      </c>
      <c r="E771" s="2" t="s">
        <v>4406</v>
      </c>
      <c r="F771" s="2" t="s">
        <v>743</v>
      </c>
      <c r="G771" s="2" t="s">
        <v>4407</v>
      </c>
      <c r="H771" s="2" t="s">
        <v>4386</v>
      </c>
      <c r="I771" s="2" t="s">
        <v>2999</v>
      </c>
      <c r="J771" s="2" t="s">
        <v>10490</v>
      </c>
      <c r="K771" s="2" t="s">
        <v>1588</v>
      </c>
      <c r="L771" s="2" t="n">
        <v>0.18</v>
      </c>
      <c r="M771" s="2" t="n">
        <v>0.73</v>
      </c>
    </row>
    <row r="772" customFormat="false" ht="15" hidden="false" customHeight="false" outlineLevel="0" collapsed="false">
      <c r="A772" s="2" t="n">
        <v>770</v>
      </c>
      <c r="B772" s="2" t="s">
        <v>4306</v>
      </c>
      <c r="C772" s="2" t="n">
        <v>1</v>
      </c>
      <c r="D772" s="2" t="n">
        <v>0</v>
      </c>
      <c r="E772" s="2" t="s">
        <v>4413</v>
      </c>
      <c r="F772" s="2" t="s">
        <v>4394</v>
      </c>
      <c r="G772" s="2" t="s">
        <v>4414</v>
      </c>
      <c r="H772" s="2" t="s">
        <v>178</v>
      </c>
      <c r="I772" s="2" t="s">
        <v>132</v>
      </c>
      <c r="J772" s="2" t="s">
        <v>10491</v>
      </c>
      <c r="K772" s="2" t="s">
        <v>1588</v>
      </c>
      <c r="L772" s="2" t="n">
        <v>0</v>
      </c>
      <c r="M772" s="2" t="n">
        <v>0.58</v>
      </c>
    </row>
    <row r="773" customFormat="false" ht="15" hidden="false" customHeight="false" outlineLevel="0" collapsed="false">
      <c r="A773" s="2" t="n">
        <v>771</v>
      </c>
      <c r="B773" s="2" t="s">
        <v>4306</v>
      </c>
      <c r="C773" s="2" t="n">
        <v>0</v>
      </c>
      <c r="D773" s="2" t="n">
        <v>0</v>
      </c>
      <c r="E773" s="2" t="s">
        <v>10492</v>
      </c>
      <c r="F773" s="2" t="s">
        <v>176</v>
      </c>
      <c r="G773" s="2" t="s">
        <v>6248</v>
      </c>
      <c r="H773" s="2" t="s">
        <v>178</v>
      </c>
      <c r="I773" s="2" t="s">
        <v>67</v>
      </c>
      <c r="J773" s="2" t="s">
        <v>10493</v>
      </c>
      <c r="K773" s="2" t="s">
        <v>1588</v>
      </c>
      <c r="L773" s="2" t="n">
        <v>0.23</v>
      </c>
      <c r="M773" s="2" t="n">
        <v>0.73</v>
      </c>
    </row>
    <row r="774" customFormat="false" ht="15" hidden="false" customHeight="false" outlineLevel="0" collapsed="false">
      <c r="A774" s="2" t="n">
        <v>772</v>
      </c>
      <c r="B774" s="2" t="s">
        <v>4306</v>
      </c>
      <c r="C774" s="2" t="n">
        <v>1</v>
      </c>
      <c r="D774" s="2" t="n">
        <v>0</v>
      </c>
      <c r="E774" s="2" t="s">
        <v>4419</v>
      </c>
      <c r="F774" s="2" t="s">
        <v>176</v>
      </c>
      <c r="G774" s="2" t="s">
        <v>4420</v>
      </c>
      <c r="H774" s="2" t="s">
        <v>745</v>
      </c>
      <c r="I774" s="2" t="s">
        <v>2234</v>
      </c>
      <c r="J774" s="2" t="s">
        <v>10494</v>
      </c>
      <c r="K774" s="2" t="s">
        <v>1588</v>
      </c>
      <c r="L774" s="2" t="n">
        <v>0.33</v>
      </c>
      <c r="M774" s="2" t="n">
        <v>0.64</v>
      </c>
    </row>
    <row r="775" customFormat="false" ht="15" hidden="false" customHeight="false" outlineLevel="0" collapsed="false">
      <c r="A775" s="2" t="n">
        <v>773</v>
      </c>
      <c r="B775" s="2" t="s">
        <v>4306</v>
      </c>
      <c r="C775" s="2" t="n">
        <v>3</v>
      </c>
      <c r="D775" s="2" t="n">
        <v>3</v>
      </c>
      <c r="E775" s="2" t="s">
        <v>4423</v>
      </c>
      <c r="F775" s="2" t="s">
        <v>743</v>
      </c>
      <c r="G775" s="2" t="s">
        <v>4424</v>
      </c>
      <c r="H775" s="2" t="s">
        <v>745</v>
      </c>
      <c r="I775" s="2" t="s">
        <v>1735</v>
      </c>
      <c r="J775" s="2" t="s">
        <v>10495</v>
      </c>
      <c r="K775" s="2" t="s">
        <v>1588</v>
      </c>
      <c r="L775" s="2" t="n">
        <v>0.44</v>
      </c>
      <c r="M775" s="2" t="n">
        <v>1</v>
      </c>
    </row>
    <row r="776" customFormat="false" ht="15" hidden="false" customHeight="false" outlineLevel="0" collapsed="false">
      <c r="A776" s="2" t="n">
        <v>774</v>
      </c>
      <c r="B776" s="2" t="s">
        <v>4306</v>
      </c>
      <c r="C776" s="2" t="n">
        <v>4</v>
      </c>
      <c r="D776" s="2" t="n">
        <v>0</v>
      </c>
      <c r="E776" s="2" t="s">
        <v>4435</v>
      </c>
      <c r="F776" s="2" t="s">
        <v>743</v>
      </c>
      <c r="G776" s="2" t="s">
        <v>4436</v>
      </c>
      <c r="H776" s="2" t="s">
        <v>114</v>
      </c>
      <c r="I776" s="2" t="s">
        <v>1397</v>
      </c>
      <c r="J776" s="2" t="s">
        <v>10496</v>
      </c>
      <c r="K776" s="2" t="s">
        <v>1588</v>
      </c>
      <c r="L776" s="2" t="n">
        <v>0.33</v>
      </c>
      <c r="M776" s="2" t="n">
        <v>1</v>
      </c>
    </row>
    <row r="777" customFormat="false" ht="15" hidden="false" customHeight="false" outlineLevel="0" collapsed="false">
      <c r="A777" s="2" t="n">
        <v>775</v>
      </c>
      <c r="B777" s="2" t="s">
        <v>4306</v>
      </c>
      <c r="C777" s="2" t="n">
        <v>2</v>
      </c>
      <c r="D777" s="2" t="n">
        <v>0</v>
      </c>
      <c r="E777" s="2" t="s">
        <v>4456</v>
      </c>
      <c r="F777" s="2" t="s">
        <v>112</v>
      </c>
      <c r="G777" s="2" t="s">
        <v>4457</v>
      </c>
      <c r="H777" s="2" t="s">
        <v>158</v>
      </c>
      <c r="I777" s="2" t="s">
        <v>1543</v>
      </c>
      <c r="J777" s="2" t="s">
        <v>10497</v>
      </c>
      <c r="K777" s="2" t="s">
        <v>1588</v>
      </c>
      <c r="L777" s="2" t="n">
        <v>0.22</v>
      </c>
      <c r="M777" s="2" t="n">
        <v>1</v>
      </c>
    </row>
    <row r="778" customFormat="false" ht="15" hidden="false" customHeight="false" outlineLevel="0" collapsed="false">
      <c r="A778" s="2" t="n">
        <v>776</v>
      </c>
      <c r="B778" s="2" t="s">
        <v>4306</v>
      </c>
      <c r="C778" s="2" t="n">
        <v>3</v>
      </c>
      <c r="D778" s="2" t="n">
        <v>0</v>
      </c>
      <c r="E778" s="2" t="s">
        <v>4467</v>
      </c>
      <c r="F778" s="2" t="s">
        <v>156</v>
      </c>
      <c r="G778" s="2" t="s">
        <v>4468</v>
      </c>
      <c r="H778" s="2" t="s">
        <v>114</v>
      </c>
      <c r="I778" s="2" t="s">
        <v>1188</v>
      </c>
      <c r="J778" s="2" t="s">
        <v>10498</v>
      </c>
      <c r="K778" s="2" t="s">
        <v>68</v>
      </c>
      <c r="L778" s="2" t="n">
        <v>0.67</v>
      </c>
      <c r="M778" s="2" t="n">
        <v>1</v>
      </c>
    </row>
    <row r="779" customFormat="false" ht="15" hidden="false" customHeight="false" outlineLevel="0" collapsed="false">
      <c r="A779" s="2" t="n">
        <v>777</v>
      </c>
      <c r="B779" s="2" t="s">
        <v>4306</v>
      </c>
      <c r="C779" s="2" t="n">
        <v>2</v>
      </c>
      <c r="D779" s="2" t="n">
        <v>0</v>
      </c>
      <c r="E779" s="2" t="s">
        <v>4477</v>
      </c>
      <c r="F779" s="2" t="s">
        <v>112</v>
      </c>
      <c r="G779" s="2" t="s">
        <v>4478</v>
      </c>
      <c r="H779" s="2" t="s">
        <v>158</v>
      </c>
      <c r="I779" s="2" t="s">
        <v>2168</v>
      </c>
      <c r="J779" s="2" t="s">
        <v>10499</v>
      </c>
      <c r="K779" s="2" t="s">
        <v>1588</v>
      </c>
      <c r="L779" s="2" t="n">
        <v>0.22</v>
      </c>
      <c r="M779" s="2" t="n">
        <v>1</v>
      </c>
    </row>
    <row r="780" customFormat="false" ht="15" hidden="false" customHeight="false" outlineLevel="0" collapsed="false">
      <c r="A780" s="2" t="n">
        <v>778</v>
      </c>
      <c r="B780" s="2" t="s">
        <v>4306</v>
      </c>
      <c r="C780" s="2" t="n">
        <v>1</v>
      </c>
      <c r="D780" s="2" t="n">
        <v>0</v>
      </c>
      <c r="E780" s="2" t="s">
        <v>4486</v>
      </c>
      <c r="F780" s="2" t="s">
        <v>156</v>
      </c>
      <c r="G780" s="2" t="s">
        <v>4487</v>
      </c>
      <c r="H780" s="2" t="s">
        <v>66</v>
      </c>
      <c r="I780" s="2" t="s">
        <v>1482</v>
      </c>
      <c r="J780" s="2" t="s">
        <v>10500</v>
      </c>
      <c r="K780" s="2" t="s">
        <v>1588</v>
      </c>
      <c r="L780" s="2" t="n">
        <v>0.33</v>
      </c>
      <c r="M780" s="2" t="n">
        <v>1</v>
      </c>
    </row>
    <row r="781" customFormat="false" ht="15" hidden="false" customHeight="false" outlineLevel="0" collapsed="false">
      <c r="A781" s="2" t="n">
        <v>779</v>
      </c>
      <c r="B781" s="2" t="s">
        <v>4306</v>
      </c>
      <c r="C781" s="2" t="n">
        <v>1</v>
      </c>
      <c r="D781" s="2" t="n">
        <v>0</v>
      </c>
      <c r="E781" s="2" t="s">
        <v>4492</v>
      </c>
      <c r="F781" s="2" t="s">
        <v>64</v>
      </c>
      <c r="G781" s="2" t="s">
        <v>4493</v>
      </c>
      <c r="H781" s="2" t="s">
        <v>114</v>
      </c>
      <c r="I781" s="2" t="s">
        <v>1482</v>
      </c>
      <c r="J781" s="2" t="s">
        <v>10501</v>
      </c>
      <c r="K781" s="2" t="s">
        <v>1588</v>
      </c>
      <c r="L781" s="2" t="n">
        <v>0.33</v>
      </c>
      <c r="M781" s="2" t="n">
        <v>0.7</v>
      </c>
    </row>
    <row r="782" customFormat="false" ht="15" hidden="false" customHeight="false" outlineLevel="0" collapsed="false">
      <c r="A782" s="2" t="n">
        <v>780</v>
      </c>
      <c r="B782" s="2" t="s">
        <v>4494</v>
      </c>
      <c r="C782" s="2" t="n">
        <v>3</v>
      </c>
      <c r="D782" s="2" t="n">
        <v>0</v>
      </c>
      <c r="E782" s="2" t="s">
        <v>4500</v>
      </c>
      <c r="F782" s="2" t="s">
        <v>112</v>
      </c>
      <c r="G782" s="2" t="s">
        <v>4501</v>
      </c>
      <c r="H782" s="2" t="s">
        <v>114</v>
      </c>
      <c r="I782" s="2" t="s">
        <v>301</v>
      </c>
      <c r="J782" s="2" t="s">
        <v>10502</v>
      </c>
      <c r="K782" s="2" t="s">
        <v>68</v>
      </c>
      <c r="L782" s="2" t="n">
        <v>0.67</v>
      </c>
      <c r="M782" s="2" t="n">
        <v>1</v>
      </c>
    </row>
    <row r="783" customFormat="false" ht="15" hidden="false" customHeight="false" outlineLevel="0" collapsed="false">
      <c r="A783" s="2" t="n">
        <v>781</v>
      </c>
      <c r="B783" s="2" t="s">
        <v>4494</v>
      </c>
      <c r="C783" s="2" t="n">
        <v>2</v>
      </c>
      <c r="D783" s="2" t="n">
        <v>0</v>
      </c>
      <c r="E783" s="2" t="s">
        <v>4514</v>
      </c>
      <c r="F783" s="2" t="s">
        <v>112</v>
      </c>
      <c r="G783" s="2" t="s">
        <v>4515</v>
      </c>
      <c r="H783" s="2" t="s">
        <v>745</v>
      </c>
      <c r="I783" s="2" t="s">
        <v>2252</v>
      </c>
      <c r="J783" s="2" t="s">
        <v>10503</v>
      </c>
      <c r="K783" s="2" t="s">
        <v>68</v>
      </c>
      <c r="L783" s="2" t="n">
        <v>0.5</v>
      </c>
      <c r="M783" s="2" t="n">
        <v>1</v>
      </c>
    </row>
    <row r="784" customFormat="false" ht="15" hidden="false" customHeight="false" outlineLevel="0" collapsed="false">
      <c r="A784" s="2" t="n">
        <v>782</v>
      </c>
      <c r="B784" s="2" t="s">
        <v>4494</v>
      </c>
      <c r="C784" s="2" t="n">
        <v>1</v>
      </c>
      <c r="D784" s="2" t="n">
        <v>0</v>
      </c>
      <c r="E784" s="2" t="s">
        <v>4524</v>
      </c>
      <c r="F784" s="2" t="s">
        <v>743</v>
      </c>
      <c r="G784" s="2" t="s">
        <v>4525</v>
      </c>
      <c r="H784" s="2" t="s">
        <v>66</v>
      </c>
      <c r="I784" s="2" t="s">
        <v>851</v>
      </c>
      <c r="J784" s="2" t="s">
        <v>10504</v>
      </c>
      <c r="K784" s="2" t="s">
        <v>1588</v>
      </c>
      <c r="L784" s="2" t="n">
        <v>0.4</v>
      </c>
      <c r="M784" s="2" t="n">
        <v>1</v>
      </c>
    </row>
    <row r="785" customFormat="false" ht="15" hidden="false" customHeight="false" outlineLevel="0" collapsed="false">
      <c r="A785" s="2" t="n">
        <v>783</v>
      </c>
      <c r="B785" s="2" t="s">
        <v>4494</v>
      </c>
      <c r="C785" s="2" t="n">
        <v>3</v>
      </c>
      <c r="D785" s="2" t="n">
        <v>0</v>
      </c>
      <c r="E785" s="2" t="s">
        <v>4529</v>
      </c>
      <c r="F785" s="2" t="s">
        <v>64</v>
      </c>
      <c r="G785" s="2" t="s">
        <v>4530</v>
      </c>
      <c r="H785" s="2" t="s">
        <v>66</v>
      </c>
      <c r="I785" s="2" t="s">
        <v>918</v>
      </c>
      <c r="J785" s="2" t="s">
        <v>10505</v>
      </c>
      <c r="K785" s="2" t="s">
        <v>1588</v>
      </c>
      <c r="L785" s="2" t="n">
        <v>0.45</v>
      </c>
      <c r="M785" s="2" t="n">
        <v>0.67</v>
      </c>
    </row>
    <row r="786" customFormat="false" ht="15" hidden="false" customHeight="false" outlineLevel="0" collapsed="false">
      <c r="A786" s="2" t="n">
        <v>784</v>
      </c>
      <c r="B786" s="2" t="s">
        <v>4494</v>
      </c>
      <c r="C786" s="2" t="n">
        <v>1</v>
      </c>
      <c r="D786" s="2" t="n">
        <v>1</v>
      </c>
      <c r="E786" s="2" t="s">
        <v>4539</v>
      </c>
      <c r="F786" s="2" t="s">
        <v>64</v>
      </c>
      <c r="G786" s="2" t="s">
        <v>4540</v>
      </c>
      <c r="H786" s="2" t="s">
        <v>2214</v>
      </c>
      <c r="I786" s="2" t="s">
        <v>67</v>
      </c>
      <c r="J786" s="2" t="s">
        <v>10506</v>
      </c>
      <c r="K786" s="2" t="s">
        <v>1588</v>
      </c>
      <c r="L786" s="2" t="n">
        <v>0.25</v>
      </c>
      <c r="M786" s="2" t="n">
        <v>0.85</v>
      </c>
    </row>
    <row r="787" customFormat="false" ht="15" hidden="false" customHeight="false" outlineLevel="0" collapsed="false">
      <c r="A787" s="2" t="n">
        <v>785</v>
      </c>
      <c r="B787" s="2" t="s">
        <v>4494</v>
      </c>
      <c r="C787" s="2" t="n">
        <v>0</v>
      </c>
      <c r="D787" s="2" t="n">
        <v>0</v>
      </c>
      <c r="E787" s="2" t="s">
        <v>10507</v>
      </c>
      <c r="F787" s="2" t="s">
        <v>3762</v>
      </c>
      <c r="G787" s="2" t="s">
        <v>10508</v>
      </c>
      <c r="H787" s="2" t="s">
        <v>745</v>
      </c>
      <c r="I787" s="2" t="s">
        <v>132</v>
      </c>
      <c r="J787" s="2" t="s">
        <v>10509</v>
      </c>
      <c r="K787" s="2" t="s">
        <v>1588</v>
      </c>
      <c r="L787" s="2" t="n">
        <v>0.14</v>
      </c>
      <c r="M787" s="2" t="n">
        <v>0.75</v>
      </c>
    </row>
    <row r="788" customFormat="false" ht="15" hidden="false" customHeight="false" outlineLevel="0" collapsed="false">
      <c r="A788" s="2" t="n">
        <v>786</v>
      </c>
      <c r="B788" s="2" t="s">
        <v>4494</v>
      </c>
      <c r="C788" s="2" t="n">
        <v>0</v>
      </c>
      <c r="D788" s="2" t="n">
        <v>0</v>
      </c>
      <c r="E788" s="2" t="s">
        <v>10510</v>
      </c>
      <c r="F788" s="2" t="s">
        <v>743</v>
      </c>
      <c r="G788" s="2" t="s">
        <v>10511</v>
      </c>
      <c r="H788" s="2" t="s">
        <v>4544</v>
      </c>
      <c r="I788" s="2" t="s">
        <v>98</v>
      </c>
      <c r="J788" s="2" t="s">
        <v>10512</v>
      </c>
      <c r="K788" s="2" t="s">
        <v>1588</v>
      </c>
      <c r="L788" s="2" t="n">
        <v>0.2</v>
      </c>
      <c r="M788" s="2" t="n">
        <v>0.56</v>
      </c>
    </row>
    <row r="789" customFormat="false" ht="15" hidden="false" customHeight="false" outlineLevel="0" collapsed="false">
      <c r="A789" s="2" t="n">
        <v>787</v>
      </c>
      <c r="B789" s="2" t="s">
        <v>4494</v>
      </c>
      <c r="C789" s="2" t="n">
        <v>0</v>
      </c>
      <c r="D789" s="2" t="n">
        <v>0</v>
      </c>
      <c r="E789" s="2" t="s">
        <v>10513</v>
      </c>
      <c r="F789" s="2" t="s">
        <v>8194</v>
      </c>
      <c r="G789" s="2" t="s">
        <v>10514</v>
      </c>
      <c r="H789" s="2" t="s">
        <v>9189</v>
      </c>
      <c r="I789" s="2" t="s">
        <v>98</v>
      </c>
      <c r="J789" s="2" t="s">
        <v>10515</v>
      </c>
      <c r="K789" s="2" t="s">
        <v>1588</v>
      </c>
      <c r="L789" s="2" t="n">
        <v>0.44</v>
      </c>
      <c r="M789" s="2" t="n">
        <v>0.8</v>
      </c>
    </row>
    <row r="790" customFormat="false" ht="15" hidden="false" customHeight="false" outlineLevel="0" collapsed="false">
      <c r="A790" s="2" t="n">
        <v>788</v>
      </c>
      <c r="B790" s="2" t="s">
        <v>4494</v>
      </c>
      <c r="C790" s="2" t="n">
        <v>0</v>
      </c>
      <c r="D790" s="2" t="n">
        <v>0</v>
      </c>
      <c r="E790" s="2" t="s">
        <v>10516</v>
      </c>
      <c r="F790" s="2" t="s">
        <v>8153</v>
      </c>
      <c r="G790" s="2" t="s">
        <v>10517</v>
      </c>
      <c r="H790" s="2" t="s">
        <v>6370</v>
      </c>
      <c r="I790" s="2" t="s">
        <v>530</v>
      </c>
      <c r="J790" s="2" t="s">
        <v>10518</v>
      </c>
      <c r="K790" s="2" t="s">
        <v>1588</v>
      </c>
      <c r="L790" s="2" t="n">
        <v>0.08</v>
      </c>
      <c r="M790" s="2" t="n">
        <v>0.8</v>
      </c>
    </row>
    <row r="791" customFormat="false" ht="15" hidden="false" customHeight="false" outlineLevel="0" collapsed="false">
      <c r="A791" s="2" t="n">
        <v>789</v>
      </c>
      <c r="B791" s="2" t="s">
        <v>4494</v>
      </c>
      <c r="C791" s="2" t="n">
        <v>0</v>
      </c>
      <c r="D791" s="2" t="n">
        <v>0</v>
      </c>
      <c r="E791" s="2" t="s">
        <v>10519</v>
      </c>
      <c r="F791" s="2" t="s">
        <v>9347</v>
      </c>
      <c r="G791" s="2" t="s">
        <v>10520</v>
      </c>
      <c r="H791" s="2" t="s">
        <v>965</v>
      </c>
      <c r="I791" s="2" t="s">
        <v>421</v>
      </c>
      <c r="J791" s="2" t="s">
        <v>10521</v>
      </c>
      <c r="K791" s="2" t="s">
        <v>160</v>
      </c>
      <c r="L791" s="2" t="n">
        <v>0.43</v>
      </c>
      <c r="M791" s="2" t="n">
        <v>0.5</v>
      </c>
    </row>
    <row r="792" customFormat="false" ht="15" hidden="false" customHeight="false" outlineLevel="0" collapsed="false">
      <c r="A792" s="2" t="n">
        <v>790</v>
      </c>
      <c r="B792" s="2" t="s">
        <v>4494</v>
      </c>
      <c r="C792" s="2" t="n">
        <v>0</v>
      </c>
      <c r="D792" s="2" t="n">
        <v>0</v>
      </c>
      <c r="E792" s="2" t="s">
        <v>10522</v>
      </c>
      <c r="F792" s="2" t="s">
        <v>963</v>
      </c>
      <c r="G792" s="2" t="s">
        <v>10523</v>
      </c>
      <c r="H792" s="2" t="s">
        <v>10524</v>
      </c>
      <c r="I792" s="2" t="s">
        <v>2675</v>
      </c>
      <c r="J792" s="2" t="s">
        <v>10525</v>
      </c>
      <c r="K792" s="2" t="s">
        <v>68</v>
      </c>
      <c r="L792" s="2" t="n">
        <v>0.5</v>
      </c>
      <c r="M792" s="2" t="n">
        <v>0.78</v>
      </c>
    </row>
    <row r="793" customFormat="false" ht="15" hidden="false" customHeight="false" outlineLevel="0" collapsed="false">
      <c r="A793" s="2" t="n">
        <v>791</v>
      </c>
      <c r="B793" s="2" t="s">
        <v>4494</v>
      </c>
      <c r="C793" s="2" t="n">
        <v>0</v>
      </c>
      <c r="D793" s="2" t="n">
        <v>0</v>
      </c>
      <c r="E793" s="2" t="s">
        <v>10526</v>
      </c>
      <c r="F793" s="2" t="s">
        <v>10527</v>
      </c>
      <c r="G793" s="2" t="s">
        <v>10528</v>
      </c>
      <c r="H793" s="2" t="s">
        <v>1500</v>
      </c>
      <c r="I793" s="2" t="s">
        <v>1429</v>
      </c>
      <c r="J793" s="2" t="s">
        <v>10529</v>
      </c>
      <c r="K793" s="2" t="s">
        <v>1588</v>
      </c>
      <c r="L793" s="2" t="n">
        <v>0.12</v>
      </c>
      <c r="M793" s="2" t="n">
        <v>0.88</v>
      </c>
    </row>
    <row r="794" customFormat="false" ht="15" hidden="false" customHeight="false" outlineLevel="0" collapsed="false">
      <c r="A794" s="2" t="n">
        <v>792</v>
      </c>
      <c r="B794" s="2" t="s">
        <v>4494</v>
      </c>
      <c r="C794" s="2" t="n">
        <v>2</v>
      </c>
      <c r="D794" s="2" t="n">
        <v>0</v>
      </c>
      <c r="E794" s="2" t="s">
        <v>4542</v>
      </c>
      <c r="F794" s="2" t="s">
        <v>1498</v>
      </c>
      <c r="G794" s="2" t="s">
        <v>4543</v>
      </c>
      <c r="H794" s="2" t="s">
        <v>4544</v>
      </c>
      <c r="I794" s="2" t="s">
        <v>4545</v>
      </c>
      <c r="J794" s="2" t="s">
        <v>10530</v>
      </c>
      <c r="K794" s="2" t="s">
        <v>1588</v>
      </c>
      <c r="L794" s="2" t="n">
        <v>0.22</v>
      </c>
      <c r="M794" s="2" t="n">
        <v>0.7</v>
      </c>
    </row>
    <row r="795" customFormat="false" ht="15" hidden="false" customHeight="false" outlineLevel="0" collapsed="false">
      <c r="A795" s="2" t="n">
        <v>793</v>
      </c>
      <c r="B795" s="2" t="s">
        <v>4494</v>
      </c>
      <c r="C795" s="2" t="n">
        <v>0</v>
      </c>
      <c r="D795" s="2" t="n">
        <v>0</v>
      </c>
      <c r="E795" s="2" t="s">
        <v>10531</v>
      </c>
      <c r="F795" s="2" t="s">
        <v>8194</v>
      </c>
      <c r="G795" s="2" t="s">
        <v>10532</v>
      </c>
      <c r="H795" s="2" t="s">
        <v>965</v>
      </c>
      <c r="I795" s="2" t="s">
        <v>421</v>
      </c>
      <c r="J795" s="2" t="s">
        <v>10533</v>
      </c>
      <c r="K795" s="2" t="s">
        <v>1588</v>
      </c>
      <c r="L795" s="2" t="n">
        <v>0.12</v>
      </c>
      <c r="M795" s="2" t="n">
        <v>0.67</v>
      </c>
    </row>
    <row r="796" customFormat="false" ht="15" hidden="false" customHeight="false" outlineLevel="0" collapsed="false">
      <c r="A796" s="2" t="n">
        <v>794</v>
      </c>
      <c r="B796" s="2" t="s">
        <v>4494</v>
      </c>
      <c r="C796" s="2" t="n">
        <v>0</v>
      </c>
      <c r="D796" s="2" t="n">
        <v>0</v>
      </c>
      <c r="E796" s="2" t="s">
        <v>10534</v>
      </c>
      <c r="F796" s="2" t="s">
        <v>963</v>
      </c>
      <c r="G796" s="2" t="s">
        <v>10535</v>
      </c>
      <c r="H796" s="2" t="s">
        <v>965</v>
      </c>
      <c r="I796" s="2" t="s">
        <v>262</v>
      </c>
      <c r="J796" s="2" t="s">
        <v>10536</v>
      </c>
      <c r="K796" s="2" t="s">
        <v>1588</v>
      </c>
      <c r="L796" s="2" t="n">
        <v>0.14</v>
      </c>
      <c r="M796" s="2" t="n">
        <v>0.78</v>
      </c>
    </row>
    <row r="797" customFormat="false" ht="15" hidden="false" customHeight="false" outlineLevel="0" collapsed="false">
      <c r="A797" s="2" t="n">
        <v>795</v>
      </c>
      <c r="B797" s="2" t="s">
        <v>4494</v>
      </c>
      <c r="C797" s="2" t="n">
        <v>0</v>
      </c>
      <c r="D797" s="2" t="n">
        <v>0</v>
      </c>
      <c r="E797" s="2" t="s">
        <v>10537</v>
      </c>
      <c r="F797" s="2" t="s">
        <v>963</v>
      </c>
      <c r="G797" s="2" t="s">
        <v>10538</v>
      </c>
      <c r="H797" s="2" t="s">
        <v>745</v>
      </c>
      <c r="I797" s="2" t="s">
        <v>67</v>
      </c>
      <c r="J797" s="2" t="s">
        <v>10539</v>
      </c>
      <c r="K797" s="2" t="s">
        <v>507</v>
      </c>
      <c r="L797" s="2" t="n">
        <v>0</v>
      </c>
      <c r="M797" s="2" t="n">
        <v>0.25</v>
      </c>
    </row>
    <row r="798" customFormat="false" ht="15" hidden="false" customHeight="false" outlineLevel="0" collapsed="false">
      <c r="A798" s="2" t="n">
        <v>796</v>
      </c>
      <c r="B798" s="2" t="s">
        <v>4494</v>
      </c>
      <c r="C798" s="2" t="n">
        <v>1</v>
      </c>
      <c r="D798" s="2" t="n">
        <v>0</v>
      </c>
      <c r="E798" s="2" t="s">
        <v>4553</v>
      </c>
      <c r="F798" s="2" t="s">
        <v>743</v>
      </c>
      <c r="G798" s="2" t="s">
        <v>4554</v>
      </c>
      <c r="H798" s="2" t="s">
        <v>745</v>
      </c>
      <c r="I798" s="2" t="s">
        <v>421</v>
      </c>
      <c r="J798" s="2" t="s">
        <v>10540</v>
      </c>
      <c r="K798" s="2" t="s">
        <v>1588</v>
      </c>
      <c r="L798" s="2" t="n">
        <v>0</v>
      </c>
      <c r="M798" s="2" t="n">
        <v>0.92</v>
      </c>
    </row>
    <row r="799" customFormat="false" ht="15" hidden="false" customHeight="false" outlineLevel="0" collapsed="false">
      <c r="A799" s="2" t="n">
        <v>797</v>
      </c>
      <c r="B799" s="2" t="s">
        <v>4494</v>
      </c>
      <c r="C799" s="2" t="n">
        <v>1</v>
      </c>
      <c r="D799" s="2" t="n">
        <v>0</v>
      </c>
      <c r="E799" s="2" t="s">
        <v>4559</v>
      </c>
      <c r="F799" s="2" t="s">
        <v>743</v>
      </c>
      <c r="G799" s="2" t="s">
        <v>4560</v>
      </c>
      <c r="H799" s="2" t="s">
        <v>4544</v>
      </c>
      <c r="I799" s="2" t="s">
        <v>190</v>
      </c>
      <c r="J799" s="2" t="s">
        <v>10541</v>
      </c>
      <c r="K799" s="2" t="s">
        <v>1588</v>
      </c>
      <c r="L799" s="2" t="n">
        <v>0.14</v>
      </c>
      <c r="M799" s="2" t="n">
        <v>1</v>
      </c>
    </row>
    <row r="800" customFormat="false" ht="15" hidden="false" customHeight="false" outlineLevel="0" collapsed="false">
      <c r="A800" s="2" t="n">
        <v>798</v>
      </c>
      <c r="B800" s="2" t="s">
        <v>4494</v>
      </c>
      <c r="C800" s="2" t="n">
        <v>0</v>
      </c>
      <c r="D800" s="2" t="n">
        <v>0</v>
      </c>
      <c r="E800" s="2" t="s">
        <v>10542</v>
      </c>
      <c r="F800" s="2" t="s">
        <v>8194</v>
      </c>
      <c r="G800" s="2" t="s">
        <v>6304</v>
      </c>
      <c r="H800" s="2" t="s">
        <v>745</v>
      </c>
      <c r="I800" s="2" t="s">
        <v>159</v>
      </c>
      <c r="J800" s="2" t="s">
        <v>10543</v>
      </c>
      <c r="K800" s="2" t="s">
        <v>1588</v>
      </c>
      <c r="L800" s="2" t="n">
        <v>0</v>
      </c>
      <c r="M800" s="2" t="n">
        <v>0.86</v>
      </c>
    </row>
    <row r="801" customFormat="false" ht="15" hidden="false" customHeight="false" outlineLevel="0" collapsed="false">
      <c r="A801" s="2" t="n">
        <v>799</v>
      </c>
      <c r="B801" s="2" t="s">
        <v>4494</v>
      </c>
      <c r="C801" s="2" t="n">
        <v>0</v>
      </c>
      <c r="D801" s="2" t="n">
        <v>0</v>
      </c>
      <c r="E801" s="2" t="s">
        <v>10544</v>
      </c>
      <c r="F801" s="2" t="s">
        <v>743</v>
      </c>
      <c r="G801" s="2" t="s">
        <v>6313</v>
      </c>
      <c r="H801" s="2" t="s">
        <v>420</v>
      </c>
      <c r="I801" s="2" t="s">
        <v>813</v>
      </c>
      <c r="J801" s="2" t="s">
        <v>10545</v>
      </c>
      <c r="K801" s="2" t="s">
        <v>1588</v>
      </c>
      <c r="L801" s="2" t="n">
        <v>0.11</v>
      </c>
      <c r="M801" s="2" t="n">
        <v>0.7</v>
      </c>
    </row>
    <row r="802" customFormat="false" ht="15" hidden="false" customHeight="false" outlineLevel="0" collapsed="false">
      <c r="A802" s="2" t="n">
        <v>800</v>
      </c>
      <c r="B802" s="2" t="s">
        <v>4494</v>
      </c>
      <c r="C802" s="2" t="n">
        <v>1</v>
      </c>
      <c r="D802" s="2" t="n">
        <v>1</v>
      </c>
      <c r="E802" s="2" t="s">
        <v>4566</v>
      </c>
      <c r="F802" s="2" t="s">
        <v>4567</v>
      </c>
      <c r="G802" s="2" t="s">
        <v>4568</v>
      </c>
      <c r="H802" s="2" t="s">
        <v>4569</v>
      </c>
      <c r="I802" s="2" t="s">
        <v>262</v>
      </c>
      <c r="J802" s="2" t="s">
        <v>10546</v>
      </c>
      <c r="K802" s="2" t="s">
        <v>160</v>
      </c>
      <c r="L802" s="2" t="n">
        <v>0.38</v>
      </c>
      <c r="M802" s="2" t="n">
        <v>1</v>
      </c>
    </row>
    <row r="803" customFormat="false" ht="15" hidden="false" customHeight="false" outlineLevel="0" collapsed="false">
      <c r="A803" s="2" t="n">
        <v>801</v>
      </c>
      <c r="B803" s="2" t="s">
        <v>4494</v>
      </c>
      <c r="C803" s="2" t="n">
        <v>1</v>
      </c>
      <c r="D803" s="2" t="n">
        <v>1</v>
      </c>
      <c r="E803" s="2" t="s">
        <v>4574</v>
      </c>
      <c r="F803" s="2" t="s">
        <v>4567</v>
      </c>
      <c r="G803" s="2" t="s">
        <v>65</v>
      </c>
      <c r="H803" s="2" t="s">
        <v>66</v>
      </c>
      <c r="I803" s="2" t="s">
        <v>67</v>
      </c>
      <c r="J803" s="2" t="s">
        <v>10547</v>
      </c>
      <c r="K803" s="2" t="s">
        <v>507</v>
      </c>
      <c r="L803" s="2" t="n">
        <v>0</v>
      </c>
      <c r="M803" s="2" t="n">
        <v>1</v>
      </c>
    </row>
    <row r="804" customFormat="false" ht="15" hidden="false" customHeight="false" outlineLevel="0" collapsed="false">
      <c r="A804" s="2" t="n">
        <v>802</v>
      </c>
      <c r="B804" s="2" t="s">
        <v>4494</v>
      </c>
      <c r="C804" s="2" t="n">
        <v>1</v>
      </c>
      <c r="D804" s="2" t="n">
        <v>0</v>
      </c>
      <c r="E804" s="2" t="s">
        <v>4581</v>
      </c>
      <c r="F804" s="2" t="s">
        <v>4582</v>
      </c>
      <c r="G804" s="2" t="s">
        <v>113</v>
      </c>
      <c r="H804" s="2" t="s">
        <v>114</v>
      </c>
      <c r="I804" s="2" t="s">
        <v>115</v>
      </c>
      <c r="J804" s="2" t="s">
        <v>10548</v>
      </c>
      <c r="K804" s="2" t="s">
        <v>160</v>
      </c>
      <c r="L804" s="2" t="n">
        <v>0.33</v>
      </c>
      <c r="M804" s="2" t="n">
        <v>0.62</v>
      </c>
    </row>
    <row r="805" customFormat="false" ht="15" hidden="false" customHeight="false" outlineLevel="0" collapsed="false">
      <c r="A805" s="2" t="n">
        <v>803</v>
      </c>
      <c r="B805" s="2" t="s">
        <v>4494</v>
      </c>
      <c r="C805" s="2" t="n">
        <v>4</v>
      </c>
      <c r="D805" s="2" t="n">
        <v>1</v>
      </c>
      <c r="E805" s="2" t="s">
        <v>4586</v>
      </c>
      <c r="F805" s="2" t="s">
        <v>4587</v>
      </c>
      <c r="G805" s="2" t="s">
        <v>130</v>
      </c>
      <c r="H805" s="2" t="s">
        <v>131</v>
      </c>
      <c r="I805" s="2" t="s">
        <v>132</v>
      </c>
      <c r="J805" s="2" t="s">
        <v>10549</v>
      </c>
      <c r="K805" s="2" t="s">
        <v>507</v>
      </c>
      <c r="L805" s="2" t="n">
        <v>0.12</v>
      </c>
      <c r="M805" s="2" t="n">
        <v>0.75</v>
      </c>
    </row>
    <row r="806" customFormat="false" ht="15" hidden="false" customHeight="false" outlineLevel="0" collapsed="false">
      <c r="A806" s="2" t="n">
        <v>804</v>
      </c>
      <c r="B806" s="2" t="s">
        <v>4494</v>
      </c>
      <c r="C806" s="2" t="n">
        <v>0</v>
      </c>
      <c r="D806" s="2" t="n">
        <v>0</v>
      </c>
      <c r="E806" s="2" t="s">
        <v>10550</v>
      </c>
      <c r="F806" s="2" t="s">
        <v>10551</v>
      </c>
      <c r="G806" s="2" t="s">
        <v>511</v>
      </c>
      <c r="H806" s="2" t="s">
        <v>455</v>
      </c>
      <c r="I806" s="2" t="s">
        <v>512</v>
      </c>
      <c r="J806" s="2" t="s">
        <v>10552</v>
      </c>
      <c r="K806" s="2" t="s">
        <v>507</v>
      </c>
      <c r="L806" s="2" t="n">
        <v>0.1</v>
      </c>
      <c r="M806" s="2" t="n">
        <v>0.8</v>
      </c>
    </row>
    <row r="807" customFormat="false" ht="15" hidden="false" customHeight="false" outlineLevel="0" collapsed="false">
      <c r="A807" s="2" t="n">
        <v>805</v>
      </c>
      <c r="B807" s="2" t="s">
        <v>4494</v>
      </c>
      <c r="C807" s="2" t="n">
        <v>0</v>
      </c>
      <c r="D807" s="2" t="n">
        <v>0</v>
      </c>
      <c r="E807" s="2" t="s">
        <v>10553</v>
      </c>
      <c r="F807" s="2" t="s">
        <v>10554</v>
      </c>
      <c r="G807" s="2" t="s">
        <v>9437</v>
      </c>
      <c r="H807" s="2" t="s">
        <v>6718</v>
      </c>
      <c r="I807" s="2" t="s">
        <v>1429</v>
      </c>
      <c r="J807" s="2" t="s">
        <v>10555</v>
      </c>
      <c r="K807" s="2" t="s">
        <v>507</v>
      </c>
      <c r="L807" s="2" t="n">
        <v>0.11</v>
      </c>
      <c r="M807" s="2" t="n">
        <v>1</v>
      </c>
    </row>
    <row r="808" customFormat="false" ht="15" hidden="false" customHeight="false" outlineLevel="0" collapsed="false">
      <c r="A808" s="2" t="n">
        <v>806</v>
      </c>
      <c r="B808" s="2" t="s">
        <v>4494</v>
      </c>
      <c r="C808" s="2" t="n">
        <v>1</v>
      </c>
      <c r="D808" s="2" t="n">
        <v>1</v>
      </c>
      <c r="E808" s="2" t="s">
        <v>4597</v>
      </c>
      <c r="F808" s="2" t="s">
        <v>743</v>
      </c>
      <c r="G808" s="2" t="s">
        <v>1460</v>
      </c>
      <c r="H808" s="2" t="s">
        <v>420</v>
      </c>
      <c r="I808" s="2" t="s">
        <v>697</v>
      </c>
      <c r="J808" s="2" t="s">
        <v>10556</v>
      </c>
      <c r="K808" s="2" t="s">
        <v>507</v>
      </c>
      <c r="L808" s="2" t="n">
        <v>0.2</v>
      </c>
      <c r="M808" s="2" t="n">
        <v>0.82</v>
      </c>
    </row>
    <row r="809" customFormat="false" ht="15" hidden="false" customHeight="false" outlineLevel="0" collapsed="false">
      <c r="A809" s="2" t="n">
        <v>807</v>
      </c>
      <c r="B809" s="2" t="s">
        <v>4494</v>
      </c>
      <c r="C809" s="2" t="n">
        <v>1</v>
      </c>
      <c r="D809" s="2" t="n">
        <v>1</v>
      </c>
      <c r="E809" s="2" t="s">
        <v>4604</v>
      </c>
      <c r="F809" s="2" t="s">
        <v>580</v>
      </c>
      <c r="G809" s="2" t="s">
        <v>4605</v>
      </c>
      <c r="H809" s="2" t="s">
        <v>2948</v>
      </c>
      <c r="I809" s="2" t="s">
        <v>4606</v>
      </c>
      <c r="J809" s="4" t="s">
        <v>10557</v>
      </c>
      <c r="K809" s="2" t="s">
        <v>507</v>
      </c>
      <c r="L809" s="2" t="n">
        <v>0</v>
      </c>
      <c r="M809" s="2" t="n">
        <v>0.67</v>
      </c>
    </row>
    <row r="810" customFormat="false" ht="15" hidden="false" customHeight="false" outlineLevel="0" collapsed="false">
      <c r="A810" s="2" t="n">
        <v>808</v>
      </c>
      <c r="B810" s="2" t="s">
        <v>4494</v>
      </c>
      <c r="C810" s="2" t="n">
        <v>0</v>
      </c>
      <c r="D810" s="2" t="n">
        <v>0</v>
      </c>
      <c r="E810" s="2" t="s">
        <v>10558</v>
      </c>
      <c r="F810" s="2" t="s">
        <v>4614</v>
      </c>
      <c r="G810" s="2" t="s">
        <v>1466</v>
      </c>
      <c r="H810" s="2" t="s">
        <v>420</v>
      </c>
      <c r="I810" s="2" t="s">
        <v>1217</v>
      </c>
      <c r="J810" s="2" t="s">
        <v>10559</v>
      </c>
      <c r="K810" s="2" t="s">
        <v>507</v>
      </c>
      <c r="L810" s="2" t="n">
        <v>0</v>
      </c>
      <c r="M810" s="2" t="n">
        <v>0.45</v>
      </c>
    </row>
    <row r="811" customFormat="false" ht="15" hidden="false" customHeight="false" outlineLevel="0" collapsed="false">
      <c r="A811" s="2" t="n">
        <v>809</v>
      </c>
      <c r="B811" s="2" t="s">
        <v>4494</v>
      </c>
      <c r="C811" s="2" t="n">
        <v>0</v>
      </c>
      <c r="D811" s="2" t="n">
        <v>0</v>
      </c>
      <c r="E811" s="2" t="s">
        <v>10560</v>
      </c>
      <c r="F811" s="2" t="s">
        <v>743</v>
      </c>
      <c r="G811" s="2" t="s">
        <v>9444</v>
      </c>
      <c r="H811" s="2" t="s">
        <v>1525</v>
      </c>
      <c r="I811" s="2" t="s">
        <v>1774</v>
      </c>
      <c r="J811" s="2" t="s">
        <v>10561</v>
      </c>
      <c r="K811" s="2" t="s">
        <v>507</v>
      </c>
      <c r="L811" s="2" t="n">
        <v>0</v>
      </c>
      <c r="M811" s="2" t="n">
        <v>0.75</v>
      </c>
    </row>
    <row r="812" customFormat="false" ht="15" hidden="false" customHeight="false" outlineLevel="0" collapsed="false">
      <c r="A812" s="2" t="n">
        <v>810</v>
      </c>
      <c r="B812" s="2" t="s">
        <v>4607</v>
      </c>
      <c r="C812" s="2" t="n">
        <v>0</v>
      </c>
      <c r="D812" s="2" t="n">
        <v>0</v>
      </c>
      <c r="E812" s="2" t="s">
        <v>10562</v>
      </c>
      <c r="F812" s="2" t="s">
        <v>9347</v>
      </c>
      <c r="G812" s="2" t="s">
        <v>9447</v>
      </c>
      <c r="H812" s="2" t="s">
        <v>2561</v>
      </c>
      <c r="I812" s="2" t="s">
        <v>98</v>
      </c>
      <c r="J812" s="2" t="s">
        <v>10563</v>
      </c>
      <c r="K812" s="2" t="s">
        <v>507</v>
      </c>
      <c r="L812" s="2" t="n">
        <v>0</v>
      </c>
      <c r="M812" s="2" t="n">
        <v>0.82</v>
      </c>
    </row>
    <row r="813" customFormat="false" ht="15" hidden="false" customHeight="false" outlineLevel="0" collapsed="false">
      <c r="A813" s="2" t="n">
        <v>811</v>
      </c>
      <c r="B813" s="2" t="s">
        <v>4607</v>
      </c>
      <c r="C813" s="2" t="n">
        <v>0</v>
      </c>
      <c r="D813" s="2" t="n">
        <v>0</v>
      </c>
      <c r="E813" s="2" t="s">
        <v>10564</v>
      </c>
      <c r="F813" s="2" t="s">
        <v>7140</v>
      </c>
      <c r="G813" s="2" t="s">
        <v>9450</v>
      </c>
      <c r="H813" s="2" t="s">
        <v>696</v>
      </c>
      <c r="I813" s="2" t="s">
        <v>487</v>
      </c>
      <c r="J813" s="2" t="s">
        <v>10565</v>
      </c>
      <c r="K813" s="2" t="s">
        <v>507</v>
      </c>
      <c r="L813" s="2" t="n">
        <v>0.12</v>
      </c>
      <c r="M813" s="2" t="n">
        <v>0.91</v>
      </c>
    </row>
    <row r="814" customFormat="false" ht="15" hidden="false" customHeight="false" outlineLevel="0" collapsed="false">
      <c r="A814" s="2" t="n">
        <v>812</v>
      </c>
      <c r="B814" s="2" t="s">
        <v>4607</v>
      </c>
      <c r="C814" s="2" t="n">
        <v>0</v>
      </c>
      <c r="D814" s="2" t="n">
        <v>0</v>
      </c>
      <c r="E814" s="2" t="s">
        <v>10566</v>
      </c>
      <c r="F814" s="2" t="s">
        <v>8194</v>
      </c>
      <c r="G814" s="2" t="s">
        <v>9454</v>
      </c>
      <c r="H814" s="2" t="s">
        <v>9453</v>
      </c>
      <c r="I814" s="2" t="s">
        <v>945</v>
      </c>
      <c r="J814" s="2" t="s">
        <v>10567</v>
      </c>
      <c r="K814" s="2" t="s">
        <v>507</v>
      </c>
      <c r="L814" s="2" t="n">
        <v>0</v>
      </c>
      <c r="M814" s="2" t="n">
        <v>0.71</v>
      </c>
    </row>
    <row r="815" customFormat="false" ht="15" hidden="false" customHeight="false" outlineLevel="0" collapsed="false">
      <c r="A815" s="2" t="n">
        <v>813</v>
      </c>
      <c r="B815" s="2" t="s">
        <v>4607</v>
      </c>
      <c r="C815" s="2" t="n">
        <v>0</v>
      </c>
      <c r="D815" s="2" t="n">
        <v>0</v>
      </c>
      <c r="E815" s="2" t="s">
        <v>10568</v>
      </c>
      <c r="F815" s="2" t="s">
        <v>9388</v>
      </c>
      <c r="G815" s="2" t="s">
        <v>9457</v>
      </c>
      <c r="H815" s="2" t="s">
        <v>1137</v>
      </c>
      <c r="I815" s="2" t="s">
        <v>1078</v>
      </c>
      <c r="J815" s="2" t="s">
        <v>10569</v>
      </c>
      <c r="K815" s="2" t="s">
        <v>507</v>
      </c>
      <c r="L815" s="2" t="n">
        <v>0</v>
      </c>
      <c r="M815" s="2" t="n">
        <v>0.9</v>
      </c>
    </row>
    <row r="816" customFormat="false" ht="15" hidden="false" customHeight="false" outlineLevel="0" collapsed="false">
      <c r="A816" s="2" t="n">
        <v>814</v>
      </c>
      <c r="B816" s="2" t="s">
        <v>4607</v>
      </c>
      <c r="C816" s="2" t="n">
        <v>1</v>
      </c>
      <c r="D816" s="2" t="n">
        <v>0</v>
      </c>
      <c r="E816" s="2" t="s">
        <v>4613</v>
      </c>
      <c r="F816" s="2" t="s">
        <v>4614</v>
      </c>
      <c r="G816" s="2" t="s">
        <v>4615</v>
      </c>
      <c r="H816" s="2" t="s">
        <v>1077</v>
      </c>
      <c r="I816" s="2" t="s">
        <v>1354</v>
      </c>
      <c r="J816" s="2" t="s">
        <v>10570</v>
      </c>
      <c r="K816" s="2" t="s">
        <v>507</v>
      </c>
      <c r="L816" s="2" t="n">
        <v>0.08</v>
      </c>
      <c r="M816" s="2" t="n">
        <v>1</v>
      </c>
    </row>
    <row r="817" customFormat="false" ht="15" hidden="false" customHeight="false" outlineLevel="0" collapsed="false">
      <c r="A817" s="2" t="n">
        <v>815</v>
      </c>
      <c r="B817" s="2" t="s">
        <v>4607</v>
      </c>
      <c r="C817" s="2" t="n">
        <v>0</v>
      </c>
      <c r="D817" s="2" t="n">
        <v>0</v>
      </c>
      <c r="E817" s="2" t="s">
        <v>10571</v>
      </c>
      <c r="F817" s="2" t="s">
        <v>694</v>
      </c>
      <c r="G817" s="2" t="s">
        <v>1474</v>
      </c>
      <c r="H817" s="2" t="s">
        <v>1475</v>
      </c>
      <c r="I817" s="2" t="s">
        <v>190</v>
      </c>
      <c r="J817" s="2" t="s">
        <v>10572</v>
      </c>
      <c r="K817" s="2" t="s">
        <v>507</v>
      </c>
      <c r="L817" s="2" t="n">
        <v>0.29</v>
      </c>
      <c r="M817" s="2" t="n">
        <v>0.56</v>
      </c>
    </row>
    <row r="818" customFormat="false" ht="15" hidden="false" customHeight="false" outlineLevel="0" collapsed="false">
      <c r="A818" s="2" t="n">
        <v>816</v>
      </c>
      <c r="B818" s="2" t="s">
        <v>4607</v>
      </c>
      <c r="C818" s="2" t="n">
        <v>0</v>
      </c>
      <c r="D818" s="2" t="n">
        <v>0</v>
      </c>
      <c r="E818" s="2" t="s">
        <v>10573</v>
      </c>
      <c r="F818" s="2" t="s">
        <v>4742</v>
      </c>
      <c r="G818" s="2" t="s">
        <v>9463</v>
      </c>
      <c r="H818" s="2" t="s">
        <v>3544</v>
      </c>
      <c r="I818" s="2" t="s">
        <v>1055</v>
      </c>
      <c r="J818" s="2" t="s">
        <v>10574</v>
      </c>
      <c r="K818" s="2" t="s">
        <v>507</v>
      </c>
      <c r="L818" s="2" t="n">
        <v>0</v>
      </c>
      <c r="M818" s="2" t="n">
        <v>0.67</v>
      </c>
    </row>
    <row r="819" customFormat="false" ht="15" hidden="false" customHeight="false" outlineLevel="0" collapsed="false">
      <c r="A819" s="2" t="n">
        <v>817</v>
      </c>
      <c r="B819" s="2" t="s">
        <v>4607</v>
      </c>
      <c r="C819" s="2" t="n">
        <v>0</v>
      </c>
      <c r="D819" s="2" t="n">
        <v>0</v>
      </c>
      <c r="E819" s="2" t="s">
        <v>10575</v>
      </c>
      <c r="F819" s="2" t="s">
        <v>1144</v>
      </c>
      <c r="G819" s="2" t="s">
        <v>10576</v>
      </c>
      <c r="H819" s="2" t="s">
        <v>10577</v>
      </c>
      <c r="I819" s="2" t="s">
        <v>686</v>
      </c>
      <c r="J819" s="2" t="s">
        <v>10578</v>
      </c>
      <c r="K819" s="2" t="s">
        <v>507</v>
      </c>
      <c r="L819" s="2" t="n">
        <v>0</v>
      </c>
      <c r="M819" s="2" t="n">
        <v>0.83</v>
      </c>
    </row>
    <row r="820" customFormat="false" ht="15" hidden="false" customHeight="false" outlineLevel="0" collapsed="false">
      <c r="A820" s="2" t="n">
        <v>818</v>
      </c>
      <c r="B820" s="2" t="s">
        <v>4607</v>
      </c>
      <c r="C820" s="2" t="n">
        <v>0</v>
      </c>
      <c r="D820" s="2" t="n">
        <v>0</v>
      </c>
      <c r="E820" s="2" t="s">
        <v>10579</v>
      </c>
      <c r="F820" s="2" t="s">
        <v>2212</v>
      </c>
      <c r="G820" s="2" t="s">
        <v>9467</v>
      </c>
      <c r="H820" s="2" t="s">
        <v>9466</v>
      </c>
      <c r="I820" s="2" t="s">
        <v>821</v>
      </c>
      <c r="J820" s="2" t="s">
        <v>10580</v>
      </c>
      <c r="K820" s="2" t="s">
        <v>507</v>
      </c>
      <c r="L820" s="2" t="n">
        <v>0</v>
      </c>
      <c r="M820" s="2" t="n">
        <v>0.75</v>
      </c>
    </row>
    <row r="821" customFormat="false" ht="15" hidden="false" customHeight="false" outlineLevel="0" collapsed="false">
      <c r="A821" s="2" t="n">
        <v>819</v>
      </c>
      <c r="B821" s="2" t="s">
        <v>4607</v>
      </c>
      <c r="C821" s="2" t="n">
        <v>0</v>
      </c>
      <c r="D821" s="2" t="n">
        <v>0</v>
      </c>
      <c r="E821" s="2" t="s">
        <v>10581</v>
      </c>
      <c r="F821" s="2" t="s">
        <v>4614</v>
      </c>
      <c r="G821" s="2" t="s">
        <v>9471</v>
      </c>
      <c r="H821" s="2" t="s">
        <v>9470</v>
      </c>
      <c r="I821" s="2" t="s">
        <v>1574</v>
      </c>
      <c r="J821" s="2" t="s">
        <v>10582</v>
      </c>
      <c r="K821" s="2" t="s">
        <v>160</v>
      </c>
      <c r="L821" s="2" t="n">
        <v>0.3</v>
      </c>
      <c r="M821" s="2" t="n">
        <v>0.89</v>
      </c>
    </row>
    <row r="822" customFormat="false" ht="15" hidden="false" customHeight="false" outlineLevel="0" collapsed="false">
      <c r="A822" s="2" t="n">
        <v>820</v>
      </c>
      <c r="B822" s="2" t="s">
        <v>4607</v>
      </c>
      <c r="C822" s="2" t="n">
        <v>0</v>
      </c>
      <c r="D822" s="2" t="n">
        <v>0</v>
      </c>
      <c r="E822" s="2" t="s">
        <v>10583</v>
      </c>
      <c r="F822" s="2" t="s">
        <v>6694</v>
      </c>
      <c r="G822" s="2" t="s">
        <v>10584</v>
      </c>
      <c r="H822" s="2" t="s">
        <v>1077</v>
      </c>
      <c r="I822" s="2" t="s">
        <v>204</v>
      </c>
      <c r="J822" s="2" t="s">
        <v>10585</v>
      </c>
      <c r="K822" s="2" t="s">
        <v>507</v>
      </c>
      <c r="L822" s="2" t="n">
        <v>0</v>
      </c>
      <c r="M822" s="2" t="n">
        <v>0.17</v>
      </c>
    </row>
    <row r="823" customFormat="false" ht="15" hidden="false" customHeight="false" outlineLevel="0" collapsed="false">
      <c r="A823" s="2" t="n">
        <v>821</v>
      </c>
      <c r="B823" s="2" t="s">
        <v>4607</v>
      </c>
      <c r="C823" s="2" t="n">
        <v>0</v>
      </c>
      <c r="D823" s="2" t="n">
        <v>0</v>
      </c>
      <c r="E823" s="2" t="s">
        <v>10586</v>
      </c>
      <c r="F823" s="2" t="s">
        <v>8498</v>
      </c>
      <c r="G823" s="2" t="s">
        <v>9474</v>
      </c>
      <c r="H823" s="2" t="s">
        <v>745</v>
      </c>
      <c r="I823" s="2" t="s">
        <v>2825</v>
      </c>
      <c r="J823" s="2" t="s">
        <v>10587</v>
      </c>
      <c r="K823" s="2" t="s">
        <v>507</v>
      </c>
      <c r="L823" s="2" t="n">
        <v>0</v>
      </c>
      <c r="M823" s="2" t="n">
        <v>0.4</v>
      </c>
    </row>
    <row r="824" customFormat="false" ht="15" hidden="false" customHeight="false" outlineLevel="0" collapsed="false">
      <c r="A824" s="2" t="n">
        <v>822</v>
      </c>
      <c r="B824" s="2" t="s">
        <v>4607</v>
      </c>
      <c r="C824" s="2" t="n">
        <v>0</v>
      </c>
      <c r="D824" s="2" t="n">
        <v>0</v>
      </c>
      <c r="E824" s="2" t="s">
        <v>10588</v>
      </c>
      <c r="F824" s="2" t="s">
        <v>6500</v>
      </c>
      <c r="G824" s="2" t="s">
        <v>9477</v>
      </c>
      <c r="H824" s="2" t="s">
        <v>696</v>
      </c>
      <c r="I824" s="2" t="s">
        <v>2506</v>
      </c>
      <c r="J824" s="2" t="s">
        <v>10589</v>
      </c>
      <c r="K824" s="2" t="s">
        <v>507</v>
      </c>
      <c r="L824" s="2" t="n">
        <v>0.12</v>
      </c>
      <c r="M824" s="2" t="n">
        <v>1</v>
      </c>
    </row>
    <row r="825" customFormat="false" ht="15" hidden="false" customHeight="false" outlineLevel="0" collapsed="false">
      <c r="A825" s="2" t="n">
        <v>823</v>
      </c>
      <c r="B825" s="2" t="s">
        <v>4607</v>
      </c>
      <c r="C825" s="2" t="n">
        <v>0</v>
      </c>
      <c r="D825" s="2" t="n">
        <v>0</v>
      </c>
      <c r="E825" s="2" t="s">
        <v>10590</v>
      </c>
      <c r="F825" s="2" t="s">
        <v>743</v>
      </c>
      <c r="G825" s="2" t="s">
        <v>9480</v>
      </c>
      <c r="H825" s="2" t="s">
        <v>696</v>
      </c>
      <c r="I825" s="2" t="s">
        <v>1634</v>
      </c>
      <c r="J825" s="2" t="s">
        <v>10591</v>
      </c>
      <c r="K825" s="2" t="s">
        <v>507</v>
      </c>
      <c r="L825" s="2" t="n">
        <v>0</v>
      </c>
      <c r="M825" s="2" t="n">
        <v>1</v>
      </c>
    </row>
    <row r="826" customFormat="false" ht="15" hidden="false" customHeight="false" outlineLevel="0" collapsed="false">
      <c r="A826" s="2" t="n">
        <v>824</v>
      </c>
      <c r="B826" s="2" t="s">
        <v>4607</v>
      </c>
      <c r="C826" s="2" t="n">
        <v>0</v>
      </c>
      <c r="D826" s="2" t="n">
        <v>0</v>
      </c>
      <c r="E826" s="2" t="s">
        <v>10592</v>
      </c>
      <c r="F826" s="2" t="s">
        <v>10554</v>
      </c>
      <c r="G826" s="2" t="s">
        <v>9483</v>
      </c>
      <c r="H826" s="2" t="s">
        <v>745</v>
      </c>
      <c r="I826" s="2" t="s">
        <v>2825</v>
      </c>
      <c r="J826" s="2" t="s">
        <v>10593</v>
      </c>
      <c r="K826" s="2" t="s">
        <v>507</v>
      </c>
      <c r="L826" s="2" t="n">
        <v>0</v>
      </c>
      <c r="M826" s="2" t="n">
        <v>1</v>
      </c>
    </row>
    <row r="827" customFormat="false" ht="15" hidden="false" customHeight="false" outlineLevel="0" collapsed="false">
      <c r="A827" s="2" t="n">
        <v>825</v>
      </c>
      <c r="B827" s="2" t="s">
        <v>4607</v>
      </c>
      <c r="C827" s="2" t="n">
        <v>0</v>
      </c>
      <c r="D827" s="2" t="n">
        <v>0</v>
      </c>
      <c r="E827" s="2" t="s">
        <v>10594</v>
      </c>
      <c r="F827" s="2" t="s">
        <v>694</v>
      </c>
      <c r="G827" s="2" t="s">
        <v>9486</v>
      </c>
      <c r="H827" s="2" t="s">
        <v>745</v>
      </c>
      <c r="I827" s="2" t="s">
        <v>204</v>
      </c>
      <c r="J827" s="2" t="s">
        <v>10595</v>
      </c>
      <c r="K827" s="2" t="s">
        <v>507</v>
      </c>
      <c r="L827" s="2" t="n">
        <v>0</v>
      </c>
      <c r="M827" s="2" t="n">
        <v>0.67</v>
      </c>
    </row>
    <row r="828" customFormat="false" ht="15" hidden="false" customHeight="false" outlineLevel="0" collapsed="false">
      <c r="A828" s="2" t="n">
        <v>826</v>
      </c>
      <c r="B828" s="2" t="s">
        <v>4607</v>
      </c>
      <c r="C828" s="2" t="n">
        <v>0</v>
      </c>
      <c r="D828" s="2" t="n">
        <v>0</v>
      </c>
      <c r="E828" s="2" t="s">
        <v>10596</v>
      </c>
      <c r="F828" s="2" t="s">
        <v>694</v>
      </c>
      <c r="G828" s="2" t="s">
        <v>9489</v>
      </c>
      <c r="H828" s="2" t="s">
        <v>1500</v>
      </c>
      <c r="I828" s="2" t="s">
        <v>2825</v>
      </c>
      <c r="J828" s="2" t="s">
        <v>10597</v>
      </c>
      <c r="K828" s="2" t="s">
        <v>507</v>
      </c>
      <c r="L828" s="2" t="n">
        <v>0.12</v>
      </c>
      <c r="M828" s="2" t="n">
        <v>0.75</v>
      </c>
    </row>
    <row r="829" customFormat="false" ht="15" hidden="false" customHeight="false" outlineLevel="0" collapsed="false">
      <c r="A829" s="2" t="n">
        <v>827</v>
      </c>
      <c r="B829" s="2" t="s">
        <v>4607</v>
      </c>
      <c r="C829" s="2" t="n">
        <v>0</v>
      </c>
      <c r="D829" s="2" t="n">
        <v>0</v>
      </c>
      <c r="E829" s="2" t="s">
        <v>10598</v>
      </c>
      <c r="F829" s="2" t="s">
        <v>3318</v>
      </c>
      <c r="G829" s="2" t="s">
        <v>9492</v>
      </c>
      <c r="H829" s="2" t="s">
        <v>603</v>
      </c>
      <c r="I829" s="2" t="s">
        <v>283</v>
      </c>
      <c r="J829" s="2" t="s">
        <v>10599</v>
      </c>
      <c r="K829" s="2" t="s">
        <v>507</v>
      </c>
      <c r="L829" s="2" t="n">
        <v>0</v>
      </c>
      <c r="M829" s="2" t="n">
        <v>0.62</v>
      </c>
    </row>
    <row r="830" customFormat="false" ht="15" hidden="false" customHeight="false" outlineLevel="0" collapsed="false">
      <c r="A830" s="2" t="n">
        <v>828</v>
      </c>
      <c r="B830" s="2" t="s">
        <v>4607</v>
      </c>
      <c r="C830" s="2" t="n">
        <v>3</v>
      </c>
      <c r="D830" s="2" t="n">
        <v>0</v>
      </c>
      <c r="E830" s="2" t="s">
        <v>4621</v>
      </c>
      <c r="F830" s="2" t="s">
        <v>4622</v>
      </c>
      <c r="G830" s="2" t="s">
        <v>1481</v>
      </c>
      <c r="H830" s="2" t="s">
        <v>1170</v>
      </c>
      <c r="I830" s="2" t="s">
        <v>1482</v>
      </c>
      <c r="J830" s="2" t="s">
        <v>10600</v>
      </c>
      <c r="K830" s="2" t="s">
        <v>68</v>
      </c>
      <c r="L830" s="2" t="n">
        <v>0.67</v>
      </c>
      <c r="M830" s="2" t="n">
        <v>0.47</v>
      </c>
    </row>
    <row r="831" customFormat="false" ht="15" hidden="false" customHeight="false" outlineLevel="0" collapsed="false">
      <c r="A831" s="2" t="n">
        <v>829</v>
      </c>
      <c r="B831" s="2" t="s">
        <v>4607</v>
      </c>
      <c r="C831" s="2" t="n">
        <v>1</v>
      </c>
      <c r="D831" s="2" t="n">
        <v>1</v>
      </c>
      <c r="E831" s="2" t="s">
        <v>4635</v>
      </c>
      <c r="F831" s="2" t="s">
        <v>743</v>
      </c>
      <c r="G831" s="2" t="s">
        <v>1491</v>
      </c>
      <c r="H831" s="2" t="s">
        <v>1170</v>
      </c>
      <c r="I831" s="2" t="s">
        <v>487</v>
      </c>
      <c r="J831" s="2" t="s">
        <v>10601</v>
      </c>
      <c r="K831" s="2" t="s">
        <v>507</v>
      </c>
      <c r="L831" s="2" t="n">
        <v>0.17</v>
      </c>
      <c r="M831" s="2" t="n">
        <v>0.92</v>
      </c>
    </row>
    <row r="832" customFormat="false" ht="15" hidden="false" customHeight="false" outlineLevel="0" collapsed="false">
      <c r="A832" s="2" t="n">
        <v>830</v>
      </c>
      <c r="B832" s="2" t="s">
        <v>4607</v>
      </c>
      <c r="C832" s="2" t="n">
        <v>4</v>
      </c>
      <c r="D832" s="2" t="n">
        <v>0</v>
      </c>
      <c r="E832" s="2" t="s">
        <v>4638</v>
      </c>
      <c r="F832" s="2" t="s">
        <v>2293</v>
      </c>
      <c r="G832" s="2" t="s">
        <v>1495</v>
      </c>
      <c r="H832" s="2" t="s">
        <v>1170</v>
      </c>
      <c r="I832" s="2" t="s">
        <v>1045</v>
      </c>
      <c r="J832" s="2" t="s">
        <v>10602</v>
      </c>
      <c r="K832" s="2" t="s">
        <v>507</v>
      </c>
      <c r="L832" s="2" t="n">
        <v>0</v>
      </c>
      <c r="M832" s="2" t="n">
        <v>0.33</v>
      </c>
    </row>
    <row r="833" customFormat="false" ht="15" hidden="false" customHeight="false" outlineLevel="0" collapsed="false">
      <c r="A833" s="2" t="n">
        <v>831</v>
      </c>
      <c r="B833" s="2" t="s">
        <v>4607</v>
      </c>
      <c r="C833" s="2" t="n">
        <v>1</v>
      </c>
      <c r="D833" s="2" t="n">
        <v>1</v>
      </c>
      <c r="E833" s="2" t="s">
        <v>4652</v>
      </c>
      <c r="F833" s="2" t="s">
        <v>743</v>
      </c>
      <c r="G833" s="2" t="s">
        <v>4653</v>
      </c>
      <c r="H833" s="2" t="s">
        <v>1170</v>
      </c>
      <c r="I833" s="2" t="s">
        <v>604</v>
      </c>
      <c r="J833" s="2" t="s">
        <v>10603</v>
      </c>
      <c r="K833" s="2" t="s">
        <v>507</v>
      </c>
      <c r="L833" s="2" t="n">
        <v>0.14</v>
      </c>
      <c r="M833" s="2" t="n">
        <v>0.82</v>
      </c>
    </row>
    <row r="834" customFormat="false" ht="15" hidden="false" customHeight="false" outlineLevel="0" collapsed="false">
      <c r="A834" s="2" t="n">
        <v>832</v>
      </c>
      <c r="B834" s="2" t="s">
        <v>4607</v>
      </c>
      <c r="C834" s="2" t="n">
        <v>1</v>
      </c>
      <c r="D834" s="2" t="n">
        <v>1</v>
      </c>
      <c r="E834" s="2" t="s">
        <v>4655</v>
      </c>
      <c r="F834" s="2" t="s">
        <v>743</v>
      </c>
      <c r="G834" s="2" t="s">
        <v>4656</v>
      </c>
      <c r="H834" s="2" t="s">
        <v>1170</v>
      </c>
      <c r="I834" s="2" t="s">
        <v>1654</v>
      </c>
      <c r="J834" s="2" t="s">
        <v>10604</v>
      </c>
      <c r="K834" s="2" t="s">
        <v>507</v>
      </c>
      <c r="L834" s="2" t="n">
        <v>0.14</v>
      </c>
      <c r="M834" s="2" t="n">
        <v>0.82</v>
      </c>
    </row>
    <row r="835" customFormat="false" ht="15" hidden="false" customHeight="false" outlineLevel="0" collapsed="false">
      <c r="A835" s="2" t="n">
        <v>833</v>
      </c>
      <c r="B835" s="2" t="s">
        <v>4607</v>
      </c>
      <c r="C835" s="2" t="n">
        <v>1</v>
      </c>
      <c r="D835" s="2" t="n">
        <v>1</v>
      </c>
      <c r="E835" s="2" t="s">
        <v>4661</v>
      </c>
      <c r="F835" s="2" t="s">
        <v>95</v>
      </c>
      <c r="G835" s="2" t="s">
        <v>4662</v>
      </c>
      <c r="H835" s="2" t="s">
        <v>1170</v>
      </c>
      <c r="I835" s="2" t="s">
        <v>2692</v>
      </c>
      <c r="J835" s="2" t="s">
        <v>10605</v>
      </c>
      <c r="K835" s="2" t="s">
        <v>507</v>
      </c>
      <c r="L835" s="2" t="n">
        <v>0</v>
      </c>
      <c r="M835" s="2" t="n">
        <v>0.8</v>
      </c>
    </row>
    <row r="836" customFormat="false" ht="15" hidden="false" customHeight="false" outlineLevel="0" collapsed="false">
      <c r="A836" s="2" t="n">
        <v>834</v>
      </c>
      <c r="B836" s="2" t="s">
        <v>4607</v>
      </c>
      <c r="C836" s="2" t="n">
        <v>1</v>
      </c>
      <c r="D836" s="2" t="n">
        <v>1</v>
      </c>
      <c r="E836" s="2" t="s">
        <v>4669</v>
      </c>
      <c r="F836" s="2" t="s">
        <v>4670</v>
      </c>
      <c r="G836" s="2" t="s">
        <v>4671</v>
      </c>
      <c r="H836" s="2" t="s">
        <v>1170</v>
      </c>
      <c r="I836" s="2" t="s">
        <v>2370</v>
      </c>
      <c r="J836" s="2" t="s">
        <v>10606</v>
      </c>
      <c r="K836" s="2" t="s">
        <v>507</v>
      </c>
      <c r="L836" s="2" t="n">
        <v>0.14</v>
      </c>
      <c r="M836" s="2" t="n">
        <v>0.83</v>
      </c>
    </row>
    <row r="837" customFormat="false" ht="15" hidden="false" customHeight="false" outlineLevel="0" collapsed="false">
      <c r="A837" s="2" t="n">
        <v>835</v>
      </c>
      <c r="B837" s="2" t="s">
        <v>4607</v>
      </c>
      <c r="C837" s="2" t="n">
        <v>0</v>
      </c>
      <c r="D837" s="2" t="n">
        <v>0</v>
      </c>
      <c r="E837" s="2" t="s">
        <v>10607</v>
      </c>
      <c r="F837" s="2" t="s">
        <v>8153</v>
      </c>
      <c r="G837" s="2" t="s">
        <v>9506</v>
      </c>
      <c r="H837" s="2" t="s">
        <v>1170</v>
      </c>
      <c r="I837" s="2" t="s">
        <v>1654</v>
      </c>
      <c r="J837" s="2" t="s">
        <v>10608</v>
      </c>
      <c r="K837" s="2" t="s">
        <v>507</v>
      </c>
      <c r="L837" s="2" t="n">
        <v>0</v>
      </c>
      <c r="M837" s="2" t="n">
        <v>0.45</v>
      </c>
    </row>
    <row r="838" customFormat="false" ht="15" hidden="false" customHeight="false" outlineLevel="0" collapsed="false">
      <c r="A838" s="2" t="n">
        <v>836</v>
      </c>
      <c r="B838" s="2" t="s">
        <v>4607</v>
      </c>
      <c r="C838" s="2" t="n">
        <v>0</v>
      </c>
      <c r="D838" s="2" t="n">
        <v>0</v>
      </c>
      <c r="E838" s="2" t="s">
        <v>10609</v>
      </c>
      <c r="F838" s="2" t="s">
        <v>95</v>
      </c>
      <c r="G838" s="2" t="s">
        <v>9512</v>
      </c>
      <c r="H838" s="2" t="s">
        <v>158</v>
      </c>
      <c r="I838" s="2" t="s">
        <v>2431</v>
      </c>
      <c r="J838" s="2" t="s">
        <v>10610</v>
      </c>
      <c r="K838" s="2" t="s">
        <v>507</v>
      </c>
      <c r="L838" s="2" t="n">
        <v>0</v>
      </c>
      <c r="M838" s="2" t="n">
        <v>0.86</v>
      </c>
    </row>
    <row r="839" customFormat="false" ht="15" hidden="false" customHeight="false" outlineLevel="0" collapsed="false">
      <c r="A839" s="2" t="n">
        <v>837</v>
      </c>
      <c r="B839" s="2" t="s">
        <v>4607</v>
      </c>
      <c r="C839" s="2" t="n">
        <v>0</v>
      </c>
      <c r="D839" s="2" t="n">
        <v>0</v>
      </c>
      <c r="E839" s="2" t="s">
        <v>10611</v>
      </c>
      <c r="F839" s="2" t="s">
        <v>743</v>
      </c>
      <c r="G839" s="2" t="s">
        <v>1499</v>
      </c>
      <c r="H839" s="2" t="s">
        <v>1500</v>
      </c>
      <c r="I839" s="2" t="s">
        <v>1501</v>
      </c>
      <c r="J839" s="2" t="s">
        <v>10612</v>
      </c>
      <c r="K839" s="2" t="s">
        <v>507</v>
      </c>
      <c r="L839" s="2" t="n">
        <v>0</v>
      </c>
      <c r="M839" s="2" t="n">
        <v>0.83</v>
      </c>
    </row>
    <row r="840" customFormat="false" ht="15" hidden="false" customHeight="false" outlineLevel="0" collapsed="false">
      <c r="A840" s="2" t="n">
        <v>838</v>
      </c>
      <c r="B840" s="2" t="s">
        <v>4607</v>
      </c>
      <c r="C840" s="2" t="n">
        <v>0</v>
      </c>
      <c r="D840" s="2" t="n">
        <v>0</v>
      </c>
      <c r="E840" s="2" t="s">
        <v>10613</v>
      </c>
      <c r="F840" s="2" t="s">
        <v>95</v>
      </c>
      <c r="G840" s="2" t="s">
        <v>9516</v>
      </c>
      <c r="H840" s="2" t="s">
        <v>3793</v>
      </c>
      <c r="I840" s="2" t="s">
        <v>987</v>
      </c>
      <c r="J840" s="2" t="s">
        <v>10614</v>
      </c>
      <c r="K840" s="2" t="s">
        <v>507</v>
      </c>
      <c r="L840" s="2" t="n">
        <v>0</v>
      </c>
      <c r="M840" s="2" t="n">
        <v>0.9</v>
      </c>
    </row>
    <row r="841" customFormat="false" ht="15" hidden="false" customHeight="false" outlineLevel="0" collapsed="false">
      <c r="A841" s="2" t="n">
        <v>839</v>
      </c>
      <c r="B841" s="2" t="s">
        <v>4607</v>
      </c>
      <c r="C841" s="2" t="n">
        <v>0</v>
      </c>
      <c r="D841" s="2" t="n">
        <v>0</v>
      </c>
      <c r="E841" s="2" t="s">
        <v>10615</v>
      </c>
      <c r="F841" s="2" t="s">
        <v>694</v>
      </c>
      <c r="G841" s="2" t="s">
        <v>1508</v>
      </c>
      <c r="H841" s="2" t="s">
        <v>158</v>
      </c>
      <c r="I841" s="2" t="s">
        <v>1509</v>
      </c>
      <c r="J841" s="2" t="s">
        <v>10616</v>
      </c>
      <c r="K841" s="2" t="s">
        <v>507</v>
      </c>
      <c r="L841" s="2" t="n">
        <v>0</v>
      </c>
      <c r="M841" s="2" t="n">
        <v>0.67</v>
      </c>
    </row>
    <row r="842" customFormat="false" ht="15" hidden="false" customHeight="false" outlineLevel="0" collapsed="false">
      <c r="A842" s="2" t="n">
        <v>840</v>
      </c>
      <c r="B842" s="2" t="s">
        <v>4672</v>
      </c>
      <c r="C842" s="2" t="n">
        <v>1</v>
      </c>
      <c r="D842" s="2" t="n">
        <v>1</v>
      </c>
      <c r="E842" s="2" t="s">
        <v>4678</v>
      </c>
      <c r="F842" s="2" t="s">
        <v>963</v>
      </c>
      <c r="G842" s="2" t="s">
        <v>1524</v>
      </c>
      <c r="H842" s="2" t="s">
        <v>1525</v>
      </c>
      <c r="I842" s="2" t="s">
        <v>331</v>
      </c>
      <c r="J842" s="2" t="s">
        <v>10617</v>
      </c>
      <c r="K842" s="2" t="s">
        <v>507</v>
      </c>
      <c r="L842" s="2" t="n">
        <v>0</v>
      </c>
      <c r="M842" s="2" t="n">
        <v>0.82</v>
      </c>
    </row>
    <row r="843" customFormat="false" ht="15" hidden="false" customHeight="false" outlineLevel="0" collapsed="false">
      <c r="A843" s="2" t="n">
        <v>841</v>
      </c>
      <c r="B843" s="2" t="s">
        <v>4672</v>
      </c>
      <c r="C843" s="2" t="n">
        <v>0</v>
      </c>
      <c r="D843" s="2" t="n">
        <v>0</v>
      </c>
      <c r="E843" s="2" t="s">
        <v>10618</v>
      </c>
      <c r="F843" s="2" t="s">
        <v>10619</v>
      </c>
      <c r="G843" s="2" t="s">
        <v>9521</v>
      </c>
      <c r="H843" s="2" t="s">
        <v>1137</v>
      </c>
      <c r="I843" s="2" t="s">
        <v>2825</v>
      </c>
      <c r="J843" s="2" t="s">
        <v>10620</v>
      </c>
      <c r="K843" s="2" t="s">
        <v>507</v>
      </c>
      <c r="L843" s="2" t="n">
        <v>0</v>
      </c>
      <c r="M843" s="2" t="n">
        <v>0.8</v>
      </c>
    </row>
    <row r="844" customFormat="false" ht="15" hidden="false" customHeight="false" outlineLevel="0" collapsed="false">
      <c r="A844" s="2" t="n">
        <v>842</v>
      </c>
      <c r="B844" s="2" t="s">
        <v>4672</v>
      </c>
      <c r="C844" s="2" t="n">
        <v>0</v>
      </c>
      <c r="D844" s="2" t="n">
        <v>0</v>
      </c>
      <c r="E844" s="2" t="s">
        <v>10621</v>
      </c>
      <c r="F844" s="2" t="s">
        <v>10619</v>
      </c>
      <c r="G844" s="2" t="s">
        <v>1531</v>
      </c>
      <c r="H844" s="2" t="s">
        <v>158</v>
      </c>
      <c r="I844" s="2" t="s">
        <v>538</v>
      </c>
      <c r="J844" s="2" t="s">
        <v>10622</v>
      </c>
      <c r="K844" s="2" t="s">
        <v>507</v>
      </c>
      <c r="L844" s="2" t="n">
        <v>0</v>
      </c>
      <c r="M844" s="2" t="n">
        <v>0.55</v>
      </c>
    </row>
    <row r="845" customFormat="false" ht="15" hidden="false" customHeight="false" outlineLevel="0" collapsed="false">
      <c r="A845" s="2" t="n">
        <v>843</v>
      </c>
      <c r="B845" s="2" t="s">
        <v>4672</v>
      </c>
      <c r="C845" s="2" t="n">
        <v>0</v>
      </c>
      <c r="D845" s="2" t="n">
        <v>0</v>
      </c>
      <c r="E845" s="2" t="s">
        <v>10623</v>
      </c>
      <c r="F845" s="2" t="s">
        <v>1043</v>
      </c>
      <c r="G845" s="2" t="s">
        <v>10624</v>
      </c>
      <c r="H845" s="2" t="s">
        <v>4222</v>
      </c>
      <c r="I845" s="2" t="s">
        <v>1365</v>
      </c>
      <c r="J845" s="2" t="s">
        <v>10625</v>
      </c>
      <c r="K845" s="2" t="s">
        <v>507</v>
      </c>
      <c r="L845" s="2" t="n">
        <v>0</v>
      </c>
      <c r="M845" s="2" t="n">
        <v>0.75</v>
      </c>
    </row>
    <row r="846" customFormat="false" ht="15" hidden="false" customHeight="false" outlineLevel="0" collapsed="false">
      <c r="A846" s="2" t="n">
        <v>844</v>
      </c>
      <c r="B846" s="2" t="s">
        <v>4672</v>
      </c>
      <c r="C846" s="2" t="n">
        <v>1</v>
      </c>
      <c r="D846" s="2" t="n">
        <v>0</v>
      </c>
      <c r="E846" s="2" t="s">
        <v>4684</v>
      </c>
      <c r="F846" s="2" t="s">
        <v>803</v>
      </c>
      <c r="G846" s="2" t="s">
        <v>1542</v>
      </c>
      <c r="H846" s="2" t="s">
        <v>1170</v>
      </c>
      <c r="I846" s="2" t="s">
        <v>1543</v>
      </c>
      <c r="J846" s="2" t="s">
        <v>10626</v>
      </c>
      <c r="K846" s="2" t="s">
        <v>507</v>
      </c>
      <c r="L846" s="2" t="n">
        <v>0</v>
      </c>
      <c r="M846" s="2" t="n">
        <v>1</v>
      </c>
    </row>
    <row r="847" customFormat="false" ht="15" hidden="false" customHeight="false" outlineLevel="0" collapsed="false">
      <c r="A847" s="2" t="n">
        <v>845</v>
      </c>
      <c r="B847" s="2" t="s">
        <v>4672</v>
      </c>
      <c r="C847" s="2" t="n">
        <v>1</v>
      </c>
      <c r="D847" s="2" t="n">
        <v>1</v>
      </c>
      <c r="E847" s="2" t="s">
        <v>4691</v>
      </c>
      <c r="F847" s="2" t="s">
        <v>743</v>
      </c>
      <c r="G847" s="2" t="s">
        <v>4692</v>
      </c>
      <c r="H847" s="2" t="s">
        <v>4693</v>
      </c>
      <c r="I847" s="2" t="s">
        <v>776</v>
      </c>
      <c r="J847" s="2" t="s">
        <v>10627</v>
      </c>
      <c r="K847" s="2" t="s">
        <v>507</v>
      </c>
      <c r="L847" s="2" t="n">
        <v>0.12</v>
      </c>
      <c r="M847" s="2" t="n">
        <v>0.91</v>
      </c>
    </row>
    <row r="848" customFormat="false" ht="15" hidden="false" customHeight="false" outlineLevel="0" collapsed="false">
      <c r="A848" s="2" t="n">
        <v>846</v>
      </c>
      <c r="B848" s="2" t="s">
        <v>4672</v>
      </c>
      <c r="C848" s="2" t="n">
        <v>0</v>
      </c>
      <c r="D848" s="2" t="n">
        <v>0</v>
      </c>
      <c r="E848" s="2" t="s">
        <v>10628</v>
      </c>
      <c r="F848" s="2" t="s">
        <v>4711</v>
      </c>
      <c r="G848" s="2" t="s">
        <v>1553</v>
      </c>
      <c r="H848" s="2" t="s">
        <v>1170</v>
      </c>
      <c r="I848" s="2" t="s">
        <v>1482</v>
      </c>
      <c r="J848" s="2" t="s">
        <v>10629</v>
      </c>
      <c r="K848" s="2" t="s">
        <v>507</v>
      </c>
      <c r="L848" s="2" t="n">
        <v>0</v>
      </c>
      <c r="M848" s="2" t="n">
        <v>1</v>
      </c>
    </row>
    <row r="849" customFormat="false" ht="15" hidden="false" customHeight="false" outlineLevel="0" collapsed="false">
      <c r="A849" s="2" t="n">
        <v>847</v>
      </c>
      <c r="B849" s="2" t="s">
        <v>4672</v>
      </c>
      <c r="C849" s="2" t="n">
        <v>0</v>
      </c>
      <c r="D849" s="2" t="n">
        <v>0</v>
      </c>
      <c r="E849" s="2" t="s">
        <v>10630</v>
      </c>
      <c r="F849" s="2" t="s">
        <v>2239</v>
      </c>
      <c r="G849" s="2" t="s">
        <v>1564</v>
      </c>
      <c r="H849" s="2" t="s">
        <v>420</v>
      </c>
      <c r="I849" s="2" t="s">
        <v>115</v>
      </c>
      <c r="J849" s="2" t="s">
        <v>10631</v>
      </c>
      <c r="K849" s="2" t="s">
        <v>507</v>
      </c>
      <c r="L849" s="2" t="n">
        <v>0</v>
      </c>
      <c r="M849" s="2" t="n">
        <v>0.78</v>
      </c>
    </row>
    <row r="850" customFormat="false" ht="15" hidden="false" customHeight="false" outlineLevel="0" collapsed="false">
      <c r="A850" s="2" t="n">
        <v>848</v>
      </c>
      <c r="B850" s="2" t="s">
        <v>4672</v>
      </c>
      <c r="C850" s="2" t="n">
        <v>0</v>
      </c>
      <c r="D850" s="2" t="n">
        <v>0</v>
      </c>
      <c r="E850" s="2" t="s">
        <v>10632</v>
      </c>
      <c r="F850" s="2" t="s">
        <v>10633</v>
      </c>
      <c r="G850" s="2" t="s">
        <v>9531</v>
      </c>
      <c r="H850" s="2" t="s">
        <v>1500</v>
      </c>
      <c r="I850" s="2" t="s">
        <v>1069</v>
      </c>
      <c r="J850" s="2" t="s">
        <v>10634</v>
      </c>
      <c r="K850" s="2" t="s">
        <v>507</v>
      </c>
      <c r="L850" s="2" t="n">
        <v>0</v>
      </c>
      <c r="M850" s="2" t="n">
        <v>0.7</v>
      </c>
    </row>
    <row r="851" customFormat="false" ht="15" hidden="false" customHeight="false" outlineLevel="0" collapsed="false">
      <c r="A851" s="2" t="n">
        <v>849</v>
      </c>
      <c r="B851" s="2" t="s">
        <v>4672</v>
      </c>
      <c r="C851" s="2" t="n">
        <v>0</v>
      </c>
      <c r="D851" s="2" t="n">
        <v>0</v>
      </c>
      <c r="E851" s="2" t="s">
        <v>10635</v>
      </c>
      <c r="F851" s="2" t="s">
        <v>6572</v>
      </c>
      <c r="G851" s="2" t="s">
        <v>1572</v>
      </c>
      <c r="H851" s="2" t="s">
        <v>1573</v>
      </c>
      <c r="I851" s="2" t="s">
        <v>1574</v>
      </c>
      <c r="J851" s="2" t="s">
        <v>10636</v>
      </c>
      <c r="K851" s="2" t="s">
        <v>507</v>
      </c>
      <c r="L851" s="2" t="n">
        <v>0</v>
      </c>
      <c r="M851" s="2" t="n">
        <v>0.8</v>
      </c>
    </row>
    <row r="852" customFormat="false" ht="15" hidden="false" customHeight="false" outlineLevel="0" collapsed="false">
      <c r="A852" s="2" t="n">
        <v>850</v>
      </c>
      <c r="B852" s="2" t="s">
        <v>4672</v>
      </c>
      <c r="C852" s="2" t="n">
        <v>0</v>
      </c>
      <c r="D852" s="2" t="n">
        <v>0</v>
      </c>
      <c r="E852" s="2" t="s">
        <v>10637</v>
      </c>
      <c r="F852" s="2" t="s">
        <v>601</v>
      </c>
      <c r="G852" s="2" t="s">
        <v>9535</v>
      </c>
      <c r="H852" s="2" t="s">
        <v>4022</v>
      </c>
      <c r="I852" s="2" t="s">
        <v>8275</v>
      </c>
      <c r="J852" s="2" t="s">
        <v>10638</v>
      </c>
      <c r="K852" s="2" t="s">
        <v>507</v>
      </c>
      <c r="L852" s="2" t="n">
        <v>0</v>
      </c>
      <c r="M852" s="2" t="n">
        <v>0.83</v>
      </c>
    </row>
    <row r="853" customFormat="false" ht="15" hidden="false" customHeight="false" outlineLevel="0" collapsed="false">
      <c r="A853" s="2" t="n">
        <v>851</v>
      </c>
      <c r="B853" s="2" t="s">
        <v>4672</v>
      </c>
      <c r="C853" s="2" t="n">
        <v>0</v>
      </c>
      <c r="D853" s="2" t="n">
        <v>0</v>
      </c>
      <c r="E853" s="2" t="s">
        <v>10639</v>
      </c>
      <c r="F853" s="2" t="s">
        <v>1421</v>
      </c>
      <c r="G853" s="2" t="s">
        <v>9538</v>
      </c>
      <c r="H853" s="2" t="s">
        <v>603</v>
      </c>
      <c r="I853" s="2" t="s">
        <v>1424</v>
      </c>
      <c r="J853" s="2" t="s">
        <v>10640</v>
      </c>
      <c r="K853" s="2" t="s">
        <v>507</v>
      </c>
      <c r="L853" s="2" t="n">
        <v>0.2</v>
      </c>
      <c r="M853" s="2" t="n">
        <v>0.62</v>
      </c>
    </row>
    <row r="854" customFormat="false" ht="15" hidden="false" customHeight="false" outlineLevel="0" collapsed="false">
      <c r="A854" s="2" t="n">
        <v>852</v>
      </c>
      <c r="B854" s="2" t="s">
        <v>4672</v>
      </c>
      <c r="C854" s="2" t="n">
        <v>0</v>
      </c>
      <c r="D854" s="2" t="n">
        <v>0</v>
      </c>
      <c r="E854" s="2" t="s">
        <v>10641</v>
      </c>
      <c r="F854" s="2" t="s">
        <v>10642</v>
      </c>
      <c r="G854" s="2" t="s">
        <v>1581</v>
      </c>
      <c r="H854" s="2" t="s">
        <v>1582</v>
      </c>
      <c r="I854" s="2" t="s">
        <v>271</v>
      </c>
      <c r="J854" s="2" t="s">
        <v>10643</v>
      </c>
      <c r="K854" s="2" t="s">
        <v>507</v>
      </c>
      <c r="L854" s="2" t="n">
        <v>0.08</v>
      </c>
      <c r="M854" s="2" t="n">
        <v>1</v>
      </c>
    </row>
    <row r="855" customFormat="false" ht="15" hidden="false" customHeight="false" outlineLevel="0" collapsed="false">
      <c r="A855" s="2" t="n">
        <v>853</v>
      </c>
      <c r="B855" s="2" t="s">
        <v>4672</v>
      </c>
      <c r="C855" s="2" t="n">
        <v>0</v>
      </c>
      <c r="D855" s="2" t="n">
        <v>0</v>
      </c>
      <c r="E855" s="2" t="s">
        <v>10644</v>
      </c>
      <c r="F855" s="2" t="s">
        <v>6500</v>
      </c>
      <c r="G855" s="2" t="s">
        <v>9543</v>
      </c>
      <c r="H855" s="2" t="s">
        <v>9542</v>
      </c>
      <c r="I855" s="2" t="s">
        <v>3023</v>
      </c>
      <c r="J855" s="2" t="s">
        <v>10645</v>
      </c>
      <c r="K855" s="2" t="s">
        <v>507</v>
      </c>
      <c r="L855" s="2" t="n">
        <v>0.07</v>
      </c>
      <c r="M855" s="2" t="n">
        <v>1</v>
      </c>
    </row>
    <row r="856" customFormat="false" ht="15" hidden="false" customHeight="false" outlineLevel="0" collapsed="false">
      <c r="A856" s="2" t="n">
        <v>854</v>
      </c>
      <c r="B856" s="2" t="s">
        <v>4672</v>
      </c>
      <c r="C856" s="2" t="n">
        <v>0</v>
      </c>
      <c r="D856" s="2" t="n">
        <v>0</v>
      </c>
      <c r="E856" s="2" t="s">
        <v>10646</v>
      </c>
      <c r="F856" s="2" t="s">
        <v>1421</v>
      </c>
      <c r="G856" s="2" t="s">
        <v>10647</v>
      </c>
      <c r="H856" s="2" t="s">
        <v>9546</v>
      </c>
      <c r="I856" s="2" t="s">
        <v>246</v>
      </c>
      <c r="J856" s="2" t="s">
        <v>10648</v>
      </c>
      <c r="K856" s="2" t="s">
        <v>507</v>
      </c>
      <c r="L856" s="2" t="n">
        <v>0</v>
      </c>
      <c r="M856" s="2" t="n">
        <v>0.44</v>
      </c>
    </row>
    <row r="857" customFormat="false" ht="15" hidden="false" customHeight="false" outlineLevel="0" collapsed="false">
      <c r="A857" s="2" t="n">
        <v>855</v>
      </c>
      <c r="B857" s="2" t="s">
        <v>4672</v>
      </c>
      <c r="C857" s="2" t="n">
        <v>0</v>
      </c>
      <c r="D857" s="2" t="n">
        <v>0</v>
      </c>
      <c r="E857" s="2" t="s">
        <v>10649</v>
      </c>
      <c r="F857" s="2" t="s">
        <v>4718</v>
      </c>
      <c r="G857" s="2" t="s">
        <v>9547</v>
      </c>
      <c r="H857" s="2" t="s">
        <v>5376</v>
      </c>
      <c r="I857" s="2" t="s">
        <v>2825</v>
      </c>
      <c r="J857" s="2" t="s">
        <v>10650</v>
      </c>
      <c r="K857" s="2" t="s">
        <v>507</v>
      </c>
      <c r="L857" s="2" t="n">
        <v>0.09</v>
      </c>
      <c r="M857" s="2" t="n">
        <v>0.9</v>
      </c>
    </row>
    <row r="858" customFormat="false" ht="15" hidden="false" customHeight="false" outlineLevel="0" collapsed="false">
      <c r="A858" s="2" t="n">
        <v>856</v>
      </c>
      <c r="B858" s="2" t="s">
        <v>4672</v>
      </c>
      <c r="C858" s="2" t="n">
        <v>0</v>
      </c>
      <c r="D858" s="2" t="n">
        <v>0</v>
      </c>
      <c r="E858" s="2" t="s">
        <v>10651</v>
      </c>
      <c r="F858" s="2" t="s">
        <v>743</v>
      </c>
      <c r="G858" s="2" t="s">
        <v>9550</v>
      </c>
      <c r="H858" s="2" t="s">
        <v>917</v>
      </c>
      <c r="I858" s="2" t="s">
        <v>204</v>
      </c>
      <c r="J858" s="2" t="s">
        <v>10652</v>
      </c>
      <c r="K858" s="2" t="s">
        <v>507</v>
      </c>
      <c r="L858" s="2" t="n">
        <v>0</v>
      </c>
      <c r="M858" s="2" t="n">
        <v>0.7</v>
      </c>
    </row>
    <row r="859" customFormat="false" ht="15" hidden="false" customHeight="false" outlineLevel="0" collapsed="false">
      <c r="A859" s="2" t="n">
        <v>857</v>
      </c>
      <c r="B859" s="2" t="s">
        <v>4672</v>
      </c>
      <c r="C859" s="2" t="n">
        <v>0</v>
      </c>
      <c r="D859" s="2" t="n">
        <v>0</v>
      </c>
      <c r="E859" s="2" t="s">
        <v>10653</v>
      </c>
      <c r="F859" s="2" t="s">
        <v>743</v>
      </c>
      <c r="G859" s="2" t="s">
        <v>1586</v>
      </c>
      <c r="H859" s="2" t="s">
        <v>1500</v>
      </c>
      <c r="I859" s="2" t="s">
        <v>1587</v>
      </c>
      <c r="J859" s="2" t="s">
        <v>10654</v>
      </c>
      <c r="K859" s="2" t="s">
        <v>507</v>
      </c>
      <c r="L859" s="2" t="n">
        <v>0.12</v>
      </c>
      <c r="M859" s="2" t="n">
        <v>0.85</v>
      </c>
    </row>
    <row r="860" customFormat="false" ht="15" hidden="false" customHeight="false" outlineLevel="0" collapsed="false">
      <c r="A860" s="2" t="n">
        <v>858</v>
      </c>
      <c r="B860" s="2" t="s">
        <v>4672</v>
      </c>
      <c r="C860" s="2" t="n">
        <v>0</v>
      </c>
      <c r="D860" s="2" t="n">
        <v>0</v>
      </c>
      <c r="E860" s="2" t="s">
        <v>10655</v>
      </c>
      <c r="F860" s="2" t="s">
        <v>743</v>
      </c>
      <c r="G860" s="2" t="s">
        <v>1604</v>
      </c>
      <c r="H860" s="2" t="s">
        <v>97</v>
      </c>
      <c r="I860" s="2" t="s">
        <v>476</v>
      </c>
      <c r="J860" s="2" t="s">
        <v>10656</v>
      </c>
      <c r="K860" s="2" t="s">
        <v>507</v>
      </c>
      <c r="L860" s="2" t="n">
        <v>0</v>
      </c>
      <c r="M860" s="2" t="n">
        <v>0.71</v>
      </c>
    </row>
    <row r="861" customFormat="false" ht="15" hidden="false" customHeight="false" outlineLevel="0" collapsed="false">
      <c r="A861" s="2" t="n">
        <v>859</v>
      </c>
      <c r="B861" s="2" t="s">
        <v>4672</v>
      </c>
      <c r="C861" s="2" t="n">
        <v>0</v>
      </c>
      <c r="D861" s="2" t="n">
        <v>0</v>
      </c>
      <c r="E861" s="2" t="s">
        <v>10657</v>
      </c>
      <c r="F861" s="2" t="s">
        <v>4322</v>
      </c>
      <c r="G861" s="2" t="s">
        <v>1613</v>
      </c>
      <c r="H861" s="2" t="s">
        <v>812</v>
      </c>
      <c r="I861" s="2" t="s">
        <v>1614</v>
      </c>
      <c r="J861" s="2" t="s">
        <v>10658</v>
      </c>
      <c r="K861" s="2" t="s">
        <v>507</v>
      </c>
      <c r="L861" s="2" t="n">
        <v>0</v>
      </c>
      <c r="M861" s="2" t="n">
        <v>0.33</v>
      </c>
    </row>
    <row r="862" customFormat="false" ht="15" hidden="false" customHeight="false" outlineLevel="0" collapsed="false">
      <c r="A862" s="2" t="n">
        <v>860</v>
      </c>
      <c r="B862" s="2" t="s">
        <v>4672</v>
      </c>
      <c r="C862" s="2" t="n">
        <v>1</v>
      </c>
      <c r="D862" s="2" t="n">
        <v>0</v>
      </c>
      <c r="E862" s="2" t="s">
        <v>4698</v>
      </c>
      <c r="F862" s="2" t="s">
        <v>743</v>
      </c>
      <c r="G862" s="2" t="s">
        <v>1620</v>
      </c>
      <c r="H862" s="2" t="s">
        <v>1500</v>
      </c>
      <c r="I862" s="2" t="s">
        <v>1078</v>
      </c>
      <c r="J862" s="2" t="s">
        <v>10659</v>
      </c>
      <c r="K862" s="2" t="s">
        <v>507</v>
      </c>
      <c r="L862" s="2" t="n">
        <v>0.17</v>
      </c>
      <c r="M862" s="2" t="n">
        <v>0.8</v>
      </c>
    </row>
    <row r="863" customFormat="false" ht="15" hidden="false" customHeight="false" outlineLevel="0" collapsed="false">
      <c r="A863" s="2" t="n">
        <v>861</v>
      </c>
      <c r="B863" s="2" t="s">
        <v>4672</v>
      </c>
      <c r="C863" s="2" t="n">
        <v>1</v>
      </c>
      <c r="D863" s="2" t="n">
        <v>0</v>
      </c>
      <c r="E863" s="2" t="s">
        <v>4703</v>
      </c>
      <c r="F863" s="2" t="s">
        <v>4704</v>
      </c>
      <c r="G863" s="2" t="s">
        <v>1625</v>
      </c>
      <c r="H863" s="2" t="s">
        <v>1626</v>
      </c>
      <c r="I863" s="2" t="s">
        <v>1627</v>
      </c>
      <c r="J863" s="2" t="s">
        <v>10660</v>
      </c>
      <c r="K863" s="2" t="s">
        <v>507</v>
      </c>
      <c r="L863" s="2" t="n">
        <v>0</v>
      </c>
      <c r="M863" s="2" t="n">
        <v>0.77</v>
      </c>
    </row>
    <row r="864" customFormat="false" ht="15" hidden="false" customHeight="false" outlineLevel="0" collapsed="false">
      <c r="A864" s="2" t="n">
        <v>862</v>
      </c>
      <c r="B864" s="2" t="s">
        <v>4672</v>
      </c>
      <c r="C864" s="2" t="n">
        <v>1</v>
      </c>
      <c r="D864" s="2" t="n">
        <v>0</v>
      </c>
      <c r="E864" s="2" t="s">
        <v>4710</v>
      </c>
      <c r="F864" s="2" t="s">
        <v>4711</v>
      </c>
      <c r="G864" s="2" t="s">
        <v>4712</v>
      </c>
      <c r="H864" s="2" t="s">
        <v>4713</v>
      </c>
      <c r="I864" s="2" t="s">
        <v>751</v>
      </c>
      <c r="J864" s="2" t="s">
        <v>10661</v>
      </c>
      <c r="K864" s="2" t="s">
        <v>507</v>
      </c>
      <c r="L864" s="2" t="n">
        <v>0.14</v>
      </c>
      <c r="M864" s="2" t="n">
        <v>1</v>
      </c>
    </row>
    <row r="865" customFormat="false" ht="15" hidden="false" customHeight="false" outlineLevel="0" collapsed="false">
      <c r="A865" s="2" t="n">
        <v>863</v>
      </c>
      <c r="B865" s="2" t="s">
        <v>4672</v>
      </c>
      <c r="C865" s="2" t="n">
        <v>0</v>
      </c>
      <c r="D865" s="2" t="n">
        <v>0</v>
      </c>
      <c r="E865" s="2" t="s">
        <v>10662</v>
      </c>
      <c r="F865" s="2" t="s">
        <v>10663</v>
      </c>
      <c r="G865" s="2" t="s">
        <v>9559</v>
      </c>
      <c r="H865" s="2" t="s">
        <v>4713</v>
      </c>
      <c r="I865" s="2" t="s">
        <v>2379</v>
      </c>
      <c r="J865" s="2" t="s">
        <v>10664</v>
      </c>
      <c r="K865" s="2" t="s">
        <v>507</v>
      </c>
      <c r="L865" s="2" t="n">
        <v>0</v>
      </c>
      <c r="M865" s="2" t="n">
        <v>0.62</v>
      </c>
    </row>
    <row r="866" customFormat="false" ht="15" hidden="false" customHeight="false" outlineLevel="0" collapsed="false">
      <c r="A866" s="2" t="n">
        <v>864</v>
      </c>
      <c r="B866" s="2" t="s">
        <v>4672</v>
      </c>
      <c r="C866" s="2" t="n">
        <v>0</v>
      </c>
      <c r="D866" s="2" t="n">
        <v>0</v>
      </c>
      <c r="E866" s="2" t="s">
        <v>10665</v>
      </c>
      <c r="F866" s="2" t="s">
        <v>2352</v>
      </c>
      <c r="G866" s="2" t="s">
        <v>9562</v>
      </c>
      <c r="H866" s="2" t="s">
        <v>114</v>
      </c>
      <c r="I866" s="2" t="s">
        <v>512</v>
      </c>
      <c r="J866" s="2" t="s">
        <v>10666</v>
      </c>
      <c r="K866" s="2" t="s">
        <v>507</v>
      </c>
      <c r="L866" s="2" t="n">
        <v>0</v>
      </c>
      <c r="M866" s="2" t="n">
        <v>0.44</v>
      </c>
    </row>
    <row r="867" customFormat="false" ht="15" hidden="false" customHeight="false" outlineLevel="0" collapsed="false">
      <c r="A867" s="2" t="n">
        <v>865</v>
      </c>
      <c r="B867" s="2" t="s">
        <v>4672</v>
      </c>
      <c r="C867" s="2" t="n">
        <v>0</v>
      </c>
      <c r="D867" s="2" t="n">
        <v>0</v>
      </c>
      <c r="E867" s="2" t="s">
        <v>10667</v>
      </c>
      <c r="F867" s="2" t="s">
        <v>4704</v>
      </c>
      <c r="G867" s="2" t="s">
        <v>1632</v>
      </c>
      <c r="H867" s="2" t="s">
        <v>1633</v>
      </c>
      <c r="I867" s="2" t="s">
        <v>1634</v>
      </c>
      <c r="J867" s="2" t="s">
        <v>10668</v>
      </c>
      <c r="K867" s="2" t="s">
        <v>507</v>
      </c>
      <c r="L867" s="2" t="n">
        <v>0</v>
      </c>
      <c r="M867" s="2" t="n">
        <v>0.7</v>
      </c>
    </row>
    <row r="868" customFormat="false" ht="15" hidden="false" customHeight="false" outlineLevel="0" collapsed="false">
      <c r="A868" s="2" t="n">
        <v>866</v>
      </c>
      <c r="B868" s="2" t="s">
        <v>4672</v>
      </c>
      <c r="C868" s="2" t="n">
        <v>0</v>
      </c>
      <c r="D868" s="2" t="n">
        <v>0</v>
      </c>
      <c r="E868" s="2" t="s">
        <v>10669</v>
      </c>
      <c r="F868" s="2" t="s">
        <v>743</v>
      </c>
      <c r="G868" s="2" t="s">
        <v>10670</v>
      </c>
      <c r="H868" s="2" t="s">
        <v>66</v>
      </c>
      <c r="I868" s="2" t="s">
        <v>1509</v>
      </c>
      <c r="J868" s="2" t="s">
        <v>10671</v>
      </c>
      <c r="K868" s="2" t="s">
        <v>507</v>
      </c>
      <c r="L868" s="2" t="n">
        <v>0</v>
      </c>
      <c r="M868" s="2" t="n">
        <v>0.78</v>
      </c>
    </row>
    <row r="869" customFormat="false" ht="15" hidden="false" customHeight="false" outlineLevel="0" collapsed="false">
      <c r="A869" s="2" t="n">
        <v>867</v>
      </c>
      <c r="B869" s="2" t="s">
        <v>4672</v>
      </c>
      <c r="C869" s="2" t="n">
        <v>0</v>
      </c>
      <c r="D869" s="2" t="n">
        <v>0</v>
      </c>
      <c r="E869" s="2" t="s">
        <v>10672</v>
      </c>
      <c r="F869" s="2" t="s">
        <v>4704</v>
      </c>
      <c r="G869" s="2" t="s">
        <v>1647</v>
      </c>
      <c r="H869" s="2" t="s">
        <v>158</v>
      </c>
      <c r="I869" s="2" t="s">
        <v>1648</v>
      </c>
      <c r="J869" s="2" t="s">
        <v>10673</v>
      </c>
      <c r="K869" s="2" t="s">
        <v>507</v>
      </c>
      <c r="L869" s="2" t="n">
        <v>0</v>
      </c>
      <c r="M869" s="2" t="n">
        <v>0.7</v>
      </c>
    </row>
    <row r="870" customFormat="false" ht="15" hidden="false" customHeight="false" outlineLevel="0" collapsed="false">
      <c r="A870" s="2" t="n">
        <v>868</v>
      </c>
      <c r="B870" s="2" t="s">
        <v>4672</v>
      </c>
      <c r="C870" s="2" t="n">
        <v>1</v>
      </c>
      <c r="D870" s="2" t="n">
        <v>0</v>
      </c>
      <c r="E870" s="2" t="s">
        <v>4717</v>
      </c>
      <c r="F870" s="2" t="s">
        <v>4718</v>
      </c>
      <c r="G870" s="2" t="s">
        <v>1653</v>
      </c>
      <c r="H870" s="2" t="s">
        <v>1170</v>
      </c>
      <c r="I870" s="2" t="s">
        <v>1654</v>
      </c>
      <c r="J870" s="2" t="s">
        <v>10674</v>
      </c>
      <c r="K870" s="2" t="s">
        <v>507</v>
      </c>
      <c r="L870" s="2" t="n">
        <v>0</v>
      </c>
      <c r="M870" s="2" t="n">
        <v>0.7</v>
      </c>
    </row>
    <row r="871" customFormat="false" ht="15" hidden="false" customHeight="false" outlineLevel="0" collapsed="false">
      <c r="A871" s="2" t="n">
        <v>869</v>
      </c>
      <c r="B871" s="2" t="s">
        <v>4672</v>
      </c>
      <c r="C871" s="2" t="n">
        <v>0</v>
      </c>
      <c r="D871" s="2" t="n">
        <v>0</v>
      </c>
      <c r="E871" s="2" t="s">
        <v>10675</v>
      </c>
      <c r="F871" s="2" t="s">
        <v>743</v>
      </c>
      <c r="G871" s="2" t="s">
        <v>1670</v>
      </c>
      <c r="H871" s="2" t="s">
        <v>97</v>
      </c>
      <c r="I871" s="2" t="s">
        <v>262</v>
      </c>
      <c r="J871" s="2" t="s">
        <v>10676</v>
      </c>
      <c r="K871" s="2" t="s">
        <v>507</v>
      </c>
      <c r="L871" s="2" t="n">
        <v>0</v>
      </c>
      <c r="M871" s="2" t="n">
        <v>0.8</v>
      </c>
    </row>
    <row r="872" customFormat="false" ht="15" hidden="false" customHeight="false" outlineLevel="0" collapsed="false">
      <c r="A872" s="2" t="n">
        <v>870</v>
      </c>
      <c r="B872" s="2" t="s">
        <v>4719</v>
      </c>
      <c r="C872" s="2" t="n">
        <v>0</v>
      </c>
      <c r="D872" s="2" t="n">
        <v>0</v>
      </c>
      <c r="E872" s="2" t="s">
        <v>10677</v>
      </c>
      <c r="F872" s="2" t="s">
        <v>743</v>
      </c>
      <c r="G872" s="2" t="s">
        <v>1680</v>
      </c>
      <c r="H872" s="2" t="s">
        <v>420</v>
      </c>
      <c r="I872" s="2" t="s">
        <v>828</v>
      </c>
      <c r="J872" s="2" t="s">
        <v>10678</v>
      </c>
      <c r="K872" s="2" t="s">
        <v>507</v>
      </c>
      <c r="L872" s="2" t="n">
        <v>0.1</v>
      </c>
      <c r="M872" s="2" t="n">
        <v>0.82</v>
      </c>
    </row>
    <row r="873" customFormat="false" ht="15" hidden="false" customHeight="false" outlineLevel="0" collapsed="false">
      <c r="A873" s="2" t="n">
        <v>871</v>
      </c>
      <c r="B873" s="2" t="s">
        <v>4719</v>
      </c>
      <c r="C873" s="2" t="n">
        <v>0</v>
      </c>
      <c r="D873" s="2" t="n">
        <v>0</v>
      </c>
      <c r="E873" s="2" t="s">
        <v>10679</v>
      </c>
      <c r="F873" s="2" t="s">
        <v>743</v>
      </c>
      <c r="G873" s="2" t="s">
        <v>1687</v>
      </c>
      <c r="H873" s="2" t="s">
        <v>1688</v>
      </c>
      <c r="I873" s="2" t="s">
        <v>1188</v>
      </c>
      <c r="J873" s="2" t="s">
        <v>10680</v>
      </c>
      <c r="K873" s="2" t="s">
        <v>507</v>
      </c>
      <c r="L873" s="2" t="n">
        <v>0</v>
      </c>
      <c r="M873" s="2" t="n">
        <v>0.83</v>
      </c>
    </row>
    <row r="874" customFormat="false" ht="15" hidden="false" customHeight="false" outlineLevel="0" collapsed="false">
      <c r="A874" s="2" t="n">
        <v>872</v>
      </c>
      <c r="B874" s="2" t="s">
        <v>4719</v>
      </c>
      <c r="C874" s="2" t="n">
        <v>0</v>
      </c>
      <c r="D874" s="2" t="n">
        <v>0</v>
      </c>
      <c r="E874" s="2" t="s">
        <v>10681</v>
      </c>
      <c r="F874" s="2" t="s">
        <v>743</v>
      </c>
      <c r="G874" s="2" t="s">
        <v>1698</v>
      </c>
      <c r="H874" s="2" t="s">
        <v>1699</v>
      </c>
      <c r="I874" s="2" t="s">
        <v>1700</v>
      </c>
      <c r="J874" s="2" t="s">
        <v>10682</v>
      </c>
      <c r="K874" s="2" t="s">
        <v>507</v>
      </c>
      <c r="L874" s="2" t="n">
        <v>0.27</v>
      </c>
      <c r="M874" s="2" t="n">
        <v>0.8</v>
      </c>
    </row>
    <row r="875" customFormat="false" ht="15" hidden="false" customHeight="false" outlineLevel="0" collapsed="false">
      <c r="A875" s="2" t="n">
        <v>873</v>
      </c>
      <c r="B875" s="2" t="s">
        <v>4719</v>
      </c>
      <c r="C875" s="2" t="n">
        <v>0</v>
      </c>
      <c r="D875" s="2" t="n">
        <v>0</v>
      </c>
      <c r="E875" s="2" t="s">
        <v>10683</v>
      </c>
      <c r="F875" s="2" t="s">
        <v>4322</v>
      </c>
      <c r="G875" s="2" t="s">
        <v>1708</v>
      </c>
      <c r="H875" s="2" t="s">
        <v>1709</v>
      </c>
      <c r="I875" s="2" t="s">
        <v>512</v>
      </c>
      <c r="J875" s="2" t="s">
        <v>10684</v>
      </c>
      <c r="K875" s="2" t="s">
        <v>507</v>
      </c>
      <c r="L875" s="2" t="n">
        <v>0.14</v>
      </c>
      <c r="M875" s="2" t="n">
        <v>0.33</v>
      </c>
    </row>
    <row r="876" customFormat="false" ht="15" hidden="false" customHeight="false" outlineLevel="0" collapsed="false">
      <c r="A876" s="2" t="n">
        <v>874</v>
      </c>
      <c r="B876" s="2" t="s">
        <v>4719</v>
      </c>
      <c r="C876" s="2" t="n">
        <v>0</v>
      </c>
      <c r="D876" s="2" t="n">
        <v>0</v>
      </c>
      <c r="E876" s="2" t="s">
        <v>10685</v>
      </c>
      <c r="F876" s="2" t="s">
        <v>6702</v>
      </c>
      <c r="G876" s="2" t="s">
        <v>1717</v>
      </c>
      <c r="H876" s="2" t="s">
        <v>1718</v>
      </c>
      <c r="I876" s="2" t="s">
        <v>301</v>
      </c>
      <c r="J876" s="2" t="s">
        <v>10686</v>
      </c>
      <c r="K876" s="2" t="s">
        <v>507</v>
      </c>
      <c r="L876" s="2" t="n">
        <v>0.12</v>
      </c>
      <c r="M876" s="2" t="n">
        <v>0.75</v>
      </c>
    </row>
    <row r="877" customFormat="false" ht="15" hidden="false" customHeight="false" outlineLevel="0" collapsed="false">
      <c r="A877" s="2" t="n">
        <v>875</v>
      </c>
      <c r="B877" s="2" t="s">
        <v>4719</v>
      </c>
      <c r="C877" s="2" t="n">
        <v>0</v>
      </c>
      <c r="D877" s="2" t="n">
        <v>0</v>
      </c>
      <c r="E877" s="2" t="s">
        <v>10687</v>
      </c>
      <c r="F877" s="2" t="s">
        <v>2924</v>
      </c>
      <c r="G877" s="2" t="s">
        <v>1725</v>
      </c>
      <c r="H877" s="2" t="s">
        <v>745</v>
      </c>
      <c r="I877" s="2" t="s">
        <v>1266</v>
      </c>
      <c r="J877" s="2" t="s">
        <v>10688</v>
      </c>
      <c r="K877" s="2" t="s">
        <v>507</v>
      </c>
      <c r="L877" s="2" t="n">
        <v>0.11</v>
      </c>
      <c r="M877" s="2" t="n">
        <v>0.83</v>
      </c>
    </row>
    <row r="878" customFormat="false" ht="15" hidden="false" customHeight="false" outlineLevel="0" collapsed="false">
      <c r="A878" s="2" t="n">
        <v>876</v>
      </c>
      <c r="B878" s="2" t="s">
        <v>4719</v>
      </c>
      <c r="C878" s="2" t="n">
        <v>0</v>
      </c>
      <c r="D878" s="2" t="n">
        <v>0</v>
      </c>
      <c r="E878" s="2" t="s">
        <v>10689</v>
      </c>
      <c r="F878" s="2" t="s">
        <v>743</v>
      </c>
      <c r="G878" s="2" t="s">
        <v>1733</v>
      </c>
      <c r="H878" s="2" t="s">
        <v>1734</v>
      </c>
      <c r="I878" s="2" t="s">
        <v>1735</v>
      </c>
      <c r="J878" s="2" t="s">
        <v>10690</v>
      </c>
      <c r="K878" s="2" t="s">
        <v>507</v>
      </c>
      <c r="L878" s="2" t="n">
        <v>0</v>
      </c>
      <c r="M878" s="2" t="n">
        <v>0.7</v>
      </c>
    </row>
    <row r="879" customFormat="false" ht="15" hidden="false" customHeight="false" outlineLevel="0" collapsed="false">
      <c r="A879" s="2" t="n">
        <v>877</v>
      </c>
      <c r="B879" s="2" t="s">
        <v>4719</v>
      </c>
      <c r="C879" s="2" t="n">
        <v>0</v>
      </c>
      <c r="D879" s="2" t="n">
        <v>0</v>
      </c>
      <c r="E879" s="2" t="s">
        <v>10691</v>
      </c>
      <c r="F879" s="2" t="s">
        <v>743</v>
      </c>
      <c r="G879" s="2" t="s">
        <v>1740</v>
      </c>
      <c r="H879" s="2" t="s">
        <v>97</v>
      </c>
      <c r="I879" s="2" t="s">
        <v>1741</v>
      </c>
      <c r="J879" s="2" t="s">
        <v>10692</v>
      </c>
      <c r="K879" s="2" t="s">
        <v>507</v>
      </c>
      <c r="L879" s="2" t="n">
        <v>0</v>
      </c>
      <c r="M879" s="2" t="n">
        <v>0.7</v>
      </c>
    </row>
    <row r="880" customFormat="false" ht="15" hidden="false" customHeight="false" outlineLevel="0" collapsed="false">
      <c r="A880" s="2" t="n">
        <v>878</v>
      </c>
      <c r="B880" s="2" t="s">
        <v>4719</v>
      </c>
      <c r="C880" s="2" t="n">
        <v>0</v>
      </c>
      <c r="D880" s="2" t="n">
        <v>0</v>
      </c>
      <c r="E880" s="2" t="s">
        <v>10693</v>
      </c>
      <c r="F880" s="2" t="s">
        <v>743</v>
      </c>
      <c r="G880" s="2" t="s">
        <v>9577</v>
      </c>
      <c r="H880" s="2" t="s">
        <v>420</v>
      </c>
      <c r="I880" s="2" t="s">
        <v>3023</v>
      </c>
      <c r="J880" s="2" t="s">
        <v>10694</v>
      </c>
      <c r="K880" s="2" t="s">
        <v>507</v>
      </c>
      <c r="L880" s="2" t="n">
        <v>0</v>
      </c>
      <c r="M880" s="2" t="n">
        <v>0.8</v>
      </c>
    </row>
    <row r="881" customFormat="false" ht="15" hidden="false" customHeight="false" outlineLevel="0" collapsed="false">
      <c r="A881" s="2" t="n">
        <v>879</v>
      </c>
      <c r="B881" s="2" t="s">
        <v>4719</v>
      </c>
      <c r="C881" s="2" t="n">
        <v>0</v>
      </c>
      <c r="D881" s="2" t="n">
        <v>0</v>
      </c>
      <c r="E881" s="2" t="s">
        <v>10695</v>
      </c>
      <c r="F881" s="2" t="s">
        <v>10696</v>
      </c>
      <c r="G881" s="2" t="s">
        <v>1749</v>
      </c>
      <c r="H881" s="2" t="s">
        <v>1709</v>
      </c>
      <c r="I881" s="2" t="s">
        <v>1750</v>
      </c>
      <c r="J881" s="2" t="s">
        <v>10697</v>
      </c>
      <c r="K881" s="2" t="s">
        <v>507</v>
      </c>
      <c r="L881" s="2" t="n">
        <v>0</v>
      </c>
      <c r="M881" s="2" t="n">
        <v>1</v>
      </c>
    </row>
    <row r="882" customFormat="false" ht="15" hidden="false" customHeight="false" outlineLevel="0" collapsed="false">
      <c r="A882" s="2" t="n">
        <v>880</v>
      </c>
      <c r="B882" s="2" t="s">
        <v>4719</v>
      </c>
      <c r="C882" s="2" t="n">
        <v>0</v>
      </c>
      <c r="D882" s="2" t="n">
        <v>0</v>
      </c>
      <c r="E882" s="2" t="s">
        <v>10698</v>
      </c>
      <c r="F882" s="2" t="s">
        <v>9333</v>
      </c>
      <c r="G882" s="2" t="s">
        <v>1754</v>
      </c>
      <c r="H882" s="2" t="s">
        <v>97</v>
      </c>
      <c r="I882" s="2" t="s">
        <v>430</v>
      </c>
      <c r="J882" s="2" t="s">
        <v>10699</v>
      </c>
      <c r="K882" s="2" t="s">
        <v>507</v>
      </c>
      <c r="L882" s="2" t="n">
        <v>0</v>
      </c>
      <c r="M882" s="2" t="n">
        <v>0.57</v>
      </c>
    </row>
    <row r="883" customFormat="false" ht="15" hidden="false" customHeight="false" outlineLevel="0" collapsed="false">
      <c r="A883" s="2" t="n">
        <v>881</v>
      </c>
      <c r="B883" s="2" t="s">
        <v>4719</v>
      </c>
      <c r="C883" s="2" t="n">
        <v>4</v>
      </c>
      <c r="D883" s="2" t="n">
        <v>0</v>
      </c>
      <c r="E883" s="2" t="s">
        <v>4723</v>
      </c>
      <c r="F883" s="2" t="s">
        <v>3318</v>
      </c>
      <c r="G883" s="2" t="s">
        <v>4724</v>
      </c>
      <c r="H883" s="2" t="s">
        <v>97</v>
      </c>
      <c r="I883" s="2" t="s">
        <v>4206</v>
      </c>
      <c r="J883" s="2" t="s">
        <v>10700</v>
      </c>
      <c r="K883" s="2" t="s">
        <v>507</v>
      </c>
      <c r="L883" s="2" t="n">
        <v>0.11</v>
      </c>
      <c r="M883" s="2" t="n">
        <v>0.92</v>
      </c>
    </row>
    <row r="884" customFormat="false" ht="15" hidden="false" customHeight="false" outlineLevel="0" collapsed="false">
      <c r="A884" s="2" t="n">
        <v>882</v>
      </c>
      <c r="B884" s="2" t="s">
        <v>4719</v>
      </c>
      <c r="C884" s="2" t="n">
        <v>0</v>
      </c>
      <c r="D884" s="2" t="n">
        <v>0</v>
      </c>
      <c r="E884" s="2" t="s">
        <v>10701</v>
      </c>
      <c r="F884" s="2" t="s">
        <v>95</v>
      </c>
      <c r="G884" s="2" t="s">
        <v>1757</v>
      </c>
      <c r="H884" s="2" t="s">
        <v>97</v>
      </c>
      <c r="I884" s="2" t="s">
        <v>1758</v>
      </c>
      <c r="J884" s="2" t="s">
        <v>10702</v>
      </c>
      <c r="K884" s="2" t="s">
        <v>507</v>
      </c>
      <c r="L884" s="2" t="n">
        <v>0</v>
      </c>
      <c r="M884" s="2" t="n">
        <v>0.7</v>
      </c>
    </row>
    <row r="885" customFormat="false" ht="15" hidden="false" customHeight="false" outlineLevel="0" collapsed="false">
      <c r="A885" s="2" t="n">
        <v>883</v>
      </c>
      <c r="B885" s="2" t="s">
        <v>4719</v>
      </c>
      <c r="C885" s="2" t="n">
        <v>1</v>
      </c>
      <c r="D885" s="2" t="n">
        <v>0</v>
      </c>
      <c r="E885" s="2" t="s">
        <v>4741</v>
      </c>
      <c r="F885" s="2" t="s">
        <v>4742</v>
      </c>
      <c r="G885" s="2" t="s">
        <v>1767</v>
      </c>
      <c r="H885" s="2" t="s">
        <v>97</v>
      </c>
      <c r="I885" s="2" t="s">
        <v>1768</v>
      </c>
      <c r="J885" s="2" t="s">
        <v>10703</v>
      </c>
      <c r="K885" s="2" t="s">
        <v>507</v>
      </c>
      <c r="L885" s="2" t="n">
        <v>0.14</v>
      </c>
      <c r="M885" s="2" t="n">
        <v>0.89</v>
      </c>
    </row>
    <row r="886" customFormat="false" ht="15" hidden="false" customHeight="false" outlineLevel="0" collapsed="false">
      <c r="A886" s="2" t="n">
        <v>884</v>
      </c>
      <c r="B886" s="2" t="s">
        <v>4719</v>
      </c>
      <c r="C886" s="2" t="n">
        <v>0</v>
      </c>
      <c r="D886" s="2" t="n">
        <v>0</v>
      </c>
      <c r="E886" s="2" t="s">
        <v>10704</v>
      </c>
      <c r="F886" s="2" t="s">
        <v>580</v>
      </c>
      <c r="G886" s="2" t="s">
        <v>1773</v>
      </c>
      <c r="H886" s="2" t="s">
        <v>97</v>
      </c>
      <c r="I886" s="2" t="s">
        <v>1774</v>
      </c>
      <c r="J886" s="2" t="s">
        <v>10705</v>
      </c>
      <c r="K886" s="2" t="s">
        <v>507</v>
      </c>
      <c r="L886" s="2" t="n">
        <v>0</v>
      </c>
      <c r="M886" s="2" t="n">
        <v>0.3</v>
      </c>
    </row>
    <row r="887" customFormat="false" ht="15" hidden="false" customHeight="false" outlineLevel="0" collapsed="false">
      <c r="A887" s="2" t="n">
        <v>885</v>
      </c>
      <c r="B887" s="2" t="s">
        <v>4719</v>
      </c>
      <c r="C887" s="2" t="n">
        <v>1</v>
      </c>
      <c r="D887" s="2" t="n">
        <v>0</v>
      </c>
      <c r="E887" s="2" t="s">
        <v>4749</v>
      </c>
      <c r="F887" s="2" t="s">
        <v>95</v>
      </c>
      <c r="G887" s="2" t="s">
        <v>1780</v>
      </c>
      <c r="H887" s="2" t="s">
        <v>97</v>
      </c>
      <c r="I887" s="2" t="s">
        <v>805</v>
      </c>
      <c r="J887" s="2" t="s">
        <v>10706</v>
      </c>
      <c r="K887" s="2" t="s">
        <v>507</v>
      </c>
      <c r="L887" s="2" t="n">
        <v>0</v>
      </c>
      <c r="M887" s="2" t="n">
        <v>0.6</v>
      </c>
    </row>
    <row r="888" customFormat="false" ht="15" hidden="false" customHeight="false" outlineLevel="0" collapsed="false">
      <c r="A888" s="2" t="n">
        <v>886</v>
      </c>
      <c r="B888" s="2" t="s">
        <v>4719</v>
      </c>
      <c r="C888" s="2" t="n">
        <v>1</v>
      </c>
      <c r="D888" s="2" t="n">
        <v>1</v>
      </c>
      <c r="E888" s="2" t="s">
        <v>4754</v>
      </c>
      <c r="F888" s="2" t="s">
        <v>3318</v>
      </c>
      <c r="G888" s="2" t="s">
        <v>1791</v>
      </c>
      <c r="H888" s="2" t="s">
        <v>1792</v>
      </c>
      <c r="I888" s="2" t="s">
        <v>1793</v>
      </c>
      <c r="J888" s="2" t="s">
        <v>10707</v>
      </c>
      <c r="K888" s="2" t="s">
        <v>507</v>
      </c>
      <c r="L888" s="2" t="n">
        <v>0.17</v>
      </c>
      <c r="M888" s="2" t="n">
        <v>0.5</v>
      </c>
    </row>
    <row r="889" customFormat="false" ht="15" hidden="false" customHeight="false" outlineLevel="0" collapsed="false">
      <c r="A889" s="2" t="n">
        <v>887</v>
      </c>
      <c r="B889" s="2" t="s">
        <v>4719</v>
      </c>
      <c r="C889" s="2" t="n">
        <v>0</v>
      </c>
      <c r="D889" s="2" t="n">
        <v>0</v>
      </c>
      <c r="E889" s="2" t="s">
        <v>10708</v>
      </c>
      <c r="F889" s="2" t="s">
        <v>580</v>
      </c>
      <c r="G889" s="2" t="s">
        <v>1802</v>
      </c>
      <c r="H889" s="2" t="s">
        <v>420</v>
      </c>
      <c r="I889" s="2" t="s">
        <v>908</v>
      </c>
      <c r="J889" s="2" t="s">
        <v>10709</v>
      </c>
      <c r="K889" s="2" t="s">
        <v>507</v>
      </c>
      <c r="L889" s="2" t="n">
        <v>0</v>
      </c>
      <c r="M889" s="2" t="n">
        <v>0.36</v>
      </c>
    </row>
    <row r="890" customFormat="false" ht="15" hidden="false" customHeight="false" outlineLevel="0" collapsed="false">
      <c r="A890" s="2" t="n">
        <v>888</v>
      </c>
      <c r="B890" s="2" t="s">
        <v>4719</v>
      </c>
      <c r="C890" s="2" t="n">
        <v>1</v>
      </c>
      <c r="D890" s="2" t="n">
        <v>1</v>
      </c>
      <c r="E890" s="2" t="s">
        <v>4757</v>
      </c>
      <c r="F890" s="2" t="s">
        <v>963</v>
      </c>
      <c r="G890" s="2" t="s">
        <v>4758</v>
      </c>
      <c r="H890" s="2" t="s">
        <v>97</v>
      </c>
      <c r="I890" s="2" t="s">
        <v>3469</v>
      </c>
      <c r="J890" s="2" t="s">
        <v>10710</v>
      </c>
      <c r="K890" s="2" t="s">
        <v>507</v>
      </c>
      <c r="L890" s="2" t="n">
        <v>0</v>
      </c>
      <c r="M890" s="2" t="n">
        <v>0.58</v>
      </c>
    </row>
    <row r="891" customFormat="false" ht="15" hidden="false" customHeight="false" outlineLevel="0" collapsed="false">
      <c r="A891" s="2" t="n">
        <v>889</v>
      </c>
      <c r="B891" s="2" t="s">
        <v>4719</v>
      </c>
      <c r="C891" s="2" t="n">
        <v>1</v>
      </c>
      <c r="D891" s="2" t="n">
        <v>0</v>
      </c>
      <c r="E891" s="2" t="s">
        <v>4762</v>
      </c>
      <c r="F891" s="2" t="s">
        <v>580</v>
      </c>
      <c r="G891" s="2" t="s">
        <v>4763</v>
      </c>
      <c r="H891" s="2" t="s">
        <v>4764</v>
      </c>
      <c r="I891" s="2" t="s">
        <v>3787</v>
      </c>
      <c r="J891" s="2" t="s">
        <v>10711</v>
      </c>
      <c r="K891" s="2" t="s">
        <v>507</v>
      </c>
      <c r="L891" s="2" t="n">
        <v>0</v>
      </c>
      <c r="M891" s="2" t="n">
        <v>0.4</v>
      </c>
    </row>
    <row r="892" customFormat="false" ht="15" hidden="false" customHeight="false" outlineLevel="0" collapsed="false">
      <c r="A892" s="2" t="n">
        <v>890</v>
      </c>
      <c r="B892" s="2" t="s">
        <v>4719</v>
      </c>
      <c r="C892" s="2" t="n">
        <v>0</v>
      </c>
      <c r="D892" s="2" t="n">
        <v>0</v>
      </c>
      <c r="E892" s="2" t="s">
        <v>10712</v>
      </c>
      <c r="F892" s="2" t="s">
        <v>580</v>
      </c>
      <c r="G892" s="2" t="s">
        <v>9594</v>
      </c>
      <c r="H892" s="2" t="s">
        <v>9595</v>
      </c>
      <c r="I892" s="2" t="s">
        <v>9596</v>
      </c>
      <c r="J892" s="2" t="s">
        <v>10713</v>
      </c>
      <c r="K892" s="2" t="s">
        <v>507</v>
      </c>
      <c r="L892" s="2" t="n">
        <v>0</v>
      </c>
      <c r="M892" s="2" t="n">
        <v>0.36</v>
      </c>
    </row>
    <row r="893" customFormat="false" ht="15" hidden="false" customHeight="false" outlineLevel="0" collapsed="false">
      <c r="A893" s="2" t="n">
        <v>891</v>
      </c>
      <c r="B893" s="2" t="s">
        <v>4719</v>
      </c>
      <c r="C893" s="2" t="n">
        <v>0</v>
      </c>
      <c r="D893" s="2" t="n">
        <v>0</v>
      </c>
      <c r="E893" s="2" t="s">
        <v>10714</v>
      </c>
      <c r="F893" s="2" t="s">
        <v>580</v>
      </c>
      <c r="G893" s="2" t="s">
        <v>9600</v>
      </c>
      <c r="H893" s="2" t="s">
        <v>1077</v>
      </c>
      <c r="I893" s="2" t="s">
        <v>908</v>
      </c>
      <c r="J893" s="2" t="s">
        <v>10715</v>
      </c>
      <c r="K893" s="2" t="s">
        <v>507</v>
      </c>
      <c r="L893" s="2" t="n">
        <v>0</v>
      </c>
      <c r="M893" s="2" t="n">
        <v>0.45</v>
      </c>
    </row>
    <row r="894" customFormat="false" ht="15" hidden="false" customHeight="false" outlineLevel="0" collapsed="false">
      <c r="A894" s="2" t="n">
        <v>892</v>
      </c>
      <c r="B894" s="2" t="s">
        <v>4719</v>
      </c>
      <c r="C894" s="2" t="n">
        <v>0</v>
      </c>
      <c r="D894" s="2" t="n">
        <v>0</v>
      </c>
      <c r="E894" s="2" t="s">
        <v>10716</v>
      </c>
      <c r="F894" s="2" t="s">
        <v>7052</v>
      </c>
      <c r="G894" s="2" t="s">
        <v>10717</v>
      </c>
      <c r="H894" s="2" t="s">
        <v>1874</v>
      </c>
      <c r="I894" s="2" t="s">
        <v>3186</v>
      </c>
      <c r="J894" s="2" t="s">
        <v>10718</v>
      </c>
      <c r="K894" s="2" t="s">
        <v>507</v>
      </c>
      <c r="L894" s="2" t="n">
        <v>0</v>
      </c>
      <c r="M894" s="2" t="n">
        <v>0.83</v>
      </c>
    </row>
    <row r="895" customFormat="false" ht="15" hidden="false" customHeight="false" outlineLevel="0" collapsed="false">
      <c r="A895" s="2" t="n">
        <v>893</v>
      </c>
      <c r="B895" s="2" t="s">
        <v>4719</v>
      </c>
      <c r="C895" s="2" t="n">
        <v>0</v>
      </c>
      <c r="D895" s="2" t="n">
        <v>0</v>
      </c>
      <c r="E895" s="2" t="s">
        <v>10719</v>
      </c>
      <c r="F895" s="2" t="s">
        <v>3544</v>
      </c>
      <c r="G895" s="2" t="s">
        <v>9603</v>
      </c>
      <c r="H895" s="2" t="s">
        <v>420</v>
      </c>
      <c r="I895" s="2" t="s">
        <v>1324</v>
      </c>
      <c r="J895" s="2" t="s">
        <v>10720</v>
      </c>
      <c r="K895" s="2" t="s">
        <v>507</v>
      </c>
      <c r="L895" s="2" t="n">
        <v>0.17</v>
      </c>
      <c r="M895" s="2" t="n">
        <v>0.8</v>
      </c>
    </row>
    <row r="896" customFormat="false" ht="15" hidden="false" customHeight="false" outlineLevel="0" collapsed="false">
      <c r="A896" s="2" t="n">
        <v>894</v>
      </c>
      <c r="B896" s="2" t="s">
        <v>4719</v>
      </c>
      <c r="C896" s="2" t="n">
        <v>1</v>
      </c>
      <c r="D896" s="2" t="n">
        <v>0</v>
      </c>
      <c r="E896" s="2" t="s">
        <v>4771</v>
      </c>
      <c r="F896" s="2" t="s">
        <v>4614</v>
      </c>
      <c r="G896" s="2" t="s">
        <v>4772</v>
      </c>
      <c r="H896" s="2" t="s">
        <v>420</v>
      </c>
      <c r="I896" s="2" t="s">
        <v>4606</v>
      </c>
      <c r="J896" s="2" t="s">
        <v>10721</v>
      </c>
      <c r="K896" s="2" t="s">
        <v>507</v>
      </c>
      <c r="L896" s="2" t="n">
        <v>0</v>
      </c>
      <c r="M896" s="2" t="n">
        <v>0.89</v>
      </c>
    </row>
    <row r="897" customFormat="false" ht="15" hidden="false" customHeight="false" outlineLevel="0" collapsed="false">
      <c r="A897" s="2" t="n">
        <v>895</v>
      </c>
      <c r="B897" s="2" t="s">
        <v>4719</v>
      </c>
      <c r="C897" s="2" t="n">
        <v>0</v>
      </c>
      <c r="D897" s="2" t="n">
        <v>0</v>
      </c>
      <c r="E897" s="2" t="s">
        <v>10722</v>
      </c>
      <c r="F897" s="2" t="s">
        <v>6816</v>
      </c>
      <c r="G897" s="2" t="s">
        <v>9608</v>
      </c>
      <c r="H897" s="2" t="s">
        <v>745</v>
      </c>
      <c r="I897" s="2" t="s">
        <v>4606</v>
      </c>
      <c r="J897" s="2" t="s">
        <v>10723</v>
      </c>
      <c r="K897" s="2" t="s">
        <v>507</v>
      </c>
      <c r="L897" s="2" t="n">
        <v>0.1</v>
      </c>
      <c r="M897" s="2" t="n">
        <v>0.83</v>
      </c>
    </row>
    <row r="898" customFormat="false" ht="15" hidden="false" customHeight="false" outlineLevel="0" collapsed="false">
      <c r="A898" s="2" t="n">
        <v>896</v>
      </c>
      <c r="B898" s="2" t="s">
        <v>4719</v>
      </c>
      <c r="C898" s="2" t="n">
        <v>0</v>
      </c>
      <c r="D898" s="2" t="n">
        <v>0</v>
      </c>
      <c r="E898" s="2" t="s">
        <v>10724</v>
      </c>
      <c r="F898" s="2" t="s">
        <v>4036</v>
      </c>
      <c r="G898" s="2" t="s">
        <v>9611</v>
      </c>
      <c r="H898" s="2" t="s">
        <v>745</v>
      </c>
      <c r="I898" s="2" t="s">
        <v>3469</v>
      </c>
      <c r="J898" s="2" t="s">
        <v>10725</v>
      </c>
      <c r="K898" s="2" t="s">
        <v>507</v>
      </c>
      <c r="L898" s="2" t="n">
        <v>0</v>
      </c>
      <c r="M898" s="2" t="n">
        <v>0.85</v>
      </c>
    </row>
    <row r="899" customFormat="false" ht="15" hidden="false" customHeight="false" outlineLevel="0" collapsed="false">
      <c r="A899" s="2" t="n">
        <v>897</v>
      </c>
      <c r="B899" s="2" t="s">
        <v>4719</v>
      </c>
      <c r="C899" s="2" t="n">
        <v>0</v>
      </c>
      <c r="D899" s="2" t="n">
        <v>0</v>
      </c>
      <c r="E899" s="2" t="s">
        <v>10726</v>
      </c>
      <c r="F899" s="2" t="s">
        <v>418</v>
      </c>
      <c r="G899" s="2" t="s">
        <v>9614</v>
      </c>
      <c r="H899" s="2" t="s">
        <v>1808</v>
      </c>
      <c r="I899" s="2" t="s">
        <v>262</v>
      </c>
      <c r="J899" s="2" t="s">
        <v>10727</v>
      </c>
      <c r="K899" s="2" t="s">
        <v>507</v>
      </c>
      <c r="L899" s="2" t="n">
        <v>0</v>
      </c>
      <c r="M899" s="2" t="n">
        <v>0.89</v>
      </c>
    </row>
    <row r="900" customFormat="false" ht="15" hidden="false" customHeight="false" outlineLevel="0" collapsed="false">
      <c r="A900" s="2" t="n">
        <v>898</v>
      </c>
      <c r="B900" s="2" t="s">
        <v>4719</v>
      </c>
      <c r="C900" s="2" t="n">
        <v>1</v>
      </c>
      <c r="D900" s="2" t="n">
        <v>1</v>
      </c>
      <c r="E900" s="2" t="s">
        <v>4778</v>
      </c>
      <c r="F900" s="2" t="s">
        <v>4779</v>
      </c>
      <c r="G900" s="2" t="s">
        <v>1809</v>
      </c>
      <c r="H900" s="2" t="s">
        <v>1688</v>
      </c>
      <c r="I900" s="2" t="s">
        <v>1810</v>
      </c>
      <c r="J900" s="2" t="s">
        <v>10728</v>
      </c>
      <c r="K900" s="2" t="s">
        <v>507</v>
      </c>
      <c r="L900" s="2" t="n">
        <v>0.2</v>
      </c>
      <c r="M900" s="2" t="n">
        <v>0.77</v>
      </c>
    </row>
    <row r="901" customFormat="false" ht="15" hidden="false" customHeight="false" outlineLevel="0" collapsed="false">
      <c r="A901" s="2" t="n">
        <v>899</v>
      </c>
      <c r="B901" s="2" t="s">
        <v>4719</v>
      </c>
      <c r="C901" s="2" t="n">
        <v>0</v>
      </c>
      <c r="D901" s="2" t="n">
        <v>0</v>
      </c>
      <c r="E901" s="2" t="s">
        <v>10729</v>
      </c>
      <c r="F901" s="2" t="s">
        <v>95</v>
      </c>
      <c r="G901" s="2" t="s">
        <v>9618</v>
      </c>
      <c r="H901" s="2" t="s">
        <v>1792</v>
      </c>
      <c r="I901" s="2" t="s">
        <v>1147</v>
      </c>
      <c r="J901" s="2" t="s">
        <v>10730</v>
      </c>
      <c r="K901" s="2" t="s">
        <v>507</v>
      </c>
      <c r="L901" s="2" t="n">
        <v>0</v>
      </c>
      <c r="M901" s="2" t="n">
        <v>0.67</v>
      </c>
    </row>
    <row r="902" customFormat="false" ht="15" hidden="false" customHeight="false" outlineLevel="0" collapsed="false">
      <c r="A902" s="2" t="n">
        <v>900</v>
      </c>
      <c r="B902" s="2" t="s">
        <v>4780</v>
      </c>
      <c r="C902" s="2" t="n">
        <v>0</v>
      </c>
      <c r="D902" s="2" t="n">
        <v>0</v>
      </c>
      <c r="E902" s="2" t="s">
        <v>10731</v>
      </c>
      <c r="F902" s="2" t="s">
        <v>10732</v>
      </c>
      <c r="G902" s="2" t="s">
        <v>9621</v>
      </c>
      <c r="H902" s="2" t="s">
        <v>1792</v>
      </c>
      <c r="I902" s="2" t="s">
        <v>813</v>
      </c>
      <c r="J902" s="2" t="s">
        <v>10733</v>
      </c>
      <c r="K902" s="2" t="s">
        <v>507</v>
      </c>
      <c r="L902" s="2" t="n">
        <v>0.17</v>
      </c>
      <c r="M902" s="2" t="n">
        <v>0.9</v>
      </c>
    </row>
    <row r="903" customFormat="false" ht="15" hidden="false" customHeight="false" outlineLevel="0" collapsed="false">
      <c r="A903" s="2" t="n">
        <v>901</v>
      </c>
      <c r="B903" s="2" t="s">
        <v>4780</v>
      </c>
      <c r="C903" s="2" t="n">
        <v>0</v>
      </c>
      <c r="D903" s="2" t="n">
        <v>0</v>
      </c>
      <c r="E903" s="2" t="s">
        <v>10734</v>
      </c>
      <c r="F903" s="2" t="s">
        <v>743</v>
      </c>
      <c r="G903" s="2" t="s">
        <v>9629</v>
      </c>
      <c r="H903" s="2" t="s">
        <v>97</v>
      </c>
      <c r="I903" s="2" t="s">
        <v>751</v>
      </c>
      <c r="J903" s="2" t="s">
        <v>10735</v>
      </c>
      <c r="K903" s="2" t="s">
        <v>507</v>
      </c>
      <c r="L903" s="2" t="n">
        <v>0</v>
      </c>
      <c r="M903" s="2" t="n">
        <v>0.78</v>
      </c>
    </row>
    <row r="904" customFormat="false" ht="15" hidden="false" customHeight="false" outlineLevel="0" collapsed="false">
      <c r="A904" s="2" t="n">
        <v>902</v>
      </c>
      <c r="B904" s="2" t="s">
        <v>4780</v>
      </c>
      <c r="C904" s="2" t="n">
        <v>0</v>
      </c>
      <c r="D904" s="2" t="n">
        <v>0</v>
      </c>
      <c r="E904" s="2" t="s">
        <v>10736</v>
      </c>
      <c r="F904" s="2" t="s">
        <v>743</v>
      </c>
      <c r="G904" s="2" t="s">
        <v>9632</v>
      </c>
      <c r="H904" s="2" t="s">
        <v>9633</v>
      </c>
      <c r="I904" s="2" t="s">
        <v>430</v>
      </c>
      <c r="J904" s="2" t="s">
        <v>10737</v>
      </c>
      <c r="K904" s="2" t="s">
        <v>507</v>
      </c>
      <c r="L904" s="2" t="n">
        <v>0.18</v>
      </c>
      <c r="M904" s="2" t="n">
        <v>0.67</v>
      </c>
    </row>
    <row r="905" customFormat="false" ht="15" hidden="false" customHeight="false" outlineLevel="0" collapsed="false">
      <c r="A905" s="2" t="n">
        <v>903</v>
      </c>
      <c r="B905" s="2" t="s">
        <v>4780</v>
      </c>
      <c r="C905" s="2" t="n">
        <v>0</v>
      </c>
      <c r="D905" s="2" t="n">
        <v>0</v>
      </c>
      <c r="E905" s="2" t="s">
        <v>10738</v>
      </c>
      <c r="F905" s="2" t="s">
        <v>743</v>
      </c>
      <c r="G905" s="2" t="s">
        <v>9636</v>
      </c>
      <c r="H905" s="2" t="s">
        <v>9625</v>
      </c>
      <c r="I905" s="2" t="s">
        <v>98</v>
      </c>
      <c r="J905" s="2" t="s">
        <v>10739</v>
      </c>
      <c r="K905" s="2" t="s">
        <v>507</v>
      </c>
      <c r="L905" s="2" t="n">
        <v>0.07</v>
      </c>
      <c r="M905" s="2" t="n">
        <v>0.83</v>
      </c>
    </row>
    <row r="906" customFormat="false" ht="15" hidden="false" customHeight="false" outlineLevel="0" collapsed="false">
      <c r="A906" s="2" t="n">
        <v>904</v>
      </c>
      <c r="B906" s="2" t="s">
        <v>4780</v>
      </c>
      <c r="C906" s="2" t="n">
        <v>1</v>
      </c>
      <c r="D906" s="2" t="n">
        <v>0</v>
      </c>
      <c r="E906" s="2" t="s">
        <v>4783</v>
      </c>
      <c r="F906" s="2" t="s">
        <v>4784</v>
      </c>
      <c r="G906" s="2" t="s">
        <v>4785</v>
      </c>
      <c r="H906" s="2" t="s">
        <v>2979</v>
      </c>
      <c r="I906" s="2" t="s">
        <v>3206</v>
      </c>
      <c r="J906" s="2" t="s">
        <v>10740</v>
      </c>
      <c r="K906" s="2" t="s">
        <v>507</v>
      </c>
      <c r="L906" s="2" t="n">
        <v>0</v>
      </c>
      <c r="M906" s="2" t="n">
        <v>0.21</v>
      </c>
    </row>
    <row r="907" customFormat="false" ht="15" hidden="false" customHeight="false" outlineLevel="0" collapsed="false">
      <c r="A907" s="2" t="n">
        <v>905</v>
      </c>
      <c r="B907" s="2" t="s">
        <v>4780</v>
      </c>
      <c r="C907" s="2" t="n">
        <v>0</v>
      </c>
      <c r="D907" s="2" t="n">
        <v>0</v>
      </c>
      <c r="E907" s="2" t="s">
        <v>10741</v>
      </c>
      <c r="F907" s="2" t="s">
        <v>4322</v>
      </c>
      <c r="G907" s="2" t="s">
        <v>10742</v>
      </c>
      <c r="H907" s="2" t="s">
        <v>10743</v>
      </c>
      <c r="I907" s="2" t="s">
        <v>595</v>
      </c>
      <c r="J907" s="2" t="s">
        <v>10744</v>
      </c>
      <c r="K907" s="2" t="s">
        <v>507</v>
      </c>
      <c r="L907" s="2" t="n">
        <v>0.21</v>
      </c>
      <c r="M907" s="2" t="n">
        <v>0.33</v>
      </c>
    </row>
    <row r="908" customFormat="false" ht="15" hidden="false" customHeight="false" outlineLevel="0" collapsed="false">
      <c r="A908" s="2" t="n">
        <v>906</v>
      </c>
      <c r="B908" s="2" t="s">
        <v>4780</v>
      </c>
      <c r="C908" s="2" t="n">
        <v>0</v>
      </c>
      <c r="D908" s="2" t="n">
        <v>0</v>
      </c>
      <c r="E908" s="2" t="s">
        <v>10745</v>
      </c>
      <c r="F908" s="2" t="s">
        <v>3341</v>
      </c>
      <c r="G908" s="2" t="s">
        <v>9642</v>
      </c>
      <c r="H908" s="2" t="s">
        <v>1314</v>
      </c>
      <c r="I908" s="2" t="s">
        <v>1648</v>
      </c>
      <c r="J908" s="2" t="s">
        <v>10746</v>
      </c>
      <c r="K908" s="2" t="s">
        <v>507</v>
      </c>
      <c r="L908" s="2" t="n">
        <v>0</v>
      </c>
      <c r="M908" s="2" t="n">
        <v>0.64</v>
      </c>
    </row>
    <row r="909" customFormat="false" ht="15" hidden="false" customHeight="false" outlineLevel="0" collapsed="false">
      <c r="A909" s="2" t="n">
        <v>907</v>
      </c>
      <c r="B909" s="2" t="s">
        <v>4780</v>
      </c>
      <c r="C909" s="2" t="n">
        <v>0</v>
      </c>
      <c r="D909" s="2" t="n">
        <v>0</v>
      </c>
      <c r="E909" s="2" t="s">
        <v>10747</v>
      </c>
      <c r="F909" s="2" t="s">
        <v>10748</v>
      </c>
      <c r="G909" s="2" t="s">
        <v>9645</v>
      </c>
      <c r="H909" s="2" t="s">
        <v>9646</v>
      </c>
      <c r="I909" s="2" t="s">
        <v>2346</v>
      </c>
      <c r="J909" s="2" t="s">
        <v>10749</v>
      </c>
      <c r="K909" s="2" t="s">
        <v>507</v>
      </c>
      <c r="L909" s="2" t="n">
        <v>0</v>
      </c>
      <c r="M909" s="2"/>
    </row>
    <row r="910" customFormat="false" ht="15" hidden="false" customHeight="false" outlineLevel="0" collapsed="false">
      <c r="A910" s="2" t="n">
        <v>908</v>
      </c>
      <c r="B910" s="2" t="s">
        <v>4780</v>
      </c>
      <c r="C910" s="2" t="n">
        <v>0</v>
      </c>
      <c r="D910" s="2" t="n">
        <v>0</v>
      </c>
      <c r="E910" s="2" t="s">
        <v>10750</v>
      </c>
      <c r="F910" s="2" t="s">
        <v>4322</v>
      </c>
      <c r="G910" s="2" t="s">
        <v>9653</v>
      </c>
      <c r="H910" s="2" t="s">
        <v>710</v>
      </c>
      <c r="I910" s="2" t="s">
        <v>321</v>
      </c>
      <c r="J910" s="2" t="s">
        <v>10751</v>
      </c>
      <c r="K910" s="2" t="s">
        <v>507</v>
      </c>
      <c r="L910" s="2" t="n">
        <v>0</v>
      </c>
      <c r="M910" s="2" t="n">
        <v>0</v>
      </c>
    </row>
    <row r="911" customFormat="false" ht="15" hidden="false" customHeight="false" outlineLevel="0" collapsed="false">
      <c r="A911" s="2" t="n">
        <v>909</v>
      </c>
      <c r="B911" s="2" t="s">
        <v>4780</v>
      </c>
      <c r="C911" s="2" t="n">
        <v>0</v>
      </c>
      <c r="D911" s="2" t="n">
        <v>0</v>
      </c>
      <c r="E911" s="2" t="s">
        <v>10752</v>
      </c>
      <c r="F911" s="2" t="s">
        <v>4036</v>
      </c>
      <c r="G911" s="2" t="s">
        <v>1818</v>
      </c>
      <c r="H911" s="2" t="s">
        <v>1819</v>
      </c>
      <c r="I911" s="2" t="s">
        <v>246</v>
      </c>
      <c r="J911" s="2" t="s">
        <v>10753</v>
      </c>
      <c r="K911" s="2" t="s">
        <v>507</v>
      </c>
      <c r="L911" s="2" t="n">
        <v>0.14</v>
      </c>
      <c r="M911" s="2" t="n">
        <v>0.82</v>
      </c>
    </row>
    <row r="912" customFormat="false" ht="15" hidden="false" customHeight="false" outlineLevel="0" collapsed="false">
      <c r="A912" s="2" t="n">
        <v>910</v>
      </c>
      <c r="B912" s="2" t="s">
        <v>4780</v>
      </c>
      <c r="C912" s="2" t="n">
        <v>1</v>
      </c>
      <c r="D912" s="2" t="n">
        <v>0</v>
      </c>
      <c r="E912" s="2" t="s">
        <v>4791</v>
      </c>
      <c r="F912" s="2" t="s">
        <v>4792</v>
      </c>
      <c r="G912" s="2" t="s">
        <v>1839</v>
      </c>
      <c r="H912" s="2" t="s">
        <v>420</v>
      </c>
      <c r="I912" s="2" t="s">
        <v>1840</v>
      </c>
      <c r="J912" s="2" t="s">
        <v>10754</v>
      </c>
      <c r="K912" s="2" t="s">
        <v>507</v>
      </c>
      <c r="L912" s="2" t="n">
        <v>0</v>
      </c>
      <c r="M912" s="2" t="n">
        <v>1</v>
      </c>
    </row>
    <row r="913" customFormat="false" ht="15" hidden="false" customHeight="false" outlineLevel="0" collapsed="false">
      <c r="A913" s="2" t="n">
        <v>911</v>
      </c>
      <c r="B913" s="2" t="s">
        <v>4780</v>
      </c>
      <c r="C913" s="2" t="n">
        <v>0</v>
      </c>
      <c r="D913" s="2" t="n">
        <v>0</v>
      </c>
      <c r="E913" s="2" t="s">
        <v>10755</v>
      </c>
      <c r="F913" s="2" t="s">
        <v>743</v>
      </c>
      <c r="G913" s="2" t="s">
        <v>1853</v>
      </c>
      <c r="H913" s="2" t="s">
        <v>97</v>
      </c>
      <c r="I913" s="2" t="s">
        <v>262</v>
      </c>
      <c r="J913" s="2" t="s">
        <v>10756</v>
      </c>
      <c r="K913" s="2" t="s">
        <v>507</v>
      </c>
      <c r="L913" s="2" t="n">
        <v>0.09</v>
      </c>
      <c r="M913" s="2" t="n">
        <v>0.89</v>
      </c>
    </row>
    <row r="914" customFormat="false" ht="15" hidden="false" customHeight="false" outlineLevel="0" collapsed="false">
      <c r="A914" s="2" t="n">
        <v>912</v>
      </c>
      <c r="B914" s="2" t="s">
        <v>4780</v>
      </c>
      <c r="C914" s="2" t="n">
        <v>0</v>
      </c>
      <c r="D914" s="2" t="n">
        <v>0</v>
      </c>
      <c r="E914" s="2" t="s">
        <v>10757</v>
      </c>
      <c r="F914" s="2" t="s">
        <v>3347</v>
      </c>
      <c r="G914" s="2" t="s">
        <v>1865</v>
      </c>
      <c r="H914" s="2" t="s">
        <v>1866</v>
      </c>
      <c r="I914" s="2" t="s">
        <v>246</v>
      </c>
      <c r="J914" s="2" t="s">
        <v>10758</v>
      </c>
      <c r="K914" s="2" t="s">
        <v>507</v>
      </c>
      <c r="L914" s="2" t="n">
        <v>0</v>
      </c>
      <c r="M914" s="2" t="n">
        <v>0.7</v>
      </c>
    </row>
    <row r="915" customFormat="false" ht="15" hidden="false" customHeight="false" outlineLevel="0" collapsed="false">
      <c r="A915" s="2" t="n">
        <v>913</v>
      </c>
      <c r="B915" s="2" t="s">
        <v>4780</v>
      </c>
      <c r="C915" s="2" t="n">
        <v>0</v>
      </c>
      <c r="D915" s="2" t="n">
        <v>0</v>
      </c>
      <c r="E915" s="2" t="s">
        <v>10759</v>
      </c>
      <c r="F915" s="2" t="s">
        <v>694</v>
      </c>
      <c r="G915" s="2" t="s">
        <v>1873</v>
      </c>
      <c r="H915" s="2" t="s">
        <v>1874</v>
      </c>
      <c r="I915" s="2" t="s">
        <v>1875</v>
      </c>
      <c r="J915" s="2" t="s">
        <v>10760</v>
      </c>
      <c r="K915" s="2" t="s">
        <v>507</v>
      </c>
      <c r="L915" s="2" t="n">
        <v>0</v>
      </c>
      <c r="M915" s="2" t="n">
        <v>0.71</v>
      </c>
    </row>
    <row r="916" customFormat="false" ht="15" hidden="false" customHeight="false" outlineLevel="0" collapsed="false">
      <c r="A916" s="2" t="n">
        <v>914</v>
      </c>
      <c r="B916" s="2" t="s">
        <v>4780</v>
      </c>
      <c r="C916" s="2" t="n">
        <v>0</v>
      </c>
      <c r="D916" s="2" t="n">
        <v>0</v>
      </c>
      <c r="E916" s="2" t="s">
        <v>10761</v>
      </c>
      <c r="F916" s="2" t="s">
        <v>743</v>
      </c>
      <c r="G916" s="2" t="s">
        <v>1883</v>
      </c>
      <c r="H916" s="2" t="s">
        <v>420</v>
      </c>
      <c r="I916" s="2" t="s">
        <v>987</v>
      </c>
      <c r="J916" s="2" t="s">
        <v>10762</v>
      </c>
      <c r="K916" s="2" t="s">
        <v>507</v>
      </c>
      <c r="L916" s="2" t="n">
        <v>0</v>
      </c>
      <c r="M916" s="2" t="n">
        <v>0.83</v>
      </c>
    </row>
    <row r="917" customFormat="false" ht="15" hidden="false" customHeight="false" outlineLevel="0" collapsed="false">
      <c r="A917" s="2" t="n">
        <v>915</v>
      </c>
      <c r="B917" s="2" t="s">
        <v>4780</v>
      </c>
      <c r="C917" s="2" t="n">
        <v>0</v>
      </c>
      <c r="D917" s="2" t="n">
        <v>0</v>
      </c>
      <c r="E917" s="2" t="s">
        <v>10763</v>
      </c>
      <c r="F917" s="2" t="s">
        <v>743</v>
      </c>
      <c r="G917" s="2" t="s">
        <v>10764</v>
      </c>
      <c r="H917" s="2" t="s">
        <v>97</v>
      </c>
      <c r="I917" s="2" t="s">
        <v>2939</v>
      </c>
      <c r="J917" s="2" t="s">
        <v>10765</v>
      </c>
      <c r="K917" s="2" t="s">
        <v>507</v>
      </c>
      <c r="L917" s="2" t="n">
        <v>0.12</v>
      </c>
      <c r="M917" s="2" t="n">
        <v>0.85</v>
      </c>
    </row>
    <row r="918" customFormat="false" ht="15" hidden="false" customHeight="false" outlineLevel="0" collapsed="false">
      <c r="A918" s="2" t="n">
        <v>916</v>
      </c>
      <c r="B918" s="2" t="s">
        <v>4780</v>
      </c>
      <c r="C918" s="2" t="n">
        <v>0</v>
      </c>
      <c r="D918" s="2" t="n">
        <v>0</v>
      </c>
      <c r="E918" s="2" t="s">
        <v>10766</v>
      </c>
      <c r="F918" s="2" t="s">
        <v>3762</v>
      </c>
      <c r="G918" s="2" t="s">
        <v>9662</v>
      </c>
      <c r="H918" s="2" t="s">
        <v>745</v>
      </c>
      <c r="I918" s="2" t="s">
        <v>2162</v>
      </c>
      <c r="J918" s="2" t="s">
        <v>10767</v>
      </c>
      <c r="K918" s="2" t="s">
        <v>507</v>
      </c>
      <c r="L918" s="2" t="n">
        <v>0</v>
      </c>
      <c r="M918" s="2" t="n">
        <v>0.89</v>
      </c>
    </row>
    <row r="919" customFormat="false" ht="15" hidden="false" customHeight="false" outlineLevel="0" collapsed="false">
      <c r="A919" s="2" t="n">
        <v>917</v>
      </c>
      <c r="B919" s="2" t="s">
        <v>4780</v>
      </c>
      <c r="C919" s="2" t="n">
        <v>1</v>
      </c>
      <c r="D919" s="2" t="n">
        <v>0</v>
      </c>
      <c r="E919" s="2" t="s">
        <v>4797</v>
      </c>
      <c r="F919" s="2" t="s">
        <v>4798</v>
      </c>
      <c r="G919" s="2" t="s">
        <v>1898</v>
      </c>
      <c r="H919" s="2" t="s">
        <v>1874</v>
      </c>
      <c r="I919" s="2" t="s">
        <v>370</v>
      </c>
      <c r="J919" s="2" t="s">
        <v>10768</v>
      </c>
      <c r="K919" s="2" t="s">
        <v>507</v>
      </c>
      <c r="L919" s="2" t="n">
        <v>0.12</v>
      </c>
      <c r="M919" s="2" t="n">
        <v>0.6</v>
      </c>
    </row>
    <row r="920" customFormat="false" ht="15" hidden="false" customHeight="false" outlineLevel="0" collapsed="false">
      <c r="A920" s="2" t="n">
        <v>918</v>
      </c>
      <c r="B920" s="2" t="s">
        <v>4780</v>
      </c>
      <c r="C920" s="2" t="n">
        <v>0</v>
      </c>
      <c r="D920" s="2" t="n">
        <v>0</v>
      </c>
      <c r="E920" s="2" t="s">
        <v>10769</v>
      </c>
      <c r="F920" s="2" t="s">
        <v>418</v>
      </c>
      <c r="G920" s="2" t="s">
        <v>1911</v>
      </c>
      <c r="H920" s="2" t="s">
        <v>1874</v>
      </c>
      <c r="I920" s="2" t="s">
        <v>370</v>
      </c>
      <c r="J920" s="2" t="s">
        <v>10770</v>
      </c>
      <c r="K920" s="2" t="s">
        <v>507</v>
      </c>
      <c r="L920" s="2" t="n">
        <v>0.14</v>
      </c>
      <c r="M920" s="2" t="n">
        <v>0.89</v>
      </c>
    </row>
    <row r="921" customFormat="false" ht="15" hidden="false" customHeight="false" outlineLevel="0" collapsed="false">
      <c r="A921" s="2" t="n">
        <v>919</v>
      </c>
      <c r="B921" s="2" t="s">
        <v>4780</v>
      </c>
      <c r="C921" s="2" t="n">
        <v>0</v>
      </c>
      <c r="D921" s="2" t="n">
        <v>0</v>
      </c>
      <c r="E921" s="2" t="s">
        <v>10771</v>
      </c>
      <c r="F921" s="2" t="s">
        <v>10696</v>
      </c>
      <c r="G921" s="2" t="s">
        <v>1922</v>
      </c>
      <c r="H921" s="2" t="s">
        <v>420</v>
      </c>
      <c r="I921" s="2" t="s">
        <v>1923</v>
      </c>
      <c r="J921" s="2" t="s">
        <v>10772</v>
      </c>
      <c r="K921" s="2" t="s">
        <v>507</v>
      </c>
      <c r="L921" s="2" t="n">
        <v>0</v>
      </c>
      <c r="M921" s="2" t="n">
        <v>1</v>
      </c>
    </row>
    <row r="922" customFormat="false" ht="15" hidden="false" customHeight="false" outlineLevel="0" collapsed="false">
      <c r="A922" s="2" t="n">
        <v>920</v>
      </c>
      <c r="B922" s="2" t="s">
        <v>4780</v>
      </c>
      <c r="C922" s="2" t="n">
        <v>0</v>
      </c>
      <c r="D922" s="2" t="n">
        <v>0</v>
      </c>
      <c r="E922" s="2" t="s">
        <v>10773</v>
      </c>
      <c r="F922" s="2" t="s">
        <v>694</v>
      </c>
      <c r="G922" s="2" t="s">
        <v>1930</v>
      </c>
      <c r="H922" s="2" t="s">
        <v>1931</v>
      </c>
      <c r="I922" s="2" t="s">
        <v>1932</v>
      </c>
      <c r="J922" s="2" t="s">
        <v>10774</v>
      </c>
      <c r="K922" s="2" t="s">
        <v>507</v>
      </c>
      <c r="L922" s="2" t="n">
        <v>0</v>
      </c>
      <c r="M922" s="2" t="n">
        <v>1</v>
      </c>
    </row>
    <row r="923" customFormat="false" ht="15" hidden="false" customHeight="false" outlineLevel="0" collapsed="false">
      <c r="A923" s="2" t="n">
        <v>921</v>
      </c>
      <c r="B923" s="2" t="s">
        <v>4780</v>
      </c>
      <c r="C923" s="2" t="n">
        <v>0</v>
      </c>
      <c r="D923" s="2" t="n">
        <v>0</v>
      </c>
      <c r="E923" s="2" t="s">
        <v>10775</v>
      </c>
      <c r="F923" s="2" t="s">
        <v>10696</v>
      </c>
      <c r="G923" s="2" t="s">
        <v>10776</v>
      </c>
      <c r="H923" s="2" t="s">
        <v>745</v>
      </c>
      <c r="I923" s="2" t="s">
        <v>908</v>
      </c>
      <c r="J923" s="2" t="s">
        <v>10777</v>
      </c>
      <c r="K923" s="2" t="s">
        <v>507</v>
      </c>
      <c r="L923" s="2" t="n">
        <v>0</v>
      </c>
      <c r="M923" s="2" t="n">
        <v>1</v>
      </c>
    </row>
    <row r="924" customFormat="false" ht="15" hidden="false" customHeight="false" outlineLevel="0" collapsed="false">
      <c r="A924" s="2" t="n">
        <v>922</v>
      </c>
      <c r="B924" s="2" t="s">
        <v>4780</v>
      </c>
      <c r="C924" s="2" t="n">
        <v>4</v>
      </c>
      <c r="D924" s="2" t="n">
        <v>0</v>
      </c>
      <c r="E924" s="2" t="s">
        <v>4805</v>
      </c>
      <c r="F924" s="2" t="s">
        <v>1168</v>
      </c>
      <c r="G924" s="2" t="s">
        <v>1941</v>
      </c>
      <c r="H924" s="2" t="s">
        <v>1077</v>
      </c>
      <c r="I924" s="2" t="s">
        <v>1840</v>
      </c>
      <c r="J924" s="2" t="s">
        <v>10778</v>
      </c>
      <c r="K924" s="2" t="s">
        <v>507</v>
      </c>
      <c r="L924" s="2" t="n">
        <v>0.07</v>
      </c>
      <c r="M924" s="2" t="n">
        <v>0.6</v>
      </c>
    </row>
    <row r="925" customFormat="false" ht="15" hidden="false" customHeight="false" outlineLevel="0" collapsed="false">
      <c r="A925" s="2" t="n">
        <v>923</v>
      </c>
      <c r="B925" s="2" t="s">
        <v>4780</v>
      </c>
      <c r="C925" s="2" t="n">
        <v>2</v>
      </c>
      <c r="D925" s="2" t="n">
        <v>0</v>
      </c>
      <c r="E925" s="2" t="s">
        <v>4820</v>
      </c>
      <c r="F925" s="2" t="s">
        <v>4821</v>
      </c>
      <c r="G925" s="2" t="s">
        <v>4822</v>
      </c>
      <c r="H925" s="2" t="s">
        <v>420</v>
      </c>
      <c r="I925" s="2" t="s">
        <v>3017</v>
      </c>
      <c r="J925" s="2" t="s">
        <v>10779</v>
      </c>
      <c r="K925" s="2" t="s">
        <v>507</v>
      </c>
      <c r="L925" s="2" t="n">
        <v>0</v>
      </c>
      <c r="M925" s="2" t="n">
        <v>0.8</v>
      </c>
    </row>
    <row r="926" customFormat="false" ht="15" hidden="false" customHeight="false" outlineLevel="0" collapsed="false">
      <c r="A926" s="2" t="n">
        <v>924</v>
      </c>
      <c r="B926" s="2" t="s">
        <v>4780</v>
      </c>
      <c r="C926" s="2" t="n">
        <v>2</v>
      </c>
      <c r="D926" s="2" t="n">
        <v>0</v>
      </c>
      <c r="E926" s="2" t="s">
        <v>4831</v>
      </c>
      <c r="F926" s="2" t="s">
        <v>4821</v>
      </c>
      <c r="G926" s="2" t="s">
        <v>1948</v>
      </c>
      <c r="H926" s="2" t="s">
        <v>1931</v>
      </c>
      <c r="I926" s="2" t="s">
        <v>1750</v>
      </c>
      <c r="J926" s="2" t="s">
        <v>10780</v>
      </c>
      <c r="K926" s="2" t="s">
        <v>507</v>
      </c>
      <c r="L926" s="2" t="n">
        <v>0</v>
      </c>
      <c r="M926" s="2" t="n">
        <v>0.55</v>
      </c>
    </row>
    <row r="927" customFormat="false" ht="15" hidden="false" customHeight="false" outlineLevel="0" collapsed="false">
      <c r="A927" s="2" t="n">
        <v>925</v>
      </c>
      <c r="B927" s="2" t="s">
        <v>4780</v>
      </c>
      <c r="C927" s="2" t="n">
        <v>2</v>
      </c>
      <c r="D927" s="2" t="n">
        <v>0</v>
      </c>
      <c r="E927" s="2" t="s">
        <v>4841</v>
      </c>
      <c r="F927" s="2" t="s">
        <v>4821</v>
      </c>
      <c r="G927" s="2" t="s">
        <v>4842</v>
      </c>
      <c r="H927" s="2" t="s">
        <v>745</v>
      </c>
      <c r="I927" s="2" t="s">
        <v>4843</v>
      </c>
      <c r="J927" s="2" t="s">
        <v>10781</v>
      </c>
      <c r="K927" s="2" t="s">
        <v>507</v>
      </c>
      <c r="L927" s="2" t="n">
        <v>0</v>
      </c>
      <c r="M927" s="2" t="n">
        <v>0.8</v>
      </c>
    </row>
    <row r="928" customFormat="false" ht="15" hidden="false" customHeight="false" outlineLevel="0" collapsed="false">
      <c r="A928" s="2" t="n">
        <v>926</v>
      </c>
      <c r="B928" s="2" t="s">
        <v>4780</v>
      </c>
      <c r="C928" s="2" t="n">
        <v>0</v>
      </c>
      <c r="D928" s="2" t="n">
        <v>0</v>
      </c>
      <c r="E928" s="2" t="s">
        <v>10782</v>
      </c>
      <c r="F928" s="2" t="s">
        <v>743</v>
      </c>
      <c r="G928" s="2" t="s">
        <v>1957</v>
      </c>
      <c r="H928" s="2" t="s">
        <v>745</v>
      </c>
      <c r="I928" s="2" t="s">
        <v>1332</v>
      </c>
      <c r="J928" s="2" t="s">
        <v>10783</v>
      </c>
      <c r="K928" s="2" t="s">
        <v>507</v>
      </c>
      <c r="L928" s="2" t="n">
        <v>0.11</v>
      </c>
      <c r="M928" s="2" t="n">
        <v>0.5</v>
      </c>
    </row>
    <row r="929" customFormat="false" ht="15" hidden="false" customHeight="false" outlineLevel="0" collapsed="false">
      <c r="A929" s="2" t="n">
        <v>927</v>
      </c>
      <c r="B929" s="2" t="s">
        <v>4780</v>
      </c>
      <c r="C929" s="2" t="n">
        <v>1</v>
      </c>
      <c r="D929" s="2" t="n">
        <v>1</v>
      </c>
      <c r="E929" s="2" t="s">
        <v>4853</v>
      </c>
      <c r="F929" s="2" t="s">
        <v>4854</v>
      </c>
      <c r="G929" s="2" t="s">
        <v>1968</v>
      </c>
      <c r="H929" s="2" t="s">
        <v>1077</v>
      </c>
      <c r="I929" s="2" t="s">
        <v>1078</v>
      </c>
      <c r="J929" s="2" t="s">
        <v>10784</v>
      </c>
      <c r="K929" s="2" t="s">
        <v>507</v>
      </c>
      <c r="L929" s="2" t="n">
        <v>0.07</v>
      </c>
      <c r="M929" s="2" t="n">
        <v>0.78</v>
      </c>
    </row>
    <row r="930" customFormat="false" ht="15" hidden="false" customHeight="false" outlineLevel="0" collapsed="false">
      <c r="A930" s="2" t="n">
        <v>928</v>
      </c>
      <c r="B930" s="2" t="s">
        <v>4780</v>
      </c>
      <c r="C930" s="2" t="n">
        <v>1</v>
      </c>
      <c r="D930" s="2" t="n">
        <v>1</v>
      </c>
      <c r="E930" s="2" t="s">
        <v>4861</v>
      </c>
      <c r="F930" s="2" t="s">
        <v>4821</v>
      </c>
      <c r="G930" s="2" t="s">
        <v>4862</v>
      </c>
      <c r="H930" s="2" t="s">
        <v>745</v>
      </c>
      <c r="I930" s="2" t="s">
        <v>1840</v>
      </c>
      <c r="J930" s="2" t="s">
        <v>10785</v>
      </c>
      <c r="K930" s="2" t="s">
        <v>507</v>
      </c>
      <c r="L930" s="2" t="n">
        <v>0.1</v>
      </c>
      <c r="M930" s="2" t="n">
        <v>0.6</v>
      </c>
    </row>
    <row r="931" customFormat="false" ht="15" hidden="false" customHeight="false" outlineLevel="0" collapsed="false">
      <c r="A931" s="2" t="n">
        <v>929</v>
      </c>
      <c r="B931" s="2" t="s">
        <v>4780</v>
      </c>
      <c r="C931" s="2" t="n">
        <v>0</v>
      </c>
      <c r="D931" s="2" t="n">
        <v>0</v>
      </c>
      <c r="E931" s="2" t="s">
        <v>10786</v>
      </c>
      <c r="F931" s="2" t="s">
        <v>6026</v>
      </c>
      <c r="G931" s="2" t="s">
        <v>1978</v>
      </c>
      <c r="H931" s="2" t="s">
        <v>1979</v>
      </c>
      <c r="I931" s="2" t="s">
        <v>1306</v>
      </c>
      <c r="J931" s="2" t="s">
        <v>10787</v>
      </c>
      <c r="K931" s="2" t="s">
        <v>507</v>
      </c>
      <c r="L931" s="2" t="n">
        <v>0</v>
      </c>
      <c r="M931" s="2" t="n">
        <v>0.8</v>
      </c>
    </row>
    <row r="932" customFormat="false" ht="15" hidden="false" customHeight="false" outlineLevel="0" collapsed="false">
      <c r="A932" s="2" t="n">
        <v>930</v>
      </c>
      <c r="B932" s="2" t="s">
        <v>4863</v>
      </c>
      <c r="C932" s="2" t="n">
        <v>0</v>
      </c>
      <c r="D932" s="2" t="n">
        <v>0</v>
      </c>
      <c r="E932" s="2" t="s">
        <v>10788</v>
      </c>
      <c r="F932" s="2" t="s">
        <v>10789</v>
      </c>
      <c r="G932" s="2" t="s">
        <v>9682</v>
      </c>
      <c r="H932" s="2" t="s">
        <v>9683</v>
      </c>
      <c r="I932" s="2" t="s">
        <v>987</v>
      </c>
      <c r="J932" s="2" t="s">
        <v>10790</v>
      </c>
      <c r="K932" s="2" t="s">
        <v>507</v>
      </c>
      <c r="L932" s="2" t="n">
        <v>0.08</v>
      </c>
      <c r="M932" s="2" t="n">
        <v>0.89</v>
      </c>
    </row>
    <row r="933" customFormat="false" ht="15" hidden="false" customHeight="false" outlineLevel="0" collapsed="false">
      <c r="A933" s="2" t="n">
        <v>931</v>
      </c>
      <c r="B933" s="2" t="s">
        <v>4863</v>
      </c>
      <c r="C933" s="2" t="n">
        <v>0</v>
      </c>
      <c r="D933" s="2" t="n">
        <v>0</v>
      </c>
      <c r="E933" s="2" t="s">
        <v>10791</v>
      </c>
      <c r="F933" s="2" t="s">
        <v>3341</v>
      </c>
      <c r="G933" s="2" t="s">
        <v>9678</v>
      </c>
      <c r="H933" s="2" t="s">
        <v>1077</v>
      </c>
      <c r="I933" s="2" t="s">
        <v>8424</v>
      </c>
      <c r="J933" s="2" t="s">
        <v>10792</v>
      </c>
      <c r="K933" s="2" t="s">
        <v>507</v>
      </c>
      <c r="L933" s="2" t="n">
        <v>0.15</v>
      </c>
      <c r="M933" s="2" t="n">
        <v>0.67</v>
      </c>
    </row>
    <row r="934" customFormat="false" ht="15" hidden="false" customHeight="false" outlineLevel="0" collapsed="false">
      <c r="A934" s="2" t="n">
        <v>932</v>
      </c>
      <c r="B934" s="2" t="s">
        <v>4863</v>
      </c>
      <c r="C934" s="2" t="n">
        <v>0</v>
      </c>
      <c r="D934" s="2" t="n">
        <v>0</v>
      </c>
      <c r="E934" s="2" t="s">
        <v>10793</v>
      </c>
      <c r="F934" s="2" t="s">
        <v>743</v>
      </c>
      <c r="G934" s="2" t="s">
        <v>10794</v>
      </c>
      <c r="H934" s="2" t="s">
        <v>696</v>
      </c>
      <c r="I934" s="2" t="s">
        <v>271</v>
      </c>
      <c r="J934" s="2" t="s">
        <v>10795</v>
      </c>
      <c r="K934" s="2" t="s">
        <v>507</v>
      </c>
      <c r="L934" s="2" t="n">
        <v>0</v>
      </c>
      <c r="M934" s="2" t="n">
        <v>0.57</v>
      </c>
    </row>
    <row r="935" customFormat="false" ht="15" hidden="false" customHeight="false" outlineLevel="0" collapsed="false">
      <c r="A935" s="2" t="n">
        <v>933</v>
      </c>
      <c r="B935" s="2" t="s">
        <v>4863</v>
      </c>
      <c r="C935" s="2" t="n">
        <v>1</v>
      </c>
      <c r="D935" s="2" t="n">
        <v>1</v>
      </c>
      <c r="E935" s="2" t="s">
        <v>4867</v>
      </c>
      <c r="F935" s="2" t="s">
        <v>803</v>
      </c>
      <c r="G935" s="2" t="s">
        <v>4868</v>
      </c>
      <c r="H935" s="2" t="s">
        <v>745</v>
      </c>
      <c r="I935" s="2" t="s">
        <v>1810</v>
      </c>
      <c r="J935" s="2" t="s">
        <v>10796</v>
      </c>
      <c r="K935" s="2" t="s">
        <v>507</v>
      </c>
      <c r="L935" s="2" t="n">
        <v>0</v>
      </c>
      <c r="M935" s="2" t="n">
        <v>1</v>
      </c>
    </row>
    <row r="936" customFormat="false" ht="15" hidden="false" customHeight="false" outlineLevel="0" collapsed="false">
      <c r="A936" s="2" t="n">
        <v>934</v>
      </c>
      <c r="B936" s="2" t="s">
        <v>4863</v>
      </c>
      <c r="C936" s="2" t="n">
        <v>0</v>
      </c>
      <c r="D936" s="2" t="n">
        <v>0</v>
      </c>
      <c r="E936" s="2" t="s">
        <v>10797</v>
      </c>
      <c r="F936" s="2" t="s">
        <v>10798</v>
      </c>
      <c r="G936" s="2" t="s">
        <v>9694</v>
      </c>
      <c r="H936" s="2" t="s">
        <v>3544</v>
      </c>
      <c r="I936" s="2" t="s">
        <v>5557</v>
      </c>
      <c r="J936" s="2" t="s">
        <v>10799</v>
      </c>
      <c r="K936" s="2" t="s">
        <v>507</v>
      </c>
      <c r="L936" s="2" t="n">
        <v>0.1</v>
      </c>
      <c r="M936" s="2" t="n">
        <v>1</v>
      </c>
    </row>
    <row r="937" customFormat="false" ht="15" hidden="false" customHeight="false" outlineLevel="0" collapsed="false">
      <c r="A937" s="2" t="n">
        <v>935</v>
      </c>
      <c r="B937" s="2" t="s">
        <v>4863</v>
      </c>
      <c r="C937" s="2" t="n">
        <v>1</v>
      </c>
      <c r="D937" s="2" t="n">
        <v>1</v>
      </c>
      <c r="E937" s="2" t="s">
        <v>4875</v>
      </c>
      <c r="F937" s="2" t="s">
        <v>418</v>
      </c>
      <c r="G937" s="2" t="s">
        <v>4876</v>
      </c>
      <c r="H937" s="2" t="s">
        <v>1525</v>
      </c>
      <c r="I937" s="2" t="s">
        <v>2399</v>
      </c>
      <c r="J937" s="2" t="s">
        <v>10800</v>
      </c>
      <c r="K937" s="2" t="s">
        <v>507</v>
      </c>
      <c r="L937" s="2" t="n">
        <v>0.18</v>
      </c>
      <c r="M937" s="2" t="n">
        <v>0.9</v>
      </c>
    </row>
    <row r="938" customFormat="false" ht="15" hidden="false" customHeight="false" outlineLevel="0" collapsed="false">
      <c r="A938" s="2" t="n">
        <v>936</v>
      </c>
      <c r="B938" s="2" t="s">
        <v>4863</v>
      </c>
      <c r="C938" s="2" t="n">
        <v>0</v>
      </c>
      <c r="D938" s="2" t="n">
        <v>0</v>
      </c>
      <c r="E938" s="2" t="s">
        <v>10801</v>
      </c>
      <c r="F938" s="2" t="s">
        <v>10802</v>
      </c>
      <c r="G938" s="2" t="s">
        <v>9704</v>
      </c>
      <c r="H938" s="2" t="s">
        <v>9705</v>
      </c>
      <c r="I938" s="2" t="s">
        <v>2303</v>
      </c>
      <c r="J938" s="2" t="s">
        <v>10803</v>
      </c>
      <c r="K938" s="2" t="s">
        <v>507</v>
      </c>
      <c r="L938" s="2" t="n">
        <v>0.17</v>
      </c>
      <c r="M938" s="2" t="n">
        <v>1</v>
      </c>
    </row>
    <row r="939" customFormat="false" ht="15" hidden="false" customHeight="false" outlineLevel="0" collapsed="false">
      <c r="A939" s="2" t="n">
        <v>937</v>
      </c>
      <c r="B939" s="2" t="s">
        <v>4863</v>
      </c>
      <c r="C939" s="2" t="n">
        <v>0</v>
      </c>
      <c r="D939" s="2" t="n">
        <v>0</v>
      </c>
      <c r="E939" s="2" t="s">
        <v>10804</v>
      </c>
      <c r="F939" s="2" t="s">
        <v>10805</v>
      </c>
      <c r="G939" s="2" t="s">
        <v>9709</v>
      </c>
      <c r="H939" s="2" t="s">
        <v>1077</v>
      </c>
      <c r="I939" s="2" t="s">
        <v>495</v>
      </c>
      <c r="J939" s="2" t="s">
        <v>10806</v>
      </c>
      <c r="K939" s="2" t="s">
        <v>507</v>
      </c>
      <c r="L939" s="2" t="n">
        <v>0</v>
      </c>
      <c r="M939" s="2" t="n">
        <v>0.3</v>
      </c>
    </row>
    <row r="940" customFormat="false" ht="15" hidden="false" customHeight="false" outlineLevel="0" collapsed="false">
      <c r="A940" s="2" t="n">
        <v>938</v>
      </c>
      <c r="B940" s="2" t="s">
        <v>4863</v>
      </c>
      <c r="C940" s="2" t="n">
        <v>0</v>
      </c>
      <c r="D940" s="2" t="n">
        <v>0</v>
      </c>
      <c r="E940" s="2" t="s">
        <v>10807</v>
      </c>
      <c r="F940" s="2" t="s">
        <v>95</v>
      </c>
      <c r="G940" s="2" t="s">
        <v>9712</v>
      </c>
      <c r="H940" s="2" t="s">
        <v>420</v>
      </c>
      <c r="I940" s="2" t="s">
        <v>512</v>
      </c>
      <c r="J940" s="2" t="s">
        <v>10808</v>
      </c>
      <c r="K940" s="2" t="s">
        <v>507</v>
      </c>
      <c r="L940" s="2" t="n">
        <v>0.09</v>
      </c>
      <c r="M940" s="2" t="n">
        <v>0.64</v>
      </c>
    </row>
    <row r="941" customFormat="false" ht="15" hidden="false" customHeight="false" outlineLevel="0" collapsed="false">
      <c r="A941" s="2" t="n">
        <v>939</v>
      </c>
      <c r="B941" s="2" t="s">
        <v>4863</v>
      </c>
      <c r="C941" s="2" t="n">
        <v>0</v>
      </c>
      <c r="D941" s="2" t="n">
        <v>0</v>
      </c>
      <c r="E941" s="2" t="s">
        <v>10809</v>
      </c>
      <c r="F941" s="2" t="s">
        <v>10810</v>
      </c>
      <c r="G941" s="2" t="s">
        <v>9715</v>
      </c>
      <c r="H941" s="2" t="s">
        <v>9716</v>
      </c>
      <c r="I941" s="2" t="s">
        <v>805</v>
      </c>
      <c r="J941" s="2" t="s">
        <v>10811</v>
      </c>
      <c r="K941" s="2" t="s">
        <v>507</v>
      </c>
      <c r="L941" s="2" t="n">
        <v>0.09</v>
      </c>
      <c r="M941" s="2" t="n">
        <v>0.7</v>
      </c>
    </row>
    <row r="942" customFormat="false" ht="15" hidden="false" customHeight="false" outlineLevel="0" collapsed="false">
      <c r="A942" s="2" t="n">
        <v>940</v>
      </c>
      <c r="B942" s="2" t="s">
        <v>4863</v>
      </c>
      <c r="C942" s="2" t="n">
        <v>0</v>
      </c>
      <c r="D942" s="2" t="n">
        <v>0</v>
      </c>
      <c r="E942" s="2" t="s">
        <v>10812</v>
      </c>
      <c r="F942" s="2" t="s">
        <v>10802</v>
      </c>
      <c r="G942" s="2" t="s">
        <v>9720</v>
      </c>
      <c r="H942" s="2" t="s">
        <v>97</v>
      </c>
      <c r="I942" s="2" t="s">
        <v>918</v>
      </c>
      <c r="J942" s="2" t="s">
        <v>10813</v>
      </c>
      <c r="K942" s="2" t="s">
        <v>507</v>
      </c>
      <c r="L942" s="2" t="n">
        <v>0</v>
      </c>
      <c r="M942" s="2" t="n">
        <v>0.83</v>
      </c>
    </row>
    <row r="943" customFormat="false" ht="15" hidden="false" customHeight="false" outlineLevel="0" collapsed="false">
      <c r="A943" s="2" t="n">
        <v>941</v>
      </c>
      <c r="B943" s="2" t="s">
        <v>4863</v>
      </c>
      <c r="C943" s="2" t="n">
        <v>0</v>
      </c>
      <c r="D943" s="2" t="n">
        <v>0</v>
      </c>
      <c r="E943" s="2" t="s">
        <v>10814</v>
      </c>
      <c r="F943" s="2" t="s">
        <v>10815</v>
      </c>
      <c r="G943" s="2" t="s">
        <v>2011</v>
      </c>
      <c r="H943" s="2" t="s">
        <v>2012</v>
      </c>
      <c r="I943" s="2" t="s">
        <v>2013</v>
      </c>
      <c r="J943" s="2" t="s">
        <v>10816</v>
      </c>
      <c r="K943" s="2" t="s">
        <v>507</v>
      </c>
      <c r="L943" s="2" t="n">
        <v>0.12</v>
      </c>
      <c r="M943" s="2" t="n">
        <v>0.83</v>
      </c>
    </row>
    <row r="944" customFormat="false" ht="15" hidden="false" customHeight="false" outlineLevel="0" collapsed="false">
      <c r="A944" s="2" t="n">
        <v>942</v>
      </c>
      <c r="B944" s="2" t="s">
        <v>4863</v>
      </c>
      <c r="C944" s="2" t="n">
        <v>0</v>
      </c>
      <c r="D944" s="2" t="n">
        <v>0</v>
      </c>
      <c r="E944" s="2" t="s">
        <v>10817</v>
      </c>
      <c r="F944" s="2" t="s">
        <v>10818</v>
      </c>
      <c r="G944" s="2" t="s">
        <v>2022</v>
      </c>
      <c r="H944" s="2" t="s">
        <v>2023</v>
      </c>
      <c r="I944" s="2" t="s">
        <v>1587</v>
      </c>
      <c r="J944" s="2" t="s">
        <v>10819</v>
      </c>
      <c r="K944" s="2" t="s">
        <v>507</v>
      </c>
      <c r="L944" s="2" t="n">
        <v>0</v>
      </c>
      <c r="M944" s="2" t="n">
        <v>0.33</v>
      </c>
    </row>
    <row r="945" customFormat="false" ht="15" hidden="false" customHeight="false" outlineLevel="0" collapsed="false">
      <c r="A945" s="2" t="n">
        <v>943</v>
      </c>
      <c r="B945" s="2" t="s">
        <v>4863</v>
      </c>
      <c r="C945" s="2" t="n">
        <v>1</v>
      </c>
      <c r="D945" s="2" t="n">
        <v>0</v>
      </c>
      <c r="E945" s="2" t="s">
        <v>4883</v>
      </c>
      <c r="F945" s="2" t="s">
        <v>3544</v>
      </c>
      <c r="G945" s="2" t="s">
        <v>4884</v>
      </c>
      <c r="H945" s="2" t="s">
        <v>420</v>
      </c>
      <c r="I945" s="2" t="s">
        <v>1324</v>
      </c>
      <c r="J945" s="2" t="s">
        <v>10820</v>
      </c>
      <c r="K945" s="2" t="s">
        <v>507</v>
      </c>
      <c r="L945" s="2" t="n">
        <v>0</v>
      </c>
      <c r="M945" s="2" t="n">
        <v>0.73</v>
      </c>
    </row>
    <row r="946" customFormat="false" ht="15" hidden="false" customHeight="false" outlineLevel="0" collapsed="false">
      <c r="A946" s="2" t="n">
        <v>944</v>
      </c>
      <c r="B946" s="2" t="s">
        <v>4863</v>
      </c>
      <c r="C946" s="2" t="n">
        <v>0</v>
      </c>
      <c r="D946" s="2" t="n">
        <v>0</v>
      </c>
      <c r="E946" s="2" t="s">
        <v>10821</v>
      </c>
      <c r="F946" s="2" t="s">
        <v>10822</v>
      </c>
      <c r="G946" s="2" t="s">
        <v>2035</v>
      </c>
      <c r="H946" s="2" t="s">
        <v>2036</v>
      </c>
      <c r="I946" s="2" t="s">
        <v>2037</v>
      </c>
      <c r="J946" s="2" t="s">
        <v>10823</v>
      </c>
      <c r="K946" s="2" t="s">
        <v>507</v>
      </c>
      <c r="L946" s="2" t="n">
        <v>0</v>
      </c>
      <c r="M946" s="2" t="n">
        <v>0.67</v>
      </c>
    </row>
    <row r="947" customFormat="false" ht="15" hidden="false" customHeight="false" outlineLevel="0" collapsed="false">
      <c r="A947" s="2" t="n">
        <v>945</v>
      </c>
      <c r="B947" s="2" t="s">
        <v>4863</v>
      </c>
      <c r="C947" s="2" t="n">
        <v>1</v>
      </c>
      <c r="D947" s="2" t="n">
        <v>0</v>
      </c>
      <c r="E947" s="2" t="s">
        <v>4887</v>
      </c>
      <c r="F947" s="2" t="s">
        <v>3524</v>
      </c>
      <c r="G947" s="2" t="s">
        <v>2041</v>
      </c>
      <c r="H947" s="2" t="s">
        <v>2012</v>
      </c>
      <c r="I947" s="2" t="s">
        <v>1354</v>
      </c>
      <c r="J947" s="2" t="s">
        <v>10824</v>
      </c>
      <c r="K947" s="2" t="s">
        <v>507</v>
      </c>
      <c r="L947" s="2" t="n">
        <v>0</v>
      </c>
      <c r="M947" s="2" t="n">
        <v>0.46</v>
      </c>
    </row>
    <row r="948" customFormat="false" ht="15" hidden="false" customHeight="false" outlineLevel="0" collapsed="false">
      <c r="A948" s="2" t="n">
        <v>946</v>
      </c>
      <c r="B948" s="2" t="s">
        <v>4863</v>
      </c>
      <c r="C948" s="2" t="n">
        <v>0</v>
      </c>
      <c r="D948" s="2" t="n">
        <v>0</v>
      </c>
      <c r="E948" s="2" t="s">
        <v>10825</v>
      </c>
      <c r="F948" s="2" t="s">
        <v>10826</v>
      </c>
      <c r="G948" s="2" t="s">
        <v>2045</v>
      </c>
      <c r="H948" s="2" t="s">
        <v>2036</v>
      </c>
      <c r="I948" s="2" t="s">
        <v>2005</v>
      </c>
      <c r="J948" s="2" t="s">
        <v>10827</v>
      </c>
      <c r="K948" s="2" t="s">
        <v>507</v>
      </c>
      <c r="L948" s="2" t="n">
        <v>0</v>
      </c>
      <c r="M948" s="2" t="n">
        <v>0.91</v>
      </c>
    </row>
    <row r="949" customFormat="false" ht="15" hidden="false" customHeight="false" outlineLevel="0" collapsed="false">
      <c r="A949" s="2" t="n">
        <v>947</v>
      </c>
      <c r="B949" s="2" t="s">
        <v>4863</v>
      </c>
      <c r="C949" s="2" t="n">
        <v>0</v>
      </c>
      <c r="D949" s="2" t="n">
        <v>0</v>
      </c>
      <c r="E949" s="2" t="s">
        <v>10828</v>
      </c>
      <c r="F949" s="2" t="s">
        <v>10829</v>
      </c>
      <c r="G949" s="2" t="s">
        <v>9729</v>
      </c>
      <c r="H949" s="2" t="s">
        <v>1874</v>
      </c>
      <c r="I949" s="2" t="s">
        <v>4314</v>
      </c>
      <c r="J949" s="2" t="s">
        <v>10830</v>
      </c>
      <c r="K949" s="2" t="s">
        <v>507</v>
      </c>
      <c r="L949" s="2" t="n">
        <v>0</v>
      </c>
      <c r="M949" s="2" t="n">
        <v>0.85</v>
      </c>
    </row>
    <row r="950" customFormat="false" ht="15" hidden="false" customHeight="false" outlineLevel="0" collapsed="false">
      <c r="A950" s="2" t="n">
        <v>948</v>
      </c>
      <c r="B950" s="2" t="s">
        <v>4863</v>
      </c>
      <c r="C950" s="2" t="n">
        <v>0</v>
      </c>
      <c r="D950" s="2" t="n">
        <v>0</v>
      </c>
      <c r="E950" s="2" t="s">
        <v>10831</v>
      </c>
      <c r="F950" s="2" t="s">
        <v>10832</v>
      </c>
      <c r="G950" s="2" t="s">
        <v>2049</v>
      </c>
      <c r="H950" s="2" t="s">
        <v>66</v>
      </c>
      <c r="I950" s="2" t="s">
        <v>132</v>
      </c>
      <c r="J950" s="2" t="s">
        <v>10833</v>
      </c>
      <c r="K950" s="2" t="s">
        <v>507</v>
      </c>
      <c r="L950" s="2" t="n">
        <v>0</v>
      </c>
      <c r="M950" s="2" t="n">
        <v>0.64</v>
      </c>
    </row>
    <row r="951" customFormat="false" ht="15" hidden="false" customHeight="false" outlineLevel="0" collapsed="false">
      <c r="A951" s="2" t="n">
        <v>949</v>
      </c>
      <c r="B951" s="2" t="s">
        <v>4863</v>
      </c>
      <c r="C951" s="2" t="n">
        <v>0</v>
      </c>
      <c r="D951" s="2" t="n">
        <v>0</v>
      </c>
      <c r="E951" s="2" t="s">
        <v>10834</v>
      </c>
      <c r="F951" s="2" t="s">
        <v>10835</v>
      </c>
      <c r="G951" s="2" t="s">
        <v>2055</v>
      </c>
      <c r="H951" s="2" t="s">
        <v>661</v>
      </c>
      <c r="I951" s="2" t="s">
        <v>115</v>
      </c>
      <c r="J951" s="2" t="s">
        <v>10836</v>
      </c>
      <c r="K951" s="2" t="s">
        <v>507</v>
      </c>
      <c r="L951" s="2" t="n">
        <v>0</v>
      </c>
      <c r="M951" s="2" t="n">
        <v>0.55</v>
      </c>
    </row>
    <row r="952" customFormat="false" ht="15" hidden="false" customHeight="false" outlineLevel="0" collapsed="false">
      <c r="A952" s="2" t="n">
        <v>950</v>
      </c>
      <c r="B952" s="2" t="s">
        <v>4863</v>
      </c>
      <c r="C952" s="2" t="n">
        <v>0</v>
      </c>
      <c r="D952" s="2" t="n">
        <v>0</v>
      </c>
      <c r="E952" s="2" t="s">
        <v>10837</v>
      </c>
      <c r="F952" s="2" t="s">
        <v>2212</v>
      </c>
      <c r="G952" s="2" t="s">
        <v>2069</v>
      </c>
      <c r="H952" s="2" t="s">
        <v>2070</v>
      </c>
      <c r="I952" s="2" t="s">
        <v>283</v>
      </c>
      <c r="J952" s="2" t="s">
        <v>10838</v>
      </c>
      <c r="K952" s="2" t="s">
        <v>507</v>
      </c>
      <c r="L952" s="2" t="n">
        <v>0</v>
      </c>
      <c r="M952" s="2" t="n">
        <v>0.7</v>
      </c>
    </row>
    <row r="953" customFormat="false" ht="15" hidden="false" customHeight="false" outlineLevel="0" collapsed="false">
      <c r="A953" s="2" t="n">
        <v>951</v>
      </c>
      <c r="B953" s="2" t="s">
        <v>4863</v>
      </c>
      <c r="C953" s="2" t="n">
        <v>0</v>
      </c>
      <c r="D953" s="2" t="n">
        <v>0</v>
      </c>
      <c r="E953" s="2" t="s">
        <v>10839</v>
      </c>
      <c r="F953" s="2" t="s">
        <v>4166</v>
      </c>
      <c r="G953" s="2" t="s">
        <v>2090</v>
      </c>
      <c r="H953" s="2" t="s">
        <v>2091</v>
      </c>
      <c r="I953" s="2" t="s">
        <v>1840</v>
      </c>
      <c r="J953" s="2" t="s">
        <v>10840</v>
      </c>
      <c r="K953" s="2" t="s">
        <v>507</v>
      </c>
      <c r="L953" s="2" t="n">
        <v>0</v>
      </c>
      <c r="M953" s="2" t="n">
        <v>0.9</v>
      </c>
    </row>
    <row r="954" customFormat="false" ht="15" hidden="false" customHeight="false" outlineLevel="0" collapsed="false">
      <c r="A954" s="2" t="n">
        <v>952</v>
      </c>
      <c r="B954" s="2" t="s">
        <v>4863</v>
      </c>
      <c r="C954" s="2" t="n">
        <v>0</v>
      </c>
      <c r="D954" s="2" t="n">
        <v>0</v>
      </c>
      <c r="E954" s="2" t="s">
        <v>10841</v>
      </c>
      <c r="F954" s="2" t="s">
        <v>743</v>
      </c>
      <c r="G954" s="2" t="s">
        <v>2117</v>
      </c>
      <c r="H954" s="2" t="s">
        <v>189</v>
      </c>
      <c r="I954" s="2" t="s">
        <v>604</v>
      </c>
      <c r="J954" s="2" t="s">
        <v>10842</v>
      </c>
      <c r="K954" s="2" t="s">
        <v>507</v>
      </c>
      <c r="L954" s="2" t="n">
        <v>0</v>
      </c>
      <c r="M954" s="2" t="n">
        <v>0.38</v>
      </c>
    </row>
    <row r="955" customFormat="false" ht="15" hidden="false" customHeight="false" outlineLevel="0" collapsed="false">
      <c r="A955" s="2" t="n">
        <v>953</v>
      </c>
      <c r="B955" s="2" t="s">
        <v>4863</v>
      </c>
      <c r="C955" s="2" t="n">
        <v>0</v>
      </c>
      <c r="D955" s="2" t="n">
        <v>0</v>
      </c>
      <c r="E955" s="2" t="s">
        <v>10843</v>
      </c>
      <c r="F955" s="2" t="s">
        <v>10844</v>
      </c>
      <c r="G955" s="2" t="s">
        <v>2132</v>
      </c>
      <c r="H955" s="2" t="s">
        <v>745</v>
      </c>
      <c r="I955" s="2" t="s">
        <v>945</v>
      </c>
      <c r="J955" s="2" t="s">
        <v>10845</v>
      </c>
      <c r="K955" s="2" t="s">
        <v>507</v>
      </c>
      <c r="L955" s="2" t="n">
        <v>0</v>
      </c>
      <c r="M955" s="2" t="n">
        <v>0.7</v>
      </c>
    </row>
    <row r="956" customFormat="false" ht="15" hidden="false" customHeight="false" outlineLevel="0" collapsed="false">
      <c r="A956" s="2" t="n">
        <v>954</v>
      </c>
      <c r="B956" s="2" t="s">
        <v>4863</v>
      </c>
      <c r="C956" s="2" t="n">
        <v>0</v>
      </c>
      <c r="D956" s="2" t="n">
        <v>0</v>
      </c>
      <c r="E956" s="2" t="s">
        <v>10846</v>
      </c>
      <c r="F956" s="2" t="s">
        <v>4036</v>
      </c>
      <c r="G956" s="2" t="s">
        <v>2147</v>
      </c>
      <c r="H956" s="2" t="s">
        <v>2148</v>
      </c>
      <c r="I956" s="2" t="s">
        <v>2149</v>
      </c>
      <c r="J956" s="2" t="s">
        <v>10847</v>
      </c>
      <c r="K956" s="2" t="s">
        <v>507</v>
      </c>
      <c r="L956" s="2" t="n">
        <v>0.08</v>
      </c>
      <c r="M956" s="2" t="n">
        <v>0.6</v>
      </c>
    </row>
    <row r="957" customFormat="false" ht="15" hidden="false" customHeight="false" outlineLevel="0" collapsed="false">
      <c r="A957" s="2" t="n">
        <v>955</v>
      </c>
      <c r="B957" s="2" t="s">
        <v>4863</v>
      </c>
      <c r="C957" s="2" t="n">
        <v>0</v>
      </c>
      <c r="D957" s="2" t="n">
        <v>0</v>
      </c>
      <c r="E957" s="2" t="s">
        <v>10848</v>
      </c>
      <c r="F957" s="2" t="s">
        <v>7501</v>
      </c>
      <c r="G957" s="2" t="s">
        <v>2156</v>
      </c>
      <c r="H957" s="2" t="s">
        <v>2157</v>
      </c>
      <c r="I957" s="2" t="s">
        <v>2158</v>
      </c>
      <c r="J957" s="2" t="s">
        <v>10849</v>
      </c>
      <c r="K957" s="2" t="s">
        <v>507</v>
      </c>
      <c r="L957" s="2" t="n">
        <v>0</v>
      </c>
      <c r="M957" s="2" t="n">
        <v>1</v>
      </c>
    </row>
    <row r="958" customFormat="false" ht="15" hidden="false" customHeight="false" outlineLevel="0" collapsed="false">
      <c r="A958" s="2" t="n">
        <v>956</v>
      </c>
      <c r="B958" s="2" t="s">
        <v>4863</v>
      </c>
      <c r="C958" s="2" t="n">
        <v>0</v>
      </c>
      <c r="D958" s="2" t="n">
        <v>0</v>
      </c>
      <c r="E958" s="2" t="s">
        <v>10850</v>
      </c>
      <c r="F958" s="2" t="s">
        <v>10818</v>
      </c>
      <c r="G958" s="2" t="s">
        <v>10851</v>
      </c>
      <c r="H958" s="2" t="s">
        <v>965</v>
      </c>
      <c r="I958" s="2" t="s">
        <v>3398</v>
      </c>
      <c r="J958" s="2" t="s">
        <v>10852</v>
      </c>
      <c r="K958" s="2" t="s">
        <v>507</v>
      </c>
      <c r="L958" s="2" t="n">
        <v>0</v>
      </c>
      <c r="M958" s="2" t="n">
        <v>0.55</v>
      </c>
    </row>
    <row r="959" customFormat="false" ht="15" hidden="false" customHeight="false" outlineLevel="0" collapsed="false">
      <c r="A959" s="2" t="n">
        <v>957</v>
      </c>
      <c r="B959" s="2" t="s">
        <v>4863</v>
      </c>
      <c r="C959" s="2" t="n">
        <v>0</v>
      </c>
      <c r="D959" s="2" t="n">
        <v>0</v>
      </c>
      <c r="E959" s="2" t="s">
        <v>10853</v>
      </c>
      <c r="F959" s="2" t="s">
        <v>10818</v>
      </c>
      <c r="G959" s="2" t="s">
        <v>2161</v>
      </c>
      <c r="H959" s="2" t="s">
        <v>178</v>
      </c>
      <c r="I959" s="2" t="s">
        <v>2162</v>
      </c>
      <c r="J959" s="2" t="s">
        <v>10854</v>
      </c>
      <c r="K959" s="2" t="s">
        <v>507</v>
      </c>
      <c r="L959" s="2" t="n">
        <v>0</v>
      </c>
      <c r="M959" s="2" t="n">
        <v>0.3</v>
      </c>
    </row>
    <row r="960" customFormat="false" ht="15" hidden="false" customHeight="false" outlineLevel="0" collapsed="false">
      <c r="A960" s="2" t="n">
        <v>958</v>
      </c>
      <c r="B960" s="2" t="s">
        <v>4863</v>
      </c>
      <c r="C960" s="2" t="n">
        <v>0</v>
      </c>
      <c r="D960" s="2" t="n">
        <v>0</v>
      </c>
      <c r="E960" s="2" t="s">
        <v>10855</v>
      </c>
      <c r="F960" s="2" t="s">
        <v>10818</v>
      </c>
      <c r="G960" s="2" t="s">
        <v>2167</v>
      </c>
      <c r="H960" s="2" t="s">
        <v>745</v>
      </c>
      <c r="I960" s="2" t="s">
        <v>2168</v>
      </c>
      <c r="J960" s="2" t="s">
        <v>10854</v>
      </c>
      <c r="K960" s="2" t="s">
        <v>507</v>
      </c>
      <c r="L960" s="2" t="n">
        <v>0</v>
      </c>
      <c r="M960" s="2" t="n">
        <v>0.3</v>
      </c>
    </row>
    <row r="961" customFormat="false" ht="15" hidden="false" customHeight="false" outlineLevel="0" collapsed="false">
      <c r="A961" s="2" t="n">
        <v>959</v>
      </c>
      <c r="B961" s="2" t="s">
        <v>4863</v>
      </c>
      <c r="C961" s="2" t="n">
        <v>5</v>
      </c>
      <c r="D961" s="2" t="n">
        <v>0</v>
      </c>
      <c r="E961" s="2" t="s">
        <v>4895</v>
      </c>
      <c r="F961" s="2" t="s">
        <v>1168</v>
      </c>
      <c r="G961" s="2" t="s">
        <v>2187</v>
      </c>
      <c r="H961" s="2" t="s">
        <v>745</v>
      </c>
      <c r="I961" s="2" t="s">
        <v>1574</v>
      </c>
      <c r="J961" s="2" t="s">
        <v>10856</v>
      </c>
      <c r="K961" s="2" t="s">
        <v>507</v>
      </c>
      <c r="L961" s="2" t="n">
        <v>0</v>
      </c>
      <c r="M961" s="2" t="n">
        <v>1</v>
      </c>
    </row>
    <row r="962" customFormat="false" ht="15" hidden="false" customHeight="false" outlineLevel="0" collapsed="false">
      <c r="A962" s="2" t="n">
        <v>960</v>
      </c>
      <c r="B962" s="2" t="s">
        <v>4906</v>
      </c>
      <c r="C962" s="2" t="n">
        <v>1</v>
      </c>
      <c r="D962" s="2" t="n">
        <v>1</v>
      </c>
      <c r="E962" s="2" t="s">
        <v>4913</v>
      </c>
      <c r="F962" s="2" t="s">
        <v>4914</v>
      </c>
      <c r="G962" s="2" t="s">
        <v>2194</v>
      </c>
      <c r="H962" s="2" t="s">
        <v>2195</v>
      </c>
      <c r="I962" s="2" t="s">
        <v>2196</v>
      </c>
      <c r="J962" s="2" t="s">
        <v>10857</v>
      </c>
      <c r="K962" s="2" t="s">
        <v>507</v>
      </c>
      <c r="L962" s="2" t="n">
        <v>0</v>
      </c>
      <c r="M962" s="2" t="n">
        <v>0.57</v>
      </c>
    </row>
    <row r="963" customFormat="false" ht="15" hidden="false" customHeight="false" outlineLevel="0" collapsed="false">
      <c r="A963" s="2" t="n">
        <v>961</v>
      </c>
      <c r="B963" s="2" t="s">
        <v>4906</v>
      </c>
      <c r="C963" s="2" t="n">
        <v>1</v>
      </c>
      <c r="D963" s="2" t="n">
        <v>1</v>
      </c>
      <c r="E963" s="2" t="s">
        <v>4920</v>
      </c>
      <c r="F963" s="2" t="s">
        <v>4921</v>
      </c>
      <c r="G963" s="2" t="s">
        <v>4922</v>
      </c>
      <c r="H963" s="2" t="s">
        <v>420</v>
      </c>
      <c r="I963" s="2" t="s">
        <v>4923</v>
      </c>
      <c r="J963" s="2" t="s">
        <v>10858</v>
      </c>
      <c r="K963" s="2" t="s">
        <v>507</v>
      </c>
      <c r="L963" s="2" t="n">
        <v>0</v>
      </c>
      <c r="M963" s="2" t="n">
        <v>0.82</v>
      </c>
    </row>
    <row r="964" customFormat="false" ht="15" hidden="false" customHeight="false" outlineLevel="0" collapsed="false">
      <c r="A964" s="2" t="n">
        <v>962</v>
      </c>
      <c r="B964" s="2" t="s">
        <v>4906</v>
      </c>
      <c r="C964" s="2" t="n">
        <v>1</v>
      </c>
      <c r="D964" s="2" t="n">
        <v>0</v>
      </c>
      <c r="E964" s="2" t="s">
        <v>4930</v>
      </c>
      <c r="F964" s="2" t="s">
        <v>4931</v>
      </c>
      <c r="G964" s="2" t="s">
        <v>4932</v>
      </c>
      <c r="H964" s="2" t="s">
        <v>2979</v>
      </c>
      <c r="I964" s="2" t="s">
        <v>2196</v>
      </c>
      <c r="J964" s="2" t="s">
        <v>10859</v>
      </c>
      <c r="K964" s="2" t="s">
        <v>507</v>
      </c>
      <c r="L964" s="2" t="n">
        <v>0</v>
      </c>
      <c r="M964" s="2" t="n">
        <v>0.83</v>
      </c>
    </row>
    <row r="965" customFormat="false" ht="15" hidden="false" customHeight="false" outlineLevel="0" collapsed="false">
      <c r="A965" s="2" t="n">
        <v>963</v>
      </c>
      <c r="B965" s="2" t="s">
        <v>4906</v>
      </c>
      <c r="C965" s="2" t="n">
        <v>1</v>
      </c>
      <c r="D965" s="2" t="n">
        <v>0</v>
      </c>
      <c r="E965" s="2" t="s">
        <v>4937</v>
      </c>
      <c r="F965" s="2" t="s">
        <v>4938</v>
      </c>
      <c r="G965" s="2" t="s">
        <v>4939</v>
      </c>
      <c r="H965" s="2" t="s">
        <v>745</v>
      </c>
      <c r="I965" s="2" t="s">
        <v>487</v>
      </c>
      <c r="J965" s="2" t="s">
        <v>10860</v>
      </c>
      <c r="K965" s="2" t="s">
        <v>507</v>
      </c>
      <c r="L965" s="2" t="n">
        <v>0</v>
      </c>
      <c r="M965" s="2" t="n">
        <v>0.78</v>
      </c>
    </row>
    <row r="966" customFormat="false" ht="15" hidden="false" customHeight="false" outlineLevel="0" collapsed="false">
      <c r="A966" s="2" t="n">
        <v>964</v>
      </c>
      <c r="B966" s="2" t="s">
        <v>4906</v>
      </c>
      <c r="C966" s="2" t="n">
        <v>0</v>
      </c>
      <c r="D966" s="2" t="n">
        <v>0</v>
      </c>
      <c r="E966" s="2" t="s">
        <v>10861</v>
      </c>
      <c r="F966" s="2" t="s">
        <v>10862</v>
      </c>
      <c r="G966" s="2" t="s">
        <v>9751</v>
      </c>
      <c r="H966" s="2" t="s">
        <v>4313</v>
      </c>
      <c r="I966" s="2" t="s">
        <v>2939</v>
      </c>
      <c r="J966" s="2" t="s">
        <v>10863</v>
      </c>
      <c r="K966" s="2" t="s">
        <v>507</v>
      </c>
      <c r="L966" s="2" t="n">
        <v>0</v>
      </c>
      <c r="M966" s="2" t="n">
        <v>0.57</v>
      </c>
    </row>
    <row r="967" customFormat="false" ht="15" hidden="false" customHeight="false" outlineLevel="0" collapsed="false">
      <c r="A967" s="2" t="n">
        <v>965</v>
      </c>
      <c r="B967" s="2" t="s">
        <v>4906</v>
      </c>
      <c r="C967" s="2" t="n">
        <v>0</v>
      </c>
      <c r="D967" s="2" t="n">
        <v>0</v>
      </c>
      <c r="E967" s="2" t="s">
        <v>10864</v>
      </c>
      <c r="F967" s="2" t="s">
        <v>694</v>
      </c>
      <c r="G967" s="2" t="s">
        <v>9754</v>
      </c>
      <c r="H967" s="2" t="s">
        <v>2195</v>
      </c>
      <c r="I967" s="2" t="s">
        <v>1239</v>
      </c>
      <c r="J967" s="2" t="s">
        <v>10865</v>
      </c>
      <c r="K967" s="2" t="s">
        <v>507</v>
      </c>
      <c r="L967" s="2" t="n">
        <v>0.17</v>
      </c>
      <c r="M967" s="2" t="n">
        <v>0.78</v>
      </c>
    </row>
    <row r="968" customFormat="false" ht="15" hidden="false" customHeight="false" outlineLevel="0" collapsed="false">
      <c r="A968" s="2" t="n">
        <v>966</v>
      </c>
      <c r="B968" s="2" t="s">
        <v>4906</v>
      </c>
      <c r="C968" s="2" t="n">
        <v>0</v>
      </c>
      <c r="D968" s="2" t="n">
        <v>0</v>
      </c>
      <c r="E968" s="2" t="s">
        <v>10866</v>
      </c>
      <c r="F968" s="2" t="s">
        <v>95</v>
      </c>
      <c r="G968" s="2" t="s">
        <v>9757</v>
      </c>
      <c r="H968" s="2" t="s">
        <v>5376</v>
      </c>
      <c r="I968" s="2" t="s">
        <v>2196</v>
      </c>
      <c r="J968" s="2" t="s">
        <v>10867</v>
      </c>
      <c r="K968" s="2" t="s">
        <v>507</v>
      </c>
      <c r="L968" s="2" t="n">
        <v>0</v>
      </c>
      <c r="M968" s="2" t="n">
        <v>0.73</v>
      </c>
    </row>
    <row r="969" customFormat="false" ht="15" hidden="false" customHeight="false" outlineLevel="0" collapsed="false">
      <c r="A969" s="2" t="n">
        <v>967</v>
      </c>
      <c r="B969" s="2" t="s">
        <v>4906</v>
      </c>
      <c r="C969" s="2" t="n">
        <v>0</v>
      </c>
      <c r="D969" s="2" t="n">
        <v>0</v>
      </c>
      <c r="E969" s="2" t="s">
        <v>10868</v>
      </c>
      <c r="F969" s="2" t="s">
        <v>95</v>
      </c>
      <c r="G969" s="2" t="s">
        <v>10869</v>
      </c>
      <c r="H969" s="2" t="s">
        <v>4313</v>
      </c>
      <c r="I969" s="2" t="s">
        <v>1266</v>
      </c>
      <c r="J969" s="2" t="s">
        <v>10870</v>
      </c>
      <c r="K969" s="2" t="s">
        <v>507</v>
      </c>
      <c r="L969" s="2" t="n">
        <v>0</v>
      </c>
      <c r="M969" s="2" t="n">
        <v>0.6</v>
      </c>
    </row>
    <row r="970" customFormat="false" ht="15" hidden="false" customHeight="false" outlineLevel="0" collapsed="false">
      <c r="A970" s="2" t="n">
        <v>968</v>
      </c>
      <c r="B970" s="2" t="s">
        <v>4906</v>
      </c>
      <c r="C970" s="2" t="n">
        <v>0</v>
      </c>
      <c r="D970" s="2" t="n">
        <v>0</v>
      </c>
      <c r="E970" s="2" t="s">
        <v>10871</v>
      </c>
      <c r="F970" s="2" t="s">
        <v>10872</v>
      </c>
      <c r="G970" s="2" t="s">
        <v>2203</v>
      </c>
      <c r="H970" s="2" t="s">
        <v>745</v>
      </c>
      <c r="I970" s="2" t="s">
        <v>2204</v>
      </c>
      <c r="J970" s="2" t="s">
        <v>10873</v>
      </c>
      <c r="K970" s="2" t="s">
        <v>507</v>
      </c>
      <c r="L970" s="2" t="n">
        <v>0.14</v>
      </c>
      <c r="M970" s="2" t="n">
        <v>0.73</v>
      </c>
    </row>
    <row r="971" customFormat="false" ht="15" hidden="false" customHeight="false" outlineLevel="0" collapsed="false">
      <c r="A971" s="2" t="n">
        <v>969</v>
      </c>
      <c r="B971" s="2" t="s">
        <v>4906</v>
      </c>
      <c r="C971" s="2" t="n">
        <v>2</v>
      </c>
      <c r="D971" s="2" t="n">
        <v>0</v>
      </c>
      <c r="E971" s="2" t="s">
        <v>4944</v>
      </c>
      <c r="F971" s="2" t="s">
        <v>743</v>
      </c>
      <c r="G971" s="2" t="s">
        <v>4945</v>
      </c>
      <c r="H971" s="2" t="s">
        <v>1525</v>
      </c>
      <c r="I971" s="2" t="s">
        <v>271</v>
      </c>
      <c r="J971" s="2" t="s">
        <v>10874</v>
      </c>
      <c r="K971" s="2" t="s">
        <v>507</v>
      </c>
      <c r="L971" s="2" t="n">
        <v>0.1</v>
      </c>
      <c r="M971" s="2" t="n">
        <v>0.3</v>
      </c>
    </row>
    <row r="972" customFormat="false" ht="15" hidden="false" customHeight="false" outlineLevel="0" collapsed="false">
      <c r="A972" s="2" t="n">
        <v>970</v>
      </c>
      <c r="B972" s="2" t="s">
        <v>4906</v>
      </c>
      <c r="C972" s="2" t="n">
        <v>0</v>
      </c>
      <c r="D972" s="2" t="n">
        <v>0</v>
      </c>
      <c r="E972" s="2" t="s">
        <v>10875</v>
      </c>
      <c r="F972" s="2" t="s">
        <v>694</v>
      </c>
      <c r="G972" s="2" t="s">
        <v>9770</v>
      </c>
      <c r="H972" s="2" t="s">
        <v>9771</v>
      </c>
      <c r="I972" s="2" t="s">
        <v>2196</v>
      </c>
      <c r="J972" s="2" t="s">
        <v>10876</v>
      </c>
      <c r="K972" s="2" t="s">
        <v>507</v>
      </c>
      <c r="L972" s="2" t="n">
        <v>0</v>
      </c>
      <c r="M972" s="2" t="n">
        <v>0.56</v>
      </c>
    </row>
    <row r="973" customFormat="false" ht="15" hidden="false" customHeight="false" outlineLevel="0" collapsed="false">
      <c r="A973" s="2" t="n">
        <v>971</v>
      </c>
      <c r="B973" s="2" t="s">
        <v>4906</v>
      </c>
      <c r="C973" s="2" t="n">
        <v>0</v>
      </c>
      <c r="D973" s="2" t="n">
        <v>0</v>
      </c>
      <c r="E973" s="2" t="s">
        <v>10877</v>
      </c>
      <c r="F973" s="2" t="s">
        <v>10818</v>
      </c>
      <c r="G973" s="2" t="s">
        <v>10878</v>
      </c>
      <c r="H973" s="2" t="s">
        <v>3212</v>
      </c>
      <c r="I973" s="2" t="s">
        <v>2252</v>
      </c>
      <c r="J973" s="2" t="s">
        <v>10879</v>
      </c>
      <c r="K973" s="2" t="s">
        <v>507</v>
      </c>
      <c r="L973" s="2" t="n">
        <v>0</v>
      </c>
      <c r="M973" s="2" t="n">
        <v>0.3</v>
      </c>
    </row>
    <row r="974" customFormat="false" ht="15" hidden="false" customHeight="false" outlineLevel="0" collapsed="false">
      <c r="A974" s="2" t="n">
        <v>972</v>
      </c>
      <c r="B974" s="2" t="s">
        <v>4906</v>
      </c>
      <c r="C974" s="2" t="n">
        <v>2</v>
      </c>
      <c r="D974" s="2" t="n">
        <v>0</v>
      </c>
      <c r="E974" s="2" t="s">
        <v>4956</v>
      </c>
      <c r="F974" s="2" t="s">
        <v>4957</v>
      </c>
      <c r="G974" s="2" t="s">
        <v>2213</v>
      </c>
      <c r="H974" s="2" t="s">
        <v>2214</v>
      </c>
      <c r="I974" s="2" t="s">
        <v>2215</v>
      </c>
      <c r="J974" s="2" t="s">
        <v>10880</v>
      </c>
      <c r="K974" s="2" t="s">
        <v>507</v>
      </c>
      <c r="L974" s="2" t="n">
        <v>0</v>
      </c>
      <c r="M974" s="2" t="n">
        <v>0.45</v>
      </c>
    </row>
    <row r="975" customFormat="false" ht="15" hidden="false" customHeight="false" outlineLevel="0" collapsed="false">
      <c r="A975" s="2" t="n">
        <v>973</v>
      </c>
      <c r="B975" s="2" t="s">
        <v>4906</v>
      </c>
      <c r="C975" s="2" t="n">
        <v>1</v>
      </c>
      <c r="D975" s="2" t="n">
        <v>0</v>
      </c>
      <c r="E975" s="2" t="s">
        <v>4964</v>
      </c>
      <c r="F975" s="2" t="s">
        <v>176</v>
      </c>
      <c r="G975" s="2" t="s">
        <v>4965</v>
      </c>
      <c r="H975" s="2" t="s">
        <v>1390</v>
      </c>
      <c r="I975" s="2" t="s">
        <v>512</v>
      </c>
      <c r="J975" s="2" t="s">
        <v>10881</v>
      </c>
      <c r="K975" s="2" t="s">
        <v>507</v>
      </c>
      <c r="L975" s="2" t="n">
        <v>0</v>
      </c>
      <c r="M975" s="2" t="n">
        <v>0.67</v>
      </c>
    </row>
    <row r="976" customFormat="false" ht="15" hidden="false" customHeight="false" outlineLevel="0" collapsed="false">
      <c r="A976" s="2" t="n">
        <v>974</v>
      </c>
      <c r="B976" s="2" t="s">
        <v>4906</v>
      </c>
      <c r="C976" s="2" t="n">
        <v>1</v>
      </c>
      <c r="D976" s="2" t="n">
        <v>0</v>
      </c>
      <c r="E976" s="2" t="s">
        <v>4968</v>
      </c>
      <c r="F976" s="2" t="s">
        <v>4299</v>
      </c>
      <c r="G976" s="2" t="s">
        <v>2232</v>
      </c>
      <c r="H976" s="2" t="s">
        <v>2233</v>
      </c>
      <c r="I976" s="2" t="s">
        <v>2234</v>
      </c>
      <c r="J976" s="2" t="s">
        <v>10882</v>
      </c>
      <c r="K976" s="2" t="s">
        <v>507</v>
      </c>
      <c r="L976" s="2" t="n">
        <v>0</v>
      </c>
      <c r="M976" s="2" t="n">
        <v>0.67</v>
      </c>
    </row>
    <row r="977" customFormat="false" ht="15" hidden="false" customHeight="false" outlineLevel="0" collapsed="false">
      <c r="A977" s="2" t="n">
        <v>975</v>
      </c>
      <c r="B977" s="2" t="s">
        <v>4906</v>
      </c>
      <c r="C977" s="2" t="n">
        <v>1</v>
      </c>
      <c r="D977" s="2" t="n">
        <v>0</v>
      </c>
      <c r="E977" s="2" t="s">
        <v>4974</v>
      </c>
      <c r="F977" s="2" t="s">
        <v>4957</v>
      </c>
      <c r="G977" s="2" t="s">
        <v>2240</v>
      </c>
      <c r="H977" s="2" t="s">
        <v>745</v>
      </c>
      <c r="I977" s="2" t="s">
        <v>2241</v>
      </c>
      <c r="J977" s="2" t="s">
        <v>10883</v>
      </c>
      <c r="K977" s="2" t="s">
        <v>507</v>
      </c>
      <c r="L977" s="2" t="n">
        <v>0</v>
      </c>
      <c r="M977" s="2" t="n">
        <v>0.38</v>
      </c>
    </row>
    <row r="978" customFormat="false" ht="15" hidden="false" customHeight="false" outlineLevel="0" collapsed="false">
      <c r="A978" s="2" t="n">
        <v>976</v>
      </c>
      <c r="B978" s="2" t="s">
        <v>4906</v>
      </c>
      <c r="C978" s="2" t="n">
        <v>0</v>
      </c>
      <c r="D978" s="2" t="n">
        <v>0</v>
      </c>
      <c r="E978" s="2" t="s">
        <v>10884</v>
      </c>
      <c r="F978" s="2" t="s">
        <v>10818</v>
      </c>
      <c r="G978" s="2" t="s">
        <v>2251</v>
      </c>
      <c r="H978" s="2" t="s">
        <v>661</v>
      </c>
      <c r="I978" s="2" t="s">
        <v>2252</v>
      </c>
      <c r="J978" s="2" t="s">
        <v>10885</v>
      </c>
      <c r="K978" s="2" t="s">
        <v>507</v>
      </c>
      <c r="L978" s="2" t="n">
        <v>0.22</v>
      </c>
      <c r="M978" s="2" t="n">
        <v>0.33</v>
      </c>
    </row>
    <row r="979" customFormat="false" ht="15" hidden="false" customHeight="false" outlineLevel="0" collapsed="false">
      <c r="A979" s="2" t="n">
        <v>977</v>
      </c>
      <c r="B979" s="2" t="s">
        <v>4906</v>
      </c>
      <c r="C979" s="2" t="n">
        <v>0</v>
      </c>
      <c r="D979" s="2" t="n">
        <v>0</v>
      </c>
      <c r="E979" s="2" t="s">
        <v>10886</v>
      </c>
      <c r="F979" s="2" t="s">
        <v>10818</v>
      </c>
      <c r="G979" s="2" t="s">
        <v>2258</v>
      </c>
      <c r="H979" s="2" t="s">
        <v>661</v>
      </c>
      <c r="I979" s="2" t="s">
        <v>1138</v>
      </c>
      <c r="J979" s="2" t="s">
        <v>10887</v>
      </c>
      <c r="K979" s="2" t="s">
        <v>507</v>
      </c>
      <c r="L979" s="2" t="n">
        <v>0.11</v>
      </c>
      <c r="M979" s="2" t="n">
        <v>0.5</v>
      </c>
    </row>
    <row r="980" customFormat="false" ht="15" hidden="false" customHeight="false" outlineLevel="0" collapsed="false">
      <c r="A980" s="2" t="n">
        <v>978</v>
      </c>
      <c r="B980" s="2" t="s">
        <v>4906</v>
      </c>
      <c r="C980" s="2" t="n">
        <v>0</v>
      </c>
      <c r="D980" s="2" t="n">
        <v>0</v>
      </c>
      <c r="E980" s="2" t="s">
        <v>10888</v>
      </c>
      <c r="F980" s="2" t="s">
        <v>10818</v>
      </c>
      <c r="G980" s="2" t="s">
        <v>2282</v>
      </c>
      <c r="H980" s="2" t="s">
        <v>2283</v>
      </c>
      <c r="I980" s="2" t="s">
        <v>662</v>
      </c>
      <c r="J980" s="2" t="s">
        <v>10889</v>
      </c>
      <c r="K980" s="2" t="s">
        <v>507</v>
      </c>
      <c r="L980" s="2" t="n">
        <v>0</v>
      </c>
      <c r="M980" s="2" t="n">
        <v>0.27</v>
      </c>
    </row>
    <row r="981" customFormat="false" ht="15" hidden="false" customHeight="false" outlineLevel="0" collapsed="false">
      <c r="A981" s="2" t="n">
        <v>979</v>
      </c>
      <c r="B981" s="2" t="s">
        <v>4906</v>
      </c>
      <c r="C981" s="2" t="n">
        <v>0</v>
      </c>
      <c r="D981" s="2" t="n">
        <v>0</v>
      </c>
      <c r="E981" s="2" t="s">
        <v>10890</v>
      </c>
      <c r="F981" s="2" t="s">
        <v>10818</v>
      </c>
      <c r="G981" s="2" t="s">
        <v>2294</v>
      </c>
      <c r="H981" s="2" t="s">
        <v>245</v>
      </c>
      <c r="I981" s="2" t="s">
        <v>1587</v>
      </c>
      <c r="J981" s="2" t="s">
        <v>10891</v>
      </c>
      <c r="K981" s="2" t="s">
        <v>507</v>
      </c>
      <c r="L981" s="2" t="n">
        <v>0</v>
      </c>
      <c r="M981" s="2" t="n">
        <v>0.18</v>
      </c>
    </row>
    <row r="982" customFormat="false" ht="15" hidden="false" customHeight="false" outlineLevel="0" collapsed="false">
      <c r="A982" s="2" t="n">
        <v>980</v>
      </c>
      <c r="B982" s="2" t="s">
        <v>4906</v>
      </c>
      <c r="C982" s="2" t="n">
        <v>0</v>
      </c>
      <c r="D982" s="2" t="n">
        <v>0</v>
      </c>
      <c r="E982" s="2" t="s">
        <v>10892</v>
      </c>
      <c r="F982" s="2" t="s">
        <v>10818</v>
      </c>
      <c r="G982" s="2" t="s">
        <v>2302</v>
      </c>
      <c r="H982" s="2" t="s">
        <v>661</v>
      </c>
      <c r="I982" s="2" t="s">
        <v>2303</v>
      </c>
      <c r="J982" s="2" t="s">
        <v>10893</v>
      </c>
      <c r="K982" s="2" t="s">
        <v>507</v>
      </c>
      <c r="L982" s="2" t="n">
        <v>0.12</v>
      </c>
      <c r="M982" s="2" t="n">
        <v>0.22</v>
      </c>
    </row>
    <row r="983" customFormat="false" ht="15" hidden="false" customHeight="false" outlineLevel="0" collapsed="false">
      <c r="A983" s="2" t="n">
        <v>981</v>
      </c>
      <c r="B983" s="2" t="s">
        <v>4906</v>
      </c>
      <c r="C983" s="2" t="n">
        <v>0</v>
      </c>
      <c r="D983" s="2" t="n">
        <v>0</v>
      </c>
      <c r="E983" s="2" t="s">
        <v>10894</v>
      </c>
      <c r="F983" s="2" t="s">
        <v>10822</v>
      </c>
      <c r="G983" s="2" t="s">
        <v>2311</v>
      </c>
      <c r="H983" s="2" t="s">
        <v>2312</v>
      </c>
      <c r="I983" s="2" t="s">
        <v>2313</v>
      </c>
      <c r="J983" s="2" t="s">
        <v>10895</v>
      </c>
      <c r="K983" s="2" t="s">
        <v>507</v>
      </c>
      <c r="L983" s="2" t="n">
        <v>0.17</v>
      </c>
      <c r="M983" s="2" t="n">
        <v>1</v>
      </c>
    </row>
    <row r="984" customFormat="false" ht="15" hidden="false" customHeight="false" outlineLevel="0" collapsed="false">
      <c r="A984" s="2" t="n">
        <v>982</v>
      </c>
      <c r="B984" s="2" t="s">
        <v>4906</v>
      </c>
      <c r="C984" s="2" t="n">
        <v>2</v>
      </c>
      <c r="D984" s="2" t="n">
        <v>0</v>
      </c>
      <c r="E984" s="2" t="s">
        <v>4979</v>
      </c>
      <c r="F984" s="2" t="s">
        <v>95</v>
      </c>
      <c r="G984" s="2" t="s">
        <v>4980</v>
      </c>
      <c r="H984" s="2" t="s">
        <v>2312</v>
      </c>
      <c r="I984" s="2" t="s">
        <v>4981</v>
      </c>
      <c r="J984" s="2" t="s">
        <v>10896</v>
      </c>
      <c r="K984" s="2" t="s">
        <v>507</v>
      </c>
      <c r="L984" s="2" t="n">
        <v>0</v>
      </c>
      <c r="M984" s="2" t="n">
        <v>0.89</v>
      </c>
    </row>
    <row r="985" customFormat="false" ht="15" hidden="false" customHeight="false" outlineLevel="0" collapsed="false">
      <c r="A985" s="2" t="n">
        <v>983</v>
      </c>
      <c r="B985" s="2" t="s">
        <v>4906</v>
      </c>
      <c r="C985" s="2" t="n">
        <v>0</v>
      </c>
      <c r="D985" s="2" t="n">
        <v>0</v>
      </c>
      <c r="E985" s="2" t="s">
        <v>10897</v>
      </c>
      <c r="F985" s="2" t="s">
        <v>10898</v>
      </c>
      <c r="G985" s="2" t="s">
        <v>2333</v>
      </c>
      <c r="H985" s="2" t="s">
        <v>2312</v>
      </c>
      <c r="I985" s="2" t="s">
        <v>2334</v>
      </c>
      <c r="J985" s="2" t="s">
        <v>10899</v>
      </c>
      <c r="K985" s="2" t="s">
        <v>507</v>
      </c>
      <c r="L985" s="2" t="n">
        <v>0.14</v>
      </c>
      <c r="M985" s="2" t="n">
        <v>0.8</v>
      </c>
    </row>
    <row r="986" customFormat="false" ht="15" hidden="false" customHeight="false" outlineLevel="0" collapsed="false">
      <c r="A986" s="2" t="n">
        <v>984</v>
      </c>
      <c r="B986" s="2" t="s">
        <v>4906</v>
      </c>
      <c r="C986" s="2" t="n">
        <v>0</v>
      </c>
      <c r="D986" s="2" t="n">
        <v>0</v>
      </c>
      <c r="E986" s="2" t="s">
        <v>10900</v>
      </c>
      <c r="F986" s="2" t="s">
        <v>743</v>
      </c>
      <c r="G986" s="2" t="s">
        <v>9788</v>
      </c>
      <c r="H986" s="2" t="s">
        <v>9789</v>
      </c>
      <c r="I986" s="2" t="s">
        <v>262</v>
      </c>
      <c r="J986" s="2" t="s">
        <v>10901</v>
      </c>
      <c r="K986" s="2" t="s">
        <v>507</v>
      </c>
      <c r="L986" s="2" t="n">
        <v>0</v>
      </c>
      <c r="M986" s="2" t="n">
        <v>0.5</v>
      </c>
    </row>
    <row r="987" customFormat="false" ht="15" hidden="false" customHeight="false" outlineLevel="0" collapsed="false">
      <c r="A987" s="2" t="n">
        <v>985</v>
      </c>
      <c r="B987" s="2" t="s">
        <v>4906</v>
      </c>
      <c r="C987" s="2" t="n">
        <v>0</v>
      </c>
      <c r="D987" s="2" t="n">
        <v>0</v>
      </c>
      <c r="E987" s="2" t="s">
        <v>10902</v>
      </c>
      <c r="F987" s="2" t="s">
        <v>10822</v>
      </c>
      <c r="G987" s="2" t="s">
        <v>2344</v>
      </c>
      <c r="H987" s="2" t="s">
        <v>2345</v>
      </c>
      <c r="I987" s="2" t="s">
        <v>2346</v>
      </c>
      <c r="J987" s="2" t="s">
        <v>10903</v>
      </c>
      <c r="K987" s="2" t="s">
        <v>507</v>
      </c>
      <c r="L987" s="2" t="n">
        <v>0</v>
      </c>
      <c r="M987" s="2" t="n">
        <v>0.8</v>
      </c>
    </row>
    <row r="988" customFormat="false" ht="15" hidden="false" customHeight="false" outlineLevel="0" collapsed="false">
      <c r="A988" s="2" t="n">
        <v>986</v>
      </c>
      <c r="B988" s="2" t="s">
        <v>4906</v>
      </c>
      <c r="C988" s="2" t="n">
        <v>0</v>
      </c>
      <c r="D988" s="2" t="n">
        <v>0</v>
      </c>
      <c r="E988" s="2" t="s">
        <v>10904</v>
      </c>
      <c r="F988" s="2" t="s">
        <v>743</v>
      </c>
      <c r="G988" s="2" t="s">
        <v>10905</v>
      </c>
      <c r="H988" s="2" t="s">
        <v>745</v>
      </c>
      <c r="I988" s="2" t="s">
        <v>1055</v>
      </c>
      <c r="J988" s="2" t="s">
        <v>10906</v>
      </c>
      <c r="K988" s="2" t="s">
        <v>507</v>
      </c>
      <c r="L988" s="2" t="n">
        <v>0.09</v>
      </c>
      <c r="M988" s="2" t="n">
        <v>0.23</v>
      </c>
    </row>
    <row r="989" customFormat="false" ht="15" hidden="false" customHeight="false" outlineLevel="0" collapsed="false">
      <c r="A989" s="2" t="n">
        <v>987</v>
      </c>
      <c r="B989" s="2" t="s">
        <v>4906</v>
      </c>
      <c r="C989" s="2" t="n">
        <v>0</v>
      </c>
      <c r="D989" s="2" t="n">
        <v>0</v>
      </c>
      <c r="E989" s="2" t="s">
        <v>10907</v>
      </c>
      <c r="F989" s="2" t="s">
        <v>10908</v>
      </c>
      <c r="G989" s="2" t="s">
        <v>9798</v>
      </c>
      <c r="H989" s="2" t="s">
        <v>6718</v>
      </c>
      <c r="I989" s="2" t="s">
        <v>1055</v>
      </c>
      <c r="J989" s="2" t="s">
        <v>10909</v>
      </c>
      <c r="K989" s="2" t="s">
        <v>507</v>
      </c>
      <c r="L989" s="2" t="n">
        <v>0</v>
      </c>
      <c r="M989" s="2" t="n">
        <v>0.89</v>
      </c>
    </row>
    <row r="990" customFormat="false" ht="15" hidden="false" customHeight="false" outlineLevel="0" collapsed="false">
      <c r="A990" s="2" t="n">
        <v>988</v>
      </c>
      <c r="B990" s="2" t="s">
        <v>4906</v>
      </c>
      <c r="C990" s="2" t="n">
        <v>0</v>
      </c>
      <c r="D990" s="2" t="n">
        <v>0</v>
      </c>
      <c r="E990" s="2" t="s">
        <v>10910</v>
      </c>
      <c r="F990" s="2" t="s">
        <v>4957</v>
      </c>
      <c r="G990" s="2" t="s">
        <v>9801</v>
      </c>
      <c r="H990" s="2" t="s">
        <v>696</v>
      </c>
      <c r="I990" s="2" t="s">
        <v>1055</v>
      </c>
      <c r="J990" s="2" t="s">
        <v>10911</v>
      </c>
      <c r="K990" s="2" t="s">
        <v>507</v>
      </c>
      <c r="L990" s="2" t="n">
        <v>0</v>
      </c>
      <c r="M990" s="2" t="n">
        <v>0.64</v>
      </c>
    </row>
    <row r="991" customFormat="false" ht="15" hidden="false" customHeight="false" outlineLevel="0" collapsed="false">
      <c r="A991" s="2" t="n">
        <v>989</v>
      </c>
      <c r="B991" s="2" t="s">
        <v>4906</v>
      </c>
      <c r="C991" s="2" t="n">
        <v>0</v>
      </c>
      <c r="D991" s="2" t="n">
        <v>0</v>
      </c>
      <c r="E991" s="2" t="s">
        <v>10912</v>
      </c>
      <c r="F991" s="2" t="s">
        <v>3347</v>
      </c>
      <c r="G991" s="2" t="s">
        <v>9804</v>
      </c>
      <c r="H991" s="2" t="s">
        <v>6718</v>
      </c>
      <c r="I991" s="2" t="s">
        <v>3194</v>
      </c>
      <c r="J991" s="2" t="s">
        <v>10913</v>
      </c>
      <c r="K991" s="2" t="s">
        <v>507</v>
      </c>
      <c r="L991" s="2" t="n">
        <v>0</v>
      </c>
      <c r="M991" s="2" t="n">
        <v>0.62</v>
      </c>
    </row>
    <row r="992" customFormat="false" ht="15" hidden="false" customHeight="false" outlineLevel="0" collapsed="false">
      <c r="A992" s="2" t="n">
        <v>990</v>
      </c>
      <c r="B992" s="2" t="s">
        <v>4985</v>
      </c>
      <c r="C992" s="2" t="n">
        <v>0</v>
      </c>
      <c r="D992" s="2" t="n">
        <v>0</v>
      </c>
      <c r="E992" s="2" t="s">
        <v>10914</v>
      </c>
      <c r="F992" s="2" t="s">
        <v>8416</v>
      </c>
      <c r="G992" s="2" t="s">
        <v>2353</v>
      </c>
      <c r="H992" s="2" t="s">
        <v>2354</v>
      </c>
      <c r="I992" s="2" t="s">
        <v>262</v>
      </c>
      <c r="J992" s="2" t="s">
        <v>10915</v>
      </c>
      <c r="K992" s="2" t="s">
        <v>507</v>
      </c>
      <c r="L992" s="2" t="n">
        <v>0</v>
      </c>
      <c r="M992" s="2" t="n">
        <v>0.77</v>
      </c>
    </row>
    <row r="993" customFormat="false" ht="15" hidden="false" customHeight="false" outlineLevel="0" collapsed="false">
      <c r="A993" s="2" t="n">
        <v>991</v>
      </c>
      <c r="B993" s="2" t="s">
        <v>4985</v>
      </c>
      <c r="C993" s="2" t="n">
        <v>0</v>
      </c>
      <c r="D993" s="2" t="n">
        <v>0</v>
      </c>
      <c r="E993" s="2" t="s">
        <v>10916</v>
      </c>
      <c r="F993" s="2" t="s">
        <v>9333</v>
      </c>
      <c r="G993" s="2" t="s">
        <v>2361</v>
      </c>
      <c r="H993" s="2" t="s">
        <v>1077</v>
      </c>
      <c r="I993" s="2" t="s">
        <v>1932</v>
      </c>
      <c r="J993" s="2" t="s">
        <v>10917</v>
      </c>
      <c r="K993" s="2" t="s">
        <v>507</v>
      </c>
      <c r="L993" s="2" t="n">
        <v>0.12</v>
      </c>
      <c r="M993" s="2" t="n">
        <v>0.75</v>
      </c>
    </row>
    <row r="994" customFormat="false" ht="15" hidden="false" customHeight="false" outlineLevel="0" collapsed="false">
      <c r="A994" s="2" t="n">
        <v>992</v>
      </c>
      <c r="B994" s="2" t="s">
        <v>4985</v>
      </c>
      <c r="C994" s="2" t="n">
        <v>1</v>
      </c>
      <c r="D994" s="2" t="n">
        <v>1</v>
      </c>
      <c r="E994" s="2" t="s">
        <v>4992</v>
      </c>
      <c r="F994" s="2" t="s">
        <v>803</v>
      </c>
      <c r="G994" s="2" t="s">
        <v>4993</v>
      </c>
      <c r="H994" s="2" t="s">
        <v>4994</v>
      </c>
      <c r="I994" s="2" t="s">
        <v>813</v>
      </c>
      <c r="J994" s="2" t="s">
        <v>10918</v>
      </c>
      <c r="K994" s="2" t="s">
        <v>507</v>
      </c>
      <c r="L994" s="2" t="n">
        <v>0</v>
      </c>
      <c r="M994" s="2" t="n">
        <v>1</v>
      </c>
    </row>
    <row r="995" customFormat="false" ht="15" hidden="false" customHeight="false" outlineLevel="0" collapsed="false">
      <c r="A995" s="2" t="n">
        <v>993</v>
      </c>
      <c r="B995" s="2" t="s">
        <v>4985</v>
      </c>
      <c r="C995" s="2" t="n">
        <v>0</v>
      </c>
      <c r="D995" s="2" t="n">
        <v>0</v>
      </c>
      <c r="E995" s="2" t="s">
        <v>10919</v>
      </c>
      <c r="F995" s="2" t="s">
        <v>4957</v>
      </c>
      <c r="G995" s="2" t="s">
        <v>9811</v>
      </c>
      <c r="H995" s="2" t="s">
        <v>9812</v>
      </c>
      <c r="I995" s="2" t="s">
        <v>1774</v>
      </c>
      <c r="J995" s="2" t="s">
        <v>10920</v>
      </c>
      <c r="K995" s="2" t="s">
        <v>507</v>
      </c>
      <c r="L995" s="2" t="n">
        <v>0</v>
      </c>
      <c r="M995" s="2" t="n">
        <v>0.33</v>
      </c>
    </row>
    <row r="996" customFormat="false" ht="15" hidden="false" customHeight="false" outlineLevel="0" collapsed="false">
      <c r="A996" s="2" t="n">
        <v>994</v>
      </c>
      <c r="B996" s="2" t="s">
        <v>4985</v>
      </c>
      <c r="C996" s="2" t="n">
        <v>0</v>
      </c>
      <c r="D996" s="2" t="n">
        <v>0</v>
      </c>
      <c r="E996" s="2" t="s">
        <v>10921</v>
      </c>
      <c r="F996" s="2" t="s">
        <v>10922</v>
      </c>
      <c r="G996" s="2" t="s">
        <v>9816</v>
      </c>
      <c r="H996" s="2" t="s">
        <v>2567</v>
      </c>
      <c r="I996" s="2" t="s">
        <v>1654</v>
      </c>
      <c r="J996" s="2" t="s">
        <v>10923</v>
      </c>
      <c r="K996" s="2" t="s">
        <v>507</v>
      </c>
      <c r="L996" s="2" t="n">
        <v>0.14</v>
      </c>
      <c r="M996" s="2" t="n">
        <v>0.73</v>
      </c>
    </row>
    <row r="997" customFormat="false" ht="15" hidden="false" customHeight="false" outlineLevel="0" collapsed="false">
      <c r="A997" s="2" t="n">
        <v>995</v>
      </c>
      <c r="B997" s="2" t="s">
        <v>4985</v>
      </c>
      <c r="C997" s="2" t="n">
        <v>0</v>
      </c>
      <c r="D997" s="2" t="n">
        <v>0</v>
      </c>
      <c r="E997" s="2" t="s">
        <v>10924</v>
      </c>
      <c r="F997" s="2" t="s">
        <v>9412</v>
      </c>
      <c r="G997" s="2" t="s">
        <v>10925</v>
      </c>
      <c r="H997" s="2" t="s">
        <v>420</v>
      </c>
      <c r="I997" s="2" t="s">
        <v>2489</v>
      </c>
      <c r="J997" s="2" t="s">
        <v>10926</v>
      </c>
      <c r="K997" s="2" t="s">
        <v>507</v>
      </c>
      <c r="L997" s="2" t="n">
        <v>0.23</v>
      </c>
      <c r="M997" s="2" t="n">
        <v>0.5</v>
      </c>
    </row>
    <row r="998" customFormat="false" ht="15" hidden="false" customHeight="false" outlineLevel="0" collapsed="false">
      <c r="A998" s="2" t="n">
        <v>996</v>
      </c>
      <c r="B998" s="2" t="s">
        <v>4985</v>
      </c>
      <c r="C998" s="2" t="n">
        <v>0</v>
      </c>
      <c r="D998" s="2" t="n">
        <v>0</v>
      </c>
      <c r="E998" s="2" t="s">
        <v>10927</v>
      </c>
      <c r="F998" s="2" t="s">
        <v>743</v>
      </c>
      <c r="G998" s="2" t="s">
        <v>9819</v>
      </c>
      <c r="H998" s="2" t="s">
        <v>9795</v>
      </c>
      <c r="I998" s="2" t="s">
        <v>813</v>
      </c>
      <c r="J998" s="2" t="s">
        <v>10928</v>
      </c>
      <c r="K998" s="2" t="s">
        <v>507</v>
      </c>
      <c r="L998" s="2" t="n">
        <v>0</v>
      </c>
      <c r="M998" s="2" t="n">
        <v>0.7</v>
      </c>
    </row>
    <row r="999" customFormat="false" ht="15" hidden="false" customHeight="false" outlineLevel="0" collapsed="false">
      <c r="A999" s="2" t="n">
        <v>997</v>
      </c>
      <c r="B999" s="2" t="s">
        <v>4985</v>
      </c>
      <c r="C999" s="2" t="n">
        <v>0</v>
      </c>
      <c r="D999" s="2" t="n">
        <v>0</v>
      </c>
      <c r="E999" s="2" t="s">
        <v>10929</v>
      </c>
      <c r="F999" s="2" t="s">
        <v>10930</v>
      </c>
      <c r="G999" s="2" t="s">
        <v>10931</v>
      </c>
      <c r="H999" s="2" t="s">
        <v>9795</v>
      </c>
      <c r="I999" s="2" t="s">
        <v>7889</v>
      </c>
      <c r="J999" s="4" t="s">
        <v>10932</v>
      </c>
      <c r="K999" s="2" t="s">
        <v>507</v>
      </c>
      <c r="L999" s="2" t="n">
        <v>0</v>
      </c>
      <c r="M999" s="2" t="n">
        <v>0</v>
      </c>
    </row>
    <row r="1000" customFormat="false" ht="15" hidden="false" customHeight="false" outlineLevel="0" collapsed="false">
      <c r="A1000" s="2" t="n">
        <v>998</v>
      </c>
      <c r="B1000" s="2" t="s">
        <v>4985</v>
      </c>
      <c r="C1000" s="2" t="n">
        <v>0</v>
      </c>
      <c r="D1000" s="2" t="n">
        <v>0</v>
      </c>
      <c r="E1000" s="2" t="s">
        <v>10933</v>
      </c>
      <c r="F1000" s="2" t="s">
        <v>803</v>
      </c>
      <c r="G1000" s="2" t="s">
        <v>10934</v>
      </c>
      <c r="H1000" s="2" t="s">
        <v>4994</v>
      </c>
      <c r="I1000" s="2" t="s">
        <v>2037</v>
      </c>
      <c r="J1000" s="2" t="s">
        <v>10935</v>
      </c>
      <c r="K1000" s="2" t="s">
        <v>507</v>
      </c>
      <c r="L1000" s="2" t="n">
        <v>0</v>
      </c>
      <c r="M1000" s="2" t="n">
        <v>1</v>
      </c>
    </row>
    <row r="1001" customFormat="false" ht="15" hidden="false" customHeight="false" outlineLevel="0" collapsed="false">
      <c r="A1001" s="2" t="n">
        <v>999</v>
      </c>
      <c r="B1001" s="2" t="s">
        <v>4985</v>
      </c>
      <c r="C1001" s="2" t="n">
        <v>1</v>
      </c>
      <c r="D1001" s="2" t="n">
        <v>0</v>
      </c>
      <c r="E1001" s="2" t="s">
        <v>4999</v>
      </c>
      <c r="F1001" s="2" t="s">
        <v>5000</v>
      </c>
      <c r="G1001" s="2" t="s">
        <v>2368</v>
      </c>
      <c r="H1001" s="2" t="s">
        <v>2369</v>
      </c>
      <c r="I1001" s="2" t="s">
        <v>2370</v>
      </c>
      <c r="J1001" s="2" t="s">
        <v>10936</v>
      </c>
      <c r="K1001" s="2" t="s">
        <v>507</v>
      </c>
      <c r="L1001" s="2" t="n">
        <v>0.23</v>
      </c>
      <c r="M1001" s="2" t="n">
        <v>0.5</v>
      </c>
    </row>
    <row r="1002" customFormat="false" ht="15" hidden="false" customHeight="false" outlineLevel="0" collapsed="false">
      <c r="A1002" s="2" t="n">
        <v>1000</v>
      </c>
      <c r="B1002" s="2" t="s">
        <v>4985</v>
      </c>
      <c r="C1002" s="2" t="n">
        <v>0</v>
      </c>
      <c r="D1002" s="2" t="n">
        <v>0</v>
      </c>
      <c r="E1002" s="2" t="s">
        <v>10937</v>
      </c>
      <c r="F1002" s="2" t="s">
        <v>10922</v>
      </c>
      <c r="G1002" s="2" t="s">
        <v>2377</v>
      </c>
      <c r="H1002" s="2" t="s">
        <v>2378</v>
      </c>
      <c r="I1002" s="2" t="s">
        <v>2379</v>
      </c>
      <c r="J1002" s="2" t="s">
        <v>10938</v>
      </c>
      <c r="K1002" s="2" t="s">
        <v>507</v>
      </c>
      <c r="L1002" s="2" t="n">
        <v>0.08</v>
      </c>
      <c r="M1002" s="2" t="n">
        <v>0.7</v>
      </c>
    </row>
    <row r="1003" customFormat="false" ht="15" hidden="false" customHeight="false" outlineLevel="0" collapsed="false">
      <c r="A1003" s="2" t="n">
        <v>1001</v>
      </c>
      <c r="B1003" s="2" t="s">
        <v>4985</v>
      </c>
      <c r="C1003" s="2" t="n">
        <v>1</v>
      </c>
      <c r="D1003" s="2" t="n">
        <v>1</v>
      </c>
      <c r="E1003" s="2" t="s">
        <v>5006</v>
      </c>
      <c r="F1003" s="2" t="s">
        <v>95</v>
      </c>
      <c r="G1003" s="2" t="s">
        <v>5007</v>
      </c>
      <c r="H1003" s="2" t="s">
        <v>2567</v>
      </c>
      <c r="I1003" s="2" t="s">
        <v>301</v>
      </c>
      <c r="J1003" s="2" t="s">
        <v>10939</v>
      </c>
      <c r="K1003" s="2" t="s">
        <v>507</v>
      </c>
      <c r="L1003" s="2" t="n">
        <v>0.09</v>
      </c>
      <c r="M1003" s="2" t="n">
        <v>0.57</v>
      </c>
    </row>
    <row r="1004" customFormat="false" ht="15" hidden="false" customHeight="false" outlineLevel="0" collapsed="false">
      <c r="A1004" s="2" t="n">
        <v>1002</v>
      </c>
      <c r="B1004" s="2" t="s">
        <v>4985</v>
      </c>
      <c r="C1004" s="2" t="n">
        <v>0</v>
      </c>
      <c r="D1004" s="2" t="n">
        <v>0</v>
      </c>
      <c r="E1004" s="2" t="s">
        <v>10940</v>
      </c>
      <c r="F1004" s="2" t="s">
        <v>803</v>
      </c>
      <c r="G1004" s="2" t="s">
        <v>10941</v>
      </c>
      <c r="H1004" s="2" t="s">
        <v>2567</v>
      </c>
      <c r="I1004" s="2" t="s">
        <v>2399</v>
      </c>
      <c r="J1004" s="2" t="s">
        <v>10942</v>
      </c>
      <c r="K1004" s="2" t="s">
        <v>507</v>
      </c>
      <c r="L1004" s="2" t="n">
        <v>0</v>
      </c>
      <c r="M1004" s="2" t="n">
        <v>1</v>
      </c>
    </row>
    <row r="1005" customFormat="false" ht="15" hidden="false" customHeight="false" outlineLevel="0" collapsed="false">
      <c r="A1005" s="2" t="n">
        <v>1003</v>
      </c>
      <c r="B1005" s="2" t="s">
        <v>4985</v>
      </c>
      <c r="C1005" s="2" t="n">
        <v>0</v>
      </c>
      <c r="D1005" s="2" t="n">
        <v>0</v>
      </c>
      <c r="E1005" s="2" t="s">
        <v>10943</v>
      </c>
      <c r="F1005" s="2" t="s">
        <v>10944</v>
      </c>
      <c r="G1005" s="2" t="s">
        <v>10945</v>
      </c>
      <c r="H1005" s="2" t="s">
        <v>661</v>
      </c>
      <c r="I1005" s="2" t="s">
        <v>370</v>
      </c>
      <c r="J1005" s="2" t="s">
        <v>10946</v>
      </c>
      <c r="K1005" s="2" t="s">
        <v>507</v>
      </c>
      <c r="L1005" s="2" t="n">
        <v>0</v>
      </c>
      <c r="M1005" s="2" t="n">
        <v>0.56</v>
      </c>
    </row>
    <row r="1006" customFormat="false" ht="15" hidden="false" customHeight="false" outlineLevel="0" collapsed="false">
      <c r="A1006" s="2" t="n">
        <v>1004</v>
      </c>
      <c r="B1006" s="2" t="s">
        <v>4985</v>
      </c>
      <c r="C1006" s="2" t="n">
        <v>1</v>
      </c>
      <c r="D1006" s="2" t="n">
        <v>0</v>
      </c>
      <c r="E1006" s="2" t="s">
        <v>5014</v>
      </c>
      <c r="F1006" s="2" t="s">
        <v>4299</v>
      </c>
      <c r="G1006" s="2" t="s">
        <v>2398</v>
      </c>
      <c r="H1006" s="2" t="s">
        <v>661</v>
      </c>
      <c r="I1006" s="2" t="s">
        <v>2399</v>
      </c>
      <c r="J1006" s="2" t="s">
        <v>10947</v>
      </c>
      <c r="K1006" s="2" t="s">
        <v>507</v>
      </c>
      <c r="L1006" s="2" t="n">
        <v>0</v>
      </c>
      <c r="M1006" s="2" t="n">
        <v>0.71</v>
      </c>
    </row>
    <row r="1007" customFormat="false" ht="15" hidden="false" customHeight="false" outlineLevel="0" collapsed="false">
      <c r="A1007" s="2" t="n">
        <v>1005</v>
      </c>
      <c r="B1007" s="2" t="s">
        <v>4985</v>
      </c>
      <c r="C1007" s="2" t="n">
        <v>0</v>
      </c>
      <c r="D1007" s="2" t="n">
        <v>0</v>
      </c>
      <c r="E1007" s="2" t="s">
        <v>10948</v>
      </c>
      <c r="F1007" s="2" t="s">
        <v>10949</v>
      </c>
      <c r="G1007" s="2" t="s">
        <v>2414</v>
      </c>
      <c r="H1007" s="2" t="s">
        <v>661</v>
      </c>
      <c r="I1007" s="2" t="s">
        <v>1397</v>
      </c>
      <c r="J1007" s="2" t="s">
        <v>10950</v>
      </c>
      <c r="K1007" s="2" t="s">
        <v>507</v>
      </c>
      <c r="L1007" s="2" t="n">
        <v>0</v>
      </c>
      <c r="M1007" s="2" t="n">
        <v>0.67</v>
      </c>
    </row>
    <row r="1008" customFormat="false" ht="15" hidden="false" customHeight="false" outlineLevel="0" collapsed="false">
      <c r="A1008" s="2" t="n">
        <v>1006</v>
      </c>
      <c r="B1008" s="2" t="s">
        <v>4985</v>
      </c>
      <c r="C1008" s="2" t="n">
        <v>0</v>
      </c>
      <c r="D1008" s="2" t="n">
        <v>0</v>
      </c>
      <c r="E1008" s="2" t="s">
        <v>10951</v>
      </c>
      <c r="F1008" s="2" t="s">
        <v>10952</v>
      </c>
      <c r="G1008" s="2" t="s">
        <v>2430</v>
      </c>
      <c r="H1008" s="2" t="s">
        <v>661</v>
      </c>
      <c r="I1008" s="2" t="s">
        <v>2431</v>
      </c>
      <c r="J1008" s="2" t="s">
        <v>10953</v>
      </c>
      <c r="K1008" s="2" t="s">
        <v>160</v>
      </c>
      <c r="L1008" s="2" t="n">
        <v>0.33</v>
      </c>
      <c r="M1008" s="2" t="n">
        <v>0.55</v>
      </c>
    </row>
    <row r="1009" customFormat="false" ht="15" hidden="false" customHeight="false" outlineLevel="0" collapsed="false">
      <c r="A1009" s="2" t="n">
        <v>1007</v>
      </c>
      <c r="B1009" s="2" t="s">
        <v>4985</v>
      </c>
      <c r="C1009" s="2" t="n">
        <v>1</v>
      </c>
      <c r="D1009" s="2" t="n">
        <v>0</v>
      </c>
      <c r="E1009" s="2" t="s">
        <v>5019</v>
      </c>
      <c r="F1009" s="2" t="s">
        <v>5020</v>
      </c>
      <c r="G1009" s="2" t="s">
        <v>5021</v>
      </c>
      <c r="H1009" s="2" t="s">
        <v>2449</v>
      </c>
      <c r="I1009" s="2" t="s">
        <v>1840</v>
      </c>
      <c r="J1009" s="2" t="s">
        <v>10954</v>
      </c>
      <c r="K1009" s="2" t="s">
        <v>507</v>
      </c>
      <c r="L1009" s="2" t="n">
        <v>0</v>
      </c>
      <c r="M1009" s="2" t="n">
        <v>0.75</v>
      </c>
    </row>
    <row r="1010" customFormat="false" ht="15" hidden="false" customHeight="false" outlineLevel="0" collapsed="false">
      <c r="A1010" s="2" t="n">
        <v>1008</v>
      </c>
      <c r="B1010" s="2" t="s">
        <v>4985</v>
      </c>
      <c r="C1010" s="2" t="n">
        <v>0</v>
      </c>
      <c r="D1010" s="2" t="n">
        <v>0</v>
      </c>
      <c r="E1010" s="2" t="s">
        <v>10955</v>
      </c>
      <c r="F1010" s="2" t="s">
        <v>10818</v>
      </c>
      <c r="G1010" s="2" t="s">
        <v>2450</v>
      </c>
      <c r="H1010" s="2" t="s">
        <v>2451</v>
      </c>
      <c r="I1010" s="2" t="s">
        <v>1932</v>
      </c>
      <c r="J1010" s="2" t="s">
        <v>10885</v>
      </c>
      <c r="K1010" s="2" t="s">
        <v>507</v>
      </c>
      <c r="L1010" s="2" t="n">
        <v>0</v>
      </c>
      <c r="M1010" s="2" t="n">
        <v>0.33</v>
      </c>
    </row>
    <row r="1011" customFormat="false" ht="15" hidden="false" customHeight="false" outlineLevel="0" collapsed="false">
      <c r="A1011" s="2" t="n">
        <v>1009</v>
      </c>
      <c r="B1011" s="2" t="s">
        <v>4985</v>
      </c>
      <c r="C1011" s="2" t="n">
        <v>0</v>
      </c>
      <c r="D1011" s="2" t="n">
        <v>0</v>
      </c>
      <c r="E1011" s="2" t="s">
        <v>10956</v>
      </c>
      <c r="F1011" s="2" t="s">
        <v>8453</v>
      </c>
      <c r="G1011" s="2" t="s">
        <v>9832</v>
      </c>
      <c r="H1011" s="2" t="s">
        <v>2601</v>
      </c>
      <c r="I1011" s="2" t="s">
        <v>246</v>
      </c>
      <c r="J1011" s="2" t="s">
        <v>10957</v>
      </c>
      <c r="K1011" s="2" t="s">
        <v>507</v>
      </c>
      <c r="L1011" s="2" t="n">
        <v>0.08</v>
      </c>
      <c r="M1011" s="2" t="n">
        <v>0.9</v>
      </c>
    </row>
    <row r="1012" customFormat="false" ht="15" hidden="false" customHeight="false" outlineLevel="0" collapsed="false">
      <c r="A1012" s="2" t="n">
        <v>1010</v>
      </c>
      <c r="B1012" s="2" t="s">
        <v>4985</v>
      </c>
      <c r="C1012" s="2" t="n">
        <v>0</v>
      </c>
      <c r="D1012" s="2" t="n">
        <v>0</v>
      </c>
      <c r="E1012" s="2" t="s">
        <v>10958</v>
      </c>
      <c r="F1012" s="2" t="s">
        <v>743</v>
      </c>
      <c r="G1012" s="2" t="s">
        <v>9835</v>
      </c>
      <c r="H1012" s="2" t="s">
        <v>965</v>
      </c>
      <c r="I1012" s="2" t="s">
        <v>538</v>
      </c>
      <c r="J1012" s="2" t="s">
        <v>10959</v>
      </c>
      <c r="K1012" s="2" t="s">
        <v>507</v>
      </c>
      <c r="L1012" s="2" t="n">
        <v>0.1</v>
      </c>
      <c r="M1012" s="2" t="n">
        <v>0.2</v>
      </c>
    </row>
    <row r="1013" customFormat="false" ht="15" hidden="false" customHeight="false" outlineLevel="0" collapsed="false">
      <c r="A1013" s="2" t="n">
        <v>1011</v>
      </c>
      <c r="B1013" s="2" t="s">
        <v>4985</v>
      </c>
      <c r="C1013" s="2" t="n">
        <v>0</v>
      </c>
      <c r="D1013" s="2" t="n">
        <v>0</v>
      </c>
      <c r="E1013" s="2" t="s">
        <v>10960</v>
      </c>
      <c r="F1013" s="2" t="s">
        <v>743</v>
      </c>
      <c r="G1013" s="2" t="s">
        <v>2458</v>
      </c>
      <c r="H1013" s="2" t="s">
        <v>2459</v>
      </c>
      <c r="I1013" s="2" t="s">
        <v>1793</v>
      </c>
      <c r="J1013" s="2" t="s">
        <v>10961</v>
      </c>
      <c r="K1013" s="2" t="s">
        <v>507</v>
      </c>
      <c r="L1013" s="2" t="n">
        <v>0</v>
      </c>
      <c r="M1013" s="2" t="n">
        <v>0.64</v>
      </c>
    </row>
    <row r="1014" customFormat="false" ht="15" hidden="false" customHeight="false" outlineLevel="0" collapsed="false">
      <c r="A1014" s="2" t="n">
        <v>1012</v>
      </c>
      <c r="B1014" s="2" t="s">
        <v>4985</v>
      </c>
      <c r="C1014" s="2" t="n">
        <v>1</v>
      </c>
      <c r="D1014" s="2" t="n">
        <v>0</v>
      </c>
      <c r="E1014" s="2" t="s">
        <v>5029</v>
      </c>
      <c r="F1014" s="2" t="s">
        <v>5030</v>
      </c>
      <c r="G1014" s="2" t="s">
        <v>2487</v>
      </c>
      <c r="H1014" s="2" t="s">
        <v>2488</v>
      </c>
      <c r="I1014" s="2" t="s">
        <v>2489</v>
      </c>
      <c r="J1014" s="2" t="s">
        <v>10962</v>
      </c>
      <c r="K1014" s="2" t="s">
        <v>507</v>
      </c>
      <c r="L1014" s="2" t="n">
        <v>0</v>
      </c>
      <c r="M1014" s="2" t="n">
        <v>0.75</v>
      </c>
    </row>
    <row r="1015" customFormat="false" ht="15" hidden="false" customHeight="false" outlineLevel="0" collapsed="false">
      <c r="A1015" s="2" t="n">
        <v>1013</v>
      </c>
      <c r="B1015" s="2" t="s">
        <v>4985</v>
      </c>
      <c r="C1015" s="2" t="n">
        <v>0</v>
      </c>
      <c r="D1015" s="2" t="n">
        <v>0</v>
      </c>
      <c r="E1015" s="2" t="s">
        <v>10963</v>
      </c>
      <c r="F1015" s="2" t="s">
        <v>10964</v>
      </c>
      <c r="G1015" s="2" t="s">
        <v>9844</v>
      </c>
      <c r="H1015" s="2" t="s">
        <v>2451</v>
      </c>
      <c r="I1015" s="2" t="s">
        <v>1217</v>
      </c>
      <c r="J1015" s="2" t="s">
        <v>10965</v>
      </c>
      <c r="K1015" s="2" t="s">
        <v>507</v>
      </c>
      <c r="L1015" s="2" t="n">
        <v>0</v>
      </c>
      <c r="M1015" s="2" t="n">
        <v>0.73</v>
      </c>
    </row>
    <row r="1016" customFormat="false" ht="15" hidden="false" customHeight="false" outlineLevel="0" collapsed="false">
      <c r="A1016" s="2" t="n">
        <v>1014</v>
      </c>
      <c r="B1016" s="2" t="s">
        <v>4985</v>
      </c>
      <c r="C1016" s="2" t="n">
        <v>0</v>
      </c>
      <c r="D1016" s="2" t="n">
        <v>0</v>
      </c>
      <c r="E1016" s="2" t="s">
        <v>10966</v>
      </c>
      <c r="F1016" s="2" t="s">
        <v>7278</v>
      </c>
      <c r="G1016" s="2" t="s">
        <v>2497</v>
      </c>
      <c r="H1016" s="2" t="s">
        <v>2449</v>
      </c>
      <c r="I1016" s="2" t="s">
        <v>1972</v>
      </c>
      <c r="J1016" s="2" t="s">
        <v>10967</v>
      </c>
      <c r="K1016" s="2" t="s">
        <v>507</v>
      </c>
      <c r="L1016" s="2" t="n">
        <v>0</v>
      </c>
      <c r="M1016" s="2" t="n">
        <v>0.82</v>
      </c>
    </row>
    <row r="1017" customFormat="false" ht="15" hidden="false" customHeight="false" outlineLevel="0" collapsed="false">
      <c r="A1017" s="2" t="n">
        <v>1015</v>
      </c>
      <c r="B1017" s="2" t="s">
        <v>4985</v>
      </c>
      <c r="C1017" s="2" t="n">
        <v>1</v>
      </c>
      <c r="D1017" s="2" t="n">
        <v>0</v>
      </c>
      <c r="E1017" s="2" t="s">
        <v>5035</v>
      </c>
      <c r="F1017" s="2" t="s">
        <v>5030</v>
      </c>
      <c r="G1017" s="2" t="s">
        <v>2505</v>
      </c>
      <c r="H1017" s="2" t="s">
        <v>2449</v>
      </c>
      <c r="I1017" s="2" t="s">
        <v>2506</v>
      </c>
      <c r="J1017" s="2" t="s">
        <v>10968</v>
      </c>
      <c r="K1017" s="2" t="s">
        <v>507</v>
      </c>
      <c r="L1017" s="2" t="n">
        <v>0</v>
      </c>
      <c r="M1017" s="2" t="n">
        <v>0.77</v>
      </c>
    </row>
    <row r="1018" customFormat="false" ht="15" hidden="false" customHeight="false" outlineLevel="0" collapsed="false">
      <c r="A1018" s="2" t="n">
        <v>1016</v>
      </c>
      <c r="B1018" s="2" t="s">
        <v>4985</v>
      </c>
      <c r="C1018" s="2" t="n">
        <v>0</v>
      </c>
      <c r="D1018" s="2" t="n">
        <v>0</v>
      </c>
      <c r="E1018" s="2" t="s">
        <v>10969</v>
      </c>
      <c r="F1018" s="2" t="s">
        <v>5030</v>
      </c>
      <c r="G1018" s="2" t="s">
        <v>9852</v>
      </c>
      <c r="H1018" s="2" t="s">
        <v>2451</v>
      </c>
      <c r="I1018" s="2" t="s">
        <v>1654</v>
      </c>
      <c r="J1018" s="2" t="s">
        <v>10970</v>
      </c>
      <c r="K1018" s="2" t="s">
        <v>507</v>
      </c>
      <c r="L1018" s="2" t="n">
        <v>0.11</v>
      </c>
      <c r="M1018" s="2" t="n">
        <v>0.75</v>
      </c>
    </row>
    <row r="1019" customFormat="false" ht="15" hidden="false" customHeight="false" outlineLevel="0" collapsed="false">
      <c r="A1019" s="2" t="n">
        <v>1017</v>
      </c>
      <c r="B1019" s="2" t="s">
        <v>4985</v>
      </c>
      <c r="C1019" s="2" t="n">
        <v>0</v>
      </c>
      <c r="D1019" s="2" t="n">
        <v>0</v>
      </c>
      <c r="E1019" s="2" t="s">
        <v>10971</v>
      </c>
      <c r="F1019" s="2" t="s">
        <v>5030</v>
      </c>
      <c r="G1019" s="2" t="s">
        <v>2519</v>
      </c>
      <c r="H1019" s="2" t="s">
        <v>2520</v>
      </c>
      <c r="I1019" s="2" t="s">
        <v>262</v>
      </c>
      <c r="J1019" s="2" t="s">
        <v>10972</v>
      </c>
      <c r="K1019" s="2" t="s">
        <v>507</v>
      </c>
      <c r="L1019" s="2" t="n">
        <v>0.17</v>
      </c>
      <c r="M1019" s="2" t="n">
        <v>0.77</v>
      </c>
    </row>
    <row r="1020" customFormat="false" ht="15" hidden="false" customHeight="false" outlineLevel="0" collapsed="false">
      <c r="A1020" s="2" t="n">
        <v>1018</v>
      </c>
      <c r="B1020" s="2" t="s">
        <v>4985</v>
      </c>
      <c r="C1020" s="2" t="n">
        <v>0</v>
      </c>
      <c r="D1020" s="2" t="n">
        <v>0</v>
      </c>
      <c r="E1020" s="2" t="s">
        <v>10973</v>
      </c>
      <c r="F1020" s="2" t="s">
        <v>10974</v>
      </c>
      <c r="G1020" s="2" t="s">
        <v>2526</v>
      </c>
      <c r="H1020" s="2" t="s">
        <v>2449</v>
      </c>
      <c r="I1020" s="2" t="s">
        <v>262</v>
      </c>
      <c r="J1020" s="2" t="s">
        <v>10975</v>
      </c>
      <c r="K1020" s="2" t="s">
        <v>507</v>
      </c>
      <c r="L1020" s="2" t="n">
        <v>0</v>
      </c>
      <c r="M1020" s="2" t="n">
        <v>0.58</v>
      </c>
    </row>
    <row r="1021" customFormat="false" ht="15" hidden="false" customHeight="false" outlineLevel="0" collapsed="false">
      <c r="A1021" s="2" t="n">
        <v>1019</v>
      </c>
      <c r="B1021" s="2" t="s">
        <v>4985</v>
      </c>
      <c r="C1021" s="2" t="n">
        <v>0</v>
      </c>
      <c r="D1021" s="2" t="n">
        <v>0</v>
      </c>
      <c r="E1021" s="2" t="s">
        <v>10976</v>
      </c>
      <c r="F1021" s="2" t="s">
        <v>803</v>
      </c>
      <c r="G1021" s="2" t="s">
        <v>2530</v>
      </c>
      <c r="H1021" s="2" t="s">
        <v>2488</v>
      </c>
      <c r="I1021" s="2" t="s">
        <v>262</v>
      </c>
      <c r="J1021" s="2" t="s">
        <v>10977</v>
      </c>
      <c r="K1021" s="2" t="s">
        <v>507</v>
      </c>
      <c r="L1021" s="2" t="n">
        <v>0</v>
      </c>
      <c r="M1021" s="2" t="n">
        <v>1</v>
      </c>
    </row>
    <row r="1022" customFormat="false" ht="15" hidden="false" customHeight="false" outlineLevel="0" collapsed="false">
      <c r="A1022" s="2" t="n">
        <v>1020</v>
      </c>
      <c r="B1022" s="2" t="s">
        <v>5036</v>
      </c>
      <c r="C1022" s="2" t="n">
        <v>0</v>
      </c>
      <c r="D1022" s="2" t="n">
        <v>0</v>
      </c>
      <c r="E1022" s="2" t="s">
        <v>10978</v>
      </c>
      <c r="F1022" s="2" t="s">
        <v>10979</v>
      </c>
      <c r="G1022" s="2" t="s">
        <v>2534</v>
      </c>
      <c r="H1022" s="2" t="s">
        <v>2535</v>
      </c>
      <c r="I1022" s="2" t="s">
        <v>262</v>
      </c>
      <c r="J1022" s="2" t="s">
        <v>10980</v>
      </c>
      <c r="K1022" s="2" t="s">
        <v>507</v>
      </c>
      <c r="L1022" s="2" t="n">
        <v>0.1</v>
      </c>
      <c r="M1022" s="2" t="n">
        <v>0.82</v>
      </c>
    </row>
    <row r="1023" customFormat="false" ht="15" hidden="false" customHeight="false" outlineLevel="0" collapsed="false">
      <c r="A1023" s="2" t="n">
        <v>1021</v>
      </c>
      <c r="B1023" s="2" t="s">
        <v>5036</v>
      </c>
      <c r="C1023" s="2" t="n">
        <v>2</v>
      </c>
      <c r="D1023" s="2" t="n">
        <v>0</v>
      </c>
      <c r="E1023" s="2" t="s">
        <v>5044</v>
      </c>
      <c r="F1023" s="2" t="s">
        <v>5045</v>
      </c>
      <c r="G1023" s="2" t="s">
        <v>2540</v>
      </c>
      <c r="H1023" s="2" t="s">
        <v>2378</v>
      </c>
      <c r="I1023" s="2" t="s">
        <v>421</v>
      </c>
      <c r="J1023" s="2" t="s">
        <v>10981</v>
      </c>
      <c r="K1023" s="2" t="s">
        <v>507</v>
      </c>
      <c r="L1023" s="2" t="n">
        <v>0.2</v>
      </c>
      <c r="M1023" s="2" t="n">
        <v>0.75</v>
      </c>
    </row>
    <row r="1024" customFormat="false" ht="15" hidden="false" customHeight="false" outlineLevel="0" collapsed="false">
      <c r="A1024" s="2" t="n">
        <v>1022</v>
      </c>
      <c r="B1024" s="2" t="s">
        <v>5036</v>
      </c>
      <c r="C1024" s="2" t="n">
        <v>4</v>
      </c>
      <c r="D1024" s="2" t="n">
        <v>0</v>
      </c>
      <c r="E1024" s="2" t="s">
        <v>5053</v>
      </c>
      <c r="F1024" s="2" t="s">
        <v>5054</v>
      </c>
      <c r="G1024" s="2" t="s">
        <v>5055</v>
      </c>
      <c r="H1024" s="2" t="s">
        <v>745</v>
      </c>
      <c r="I1024" s="2" t="s">
        <v>3023</v>
      </c>
      <c r="J1024" s="2" t="s">
        <v>10982</v>
      </c>
      <c r="K1024" s="2" t="s">
        <v>507</v>
      </c>
      <c r="L1024" s="2" t="n">
        <v>0.1</v>
      </c>
      <c r="M1024" s="2" t="n">
        <v>0.5</v>
      </c>
    </row>
    <row r="1025" customFormat="false" ht="15" hidden="false" customHeight="false" outlineLevel="0" collapsed="false">
      <c r="A1025" s="2" t="n">
        <v>1023</v>
      </c>
      <c r="B1025" s="2" t="s">
        <v>5036</v>
      </c>
      <c r="C1025" s="2" t="n">
        <v>2</v>
      </c>
      <c r="D1025" s="2" t="n">
        <v>0</v>
      </c>
      <c r="E1025" s="2" t="s">
        <v>5066</v>
      </c>
      <c r="F1025" s="2" t="s">
        <v>5045</v>
      </c>
      <c r="G1025" s="2" t="s">
        <v>2544</v>
      </c>
      <c r="H1025" s="2" t="s">
        <v>2535</v>
      </c>
      <c r="I1025" s="2" t="s">
        <v>262</v>
      </c>
      <c r="J1025" s="2" t="s">
        <v>10983</v>
      </c>
      <c r="K1025" s="2" t="s">
        <v>507</v>
      </c>
      <c r="L1025" s="2" t="n">
        <v>0</v>
      </c>
      <c r="M1025" s="2" t="n">
        <v>0.9</v>
      </c>
    </row>
    <row r="1026" customFormat="false" ht="15" hidden="false" customHeight="false" outlineLevel="0" collapsed="false">
      <c r="A1026" s="2" t="n">
        <v>1024</v>
      </c>
      <c r="B1026" s="2" t="s">
        <v>5036</v>
      </c>
      <c r="C1026" s="2" t="n">
        <v>2</v>
      </c>
      <c r="D1026" s="2" t="n">
        <v>0</v>
      </c>
      <c r="E1026" s="2" t="s">
        <v>5073</v>
      </c>
      <c r="F1026" s="2" t="s">
        <v>5074</v>
      </c>
      <c r="G1026" s="2" t="s">
        <v>2547</v>
      </c>
      <c r="H1026" s="2" t="s">
        <v>2449</v>
      </c>
      <c r="I1026" s="2" t="s">
        <v>1365</v>
      </c>
      <c r="J1026" s="2" t="s">
        <v>10984</v>
      </c>
      <c r="K1026" s="2" t="s">
        <v>507</v>
      </c>
      <c r="L1026" s="2" t="n">
        <v>0.09</v>
      </c>
      <c r="M1026" s="2" t="n">
        <v>0.55</v>
      </c>
    </row>
    <row r="1027" customFormat="false" ht="15" hidden="false" customHeight="false" outlineLevel="0" collapsed="false">
      <c r="A1027" s="2" t="n">
        <v>1025</v>
      </c>
      <c r="B1027" s="2" t="s">
        <v>5036</v>
      </c>
      <c r="C1027" s="2" t="n">
        <v>0</v>
      </c>
      <c r="D1027" s="2" t="n">
        <v>0</v>
      </c>
      <c r="E1027" s="2" t="s">
        <v>10985</v>
      </c>
      <c r="F1027" s="2" t="s">
        <v>10986</v>
      </c>
      <c r="G1027" s="2" t="s">
        <v>2550</v>
      </c>
      <c r="H1027" s="2" t="s">
        <v>2535</v>
      </c>
      <c r="I1027" s="2" t="s">
        <v>421</v>
      </c>
      <c r="J1027" s="2" t="s">
        <v>10987</v>
      </c>
      <c r="K1027" s="2" t="s">
        <v>507</v>
      </c>
      <c r="L1027" s="2" t="n">
        <v>0.09</v>
      </c>
      <c r="M1027" s="2" t="n">
        <v>0.55</v>
      </c>
    </row>
    <row r="1028" customFormat="false" ht="15" hidden="false" customHeight="false" outlineLevel="0" collapsed="false">
      <c r="A1028" s="2" t="n">
        <v>1026</v>
      </c>
      <c r="B1028" s="2" t="s">
        <v>5036</v>
      </c>
      <c r="C1028" s="2" t="n">
        <v>1</v>
      </c>
      <c r="D1028" s="2" t="n">
        <v>1</v>
      </c>
      <c r="E1028" s="2" t="s">
        <v>5082</v>
      </c>
      <c r="F1028" s="2" t="s">
        <v>694</v>
      </c>
      <c r="G1028" s="2" t="s">
        <v>2555</v>
      </c>
      <c r="H1028" s="2" t="s">
        <v>2459</v>
      </c>
      <c r="I1028" s="2" t="s">
        <v>1875</v>
      </c>
      <c r="J1028" s="2" t="s">
        <v>10988</v>
      </c>
      <c r="K1028" s="2" t="s">
        <v>507</v>
      </c>
      <c r="L1028" s="2" t="n">
        <v>0.22</v>
      </c>
      <c r="M1028" s="2" t="n">
        <v>0.8</v>
      </c>
    </row>
    <row r="1029" customFormat="false" ht="15" hidden="false" customHeight="false" outlineLevel="0" collapsed="false">
      <c r="A1029" s="2" t="n">
        <v>1027</v>
      </c>
      <c r="B1029" s="2" t="s">
        <v>5036</v>
      </c>
      <c r="C1029" s="2" t="n">
        <v>1</v>
      </c>
      <c r="D1029" s="2" t="n">
        <v>0</v>
      </c>
      <c r="E1029" s="2" t="s">
        <v>5089</v>
      </c>
      <c r="F1029" s="2" t="s">
        <v>694</v>
      </c>
      <c r="G1029" s="2" t="s">
        <v>2560</v>
      </c>
      <c r="H1029" s="2" t="s">
        <v>2561</v>
      </c>
      <c r="I1029" s="2" t="s">
        <v>647</v>
      </c>
      <c r="J1029" s="2" t="s">
        <v>10989</v>
      </c>
      <c r="K1029" s="2" t="s">
        <v>507</v>
      </c>
      <c r="L1029" s="2" t="n">
        <v>0</v>
      </c>
      <c r="M1029" s="2" t="n">
        <v>0.62</v>
      </c>
    </row>
    <row r="1030" customFormat="false" ht="15" hidden="false" customHeight="false" outlineLevel="0" collapsed="false">
      <c r="A1030" s="2" t="n">
        <v>1028</v>
      </c>
      <c r="B1030" s="2" t="s">
        <v>5036</v>
      </c>
      <c r="C1030" s="2" t="n">
        <v>0</v>
      </c>
      <c r="D1030" s="2" t="n">
        <v>0</v>
      </c>
      <c r="E1030" s="2" t="s">
        <v>10990</v>
      </c>
      <c r="F1030" s="2" t="s">
        <v>6026</v>
      </c>
      <c r="G1030" s="2" t="s">
        <v>2566</v>
      </c>
      <c r="H1030" s="2" t="s">
        <v>2567</v>
      </c>
      <c r="I1030" s="2" t="s">
        <v>1648</v>
      </c>
      <c r="J1030" s="2" t="s">
        <v>10991</v>
      </c>
      <c r="K1030" s="2" t="s">
        <v>507</v>
      </c>
      <c r="L1030" s="2" t="n">
        <v>0</v>
      </c>
      <c r="M1030" s="2" t="n">
        <v>0.8</v>
      </c>
    </row>
    <row r="1031" customFormat="false" ht="15" hidden="false" customHeight="false" outlineLevel="0" collapsed="false">
      <c r="A1031" s="2" t="n">
        <v>1029</v>
      </c>
      <c r="B1031" s="2" t="s">
        <v>5036</v>
      </c>
      <c r="C1031" s="2" t="n">
        <v>1</v>
      </c>
      <c r="D1031" s="2" t="n">
        <v>0</v>
      </c>
      <c r="E1031" s="2" t="s">
        <v>5092</v>
      </c>
      <c r="F1031" s="2" t="s">
        <v>5093</v>
      </c>
      <c r="G1031" s="2" t="s">
        <v>5094</v>
      </c>
      <c r="H1031" s="2" t="s">
        <v>5095</v>
      </c>
      <c r="I1031" s="2" t="s">
        <v>421</v>
      </c>
      <c r="J1031" s="2" t="s">
        <v>10992</v>
      </c>
      <c r="K1031" s="2" t="s">
        <v>507</v>
      </c>
      <c r="L1031" s="2" t="n">
        <v>0.09</v>
      </c>
      <c r="M1031" s="2" t="n">
        <v>0.47</v>
      </c>
    </row>
    <row r="1032" customFormat="false" ht="15" hidden="false" customHeight="false" outlineLevel="0" collapsed="false">
      <c r="A1032" s="2" t="n">
        <v>1030</v>
      </c>
      <c r="B1032" s="2" t="s">
        <v>5036</v>
      </c>
      <c r="C1032" s="2" t="n">
        <v>1</v>
      </c>
      <c r="D1032" s="2" t="n">
        <v>0</v>
      </c>
      <c r="E1032" s="2" t="s">
        <v>5098</v>
      </c>
      <c r="F1032" s="2" t="s">
        <v>5093</v>
      </c>
      <c r="G1032" s="2" t="s">
        <v>2571</v>
      </c>
      <c r="H1032" s="2" t="s">
        <v>745</v>
      </c>
      <c r="I1032" s="2" t="s">
        <v>159</v>
      </c>
      <c r="J1032" s="2" t="s">
        <v>10993</v>
      </c>
      <c r="K1032" s="2" t="s">
        <v>507</v>
      </c>
      <c r="L1032" s="2" t="n">
        <v>0.08</v>
      </c>
      <c r="M1032" s="2" t="n">
        <v>0.62</v>
      </c>
    </row>
    <row r="1033" customFormat="false" ht="15" hidden="false" customHeight="false" outlineLevel="0" collapsed="false">
      <c r="A1033" s="2" t="n">
        <v>1031</v>
      </c>
      <c r="B1033" s="2" t="s">
        <v>5036</v>
      </c>
      <c r="C1033" s="2" t="n">
        <v>0</v>
      </c>
      <c r="D1033" s="2" t="n">
        <v>0</v>
      </c>
      <c r="E1033" s="2" t="s">
        <v>10994</v>
      </c>
      <c r="F1033" s="2" t="s">
        <v>743</v>
      </c>
      <c r="G1033" s="2" t="s">
        <v>9869</v>
      </c>
      <c r="H1033" s="2" t="s">
        <v>420</v>
      </c>
      <c r="I1033" s="2" t="s">
        <v>1261</v>
      </c>
      <c r="J1033" s="2" t="s">
        <v>10995</v>
      </c>
      <c r="K1033" s="2" t="s">
        <v>507</v>
      </c>
      <c r="L1033" s="2" t="n">
        <v>0.1</v>
      </c>
      <c r="M1033" s="2" t="n">
        <v>0.9</v>
      </c>
    </row>
    <row r="1034" customFormat="false" ht="15" hidden="false" customHeight="false" outlineLevel="0" collapsed="false">
      <c r="A1034" s="2" t="n">
        <v>1032</v>
      </c>
      <c r="B1034" s="2" t="s">
        <v>5036</v>
      </c>
      <c r="C1034" s="2" t="n">
        <v>0</v>
      </c>
      <c r="D1034" s="2" t="n">
        <v>0</v>
      </c>
      <c r="E1034" s="2" t="s">
        <v>10996</v>
      </c>
      <c r="F1034" s="2" t="s">
        <v>4322</v>
      </c>
      <c r="G1034" s="2" t="s">
        <v>9872</v>
      </c>
      <c r="H1034" s="2" t="s">
        <v>2577</v>
      </c>
      <c r="I1034" s="2" t="s">
        <v>1509</v>
      </c>
      <c r="J1034" s="2" t="s">
        <v>10997</v>
      </c>
      <c r="K1034" s="2" t="s">
        <v>507</v>
      </c>
      <c r="L1034" s="2" t="n">
        <v>0</v>
      </c>
      <c r="M1034" s="2" t="n">
        <v>0.33</v>
      </c>
    </row>
    <row r="1035" customFormat="false" ht="15" hidden="false" customHeight="false" outlineLevel="0" collapsed="false">
      <c r="A1035" s="2" t="n">
        <v>1033</v>
      </c>
      <c r="B1035" s="2" t="s">
        <v>5036</v>
      </c>
      <c r="C1035" s="2" t="n">
        <v>0</v>
      </c>
      <c r="D1035" s="2" t="n">
        <v>0</v>
      </c>
      <c r="E1035" s="2" t="s">
        <v>10998</v>
      </c>
      <c r="F1035" s="2" t="s">
        <v>7345</v>
      </c>
      <c r="G1035" s="2" t="s">
        <v>9875</v>
      </c>
      <c r="H1035" s="2" t="s">
        <v>131</v>
      </c>
      <c r="I1035" s="2" t="s">
        <v>430</v>
      </c>
      <c r="J1035" s="2" t="s">
        <v>10999</v>
      </c>
      <c r="K1035" s="2" t="s">
        <v>507</v>
      </c>
      <c r="L1035" s="2" t="n">
        <v>0</v>
      </c>
      <c r="M1035" s="2" t="n">
        <v>0.82</v>
      </c>
    </row>
    <row r="1036" customFormat="false" ht="15" hidden="false" customHeight="false" outlineLevel="0" collapsed="false">
      <c r="A1036" s="2" t="n">
        <v>1034</v>
      </c>
      <c r="B1036" s="2" t="s">
        <v>5036</v>
      </c>
      <c r="C1036" s="2" t="n">
        <v>0</v>
      </c>
      <c r="D1036" s="2" t="n">
        <v>0</v>
      </c>
      <c r="E1036" s="2" t="s">
        <v>11000</v>
      </c>
      <c r="F1036" s="2" t="s">
        <v>5312</v>
      </c>
      <c r="G1036" s="2" t="s">
        <v>9878</v>
      </c>
      <c r="H1036" s="2" t="s">
        <v>9795</v>
      </c>
      <c r="I1036" s="2" t="s">
        <v>5744</v>
      </c>
      <c r="J1036" s="2" t="s">
        <v>11001</v>
      </c>
      <c r="K1036" s="2" t="s">
        <v>507</v>
      </c>
      <c r="L1036" s="2" t="n">
        <v>0.11</v>
      </c>
      <c r="M1036" s="2" t="n">
        <v>0.38</v>
      </c>
    </row>
    <row r="1037" customFormat="false" ht="15" hidden="false" customHeight="false" outlineLevel="0" collapsed="false">
      <c r="A1037" s="2" t="n">
        <v>1035</v>
      </c>
      <c r="B1037" s="2" t="s">
        <v>5036</v>
      </c>
      <c r="C1037" s="2" t="n">
        <v>0</v>
      </c>
      <c r="D1037" s="2" t="n">
        <v>0</v>
      </c>
      <c r="E1037" s="2" t="s">
        <v>11002</v>
      </c>
      <c r="F1037" s="2" t="s">
        <v>2212</v>
      </c>
      <c r="G1037" s="2" t="s">
        <v>11003</v>
      </c>
      <c r="H1037" s="2" t="s">
        <v>2567</v>
      </c>
      <c r="I1037" s="2" t="s">
        <v>3506</v>
      </c>
      <c r="J1037" s="2" t="s">
        <v>11004</v>
      </c>
      <c r="K1037" s="2" t="s">
        <v>507</v>
      </c>
      <c r="L1037" s="2" t="n">
        <v>0</v>
      </c>
      <c r="M1037" s="2" t="n">
        <v>0.62</v>
      </c>
    </row>
    <row r="1038" customFormat="false" ht="15" hidden="false" customHeight="false" outlineLevel="0" collapsed="false">
      <c r="A1038" s="2" t="n">
        <v>1036</v>
      </c>
      <c r="B1038" s="2" t="s">
        <v>5036</v>
      </c>
      <c r="C1038" s="2" t="n">
        <v>1</v>
      </c>
      <c r="D1038" s="2" t="n">
        <v>1</v>
      </c>
      <c r="E1038" s="2" t="s">
        <v>5103</v>
      </c>
      <c r="F1038" s="2" t="s">
        <v>5093</v>
      </c>
      <c r="G1038" s="2" t="s">
        <v>5104</v>
      </c>
      <c r="H1038" s="2" t="s">
        <v>245</v>
      </c>
      <c r="I1038" s="2" t="s">
        <v>2489</v>
      </c>
      <c r="J1038" s="2" t="s">
        <v>11005</v>
      </c>
      <c r="K1038" s="2" t="s">
        <v>507</v>
      </c>
      <c r="L1038" s="2" t="n">
        <v>0</v>
      </c>
      <c r="M1038" s="2" t="n">
        <v>0.7</v>
      </c>
    </row>
    <row r="1039" customFormat="false" ht="15" hidden="false" customHeight="false" outlineLevel="0" collapsed="false">
      <c r="A1039" s="2" t="n">
        <v>1037</v>
      </c>
      <c r="B1039" s="2" t="s">
        <v>5036</v>
      </c>
      <c r="C1039" s="2" t="n">
        <v>1</v>
      </c>
      <c r="D1039" s="2" t="n">
        <v>0</v>
      </c>
      <c r="E1039" s="2" t="s">
        <v>5106</v>
      </c>
      <c r="F1039" s="2" t="s">
        <v>5093</v>
      </c>
      <c r="G1039" s="2" t="s">
        <v>2576</v>
      </c>
      <c r="H1039" s="2" t="s">
        <v>2577</v>
      </c>
      <c r="I1039" s="2" t="s">
        <v>421</v>
      </c>
      <c r="J1039" s="2" t="s">
        <v>11006</v>
      </c>
      <c r="K1039" s="2" t="s">
        <v>507</v>
      </c>
      <c r="L1039" s="2" t="n">
        <v>0</v>
      </c>
      <c r="M1039" s="2" t="n">
        <v>0.77</v>
      </c>
    </row>
    <row r="1040" customFormat="false" ht="15" hidden="false" customHeight="false" outlineLevel="0" collapsed="false">
      <c r="A1040" s="2" t="n">
        <v>1038</v>
      </c>
      <c r="B1040" s="2" t="s">
        <v>5036</v>
      </c>
      <c r="C1040" s="2" t="n">
        <v>0</v>
      </c>
      <c r="D1040" s="2" t="n">
        <v>0</v>
      </c>
      <c r="E1040" s="2" t="s">
        <v>11007</v>
      </c>
      <c r="F1040" s="2" t="s">
        <v>5074</v>
      </c>
      <c r="G1040" s="2" t="s">
        <v>9882</v>
      </c>
      <c r="H1040" s="2" t="s">
        <v>2451</v>
      </c>
      <c r="I1040" s="2" t="s">
        <v>1397</v>
      </c>
      <c r="J1040" s="2" t="s">
        <v>11008</v>
      </c>
      <c r="K1040" s="2" t="s">
        <v>507</v>
      </c>
      <c r="L1040" s="2" t="n">
        <v>0.1</v>
      </c>
      <c r="M1040" s="2" t="n">
        <v>0.75</v>
      </c>
    </row>
    <row r="1041" customFormat="false" ht="15" hidden="false" customHeight="false" outlineLevel="0" collapsed="false">
      <c r="A1041" s="2" t="n">
        <v>1039</v>
      </c>
      <c r="B1041" s="2" t="s">
        <v>5036</v>
      </c>
      <c r="C1041" s="2" t="n">
        <v>0</v>
      </c>
      <c r="D1041" s="2" t="n">
        <v>0</v>
      </c>
      <c r="E1041" s="2" t="s">
        <v>11009</v>
      </c>
      <c r="F1041" s="2" t="s">
        <v>7373</v>
      </c>
      <c r="G1041" s="2" t="s">
        <v>2588</v>
      </c>
      <c r="H1041" s="2" t="s">
        <v>2195</v>
      </c>
      <c r="I1041" s="2" t="s">
        <v>344</v>
      </c>
      <c r="J1041" s="2" t="s">
        <v>11010</v>
      </c>
      <c r="K1041" s="2" t="s">
        <v>507</v>
      </c>
      <c r="L1041" s="2" t="n">
        <v>0.08</v>
      </c>
      <c r="M1041" s="2" t="n">
        <v>0.54</v>
      </c>
    </row>
    <row r="1042" customFormat="false" ht="15" hidden="false" customHeight="false" outlineLevel="0" collapsed="false">
      <c r="A1042" s="2" t="n">
        <v>1040</v>
      </c>
      <c r="B1042" s="2" t="s">
        <v>5036</v>
      </c>
      <c r="C1042" s="2" t="n">
        <v>1</v>
      </c>
      <c r="D1042" s="2" t="n">
        <v>1</v>
      </c>
      <c r="E1042" s="2" t="s">
        <v>5114</v>
      </c>
      <c r="F1042" s="2" t="s">
        <v>5115</v>
      </c>
      <c r="G1042" s="2" t="s">
        <v>5116</v>
      </c>
      <c r="H1042" s="2" t="s">
        <v>2567</v>
      </c>
      <c r="I1042" s="2" t="s">
        <v>908</v>
      </c>
      <c r="J1042" s="2" t="s">
        <v>11011</v>
      </c>
      <c r="K1042" s="2" t="s">
        <v>507</v>
      </c>
      <c r="L1042" s="2" t="n">
        <v>0</v>
      </c>
      <c r="M1042" s="2" t="n">
        <v>1</v>
      </c>
    </row>
    <row r="1043" customFormat="false" ht="15" hidden="false" customHeight="false" outlineLevel="0" collapsed="false">
      <c r="A1043" s="2" t="n">
        <v>1041</v>
      </c>
      <c r="B1043" s="2" t="s">
        <v>5036</v>
      </c>
      <c r="C1043" s="2" t="n">
        <v>0</v>
      </c>
      <c r="D1043" s="2" t="n">
        <v>0</v>
      </c>
      <c r="E1043" s="2" t="s">
        <v>11012</v>
      </c>
      <c r="F1043" s="2" t="s">
        <v>11013</v>
      </c>
      <c r="G1043" s="2" t="s">
        <v>11014</v>
      </c>
      <c r="H1043" s="2" t="s">
        <v>11015</v>
      </c>
      <c r="I1043" s="2" t="s">
        <v>2901</v>
      </c>
      <c r="J1043" s="2" t="s">
        <v>11016</v>
      </c>
      <c r="K1043" s="2" t="s">
        <v>507</v>
      </c>
      <c r="L1043" s="2" t="n">
        <v>0</v>
      </c>
      <c r="M1043" s="2" t="n">
        <v>1</v>
      </c>
    </row>
    <row r="1044" customFormat="false" ht="15" hidden="false" customHeight="false" outlineLevel="0" collapsed="false">
      <c r="A1044" s="2" t="n">
        <v>1042</v>
      </c>
      <c r="B1044" s="2" t="s">
        <v>5036</v>
      </c>
      <c r="C1044" s="2" t="n">
        <v>0</v>
      </c>
      <c r="D1044" s="2" t="n">
        <v>0</v>
      </c>
      <c r="E1044" s="2" t="s">
        <v>11017</v>
      </c>
      <c r="F1044" s="2" t="s">
        <v>4742</v>
      </c>
      <c r="G1044" s="2" t="s">
        <v>2593</v>
      </c>
      <c r="H1044" s="2" t="s">
        <v>2567</v>
      </c>
      <c r="I1044" s="2" t="s">
        <v>2594</v>
      </c>
      <c r="J1044" s="2" t="s">
        <v>11018</v>
      </c>
      <c r="K1044" s="2" t="s">
        <v>507</v>
      </c>
      <c r="L1044" s="2" t="n">
        <v>0.17</v>
      </c>
      <c r="M1044" s="2" t="n">
        <v>0.55</v>
      </c>
    </row>
    <row r="1045" customFormat="false" ht="15" hidden="false" customHeight="false" outlineLevel="0" collapsed="false">
      <c r="A1045" s="2" t="n">
        <v>1043</v>
      </c>
      <c r="B1045" s="2" t="s">
        <v>5036</v>
      </c>
      <c r="C1045" s="2" t="n">
        <v>0</v>
      </c>
      <c r="D1045" s="2" t="n">
        <v>0</v>
      </c>
      <c r="E1045" s="2" t="s">
        <v>11019</v>
      </c>
      <c r="F1045" s="2" t="s">
        <v>7385</v>
      </c>
      <c r="G1045" s="2" t="s">
        <v>11020</v>
      </c>
      <c r="H1045" s="2" t="s">
        <v>2451</v>
      </c>
      <c r="I1045" s="2" t="s">
        <v>370</v>
      </c>
      <c r="J1045" s="2" t="s">
        <v>11021</v>
      </c>
      <c r="K1045" s="2" t="s">
        <v>507</v>
      </c>
      <c r="L1045" s="2" t="n">
        <v>0.27</v>
      </c>
      <c r="M1045" s="2" t="n">
        <v>0.64</v>
      </c>
    </row>
    <row r="1046" customFormat="false" ht="15" hidden="false" customHeight="false" outlineLevel="0" collapsed="false">
      <c r="A1046" s="2" t="n">
        <v>1044</v>
      </c>
      <c r="B1046" s="2" t="s">
        <v>5036</v>
      </c>
      <c r="C1046" s="2" t="n">
        <v>0</v>
      </c>
      <c r="D1046" s="2" t="n">
        <v>0</v>
      </c>
      <c r="E1046" s="2" t="s">
        <v>11022</v>
      </c>
      <c r="F1046" s="2" t="s">
        <v>803</v>
      </c>
      <c r="G1046" s="2" t="s">
        <v>2600</v>
      </c>
      <c r="H1046" s="2" t="s">
        <v>2601</v>
      </c>
      <c r="I1046" s="2" t="s">
        <v>1266</v>
      </c>
      <c r="J1046" s="2" t="s">
        <v>11023</v>
      </c>
      <c r="K1046" s="2" t="s">
        <v>507</v>
      </c>
      <c r="L1046" s="2" t="n">
        <v>0.1</v>
      </c>
      <c r="M1046" s="2" t="n">
        <v>1</v>
      </c>
    </row>
    <row r="1047" customFormat="false" ht="15" hidden="false" customHeight="false" outlineLevel="0" collapsed="false">
      <c r="A1047" s="2" t="n">
        <v>1045</v>
      </c>
      <c r="B1047" s="2" t="s">
        <v>5036</v>
      </c>
      <c r="C1047" s="2" t="n">
        <v>2</v>
      </c>
      <c r="D1047" s="2" t="n">
        <v>0</v>
      </c>
      <c r="E1047" s="2" t="s">
        <v>5121</v>
      </c>
      <c r="F1047" s="2" t="s">
        <v>3524</v>
      </c>
      <c r="G1047" s="2" t="s">
        <v>2608</v>
      </c>
      <c r="H1047" s="2" t="s">
        <v>2520</v>
      </c>
      <c r="I1047" s="2" t="s">
        <v>795</v>
      </c>
      <c r="J1047" s="2" t="s">
        <v>11024</v>
      </c>
      <c r="K1047" s="2" t="s">
        <v>507</v>
      </c>
      <c r="L1047" s="2" t="n">
        <v>0</v>
      </c>
      <c r="M1047" s="2" t="n">
        <v>0.8</v>
      </c>
    </row>
    <row r="1048" customFormat="false" ht="15" hidden="false" customHeight="false" outlineLevel="0" collapsed="false">
      <c r="A1048" s="2" t="n">
        <v>1046</v>
      </c>
      <c r="B1048" s="2" t="s">
        <v>5036</v>
      </c>
      <c r="C1048" s="2" t="n">
        <v>0</v>
      </c>
      <c r="D1048" s="2" t="n">
        <v>0</v>
      </c>
      <c r="E1048" s="2" t="s">
        <v>11025</v>
      </c>
      <c r="F1048" s="2" t="s">
        <v>11026</v>
      </c>
      <c r="G1048" s="2" t="s">
        <v>9891</v>
      </c>
      <c r="H1048" s="2" t="s">
        <v>2488</v>
      </c>
      <c r="I1048" s="2" t="s">
        <v>1741</v>
      </c>
      <c r="J1048" s="2" t="s">
        <v>11027</v>
      </c>
      <c r="K1048" s="2" t="s">
        <v>507</v>
      </c>
      <c r="L1048" s="2" t="n">
        <v>0</v>
      </c>
      <c r="M1048" s="2" t="n">
        <v>0.85</v>
      </c>
    </row>
    <row r="1049" customFormat="false" ht="15" hidden="false" customHeight="false" outlineLevel="0" collapsed="false">
      <c r="A1049" s="2" t="n">
        <v>1047</v>
      </c>
      <c r="B1049" s="2" t="s">
        <v>5036</v>
      </c>
      <c r="C1049" s="2" t="n">
        <v>1</v>
      </c>
      <c r="D1049" s="2" t="n">
        <v>0</v>
      </c>
      <c r="E1049" s="2" t="s">
        <v>5136</v>
      </c>
      <c r="F1049" s="2" t="s">
        <v>95</v>
      </c>
      <c r="G1049" s="2" t="s">
        <v>5137</v>
      </c>
      <c r="H1049" s="2" t="s">
        <v>2601</v>
      </c>
      <c r="I1049" s="2" t="s">
        <v>4545</v>
      </c>
      <c r="J1049" s="2" t="s">
        <v>11028</v>
      </c>
      <c r="K1049" s="2" t="s">
        <v>507</v>
      </c>
      <c r="L1049" s="2" t="n">
        <v>0.1</v>
      </c>
      <c r="M1049" s="2" t="n">
        <v>0.9</v>
      </c>
    </row>
    <row r="1050" customFormat="false" ht="15" hidden="false" customHeight="false" outlineLevel="0" collapsed="false">
      <c r="A1050" s="2" t="n">
        <v>1048</v>
      </c>
      <c r="B1050" s="2" t="s">
        <v>5036</v>
      </c>
      <c r="C1050" s="2" t="n">
        <v>1</v>
      </c>
      <c r="D1050" s="2" t="n">
        <v>0</v>
      </c>
      <c r="E1050" s="2" t="s">
        <v>5144</v>
      </c>
      <c r="F1050" s="2" t="s">
        <v>5145</v>
      </c>
      <c r="G1050" s="2" t="s">
        <v>2612</v>
      </c>
      <c r="H1050" s="2" t="s">
        <v>2520</v>
      </c>
      <c r="I1050" s="2" t="s">
        <v>2613</v>
      </c>
      <c r="J1050" s="2" t="s">
        <v>11029</v>
      </c>
      <c r="K1050" s="2" t="s">
        <v>507</v>
      </c>
      <c r="L1050" s="2" t="n">
        <v>0</v>
      </c>
      <c r="M1050" s="2" t="n">
        <v>0.77</v>
      </c>
    </row>
    <row r="1051" customFormat="false" ht="15" hidden="false" customHeight="false" outlineLevel="0" collapsed="false">
      <c r="A1051" s="2" t="n">
        <v>1049</v>
      </c>
      <c r="B1051" s="2" t="s">
        <v>5036</v>
      </c>
      <c r="C1051" s="2" t="n">
        <v>4</v>
      </c>
      <c r="D1051" s="2" t="n">
        <v>0</v>
      </c>
      <c r="E1051" s="2" t="s">
        <v>5148</v>
      </c>
      <c r="F1051" s="2" t="s">
        <v>5149</v>
      </c>
      <c r="G1051" s="2" t="s">
        <v>5150</v>
      </c>
      <c r="H1051" s="2" t="s">
        <v>2451</v>
      </c>
      <c r="I1051" s="2" t="s">
        <v>370</v>
      </c>
      <c r="J1051" s="2" t="s">
        <v>11030</v>
      </c>
      <c r="K1051" s="2" t="s">
        <v>507</v>
      </c>
      <c r="L1051" s="2" t="n">
        <v>0</v>
      </c>
      <c r="M1051" s="2" t="n">
        <v>0.88</v>
      </c>
    </row>
    <row r="1052" customFormat="false" ht="15" hidden="false" customHeight="false" outlineLevel="0" collapsed="false">
      <c r="A1052" s="2" t="n">
        <v>1050</v>
      </c>
      <c r="B1052" s="2" t="s">
        <v>5160</v>
      </c>
      <c r="C1052" s="2" t="n">
        <v>5</v>
      </c>
      <c r="D1052" s="2" t="n">
        <v>0</v>
      </c>
      <c r="E1052" s="2" t="s">
        <v>5165</v>
      </c>
      <c r="F1052" s="2" t="s">
        <v>5166</v>
      </c>
      <c r="G1052" s="2" t="s">
        <v>5167</v>
      </c>
      <c r="H1052" s="2" t="s">
        <v>2620</v>
      </c>
      <c r="I1052" s="2" t="s">
        <v>190</v>
      </c>
      <c r="J1052" s="2" t="s">
        <v>11031</v>
      </c>
      <c r="K1052" s="2" t="s">
        <v>507</v>
      </c>
      <c r="L1052" s="2" t="n">
        <v>0</v>
      </c>
      <c r="M1052" s="2" t="n">
        <v>0.56</v>
      </c>
    </row>
    <row r="1053" customFormat="false" ht="15" hidden="false" customHeight="false" outlineLevel="0" collapsed="false">
      <c r="A1053" s="2" t="n">
        <v>1051</v>
      </c>
      <c r="B1053" s="2" t="s">
        <v>5160</v>
      </c>
      <c r="C1053" s="2" t="n">
        <v>0</v>
      </c>
      <c r="D1053" s="2" t="n">
        <v>0</v>
      </c>
      <c r="E1053" s="2" t="s">
        <v>11032</v>
      </c>
      <c r="F1053" s="2" t="s">
        <v>176</v>
      </c>
      <c r="G1053" s="2" t="s">
        <v>9899</v>
      </c>
      <c r="H1053" s="2" t="s">
        <v>1137</v>
      </c>
      <c r="I1053" s="2" t="s">
        <v>2731</v>
      </c>
      <c r="J1053" s="2" t="s">
        <v>11033</v>
      </c>
      <c r="K1053" s="2" t="s">
        <v>507</v>
      </c>
      <c r="L1053" s="2" t="n">
        <v>0</v>
      </c>
      <c r="M1053" s="2" t="n">
        <v>0.5</v>
      </c>
    </row>
    <row r="1054" customFormat="false" ht="15" hidden="false" customHeight="false" outlineLevel="0" collapsed="false">
      <c r="A1054" s="2" t="n">
        <v>1052</v>
      </c>
      <c r="B1054" s="2" t="s">
        <v>5160</v>
      </c>
      <c r="C1054" s="2" t="n">
        <v>1</v>
      </c>
      <c r="D1054" s="2" t="n">
        <v>0</v>
      </c>
      <c r="E1054" s="2" t="s">
        <v>5188</v>
      </c>
      <c r="F1054" s="2" t="s">
        <v>5189</v>
      </c>
      <c r="G1054" s="2" t="s">
        <v>2619</v>
      </c>
      <c r="H1054" s="2" t="s">
        <v>2620</v>
      </c>
      <c r="I1054" s="2" t="s">
        <v>1875</v>
      </c>
      <c r="J1054" s="2" t="s">
        <v>11034</v>
      </c>
      <c r="K1054" s="2" t="s">
        <v>507</v>
      </c>
      <c r="L1054" s="2" t="n">
        <v>0.07</v>
      </c>
      <c r="M1054" s="2" t="n">
        <v>0.8</v>
      </c>
    </row>
    <row r="1055" customFormat="false" ht="15" hidden="false" customHeight="false" outlineLevel="0" collapsed="false">
      <c r="A1055" s="2" t="n">
        <v>1053</v>
      </c>
      <c r="B1055" s="2" t="s">
        <v>5160</v>
      </c>
      <c r="C1055" s="2" t="n">
        <v>0</v>
      </c>
      <c r="D1055" s="2" t="n">
        <v>0</v>
      </c>
      <c r="E1055" s="2" t="s">
        <v>11035</v>
      </c>
      <c r="F1055" s="2" t="s">
        <v>7437</v>
      </c>
      <c r="G1055" s="2" t="s">
        <v>2628</v>
      </c>
      <c r="H1055" s="2" t="s">
        <v>2629</v>
      </c>
      <c r="I1055" s="2" t="s">
        <v>1424</v>
      </c>
      <c r="J1055" s="2" t="s">
        <v>11036</v>
      </c>
      <c r="K1055" s="2" t="s">
        <v>507</v>
      </c>
      <c r="L1055" s="2" t="n">
        <v>0</v>
      </c>
      <c r="M1055" s="2" t="n">
        <v>0.9</v>
      </c>
    </row>
    <row r="1056" customFormat="false" ht="15" hidden="false" customHeight="false" outlineLevel="0" collapsed="false">
      <c r="A1056" s="2" t="n">
        <v>1054</v>
      </c>
      <c r="B1056" s="2" t="s">
        <v>5160</v>
      </c>
      <c r="C1056" s="2" t="n">
        <v>1</v>
      </c>
      <c r="D1056" s="2" t="n">
        <v>0</v>
      </c>
      <c r="E1056" s="2" t="s">
        <v>5193</v>
      </c>
      <c r="F1056" s="2" t="s">
        <v>5194</v>
      </c>
      <c r="G1056" s="2" t="s">
        <v>5195</v>
      </c>
      <c r="H1056" s="2" t="s">
        <v>1238</v>
      </c>
      <c r="I1056" s="2" t="s">
        <v>1793</v>
      </c>
      <c r="J1056" s="2" t="s">
        <v>11037</v>
      </c>
      <c r="K1056" s="2" t="s">
        <v>507</v>
      </c>
      <c r="L1056" s="2" t="n">
        <v>0.1</v>
      </c>
      <c r="M1056" s="2" t="n">
        <v>0.71</v>
      </c>
    </row>
    <row r="1057" customFormat="false" ht="15" hidden="false" customHeight="false" outlineLevel="0" collapsed="false">
      <c r="A1057" s="2" t="n">
        <v>1055</v>
      </c>
      <c r="B1057" s="2" t="s">
        <v>5160</v>
      </c>
      <c r="C1057" s="2" t="n">
        <v>0</v>
      </c>
      <c r="D1057" s="2" t="n">
        <v>0</v>
      </c>
      <c r="E1057" s="2" t="s">
        <v>11038</v>
      </c>
      <c r="F1057" s="2" t="s">
        <v>11039</v>
      </c>
      <c r="G1057" s="2" t="s">
        <v>2651</v>
      </c>
      <c r="H1057" s="2" t="s">
        <v>2652</v>
      </c>
      <c r="I1057" s="2" t="s">
        <v>2252</v>
      </c>
      <c r="J1057" s="2" t="s">
        <v>11040</v>
      </c>
      <c r="K1057" s="2" t="s">
        <v>507</v>
      </c>
      <c r="L1057" s="2" t="n">
        <v>0</v>
      </c>
      <c r="M1057" s="2" t="n">
        <v>0.67</v>
      </c>
    </row>
    <row r="1058" customFormat="false" ht="15" hidden="false" customHeight="false" outlineLevel="0" collapsed="false">
      <c r="A1058" s="2" t="n">
        <v>1056</v>
      </c>
      <c r="B1058" s="2" t="s">
        <v>5160</v>
      </c>
      <c r="C1058" s="2" t="n">
        <v>0</v>
      </c>
      <c r="D1058" s="2" t="n">
        <v>0</v>
      </c>
      <c r="E1058" s="2" t="s">
        <v>11041</v>
      </c>
      <c r="F1058" s="2" t="s">
        <v>11042</v>
      </c>
      <c r="G1058" s="2" t="s">
        <v>2668</v>
      </c>
      <c r="H1058" s="2" t="s">
        <v>2652</v>
      </c>
      <c r="I1058" s="2" t="s">
        <v>2613</v>
      </c>
      <c r="J1058" s="2" t="s">
        <v>11043</v>
      </c>
      <c r="K1058" s="2" t="s">
        <v>507</v>
      </c>
      <c r="L1058" s="2" t="n">
        <v>0</v>
      </c>
      <c r="M1058" s="2" t="n">
        <v>0.78</v>
      </c>
    </row>
    <row r="1059" customFormat="false" ht="15" hidden="false" customHeight="false" outlineLevel="0" collapsed="false">
      <c r="A1059" s="2" t="n">
        <v>1057</v>
      </c>
      <c r="B1059" s="2" t="s">
        <v>5160</v>
      </c>
      <c r="C1059" s="2" t="n">
        <v>0</v>
      </c>
      <c r="D1059" s="2" t="n">
        <v>0</v>
      </c>
      <c r="E1059" s="2" t="s">
        <v>11044</v>
      </c>
      <c r="F1059" s="2" t="s">
        <v>5226</v>
      </c>
      <c r="G1059" s="2" t="s">
        <v>2674</v>
      </c>
      <c r="H1059" s="2" t="s">
        <v>97</v>
      </c>
      <c r="I1059" s="2" t="s">
        <v>2675</v>
      </c>
      <c r="J1059" s="2" t="s">
        <v>11045</v>
      </c>
      <c r="K1059" s="2" t="s">
        <v>507</v>
      </c>
      <c r="L1059" s="2" t="n">
        <v>0.14</v>
      </c>
      <c r="M1059" s="2" t="n">
        <v>0.8</v>
      </c>
    </row>
    <row r="1060" customFormat="false" ht="15" hidden="false" customHeight="false" outlineLevel="0" collapsed="false">
      <c r="A1060" s="2" t="n">
        <v>1058</v>
      </c>
      <c r="B1060" s="2" t="s">
        <v>5160</v>
      </c>
      <c r="C1060" s="2" t="n">
        <v>0</v>
      </c>
      <c r="D1060" s="2" t="n">
        <v>0</v>
      </c>
      <c r="E1060" s="2" t="s">
        <v>11046</v>
      </c>
      <c r="F1060" s="2" t="s">
        <v>7444</v>
      </c>
      <c r="G1060" s="2" t="s">
        <v>2684</v>
      </c>
      <c r="H1060" s="2" t="s">
        <v>2685</v>
      </c>
      <c r="I1060" s="2" t="s">
        <v>1332</v>
      </c>
      <c r="J1060" s="2" t="s">
        <v>11047</v>
      </c>
      <c r="K1060" s="2" t="s">
        <v>507</v>
      </c>
      <c r="L1060" s="2" t="n">
        <v>0.08</v>
      </c>
      <c r="M1060" s="2" t="n">
        <v>0.82</v>
      </c>
    </row>
    <row r="1061" customFormat="false" ht="15" hidden="false" customHeight="false" outlineLevel="0" collapsed="false">
      <c r="A1061" s="2" t="n">
        <v>1059</v>
      </c>
      <c r="B1061" s="2" t="s">
        <v>5160</v>
      </c>
      <c r="C1061" s="2" t="n">
        <v>0</v>
      </c>
      <c r="D1061" s="2" t="n">
        <v>0</v>
      </c>
      <c r="E1061" s="2" t="s">
        <v>11048</v>
      </c>
      <c r="F1061" s="2" t="s">
        <v>129</v>
      </c>
      <c r="G1061" s="2" t="s">
        <v>2690</v>
      </c>
      <c r="H1061" s="2" t="s">
        <v>2691</v>
      </c>
      <c r="I1061" s="2" t="s">
        <v>2692</v>
      </c>
      <c r="J1061" s="2" t="s">
        <v>11049</v>
      </c>
      <c r="K1061" s="2" t="s">
        <v>507</v>
      </c>
      <c r="L1061" s="2" t="n">
        <v>0</v>
      </c>
      <c r="M1061" s="2" t="n">
        <v>0.92</v>
      </c>
    </row>
    <row r="1062" customFormat="false" ht="15" hidden="false" customHeight="false" outlineLevel="0" collapsed="false">
      <c r="A1062" s="2" t="n">
        <v>1060</v>
      </c>
      <c r="B1062" s="2" t="s">
        <v>5160</v>
      </c>
      <c r="C1062" s="2" t="n">
        <v>0</v>
      </c>
      <c r="D1062" s="2" t="n">
        <v>0</v>
      </c>
      <c r="E1062" s="2" t="s">
        <v>11050</v>
      </c>
      <c r="F1062" s="2" t="s">
        <v>95</v>
      </c>
      <c r="G1062" s="2" t="s">
        <v>9914</v>
      </c>
      <c r="H1062" s="2" t="s">
        <v>9915</v>
      </c>
      <c r="I1062" s="2" t="s">
        <v>1332</v>
      </c>
      <c r="J1062" s="2" t="s">
        <v>11051</v>
      </c>
      <c r="K1062" s="2" t="s">
        <v>507</v>
      </c>
      <c r="L1062" s="2" t="n">
        <v>0</v>
      </c>
      <c r="M1062" s="2" t="n">
        <v>0.43</v>
      </c>
    </row>
    <row r="1063" customFormat="false" ht="15" hidden="false" customHeight="false" outlineLevel="0" collapsed="false">
      <c r="A1063" s="2" t="n">
        <v>1061</v>
      </c>
      <c r="B1063" s="2" t="s">
        <v>5160</v>
      </c>
      <c r="C1063" s="2" t="n">
        <v>0</v>
      </c>
      <c r="D1063" s="2" t="n">
        <v>0</v>
      </c>
      <c r="E1063" s="2" t="s">
        <v>11052</v>
      </c>
      <c r="F1063" s="2" t="s">
        <v>11053</v>
      </c>
      <c r="G1063" s="2" t="s">
        <v>2696</v>
      </c>
      <c r="H1063" s="2" t="s">
        <v>2697</v>
      </c>
      <c r="I1063" s="2" t="s">
        <v>821</v>
      </c>
      <c r="J1063" s="2" t="s">
        <v>11054</v>
      </c>
      <c r="K1063" s="2" t="s">
        <v>507</v>
      </c>
      <c r="L1063" s="2" t="n">
        <v>0.11</v>
      </c>
      <c r="M1063" s="2" t="n">
        <v>0.77</v>
      </c>
    </row>
    <row r="1064" customFormat="false" ht="15" hidden="false" customHeight="false" outlineLevel="0" collapsed="false">
      <c r="A1064" s="2" t="n">
        <v>1062</v>
      </c>
      <c r="B1064" s="2" t="s">
        <v>5160</v>
      </c>
      <c r="C1064" s="2" t="n">
        <v>0</v>
      </c>
      <c r="D1064" s="2" t="n">
        <v>0</v>
      </c>
      <c r="E1064" s="2" t="s">
        <v>11055</v>
      </c>
      <c r="F1064" s="2" t="s">
        <v>11053</v>
      </c>
      <c r="G1064" s="2" t="s">
        <v>2706</v>
      </c>
      <c r="H1064" s="2" t="s">
        <v>2707</v>
      </c>
      <c r="I1064" s="2" t="s">
        <v>1774</v>
      </c>
      <c r="J1064" s="2" t="s">
        <v>11056</v>
      </c>
      <c r="K1064" s="2" t="s">
        <v>507</v>
      </c>
      <c r="L1064" s="2" t="n">
        <v>0.17</v>
      </c>
      <c r="M1064" s="2" t="n">
        <v>0.92</v>
      </c>
    </row>
    <row r="1065" customFormat="false" ht="15" hidden="false" customHeight="false" outlineLevel="0" collapsed="false">
      <c r="A1065" s="2" t="n">
        <v>1063</v>
      </c>
      <c r="B1065" s="2" t="s">
        <v>5160</v>
      </c>
      <c r="C1065" s="2" t="n">
        <v>1</v>
      </c>
      <c r="D1065" s="2" t="n">
        <v>0</v>
      </c>
      <c r="E1065" s="2" t="s">
        <v>5200</v>
      </c>
      <c r="F1065" s="2" t="s">
        <v>5201</v>
      </c>
      <c r="G1065" s="2" t="s">
        <v>5202</v>
      </c>
      <c r="H1065" s="2" t="s">
        <v>5203</v>
      </c>
      <c r="I1065" s="2" t="s">
        <v>2939</v>
      </c>
      <c r="J1065" s="2" t="s">
        <v>11057</v>
      </c>
      <c r="K1065" s="2" t="s">
        <v>507</v>
      </c>
      <c r="L1065" s="2" t="n">
        <v>0.1</v>
      </c>
      <c r="M1065" s="2" t="n">
        <v>0.82</v>
      </c>
    </row>
    <row r="1066" customFormat="false" ht="15" hidden="false" customHeight="false" outlineLevel="0" collapsed="false">
      <c r="A1066" s="2" t="n">
        <v>1064</v>
      </c>
      <c r="B1066" s="2" t="s">
        <v>5160</v>
      </c>
      <c r="C1066" s="2" t="n">
        <v>0</v>
      </c>
      <c r="D1066" s="2" t="n">
        <v>0</v>
      </c>
      <c r="E1066" s="2" t="s">
        <v>11058</v>
      </c>
      <c r="F1066" s="2" t="s">
        <v>11059</v>
      </c>
      <c r="G1066" s="2" t="s">
        <v>9924</v>
      </c>
      <c r="H1066" s="2" t="s">
        <v>5415</v>
      </c>
      <c r="I1066" s="2" t="s">
        <v>1840</v>
      </c>
      <c r="J1066" s="2" t="s">
        <v>11060</v>
      </c>
      <c r="K1066" s="2" t="s">
        <v>507</v>
      </c>
      <c r="L1066" s="2" t="n">
        <v>0</v>
      </c>
      <c r="M1066" s="2" t="n">
        <v>0.8</v>
      </c>
    </row>
    <row r="1067" customFormat="false" ht="15" hidden="false" customHeight="false" outlineLevel="0" collapsed="false">
      <c r="A1067" s="2" t="n">
        <v>1065</v>
      </c>
      <c r="B1067" s="2" t="s">
        <v>5160</v>
      </c>
      <c r="C1067" s="2" t="n">
        <v>0</v>
      </c>
      <c r="D1067" s="2" t="n">
        <v>0</v>
      </c>
      <c r="E1067" s="2" t="s">
        <v>11061</v>
      </c>
      <c r="F1067" s="2" t="s">
        <v>11062</v>
      </c>
      <c r="G1067" s="2" t="s">
        <v>9927</v>
      </c>
      <c r="H1067" s="2" t="s">
        <v>9928</v>
      </c>
      <c r="I1067" s="2" t="s">
        <v>1574</v>
      </c>
      <c r="J1067" s="2" t="s">
        <v>11063</v>
      </c>
      <c r="K1067" s="2" t="s">
        <v>507</v>
      </c>
      <c r="L1067" s="2" t="n">
        <v>0</v>
      </c>
      <c r="M1067" s="2" t="n">
        <v>0.88</v>
      </c>
    </row>
    <row r="1068" customFormat="false" ht="15" hidden="false" customHeight="false" outlineLevel="0" collapsed="false">
      <c r="A1068" s="2" t="n">
        <v>1066</v>
      </c>
      <c r="B1068" s="2" t="s">
        <v>5160</v>
      </c>
      <c r="C1068" s="2" t="n">
        <v>0</v>
      </c>
      <c r="D1068" s="2" t="n">
        <v>0</v>
      </c>
      <c r="E1068" s="2" t="s">
        <v>11064</v>
      </c>
      <c r="F1068" s="2" t="s">
        <v>11065</v>
      </c>
      <c r="G1068" s="2" t="s">
        <v>9932</v>
      </c>
      <c r="H1068" s="2" t="s">
        <v>9933</v>
      </c>
      <c r="I1068" s="2" t="s">
        <v>1810</v>
      </c>
      <c r="J1068" s="2" t="s">
        <v>11066</v>
      </c>
      <c r="K1068" s="2" t="s">
        <v>507</v>
      </c>
      <c r="L1068" s="2" t="n">
        <v>0</v>
      </c>
      <c r="M1068" s="2" t="n">
        <v>0.79</v>
      </c>
    </row>
    <row r="1069" customFormat="false" ht="15" hidden="false" customHeight="false" outlineLevel="0" collapsed="false">
      <c r="A1069" s="2" t="n">
        <v>1067</v>
      </c>
      <c r="B1069" s="2" t="s">
        <v>5160</v>
      </c>
      <c r="C1069" s="2" t="n">
        <v>0</v>
      </c>
      <c r="D1069" s="2" t="n">
        <v>0</v>
      </c>
      <c r="E1069" s="2" t="s">
        <v>11067</v>
      </c>
      <c r="F1069" s="2" t="s">
        <v>11059</v>
      </c>
      <c r="G1069" s="2" t="s">
        <v>9936</v>
      </c>
      <c r="H1069" s="2" t="s">
        <v>2620</v>
      </c>
      <c r="I1069" s="2" t="s">
        <v>1793</v>
      </c>
      <c r="J1069" s="2" t="s">
        <v>11068</v>
      </c>
      <c r="K1069" s="2" t="s">
        <v>507</v>
      </c>
      <c r="L1069" s="2" t="n">
        <v>0.08</v>
      </c>
      <c r="M1069" s="2" t="n">
        <v>1</v>
      </c>
    </row>
    <row r="1070" customFormat="false" ht="15" hidden="false" customHeight="false" outlineLevel="0" collapsed="false">
      <c r="A1070" s="2" t="n">
        <v>1068</v>
      </c>
      <c r="B1070" s="2" t="s">
        <v>5160</v>
      </c>
      <c r="C1070" s="2" t="n">
        <v>0</v>
      </c>
      <c r="D1070" s="2" t="n">
        <v>0</v>
      </c>
      <c r="E1070" s="2" t="s">
        <v>11069</v>
      </c>
      <c r="F1070" s="2" t="s">
        <v>5210</v>
      </c>
      <c r="G1070" s="2" t="s">
        <v>9939</v>
      </c>
      <c r="H1070" s="2" t="s">
        <v>2629</v>
      </c>
      <c r="I1070" s="2" t="s">
        <v>2939</v>
      </c>
      <c r="J1070" s="2" t="s">
        <v>11070</v>
      </c>
      <c r="K1070" s="2" t="s">
        <v>507</v>
      </c>
      <c r="L1070" s="2" t="n">
        <v>0</v>
      </c>
      <c r="M1070" s="2" t="n">
        <v>0.67</v>
      </c>
    </row>
    <row r="1071" customFormat="false" ht="15" hidden="false" customHeight="false" outlineLevel="0" collapsed="false">
      <c r="A1071" s="2" t="n">
        <v>1069</v>
      </c>
      <c r="B1071" s="2" t="s">
        <v>5160</v>
      </c>
      <c r="C1071" s="2" t="n">
        <v>1</v>
      </c>
      <c r="D1071" s="2" t="n">
        <v>0</v>
      </c>
      <c r="E1071" s="2" t="s">
        <v>5209</v>
      </c>
      <c r="F1071" s="2" t="s">
        <v>5210</v>
      </c>
      <c r="G1071" s="2" t="s">
        <v>5211</v>
      </c>
      <c r="H1071" s="2" t="s">
        <v>2652</v>
      </c>
      <c r="I1071" s="2" t="s">
        <v>3744</v>
      </c>
      <c r="J1071" s="2" t="s">
        <v>11071</v>
      </c>
      <c r="K1071" s="2" t="s">
        <v>507</v>
      </c>
      <c r="L1071" s="2" t="n">
        <v>0</v>
      </c>
      <c r="M1071" s="2" t="n">
        <v>1</v>
      </c>
    </row>
    <row r="1072" customFormat="false" ht="15" hidden="false" customHeight="false" outlineLevel="0" collapsed="false">
      <c r="A1072" s="2" t="n">
        <v>1070</v>
      </c>
      <c r="B1072" s="2" t="s">
        <v>5160</v>
      </c>
      <c r="C1072" s="2" t="n">
        <v>0</v>
      </c>
      <c r="D1072" s="2" t="n">
        <v>0</v>
      </c>
      <c r="E1072" s="2" t="s">
        <v>11072</v>
      </c>
      <c r="F1072" s="2" t="s">
        <v>11059</v>
      </c>
      <c r="G1072" s="2" t="s">
        <v>2714</v>
      </c>
      <c r="H1072" s="2" t="s">
        <v>2697</v>
      </c>
      <c r="I1072" s="2" t="s">
        <v>795</v>
      </c>
      <c r="J1072" s="2" t="s">
        <v>11073</v>
      </c>
      <c r="K1072" s="2" t="s">
        <v>507</v>
      </c>
      <c r="L1072" s="2" t="n">
        <v>0.14</v>
      </c>
      <c r="M1072" s="2" t="n">
        <v>0.67</v>
      </c>
    </row>
    <row r="1073" customFormat="false" ht="15" hidden="false" customHeight="false" outlineLevel="0" collapsed="false">
      <c r="A1073" s="2" t="n">
        <v>1071</v>
      </c>
      <c r="B1073" s="2" t="s">
        <v>5160</v>
      </c>
      <c r="C1073" s="2" t="n">
        <v>1</v>
      </c>
      <c r="D1073" s="2" t="n">
        <v>0</v>
      </c>
      <c r="E1073" s="2" t="s">
        <v>5217</v>
      </c>
      <c r="F1073" s="2" t="s">
        <v>5218</v>
      </c>
      <c r="G1073" s="2" t="s">
        <v>2722</v>
      </c>
      <c r="H1073" s="2" t="s">
        <v>420</v>
      </c>
      <c r="I1073" s="2" t="s">
        <v>2723</v>
      </c>
      <c r="J1073" s="2" t="s">
        <v>11074</v>
      </c>
      <c r="K1073" s="2" t="s">
        <v>507</v>
      </c>
      <c r="L1073" s="2" t="n">
        <v>0.08</v>
      </c>
      <c r="M1073" s="2" t="n">
        <v>0.91</v>
      </c>
    </row>
    <row r="1074" customFormat="false" ht="15" hidden="false" customHeight="false" outlineLevel="0" collapsed="false">
      <c r="A1074" s="2" t="n">
        <v>1072</v>
      </c>
      <c r="B1074" s="2" t="s">
        <v>5160</v>
      </c>
      <c r="C1074" s="2" t="n">
        <v>1</v>
      </c>
      <c r="D1074" s="2" t="n">
        <v>0</v>
      </c>
      <c r="E1074" s="2" t="s">
        <v>5225</v>
      </c>
      <c r="F1074" s="2" t="s">
        <v>5226</v>
      </c>
      <c r="G1074" s="2" t="s">
        <v>5227</v>
      </c>
      <c r="H1074" s="2" t="s">
        <v>745</v>
      </c>
      <c r="I1074" s="2" t="s">
        <v>697</v>
      </c>
      <c r="J1074" s="2" t="s">
        <v>11075</v>
      </c>
      <c r="K1074" s="2" t="s">
        <v>507</v>
      </c>
      <c r="L1074" s="2" t="n">
        <v>0</v>
      </c>
      <c r="M1074" s="2" t="n">
        <v>0.88</v>
      </c>
    </row>
    <row r="1075" customFormat="false" ht="15" hidden="false" customHeight="false" outlineLevel="0" collapsed="false">
      <c r="A1075" s="2" t="n">
        <v>1073</v>
      </c>
      <c r="B1075" s="2" t="s">
        <v>5160</v>
      </c>
      <c r="C1075" s="2" t="n">
        <v>5</v>
      </c>
      <c r="D1075" s="2" t="n">
        <v>0</v>
      </c>
      <c r="E1075" s="2" t="s">
        <v>5231</v>
      </c>
      <c r="F1075" s="2" t="s">
        <v>5218</v>
      </c>
      <c r="G1075" s="2" t="s">
        <v>5232</v>
      </c>
      <c r="H1075" s="2" t="s">
        <v>420</v>
      </c>
      <c r="I1075" s="2" t="s">
        <v>3888</v>
      </c>
      <c r="J1075" s="2" t="s">
        <v>11076</v>
      </c>
      <c r="K1075" s="2" t="s">
        <v>507</v>
      </c>
      <c r="L1075" s="2" t="n">
        <v>0</v>
      </c>
      <c r="M1075" s="2" t="n">
        <v>0.75</v>
      </c>
    </row>
    <row r="1076" customFormat="false" ht="15" hidden="false" customHeight="false" outlineLevel="0" collapsed="false">
      <c r="A1076" s="2" t="n">
        <v>1074</v>
      </c>
      <c r="B1076" s="2" t="s">
        <v>5160</v>
      </c>
      <c r="C1076" s="2" t="n">
        <v>1</v>
      </c>
      <c r="D1076" s="2" t="n">
        <v>1</v>
      </c>
      <c r="E1076" s="2" t="s">
        <v>5251</v>
      </c>
      <c r="F1076" s="2" t="s">
        <v>580</v>
      </c>
      <c r="G1076" s="2" t="s">
        <v>2730</v>
      </c>
      <c r="H1076" s="2" t="s">
        <v>494</v>
      </c>
      <c r="I1076" s="2" t="s">
        <v>2731</v>
      </c>
      <c r="J1076" s="2" t="s">
        <v>11077</v>
      </c>
      <c r="K1076" s="2" t="s">
        <v>507</v>
      </c>
      <c r="L1076" s="2" t="n">
        <v>0</v>
      </c>
      <c r="M1076" s="2" t="n">
        <v>0.44</v>
      </c>
    </row>
    <row r="1077" customFormat="false" ht="15" hidden="false" customHeight="false" outlineLevel="0" collapsed="false">
      <c r="A1077" s="2" t="n">
        <v>1075</v>
      </c>
      <c r="B1077" s="2" t="s">
        <v>5160</v>
      </c>
      <c r="C1077" s="2" t="n">
        <v>1</v>
      </c>
      <c r="D1077" s="2" t="n">
        <v>1</v>
      </c>
      <c r="E1077" s="2" t="s">
        <v>5258</v>
      </c>
      <c r="F1077" s="2" t="s">
        <v>95</v>
      </c>
      <c r="G1077" s="2" t="s">
        <v>2749</v>
      </c>
      <c r="H1077" s="2" t="s">
        <v>2750</v>
      </c>
      <c r="I1077" s="2" t="s">
        <v>1768</v>
      </c>
      <c r="J1077" s="2" t="s">
        <v>11078</v>
      </c>
      <c r="K1077" s="2" t="s">
        <v>507</v>
      </c>
      <c r="L1077" s="2" t="n">
        <v>0.23</v>
      </c>
      <c r="M1077" s="2" t="n">
        <v>0.88</v>
      </c>
    </row>
    <row r="1078" customFormat="false" ht="15" hidden="false" customHeight="false" outlineLevel="0" collapsed="false">
      <c r="A1078" s="2" t="n">
        <v>1076</v>
      </c>
      <c r="B1078" s="2" t="s">
        <v>5160</v>
      </c>
      <c r="C1078" s="2" t="n">
        <v>2</v>
      </c>
      <c r="D1078" s="2" t="n">
        <v>0</v>
      </c>
      <c r="E1078" s="2" t="s">
        <v>5264</v>
      </c>
      <c r="F1078" s="2" t="s">
        <v>95</v>
      </c>
      <c r="G1078" s="2" t="s">
        <v>2767</v>
      </c>
      <c r="H1078" s="2" t="s">
        <v>2768</v>
      </c>
      <c r="I1078" s="2" t="s">
        <v>370</v>
      </c>
      <c r="J1078" s="2" t="s">
        <v>11079</v>
      </c>
      <c r="K1078" s="2" t="s">
        <v>507</v>
      </c>
      <c r="L1078" s="2" t="n">
        <v>0.13</v>
      </c>
      <c r="M1078" s="2" t="n">
        <v>0.78</v>
      </c>
    </row>
    <row r="1079" customFormat="false" ht="15" hidden="false" customHeight="false" outlineLevel="0" collapsed="false">
      <c r="A1079" s="2" t="n">
        <v>1077</v>
      </c>
      <c r="B1079" s="2" t="s">
        <v>5160</v>
      </c>
      <c r="C1079" s="2" t="n">
        <v>1</v>
      </c>
      <c r="D1079" s="2" t="n">
        <v>1</v>
      </c>
      <c r="E1079" s="2" t="s">
        <v>5273</v>
      </c>
      <c r="F1079" s="2" t="s">
        <v>95</v>
      </c>
      <c r="G1079" s="2" t="s">
        <v>2778</v>
      </c>
      <c r="H1079" s="2" t="s">
        <v>965</v>
      </c>
      <c r="I1079" s="2" t="s">
        <v>2158</v>
      </c>
      <c r="J1079" s="2" t="s">
        <v>11080</v>
      </c>
      <c r="K1079" s="2" t="s">
        <v>507</v>
      </c>
      <c r="L1079" s="2" t="n">
        <v>0.11</v>
      </c>
      <c r="M1079" s="2" t="n">
        <v>0.75</v>
      </c>
    </row>
    <row r="1080" customFormat="false" ht="15" hidden="false" customHeight="false" outlineLevel="0" collapsed="false">
      <c r="A1080" s="2" t="n">
        <v>1078</v>
      </c>
      <c r="B1080" s="2" t="s">
        <v>5160</v>
      </c>
      <c r="C1080" s="2" t="n">
        <v>0</v>
      </c>
      <c r="D1080" s="2" t="n">
        <v>0</v>
      </c>
      <c r="E1080" s="2" t="s">
        <v>11081</v>
      </c>
      <c r="F1080" s="2" t="s">
        <v>1052</v>
      </c>
      <c r="G1080" s="2" t="s">
        <v>2791</v>
      </c>
      <c r="H1080" s="2" t="s">
        <v>734</v>
      </c>
      <c r="I1080" s="2" t="s">
        <v>1429</v>
      </c>
      <c r="J1080" s="2" t="s">
        <v>11082</v>
      </c>
      <c r="K1080" s="2" t="s">
        <v>507</v>
      </c>
      <c r="L1080" s="2" t="n">
        <v>0.14</v>
      </c>
      <c r="M1080" s="2" t="n">
        <v>0.88</v>
      </c>
    </row>
    <row r="1081" customFormat="false" ht="15" hidden="false" customHeight="false" outlineLevel="0" collapsed="false">
      <c r="A1081" s="2" t="n">
        <v>1079</v>
      </c>
      <c r="B1081" s="2" t="s">
        <v>5160</v>
      </c>
      <c r="C1081" s="2" t="n">
        <v>1</v>
      </c>
      <c r="D1081" s="2" t="n">
        <v>0</v>
      </c>
      <c r="E1081" s="2" t="s">
        <v>5278</v>
      </c>
      <c r="F1081" s="2" t="s">
        <v>4036</v>
      </c>
      <c r="G1081" s="2" t="s">
        <v>5279</v>
      </c>
      <c r="H1081" s="2" t="s">
        <v>2851</v>
      </c>
      <c r="I1081" s="2" t="s">
        <v>4923</v>
      </c>
      <c r="J1081" s="2" t="s">
        <v>11083</v>
      </c>
      <c r="K1081" s="2" t="s">
        <v>507</v>
      </c>
      <c r="L1081" s="2" t="n">
        <v>0.07</v>
      </c>
      <c r="M1081" s="2" t="n">
        <v>0.67</v>
      </c>
    </row>
    <row r="1082" customFormat="false" ht="15" hidden="false" customHeight="false" outlineLevel="0" collapsed="false">
      <c r="A1082" s="2" t="n">
        <v>1080</v>
      </c>
      <c r="B1082" s="2" t="s">
        <v>5280</v>
      </c>
      <c r="C1082" s="2" t="n">
        <v>0</v>
      </c>
      <c r="D1082" s="2" t="n">
        <v>0</v>
      </c>
      <c r="E1082" s="2" t="s">
        <v>11084</v>
      </c>
      <c r="F1082" s="2" t="s">
        <v>5381</v>
      </c>
      <c r="G1082" s="2" t="s">
        <v>9963</v>
      </c>
      <c r="H1082" s="2" t="s">
        <v>420</v>
      </c>
      <c r="I1082" s="2" t="s">
        <v>1204</v>
      </c>
      <c r="J1082" s="2" t="s">
        <v>11085</v>
      </c>
      <c r="K1082" s="2" t="s">
        <v>507</v>
      </c>
      <c r="L1082" s="2" t="n">
        <v>0.1</v>
      </c>
      <c r="M1082" s="2" t="n">
        <v>0.56</v>
      </c>
    </row>
    <row r="1083" customFormat="false" ht="15" hidden="false" customHeight="false" outlineLevel="0" collapsed="false">
      <c r="A1083" s="2" t="n">
        <v>1081</v>
      </c>
      <c r="B1083" s="2" t="s">
        <v>5280</v>
      </c>
      <c r="C1083" s="2" t="n">
        <v>0</v>
      </c>
      <c r="D1083" s="2" t="n">
        <v>0</v>
      </c>
      <c r="E1083" s="2" t="s">
        <v>11086</v>
      </c>
      <c r="F1083" s="2" t="s">
        <v>11087</v>
      </c>
      <c r="G1083" s="2" t="s">
        <v>9966</v>
      </c>
      <c r="H1083" s="2" t="s">
        <v>965</v>
      </c>
      <c r="I1083" s="2" t="s">
        <v>2158</v>
      </c>
      <c r="J1083" s="2" t="s">
        <v>11088</v>
      </c>
      <c r="K1083" s="2" t="s">
        <v>507</v>
      </c>
      <c r="L1083" s="2" t="n">
        <v>0.22</v>
      </c>
      <c r="M1083" s="2" t="n">
        <v>0.7</v>
      </c>
    </row>
    <row r="1084" customFormat="false" ht="15" hidden="false" customHeight="false" outlineLevel="0" collapsed="false">
      <c r="A1084" s="2" t="n">
        <v>1082</v>
      </c>
      <c r="B1084" s="2" t="s">
        <v>5280</v>
      </c>
      <c r="C1084" s="2" t="n">
        <v>0</v>
      </c>
      <c r="D1084" s="2" t="n">
        <v>0</v>
      </c>
      <c r="E1084" s="2" t="s">
        <v>11089</v>
      </c>
      <c r="F1084" s="2" t="s">
        <v>11090</v>
      </c>
      <c r="G1084" s="2" t="s">
        <v>2817</v>
      </c>
      <c r="H1084" s="2" t="s">
        <v>420</v>
      </c>
      <c r="I1084" s="2" t="s">
        <v>283</v>
      </c>
      <c r="J1084" s="2" t="s">
        <v>11091</v>
      </c>
      <c r="K1084" s="2" t="s">
        <v>507</v>
      </c>
      <c r="L1084" s="2" t="n">
        <v>0.18</v>
      </c>
      <c r="M1084" s="2" t="n">
        <v>1</v>
      </c>
    </row>
    <row r="1085" customFormat="false" ht="15" hidden="false" customHeight="false" outlineLevel="0" collapsed="false">
      <c r="A1085" s="2" t="n">
        <v>1083</v>
      </c>
      <c r="B1085" s="2" t="s">
        <v>5280</v>
      </c>
      <c r="C1085" s="2" t="n">
        <v>0</v>
      </c>
      <c r="D1085" s="2" t="n">
        <v>0</v>
      </c>
      <c r="E1085" s="2" t="s">
        <v>11092</v>
      </c>
      <c r="F1085" s="2" t="s">
        <v>11087</v>
      </c>
      <c r="G1085" s="2" t="s">
        <v>2821</v>
      </c>
      <c r="H1085" s="2" t="s">
        <v>745</v>
      </c>
      <c r="I1085" s="2" t="s">
        <v>283</v>
      </c>
      <c r="J1085" s="2" t="s">
        <v>11093</v>
      </c>
      <c r="K1085" s="2" t="s">
        <v>507</v>
      </c>
      <c r="L1085" s="2" t="n">
        <v>0.2</v>
      </c>
      <c r="M1085" s="2" t="n">
        <v>0.56</v>
      </c>
    </row>
    <row r="1086" customFormat="false" ht="15" hidden="false" customHeight="false" outlineLevel="0" collapsed="false">
      <c r="A1086" s="2" t="n">
        <v>1084</v>
      </c>
      <c r="B1086" s="2" t="s">
        <v>5280</v>
      </c>
      <c r="C1086" s="2" t="n">
        <v>0</v>
      </c>
      <c r="D1086" s="2" t="n">
        <v>0</v>
      </c>
      <c r="E1086" s="2" t="s">
        <v>11094</v>
      </c>
      <c r="F1086" s="2" t="s">
        <v>418</v>
      </c>
      <c r="G1086" s="2" t="s">
        <v>2824</v>
      </c>
      <c r="H1086" s="2" t="s">
        <v>420</v>
      </c>
      <c r="I1086" s="2" t="s">
        <v>2825</v>
      </c>
      <c r="J1086" s="2" t="s">
        <v>11095</v>
      </c>
      <c r="K1086" s="2" t="s">
        <v>507</v>
      </c>
      <c r="L1086" s="2" t="n">
        <v>0.08</v>
      </c>
      <c r="M1086" s="2" t="n">
        <v>0.89</v>
      </c>
    </row>
    <row r="1087" customFormat="false" ht="15" hidden="false" customHeight="false" outlineLevel="0" collapsed="false">
      <c r="A1087" s="2" t="n">
        <v>1085</v>
      </c>
      <c r="B1087" s="2" t="s">
        <v>5280</v>
      </c>
      <c r="C1087" s="2" t="n">
        <v>0</v>
      </c>
      <c r="D1087" s="2" t="n">
        <v>0</v>
      </c>
      <c r="E1087" s="2" t="s">
        <v>11096</v>
      </c>
      <c r="F1087" s="2" t="s">
        <v>11097</v>
      </c>
      <c r="G1087" s="2" t="s">
        <v>2829</v>
      </c>
      <c r="H1087" s="2" t="s">
        <v>2830</v>
      </c>
      <c r="I1087" s="2" t="s">
        <v>1793</v>
      </c>
      <c r="J1087" s="2" t="s">
        <v>11098</v>
      </c>
      <c r="K1087" s="2" t="s">
        <v>507</v>
      </c>
      <c r="L1087" s="2" t="n">
        <v>0</v>
      </c>
      <c r="M1087" s="2" t="n">
        <v>0.83</v>
      </c>
    </row>
    <row r="1088" customFormat="false" ht="15" hidden="false" customHeight="false" outlineLevel="0" collapsed="false">
      <c r="A1088" s="2" t="n">
        <v>1086</v>
      </c>
      <c r="B1088" s="2" t="s">
        <v>5280</v>
      </c>
      <c r="C1088" s="2" t="n">
        <v>1</v>
      </c>
      <c r="D1088" s="2" t="n">
        <v>0</v>
      </c>
      <c r="E1088" s="2" t="s">
        <v>5286</v>
      </c>
      <c r="F1088" s="2" t="s">
        <v>3524</v>
      </c>
      <c r="G1088" s="2" t="s">
        <v>2833</v>
      </c>
      <c r="H1088" s="2" t="s">
        <v>745</v>
      </c>
      <c r="I1088" s="2" t="s">
        <v>2168</v>
      </c>
      <c r="J1088" s="2" t="s">
        <v>11099</v>
      </c>
      <c r="K1088" s="2" t="s">
        <v>507</v>
      </c>
      <c r="L1088" s="2" t="n">
        <v>0</v>
      </c>
      <c r="M1088" s="2" t="n">
        <v>0.82</v>
      </c>
    </row>
    <row r="1089" customFormat="false" ht="15" hidden="false" customHeight="false" outlineLevel="0" collapsed="false">
      <c r="A1089" s="2" t="n">
        <v>1087</v>
      </c>
      <c r="B1089" s="2" t="s">
        <v>5280</v>
      </c>
      <c r="C1089" s="2" t="n">
        <v>1</v>
      </c>
      <c r="D1089" s="2" t="n">
        <v>0</v>
      </c>
      <c r="E1089" s="2" t="s">
        <v>5293</v>
      </c>
      <c r="F1089" s="2" t="s">
        <v>3524</v>
      </c>
      <c r="G1089" s="2" t="s">
        <v>2839</v>
      </c>
      <c r="H1089" s="2" t="s">
        <v>2840</v>
      </c>
      <c r="I1089" s="2" t="s">
        <v>1509</v>
      </c>
      <c r="J1089" s="2" t="s">
        <v>11100</v>
      </c>
      <c r="K1089" s="2" t="s">
        <v>507</v>
      </c>
      <c r="L1089" s="2" t="n">
        <v>0</v>
      </c>
      <c r="M1089" s="2" t="n">
        <v>0.82</v>
      </c>
    </row>
    <row r="1090" customFormat="false" ht="15" hidden="false" customHeight="false" outlineLevel="0" collapsed="false">
      <c r="A1090" s="2" t="n">
        <v>1088</v>
      </c>
      <c r="B1090" s="2" t="s">
        <v>5280</v>
      </c>
      <c r="C1090" s="2" t="n">
        <v>1</v>
      </c>
      <c r="D1090" s="2" t="n">
        <v>0</v>
      </c>
      <c r="E1090" s="2" t="s">
        <v>5297</v>
      </c>
      <c r="F1090" s="2" t="s">
        <v>3524</v>
      </c>
      <c r="G1090" s="2" t="s">
        <v>2845</v>
      </c>
      <c r="H1090" s="2" t="s">
        <v>1314</v>
      </c>
      <c r="I1090" s="2" t="s">
        <v>2846</v>
      </c>
      <c r="J1090" s="2" t="s">
        <v>11101</v>
      </c>
      <c r="K1090" s="2" t="s">
        <v>507</v>
      </c>
      <c r="L1090" s="2" t="n">
        <v>0</v>
      </c>
      <c r="M1090" s="2" t="n">
        <v>0.83</v>
      </c>
    </row>
    <row r="1091" customFormat="false" ht="15" hidden="false" customHeight="false" outlineLevel="0" collapsed="false">
      <c r="A1091" s="2" t="n">
        <v>1089</v>
      </c>
      <c r="B1091" s="2" t="s">
        <v>5280</v>
      </c>
      <c r="C1091" s="2" t="n">
        <v>1</v>
      </c>
      <c r="D1091" s="2" t="n">
        <v>1</v>
      </c>
      <c r="E1091" s="2" t="s">
        <v>5303</v>
      </c>
      <c r="F1091" s="2" t="s">
        <v>5304</v>
      </c>
      <c r="G1091" s="2" t="s">
        <v>5305</v>
      </c>
      <c r="H1091" s="2" t="s">
        <v>745</v>
      </c>
      <c r="I1091" s="2" t="s">
        <v>1324</v>
      </c>
      <c r="J1091" s="2" t="s">
        <v>11102</v>
      </c>
      <c r="K1091" s="2" t="s">
        <v>507</v>
      </c>
      <c r="L1091" s="2" t="n">
        <v>0</v>
      </c>
      <c r="M1091" s="2" t="n">
        <v>0.7</v>
      </c>
    </row>
    <row r="1092" customFormat="false" ht="15" hidden="false" customHeight="false" outlineLevel="0" collapsed="false">
      <c r="A1092" s="2" t="n">
        <v>1090</v>
      </c>
      <c r="B1092" s="2" t="s">
        <v>5280</v>
      </c>
      <c r="C1092" s="2" t="n">
        <v>0</v>
      </c>
      <c r="D1092" s="2" t="n">
        <v>0</v>
      </c>
      <c r="E1092" s="2" t="s">
        <v>11103</v>
      </c>
      <c r="F1092" s="2" t="s">
        <v>743</v>
      </c>
      <c r="G1092" s="2" t="s">
        <v>9979</v>
      </c>
      <c r="H1092" s="2" t="s">
        <v>745</v>
      </c>
      <c r="I1092" s="2" t="s">
        <v>1509</v>
      </c>
      <c r="J1092" s="2" t="s">
        <v>11104</v>
      </c>
      <c r="K1092" s="2" t="s">
        <v>507</v>
      </c>
      <c r="L1092" s="2" t="n">
        <v>0.12</v>
      </c>
      <c r="M1092" s="2" t="n">
        <v>0.6</v>
      </c>
    </row>
    <row r="1093" customFormat="false" ht="15" hidden="false" customHeight="false" outlineLevel="0" collapsed="false">
      <c r="A1093" s="2" t="n">
        <v>1091</v>
      </c>
      <c r="B1093" s="2" t="s">
        <v>5280</v>
      </c>
      <c r="C1093" s="2" t="n">
        <v>0</v>
      </c>
      <c r="D1093" s="2" t="n">
        <v>0</v>
      </c>
      <c r="E1093" s="2" t="s">
        <v>11105</v>
      </c>
      <c r="F1093" s="2" t="s">
        <v>743</v>
      </c>
      <c r="G1093" s="2" t="s">
        <v>2850</v>
      </c>
      <c r="H1093" s="2" t="s">
        <v>2851</v>
      </c>
      <c r="I1093" s="2" t="s">
        <v>2852</v>
      </c>
      <c r="J1093" s="2" t="s">
        <v>11106</v>
      </c>
      <c r="K1093" s="2" t="s">
        <v>507</v>
      </c>
      <c r="L1093" s="2" t="n">
        <v>0</v>
      </c>
      <c r="M1093" s="2" t="n">
        <v>0.54</v>
      </c>
    </row>
    <row r="1094" customFormat="false" ht="15" hidden="false" customHeight="false" outlineLevel="0" collapsed="false">
      <c r="A1094" s="2" t="n">
        <v>1092</v>
      </c>
      <c r="B1094" s="2" t="s">
        <v>5280</v>
      </c>
      <c r="C1094" s="2" t="n">
        <v>0</v>
      </c>
      <c r="D1094" s="2" t="n">
        <v>0</v>
      </c>
      <c r="E1094" s="2" t="s">
        <v>11107</v>
      </c>
      <c r="F1094" s="2" t="s">
        <v>11108</v>
      </c>
      <c r="G1094" s="2" t="s">
        <v>2858</v>
      </c>
      <c r="H1094" s="2" t="s">
        <v>2859</v>
      </c>
      <c r="I1094" s="2" t="s">
        <v>1261</v>
      </c>
      <c r="J1094" s="2" t="s">
        <v>11109</v>
      </c>
      <c r="K1094" s="2" t="s">
        <v>507</v>
      </c>
      <c r="L1094" s="2" t="n">
        <v>0.08</v>
      </c>
      <c r="M1094" s="2" t="n">
        <v>0.73</v>
      </c>
    </row>
    <row r="1095" customFormat="false" ht="15" hidden="false" customHeight="false" outlineLevel="0" collapsed="false">
      <c r="A1095" s="2" t="n">
        <v>1093</v>
      </c>
      <c r="B1095" s="2" t="s">
        <v>5280</v>
      </c>
      <c r="C1095" s="2" t="n">
        <v>1</v>
      </c>
      <c r="D1095" s="2" t="n">
        <v>0</v>
      </c>
      <c r="E1095" s="2" t="s">
        <v>5311</v>
      </c>
      <c r="F1095" s="2" t="s">
        <v>5312</v>
      </c>
      <c r="G1095" s="2" t="s">
        <v>2866</v>
      </c>
      <c r="H1095" s="2" t="s">
        <v>2867</v>
      </c>
      <c r="I1095" s="2" t="s">
        <v>604</v>
      </c>
      <c r="J1095" s="2" t="s">
        <v>11110</v>
      </c>
      <c r="K1095" s="2" t="s">
        <v>507</v>
      </c>
      <c r="L1095" s="2" t="n">
        <v>0</v>
      </c>
      <c r="M1095" s="2" t="n">
        <v>0.71</v>
      </c>
    </row>
    <row r="1096" customFormat="false" ht="15" hidden="false" customHeight="false" outlineLevel="0" collapsed="false">
      <c r="A1096" s="2" t="n">
        <v>1094</v>
      </c>
      <c r="B1096" s="2" t="s">
        <v>5280</v>
      </c>
      <c r="C1096" s="2" t="n">
        <v>0</v>
      </c>
      <c r="D1096" s="2" t="n">
        <v>0</v>
      </c>
      <c r="E1096" s="2" t="s">
        <v>11111</v>
      </c>
      <c r="F1096" s="2" t="s">
        <v>11108</v>
      </c>
      <c r="G1096" s="2" t="s">
        <v>9986</v>
      </c>
      <c r="H1096" s="2" t="s">
        <v>2851</v>
      </c>
      <c r="I1096" s="2" t="s">
        <v>4096</v>
      </c>
      <c r="J1096" s="2" t="s">
        <v>11112</v>
      </c>
      <c r="K1096" s="2" t="s">
        <v>507</v>
      </c>
      <c r="L1096" s="2" t="n">
        <v>0</v>
      </c>
      <c r="M1096" s="2" t="n">
        <v>0.82</v>
      </c>
    </row>
    <row r="1097" customFormat="false" ht="15" hidden="false" customHeight="false" outlineLevel="0" collapsed="false">
      <c r="A1097" s="2" t="n">
        <v>1095</v>
      </c>
      <c r="B1097" s="2" t="s">
        <v>5280</v>
      </c>
      <c r="C1097" s="2" t="n">
        <v>1</v>
      </c>
      <c r="D1097" s="2" t="n">
        <v>0</v>
      </c>
      <c r="E1097" s="2" t="s">
        <v>5317</v>
      </c>
      <c r="F1097" s="2" t="s">
        <v>5312</v>
      </c>
      <c r="G1097" s="2" t="s">
        <v>2871</v>
      </c>
      <c r="H1097" s="2" t="s">
        <v>2750</v>
      </c>
      <c r="I1097" s="2" t="s">
        <v>370</v>
      </c>
      <c r="J1097" s="2" t="s">
        <v>11113</v>
      </c>
      <c r="K1097" s="2" t="s">
        <v>507</v>
      </c>
      <c r="L1097" s="2" t="n">
        <v>0</v>
      </c>
      <c r="M1097" s="2" t="n">
        <v>0.46</v>
      </c>
    </row>
    <row r="1098" customFormat="false" ht="15" hidden="false" customHeight="false" outlineLevel="0" collapsed="false">
      <c r="A1098" s="2" t="n">
        <v>1096</v>
      </c>
      <c r="B1098" s="2" t="s">
        <v>5280</v>
      </c>
      <c r="C1098" s="2" t="n">
        <v>0</v>
      </c>
      <c r="D1098" s="2" t="n">
        <v>0</v>
      </c>
      <c r="E1098" s="2" t="s">
        <v>11114</v>
      </c>
      <c r="F1098" s="2" t="s">
        <v>743</v>
      </c>
      <c r="G1098" s="2" t="s">
        <v>2883</v>
      </c>
      <c r="H1098" s="2" t="s">
        <v>494</v>
      </c>
      <c r="I1098" s="2" t="s">
        <v>512</v>
      </c>
      <c r="J1098" s="2" t="s">
        <v>11115</v>
      </c>
      <c r="K1098" s="2" t="s">
        <v>507</v>
      </c>
      <c r="L1098" s="2" t="n">
        <v>0</v>
      </c>
      <c r="M1098" s="2" t="n">
        <v>0.75</v>
      </c>
    </row>
    <row r="1099" customFormat="false" ht="15" hidden="false" customHeight="false" outlineLevel="0" collapsed="false">
      <c r="A1099" s="2" t="n">
        <v>1097</v>
      </c>
      <c r="B1099" s="2" t="s">
        <v>5280</v>
      </c>
      <c r="C1099" s="2" t="n">
        <v>0</v>
      </c>
      <c r="D1099" s="2" t="n">
        <v>0</v>
      </c>
      <c r="E1099" s="2" t="s">
        <v>11116</v>
      </c>
      <c r="F1099" s="2" t="s">
        <v>803</v>
      </c>
      <c r="G1099" s="2" t="s">
        <v>2893</v>
      </c>
      <c r="H1099" s="2" t="s">
        <v>745</v>
      </c>
      <c r="I1099" s="2" t="s">
        <v>2013</v>
      </c>
      <c r="J1099" s="2" t="s">
        <v>11117</v>
      </c>
      <c r="K1099" s="2" t="s">
        <v>507</v>
      </c>
      <c r="L1099" s="2" t="n">
        <v>0.25</v>
      </c>
      <c r="M1099" s="2" t="n">
        <v>1</v>
      </c>
    </row>
    <row r="1100" customFormat="false" ht="15" hidden="false" customHeight="false" outlineLevel="0" collapsed="false">
      <c r="A1100" s="2" t="n">
        <v>1098</v>
      </c>
      <c r="B1100" s="2" t="s">
        <v>5280</v>
      </c>
      <c r="C1100" s="2" t="n">
        <v>0</v>
      </c>
      <c r="D1100" s="2" t="n">
        <v>0</v>
      </c>
      <c r="E1100" s="2" t="s">
        <v>11118</v>
      </c>
      <c r="F1100" s="2" t="s">
        <v>5381</v>
      </c>
      <c r="G1100" s="2" t="s">
        <v>9992</v>
      </c>
      <c r="H1100" s="2" t="s">
        <v>97</v>
      </c>
      <c r="I1100" s="2" t="s">
        <v>98</v>
      </c>
      <c r="J1100" s="2" t="s">
        <v>11119</v>
      </c>
      <c r="K1100" s="2" t="s">
        <v>507</v>
      </c>
      <c r="L1100" s="2" t="n">
        <v>0.14</v>
      </c>
      <c r="M1100" s="2" t="n">
        <v>0.71</v>
      </c>
    </row>
    <row r="1101" customFormat="false" ht="15" hidden="false" customHeight="false" outlineLevel="0" collapsed="false">
      <c r="A1101" s="2" t="n">
        <v>1099</v>
      </c>
      <c r="B1101" s="2" t="s">
        <v>5280</v>
      </c>
      <c r="C1101" s="2" t="n">
        <v>2</v>
      </c>
      <c r="D1101" s="2" t="n">
        <v>0</v>
      </c>
      <c r="E1101" s="2" t="s">
        <v>5323</v>
      </c>
      <c r="F1101" s="2" t="s">
        <v>3524</v>
      </c>
      <c r="G1101" s="2" t="s">
        <v>5324</v>
      </c>
      <c r="H1101" s="2" t="s">
        <v>2926</v>
      </c>
      <c r="I1101" s="2" t="s">
        <v>1543</v>
      </c>
      <c r="J1101" s="2" t="s">
        <v>11120</v>
      </c>
      <c r="K1101" s="2" t="s">
        <v>507</v>
      </c>
      <c r="L1101" s="2" t="n">
        <v>0</v>
      </c>
      <c r="M1101" s="2" t="n">
        <v>0.8</v>
      </c>
    </row>
    <row r="1102" customFormat="false" ht="15" hidden="false" customHeight="false" outlineLevel="0" collapsed="false">
      <c r="A1102" s="2" t="n">
        <v>1100</v>
      </c>
      <c r="B1102" s="2" t="s">
        <v>5280</v>
      </c>
      <c r="C1102" s="2" t="n">
        <v>1</v>
      </c>
      <c r="D1102" s="2" t="n">
        <v>0</v>
      </c>
      <c r="E1102" s="2" t="s">
        <v>5335</v>
      </c>
      <c r="F1102" s="2" t="s">
        <v>5336</v>
      </c>
      <c r="G1102" s="2" t="s">
        <v>5337</v>
      </c>
      <c r="H1102" s="2" t="s">
        <v>97</v>
      </c>
      <c r="I1102" s="2" t="s">
        <v>1587</v>
      </c>
      <c r="J1102" s="2" t="s">
        <v>11121</v>
      </c>
      <c r="K1102" s="2" t="s">
        <v>507</v>
      </c>
      <c r="L1102" s="2" t="n">
        <v>0.17</v>
      </c>
      <c r="M1102" s="2" t="n">
        <v>0.82</v>
      </c>
    </row>
    <row r="1103" customFormat="false" ht="15" hidden="false" customHeight="false" outlineLevel="0" collapsed="false">
      <c r="A1103" s="2" t="n">
        <v>1101</v>
      </c>
      <c r="B1103" s="2" t="s">
        <v>5280</v>
      </c>
      <c r="C1103" s="2" t="n">
        <v>0</v>
      </c>
      <c r="D1103" s="2" t="n">
        <v>0</v>
      </c>
      <c r="E1103" s="2" t="s">
        <v>11122</v>
      </c>
      <c r="F1103" s="2" t="s">
        <v>5045</v>
      </c>
      <c r="G1103" s="2" t="s">
        <v>2906</v>
      </c>
      <c r="H1103" s="2" t="s">
        <v>420</v>
      </c>
      <c r="I1103" s="2" t="s">
        <v>67</v>
      </c>
      <c r="J1103" s="2" t="s">
        <v>11123</v>
      </c>
      <c r="K1103" s="2" t="s">
        <v>507</v>
      </c>
      <c r="L1103" s="2" t="n">
        <v>0</v>
      </c>
      <c r="M1103" s="2" t="n">
        <v>0.67</v>
      </c>
    </row>
    <row r="1104" customFormat="false" ht="15" hidden="false" customHeight="false" outlineLevel="0" collapsed="false">
      <c r="A1104" s="2" t="n">
        <v>1102</v>
      </c>
      <c r="B1104" s="2" t="s">
        <v>5280</v>
      </c>
      <c r="C1104" s="2" t="n">
        <v>0</v>
      </c>
      <c r="D1104" s="2" t="n">
        <v>0</v>
      </c>
      <c r="E1104" s="2" t="s">
        <v>11124</v>
      </c>
      <c r="F1104" s="2" t="s">
        <v>11125</v>
      </c>
      <c r="G1104" s="2" t="s">
        <v>2915</v>
      </c>
      <c r="H1104" s="2" t="s">
        <v>2916</v>
      </c>
      <c r="I1104" s="2" t="s">
        <v>2506</v>
      </c>
      <c r="J1104" s="2" t="s">
        <v>11126</v>
      </c>
      <c r="K1104" s="2" t="s">
        <v>507</v>
      </c>
      <c r="L1104" s="2" t="n">
        <v>0</v>
      </c>
      <c r="M1104" s="2" t="n">
        <v>0.56</v>
      </c>
    </row>
    <row r="1105" customFormat="false" ht="15" hidden="false" customHeight="false" outlineLevel="0" collapsed="false">
      <c r="A1105" s="2" t="n">
        <v>1103</v>
      </c>
      <c r="B1105" s="2" t="s">
        <v>5280</v>
      </c>
      <c r="C1105" s="2" t="n">
        <v>0</v>
      </c>
      <c r="D1105" s="2" t="n">
        <v>0</v>
      </c>
      <c r="E1105" s="2" t="s">
        <v>11127</v>
      </c>
      <c r="F1105" s="2" t="s">
        <v>11108</v>
      </c>
      <c r="G1105" s="2" t="s">
        <v>10004</v>
      </c>
      <c r="H1105" s="2" t="s">
        <v>10005</v>
      </c>
      <c r="I1105" s="2" t="s">
        <v>1932</v>
      </c>
      <c r="J1105" s="2" t="s">
        <v>11128</v>
      </c>
      <c r="K1105" s="2" t="s">
        <v>507</v>
      </c>
      <c r="L1105" s="2" t="n">
        <v>0.08</v>
      </c>
      <c r="M1105" s="2" t="n">
        <v>0.82</v>
      </c>
    </row>
    <row r="1106" customFormat="false" ht="15" hidden="false" customHeight="false" outlineLevel="0" collapsed="false">
      <c r="A1106" s="2" t="n">
        <v>1104</v>
      </c>
      <c r="B1106" s="2" t="s">
        <v>5280</v>
      </c>
      <c r="C1106" s="2" t="n">
        <v>0</v>
      </c>
      <c r="D1106" s="2" t="n">
        <v>0</v>
      </c>
      <c r="E1106" s="2" t="s">
        <v>11129</v>
      </c>
      <c r="F1106" s="2" t="s">
        <v>5336</v>
      </c>
      <c r="G1106" s="2" t="s">
        <v>10009</v>
      </c>
      <c r="H1106" s="2" t="s">
        <v>10005</v>
      </c>
      <c r="I1106" s="2" t="s">
        <v>5557</v>
      </c>
      <c r="J1106" s="2" t="s">
        <v>11130</v>
      </c>
      <c r="K1106" s="2" t="s">
        <v>507</v>
      </c>
      <c r="L1106" s="2" t="n">
        <v>0</v>
      </c>
      <c r="M1106" s="2" t="n">
        <v>0.62</v>
      </c>
    </row>
    <row r="1107" customFormat="false" ht="15" hidden="false" customHeight="false" outlineLevel="0" collapsed="false">
      <c r="A1107" s="2" t="n">
        <v>1105</v>
      </c>
      <c r="B1107" s="2" t="s">
        <v>5280</v>
      </c>
      <c r="C1107" s="2" t="n">
        <v>2</v>
      </c>
      <c r="D1107" s="2" t="n">
        <v>0</v>
      </c>
      <c r="E1107" s="2" t="s">
        <v>5341</v>
      </c>
      <c r="F1107" s="2" t="s">
        <v>5342</v>
      </c>
      <c r="G1107" s="2" t="s">
        <v>5343</v>
      </c>
      <c r="H1107" s="2" t="s">
        <v>2926</v>
      </c>
      <c r="I1107" s="2" t="s">
        <v>331</v>
      </c>
      <c r="J1107" s="2" t="s">
        <v>11131</v>
      </c>
      <c r="K1107" s="2" t="s">
        <v>507</v>
      </c>
      <c r="L1107" s="2" t="n">
        <v>0</v>
      </c>
      <c r="M1107" s="2" t="n">
        <v>0.62</v>
      </c>
    </row>
    <row r="1108" customFormat="false" ht="15" hidden="false" customHeight="false" outlineLevel="0" collapsed="false">
      <c r="A1108" s="2" t="n">
        <v>1106</v>
      </c>
      <c r="B1108" s="2" t="s">
        <v>5280</v>
      </c>
      <c r="C1108" s="2" t="n">
        <v>0</v>
      </c>
      <c r="D1108" s="2" t="n">
        <v>0</v>
      </c>
      <c r="E1108" s="2" t="s">
        <v>11132</v>
      </c>
      <c r="F1108" s="2" t="s">
        <v>10818</v>
      </c>
      <c r="G1108" s="2" t="s">
        <v>10014</v>
      </c>
      <c r="H1108" s="2" t="s">
        <v>6718</v>
      </c>
      <c r="I1108" s="2" t="s">
        <v>4606</v>
      </c>
      <c r="J1108" s="2" t="s">
        <v>11133</v>
      </c>
      <c r="K1108" s="2" t="s">
        <v>507</v>
      </c>
      <c r="L1108" s="2" t="n">
        <v>0</v>
      </c>
      <c r="M1108" s="2" t="n">
        <v>0.36</v>
      </c>
    </row>
    <row r="1109" customFormat="false" ht="15" hidden="false" customHeight="false" outlineLevel="0" collapsed="false">
      <c r="A1109" s="2" t="n">
        <v>1107</v>
      </c>
      <c r="B1109" s="2" t="s">
        <v>5280</v>
      </c>
      <c r="C1109" s="2" t="n">
        <v>5</v>
      </c>
      <c r="D1109" s="2" t="n">
        <v>0</v>
      </c>
      <c r="E1109" s="2" t="s">
        <v>5351</v>
      </c>
      <c r="F1109" s="2" t="s">
        <v>5074</v>
      </c>
      <c r="G1109" s="2" t="s">
        <v>2925</v>
      </c>
      <c r="H1109" s="2" t="s">
        <v>2926</v>
      </c>
      <c r="I1109" s="2" t="s">
        <v>2927</v>
      </c>
      <c r="J1109" s="2" t="s">
        <v>11134</v>
      </c>
      <c r="K1109" s="2" t="s">
        <v>507</v>
      </c>
      <c r="L1109" s="2" t="n">
        <v>0</v>
      </c>
      <c r="M1109" s="2" t="n">
        <v>0.5</v>
      </c>
    </row>
    <row r="1110" customFormat="false" ht="15" hidden="false" customHeight="false" outlineLevel="0" collapsed="false">
      <c r="A1110" s="2" t="n">
        <v>1108</v>
      </c>
      <c r="B1110" s="2" t="s">
        <v>5280</v>
      </c>
      <c r="C1110" s="2" t="n">
        <v>1</v>
      </c>
      <c r="D1110" s="2" t="n">
        <v>1</v>
      </c>
      <c r="E1110" s="2" t="s">
        <v>5374</v>
      </c>
      <c r="F1110" s="2" t="s">
        <v>743</v>
      </c>
      <c r="G1110" s="2" t="s">
        <v>5375</v>
      </c>
      <c r="H1110" s="2" t="s">
        <v>5376</v>
      </c>
      <c r="I1110" s="2" t="s">
        <v>2431</v>
      </c>
      <c r="J1110" s="2" t="s">
        <v>11135</v>
      </c>
      <c r="K1110" s="2" t="s">
        <v>507</v>
      </c>
      <c r="L1110" s="2" t="n">
        <v>0</v>
      </c>
      <c r="M1110" s="2" t="n">
        <v>0.8</v>
      </c>
    </row>
    <row r="1111" customFormat="false" ht="15" hidden="false" customHeight="false" outlineLevel="0" collapsed="false">
      <c r="A1111" s="2" t="n">
        <v>1109</v>
      </c>
      <c r="B1111" s="2" t="s">
        <v>5280</v>
      </c>
      <c r="C1111" s="2" t="n">
        <v>1</v>
      </c>
      <c r="D1111" s="2" t="n">
        <v>1</v>
      </c>
      <c r="E1111" s="2" t="s">
        <v>5380</v>
      </c>
      <c r="F1111" s="2" t="s">
        <v>5381</v>
      </c>
      <c r="G1111" s="2" t="s">
        <v>5382</v>
      </c>
      <c r="H1111" s="2" t="s">
        <v>2926</v>
      </c>
      <c r="I1111" s="2" t="s">
        <v>2252</v>
      </c>
      <c r="J1111" s="2" t="s">
        <v>11136</v>
      </c>
      <c r="K1111" s="2" t="s">
        <v>507</v>
      </c>
      <c r="L1111" s="2" t="n">
        <v>0</v>
      </c>
      <c r="M1111" s="2" t="n">
        <v>0.45</v>
      </c>
    </row>
    <row r="1112" customFormat="false" ht="15" hidden="false" customHeight="false" outlineLevel="0" collapsed="false">
      <c r="A1112" s="2" t="n">
        <v>1110</v>
      </c>
      <c r="B1112" s="2" t="s">
        <v>5383</v>
      </c>
      <c r="C1112" s="2" t="n">
        <v>1</v>
      </c>
      <c r="D1112" s="2" t="n">
        <v>1</v>
      </c>
      <c r="E1112" s="2" t="s">
        <v>5385</v>
      </c>
      <c r="F1112" s="2" t="s">
        <v>694</v>
      </c>
      <c r="G1112" s="2" t="s">
        <v>5386</v>
      </c>
      <c r="H1112" s="2" t="s">
        <v>5387</v>
      </c>
      <c r="I1112" s="2" t="s">
        <v>5388</v>
      </c>
      <c r="J1112" s="2" t="s">
        <v>11137</v>
      </c>
      <c r="K1112" s="2" t="s">
        <v>507</v>
      </c>
      <c r="L1112" s="2" t="n">
        <v>0.1</v>
      </c>
      <c r="M1112" s="2" t="n">
        <v>1</v>
      </c>
    </row>
    <row r="1113" customFormat="false" ht="15" hidden="false" customHeight="false" outlineLevel="0" collapsed="false">
      <c r="A1113" s="2" t="n">
        <v>1111</v>
      </c>
      <c r="B1113" s="2" t="s">
        <v>5383</v>
      </c>
      <c r="C1113" s="2" t="n">
        <v>1</v>
      </c>
      <c r="D1113" s="2" t="n">
        <v>1</v>
      </c>
      <c r="E1113" s="2" t="s">
        <v>5393</v>
      </c>
      <c r="F1113" s="2" t="s">
        <v>743</v>
      </c>
      <c r="G1113" s="2" t="s">
        <v>5394</v>
      </c>
      <c r="H1113" s="2" t="s">
        <v>2926</v>
      </c>
      <c r="I1113" s="2" t="s">
        <v>344</v>
      </c>
      <c r="J1113" s="2" t="s">
        <v>11138</v>
      </c>
      <c r="K1113" s="2" t="s">
        <v>507</v>
      </c>
      <c r="L1113" s="2" t="n">
        <v>0</v>
      </c>
      <c r="M1113" s="2" t="n">
        <v>0.8</v>
      </c>
    </row>
    <row r="1114" customFormat="false" ht="15" hidden="false" customHeight="false" outlineLevel="0" collapsed="false">
      <c r="A1114" s="2" t="n">
        <v>1112</v>
      </c>
      <c r="B1114" s="2" t="s">
        <v>5383</v>
      </c>
      <c r="C1114" s="2" t="n">
        <v>0</v>
      </c>
      <c r="D1114" s="2" t="n">
        <v>0</v>
      </c>
      <c r="E1114" s="2" t="s">
        <v>11139</v>
      </c>
      <c r="F1114" s="2" t="s">
        <v>11140</v>
      </c>
      <c r="G1114" s="2" t="s">
        <v>10026</v>
      </c>
      <c r="H1114" s="2" t="s">
        <v>10027</v>
      </c>
      <c r="I1114" s="2" t="s">
        <v>595</v>
      </c>
      <c r="J1114" s="2" t="s">
        <v>11141</v>
      </c>
      <c r="K1114" s="2" t="s">
        <v>507</v>
      </c>
      <c r="L1114" s="2" t="n">
        <v>0</v>
      </c>
      <c r="M1114" s="2" t="n">
        <v>0.79</v>
      </c>
    </row>
    <row r="1115" customFormat="false" ht="15" hidden="false" customHeight="false" outlineLevel="0" collapsed="false">
      <c r="A1115" s="2" t="n">
        <v>1113</v>
      </c>
      <c r="B1115" s="2" t="s">
        <v>5383</v>
      </c>
      <c r="C1115" s="2" t="n">
        <v>0</v>
      </c>
      <c r="D1115" s="2" t="n">
        <v>0</v>
      </c>
      <c r="E1115" s="2" t="s">
        <v>11142</v>
      </c>
      <c r="F1115" s="2" t="s">
        <v>5312</v>
      </c>
      <c r="G1115" s="2" t="s">
        <v>11143</v>
      </c>
      <c r="H1115" s="2" t="s">
        <v>11144</v>
      </c>
      <c r="I1115" s="2" t="s">
        <v>751</v>
      </c>
      <c r="J1115" s="2" t="s">
        <v>11145</v>
      </c>
      <c r="K1115" s="2" t="s">
        <v>507</v>
      </c>
      <c r="L1115" s="2" t="n">
        <v>0</v>
      </c>
      <c r="M1115" s="2" t="n">
        <v>0.71</v>
      </c>
    </row>
    <row r="1116" customFormat="false" ht="15" hidden="false" customHeight="false" outlineLevel="0" collapsed="false">
      <c r="A1116" s="2" t="n">
        <v>1114</v>
      </c>
      <c r="B1116" s="2" t="s">
        <v>5383</v>
      </c>
      <c r="C1116" s="2" t="n">
        <v>0</v>
      </c>
      <c r="D1116" s="2" t="n">
        <v>0</v>
      </c>
      <c r="E1116" s="2" t="s">
        <v>11146</v>
      </c>
      <c r="F1116" s="2" t="s">
        <v>743</v>
      </c>
      <c r="G1116" s="2" t="s">
        <v>10031</v>
      </c>
      <c r="H1116" s="2" t="s">
        <v>420</v>
      </c>
      <c r="I1116" s="2" t="s">
        <v>1750</v>
      </c>
      <c r="J1116" s="2" t="s">
        <v>11147</v>
      </c>
      <c r="K1116" s="2" t="s">
        <v>507</v>
      </c>
      <c r="L1116" s="2" t="n">
        <v>0.1</v>
      </c>
      <c r="M1116" s="2" t="n">
        <v>0.67</v>
      </c>
    </row>
    <row r="1117" customFormat="false" ht="15" hidden="false" customHeight="false" outlineLevel="0" collapsed="false">
      <c r="A1117" s="2" t="n">
        <v>1115</v>
      </c>
      <c r="B1117" s="2" t="s">
        <v>5383</v>
      </c>
      <c r="C1117" s="2" t="n">
        <v>0</v>
      </c>
      <c r="D1117" s="2" t="n">
        <v>0</v>
      </c>
      <c r="E1117" s="2" t="s">
        <v>11148</v>
      </c>
      <c r="F1117" s="2" t="s">
        <v>743</v>
      </c>
      <c r="G1117" s="2" t="s">
        <v>2937</v>
      </c>
      <c r="H1117" s="2" t="s">
        <v>2938</v>
      </c>
      <c r="I1117" s="2" t="s">
        <v>2939</v>
      </c>
      <c r="J1117" s="2" t="s">
        <v>11149</v>
      </c>
      <c r="K1117" s="2" t="s">
        <v>507</v>
      </c>
      <c r="L1117" s="2" t="n">
        <v>0</v>
      </c>
      <c r="M1117" s="2" t="n">
        <v>0.42</v>
      </c>
    </row>
    <row r="1118" customFormat="false" ht="15" hidden="false" customHeight="false" outlineLevel="0" collapsed="false">
      <c r="A1118" s="2" t="n">
        <v>1116</v>
      </c>
      <c r="B1118" s="2" t="s">
        <v>5383</v>
      </c>
      <c r="C1118" s="2" t="n">
        <v>1</v>
      </c>
      <c r="D1118" s="2" t="n">
        <v>1</v>
      </c>
      <c r="E1118" s="2" t="s">
        <v>5399</v>
      </c>
      <c r="F1118" s="2" t="s">
        <v>5400</v>
      </c>
      <c r="G1118" s="2" t="s">
        <v>2947</v>
      </c>
      <c r="H1118" s="2" t="s">
        <v>2948</v>
      </c>
      <c r="I1118" s="2" t="s">
        <v>1429</v>
      </c>
      <c r="J1118" s="2" t="s">
        <v>11150</v>
      </c>
      <c r="K1118" s="2" t="s">
        <v>507</v>
      </c>
      <c r="L1118" s="2" t="n">
        <v>0.08</v>
      </c>
      <c r="M1118" s="2" t="n">
        <v>0.75</v>
      </c>
    </row>
    <row r="1119" customFormat="false" ht="15" hidden="false" customHeight="false" outlineLevel="0" collapsed="false">
      <c r="A1119" s="2" t="n">
        <v>1117</v>
      </c>
      <c r="B1119" s="2" t="s">
        <v>5383</v>
      </c>
      <c r="C1119" s="2" t="n">
        <v>0</v>
      </c>
      <c r="D1119" s="2" t="n">
        <v>0</v>
      </c>
      <c r="E1119" s="2" t="s">
        <v>11151</v>
      </c>
      <c r="F1119" s="2" t="s">
        <v>743</v>
      </c>
      <c r="G1119" s="2" t="s">
        <v>2953</v>
      </c>
      <c r="H1119" s="2" t="s">
        <v>1238</v>
      </c>
      <c r="I1119" s="2" t="s">
        <v>1964</v>
      </c>
      <c r="J1119" s="2" t="s">
        <v>11152</v>
      </c>
      <c r="K1119" s="2" t="s">
        <v>507</v>
      </c>
      <c r="L1119" s="2" t="n">
        <v>0</v>
      </c>
      <c r="M1119" s="2" t="n">
        <v>0.67</v>
      </c>
    </row>
    <row r="1120" customFormat="false" ht="15" hidden="false" customHeight="false" outlineLevel="0" collapsed="false">
      <c r="A1120" s="2" t="n">
        <v>1118</v>
      </c>
      <c r="B1120" s="2" t="s">
        <v>5383</v>
      </c>
      <c r="C1120" s="2" t="n">
        <v>0</v>
      </c>
      <c r="D1120" s="2" t="n">
        <v>0</v>
      </c>
      <c r="E1120" s="2" t="s">
        <v>11153</v>
      </c>
      <c r="F1120" s="2" t="s">
        <v>743</v>
      </c>
      <c r="G1120" s="2" t="s">
        <v>2959</v>
      </c>
      <c r="H1120" s="2" t="s">
        <v>97</v>
      </c>
      <c r="I1120" s="2" t="s">
        <v>918</v>
      </c>
      <c r="J1120" s="2" t="s">
        <v>11154</v>
      </c>
      <c r="K1120" s="2" t="s">
        <v>507</v>
      </c>
      <c r="L1120" s="2" t="n">
        <v>0.25</v>
      </c>
      <c r="M1120" s="2" t="n">
        <v>1</v>
      </c>
    </row>
    <row r="1121" customFormat="false" ht="15" hidden="false" customHeight="false" outlineLevel="0" collapsed="false">
      <c r="A1121" s="2" t="n">
        <v>1119</v>
      </c>
      <c r="B1121" s="2" t="s">
        <v>5383</v>
      </c>
      <c r="C1121" s="2" t="n">
        <v>0</v>
      </c>
      <c r="D1121" s="2" t="n">
        <v>0</v>
      </c>
      <c r="E1121" s="2" t="s">
        <v>11155</v>
      </c>
      <c r="F1121" s="2" t="s">
        <v>11156</v>
      </c>
      <c r="G1121" s="2" t="s">
        <v>2978</v>
      </c>
      <c r="H1121" s="2" t="s">
        <v>2979</v>
      </c>
      <c r="I1121" s="2" t="s">
        <v>1700</v>
      </c>
      <c r="J1121" s="2" t="s">
        <v>11157</v>
      </c>
      <c r="K1121" s="2" t="s">
        <v>507</v>
      </c>
      <c r="L1121" s="2" t="n">
        <v>0</v>
      </c>
      <c r="M1121" s="2" t="n">
        <v>0.36</v>
      </c>
    </row>
    <row r="1122" customFormat="false" ht="15" hidden="false" customHeight="false" outlineLevel="0" collapsed="false">
      <c r="A1122" s="2" t="n">
        <v>1120</v>
      </c>
      <c r="B1122" s="2" t="s">
        <v>5383</v>
      </c>
      <c r="C1122" s="2" t="n">
        <v>0</v>
      </c>
      <c r="D1122" s="2" t="n">
        <v>0</v>
      </c>
      <c r="E1122" s="2" t="s">
        <v>11158</v>
      </c>
      <c r="F1122" s="2" t="s">
        <v>743</v>
      </c>
      <c r="G1122" s="2" t="s">
        <v>2982</v>
      </c>
      <c r="H1122" s="2" t="s">
        <v>2983</v>
      </c>
      <c r="I1122" s="2" t="s">
        <v>360</v>
      </c>
      <c r="J1122" s="2" t="s">
        <v>11159</v>
      </c>
      <c r="K1122" s="2" t="s">
        <v>507</v>
      </c>
      <c r="L1122" s="2" t="n">
        <v>0</v>
      </c>
      <c r="M1122" s="2" t="n">
        <v>0.82</v>
      </c>
    </row>
    <row r="1123" customFormat="false" ht="15" hidden="false" customHeight="false" outlineLevel="0" collapsed="false">
      <c r="A1123" s="2" t="n">
        <v>1121</v>
      </c>
      <c r="B1123" s="2" t="s">
        <v>5383</v>
      </c>
      <c r="C1123" s="2" t="n">
        <v>0</v>
      </c>
      <c r="D1123" s="2" t="n">
        <v>0</v>
      </c>
      <c r="E1123" s="2" t="s">
        <v>11160</v>
      </c>
      <c r="F1123" s="2" t="s">
        <v>743</v>
      </c>
      <c r="G1123" s="2" t="s">
        <v>2990</v>
      </c>
      <c r="H1123" s="2" t="s">
        <v>2948</v>
      </c>
      <c r="I1123" s="2" t="s">
        <v>2313</v>
      </c>
      <c r="J1123" s="2" t="s">
        <v>11161</v>
      </c>
      <c r="K1123" s="2" t="s">
        <v>507</v>
      </c>
      <c r="L1123" s="2" t="n">
        <v>0</v>
      </c>
      <c r="M1123" s="2" t="n">
        <v>0.58</v>
      </c>
    </row>
    <row r="1124" customFormat="false" ht="15" hidden="false" customHeight="false" outlineLevel="0" collapsed="false">
      <c r="A1124" s="2" t="n">
        <v>1122</v>
      </c>
      <c r="B1124" s="2" t="s">
        <v>5383</v>
      </c>
      <c r="C1124" s="2" t="n">
        <v>0</v>
      </c>
      <c r="D1124" s="2" t="n">
        <v>0</v>
      </c>
      <c r="E1124" s="2" t="s">
        <v>11162</v>
      </c>
      <c r="F1124" s="2" t="s">
        <v>4322</v>
      </c>
      <c r="G1124" s="2" t="s">
        <v>2998</v>
      </c>
      <c r="H1124" s="2" t="s">
        <v>2948</v>
      </c>
      <c r="I1124" s="2" t="s">
        <v>2999</v>
      </c>
      <c r="J1124" s="2" t="s">
        <v>11163</v>
      </c>
      <c r="K1124" s="2" t="s">
        <v>507</v>
      </c>
      <c r="L1124" s="2" t="n">
        <v>0</v>
      </c>
      <c r="M1124" s="2" t="n">
        <v>0.33</v>
      </c>
    </row>
    <row r="1125" customFormat="false" ht="15" hidden="false" customHeight="false" outlineLevel="0" collapsed="false">
      <c r="A1125" s="2" t="n">
        <v>1123</v>
      </c>
      <c r="B1125" s="2" t="s">
        <v>5383</v>
      </c>
      <c r="C1125" s="2" t="n">
        <v>0</v>
      </c>
      <c r="D1125" s="2" t="n">
        <v>0</v>
      </c>
      <c r="E1125" s="2" t="s">
        <v>11164</v>
      </c>
      <c r="F1125" s="2" t="s">
        <v>11165</v>
      </c>
      <c r="G1125" s="2" t="s">
        <v>3002</v>
      </c>
      <c r="H1125" s="2" t="s">
        <v>2983</v>
      </c>
      <c r="I1125" s="2" t="s">
        <v>159</v>
      </c>
      <c r="J1125" s="2" t="s">
        <v>11166</v>
      </c>
      <c r="K1125" s="2" t="s">
        <v>507</v>
      </c>
      <c r="L1125" s="2" t="n">
        <v>0</v>
      </c>
      <c r="M1125" s="2" t="n">
        <v>0.22</v>
      </c>
    </row>
    <row r="1126" customFormat="false" ht="15" hidden="false" customHeight="false" outlineLevel="0" collapsed="false">
      <c r="A1126" s="2" t="n">
        <v>1124</v>
      </c>
      <c r="B1126" s="2" t="s">
        <v>5383</v>
      </c>
      <c r="C1126" s="2" t="n">
        <v>0</v>
      </c>
      <c r="D1126" s="2" t="n">
        <v>0</v>
      </c>
      <c r="E1126" s="2" t="s">
        <v>11167</v>
      </c>
      <c r="F1126" s="2" t="s">
        <v>5400</v>
      </c>
      <c r="G1126" s="2" t="s">
        <v>10046</v>
      </c>
      <c r="H1126" s="2" t="s">
        <v>745</v>
      </c>
      <c r="I1126" s="2" t="s">
        <v>6803</v>
      </c>
      <c r="J1126" s="2" t="s">
        <v>11168</v>
      </c>
      <c r="K1126" s="2" t="s">
        <v>507</v>
      </c>
      <c r="L1126" s="2" t="n">
        <v>0</v>
      </c>
      <c r="M1126" s="2" t="n">
        <v>0.89</v>
      </c>
    </row>
    <row r="1127" customFormat="false" ht="15" hidden="false" customHeight="false" outlineLevel="0" collapsed="false">
      <c r="A1127" s="2" t="n">
        <v>1125</v>
      </c>
      <c r="B1127" s="2" t="s">
        <v>5383</v>
      </c>
      <c r="C1127" s="2" t="n">
        <v>0</v>
      </c>
      <c r="D1127" s="2" t="n">
        <v>0</v>
      </c>
      <c r="E1127" s="2" t="s">
        <v>11169</v>
      </c>
      <c r="F1127" s="2" t="s">
        <v>4322</v>
      </c>
      <c r="G1127" s="2" t="s">
        <v>10049</v>
      </c>
      <c r="H1127" s="2" t="s">
        <v>2979</v>
      </c>
      <c r="I1127" s="2" t="s">
        <v>647</v>
      </c>
      <c r="J1127" s="2" t="s">
        <v>11170</v>
      </c>
      <c r="K1127" s="2" t="s">
        <v>507</v>
      </c>
      <c r="L1127" s="2" t="n">
        <v>0.09</v>
      </c>
      <c r="M1127" s="2" t="n">
        <v>0.33</v>
      </c>
    </row>
    <row r="1128" customFormat="false" ht="15" hidden="false" customHeight="false" outlineLevel="0" collapsed="false">
      <c r="A1128" s="2" t="n">
        <v>1126</v>
      </c>
      <c r="B1128" s="2" t="s">
        <v>5383</v>
      </c>
      <c r="C1128" s="2" t="n">
        <v>1</v>
      </c>
      <c r="D1128" s="2" t="n">
        <v>0</v>
      </c>
      <c r="E1128" s="2" t="s">
        <v>5406</v>
      </c>
      <c r="F1128" s="2" t="s">
        <v>743</v>
      </c>
      <c r="G1128" s="2" t="s">
        <v>5407</v>
      </c>
      <c r="H1128" s="2" t="s">
        <v>5408</v>
      </c>
      <c r="I1128" s="2" t="s">
        <v>776</v>
      </c>
      <c r="J1128" s="2" t="s">
        <v>11171</v>
      </c>
      <c r="K1128" s="2" t="s">
        <v>507</v>
      </c>
      <c r="L1128" s="2" t="n">
        <v>0</v>
      </c>
      <c r="M1128" s="2" t="n">
        <v>0.8</v>
      </c>
    </row>
    <row r="1129" customFormat="false" ht="15" hidden="false" customHeight="false" outlineLevel="0" collapsed="false">
      <c r="A1129" s="2" t="n">
        <v>1127</v>
      </c>
      <c r="B1129" s="2" t="s">
        <v>5383</v>
      </c>
      <c r="C1129" s="2" t="n">
        <v>0</v>
      </c>
      <c r="D1129" s="2" t="n">
        <v>0</v>
      </c>
      <c r="E1129" s="2" t="s">
        <v>11172</v>
      </c>
      <c r="F1129" s="2" t="s">
        <v>743</v>
      </c>
      <c r="G1129" s="2" t="s">
        <v>10054</v>
      </c>
      <c r="H1129" s="2" t="s">
        <v>10055</v>
      </c>
      <c r="I1129" s="2" t="s">
        <v>2149</v>
      </c>
      <c r="J1129" s="2" t="s">
        <v>11173</v>
      </c>
      <c r="K1129" s="2" t="s">
        <v>507</v>
      </c>
      <c r="L1129" s="2" t="n">
        <v>0</v>
      </c>
      <c r="M1129" s="2" t="n">
        <v>0.8</v>
      </c>
    </row>
    <row r="1130" customFormat="false" ht="15" hidden="false" customHeight="false" outlineLevel="0" collapsed="false">
      <c r="A1130" s="2" t="n">
        <v>1128</v>
      </c>
      <c r="B1130" s="2" t="s">
        <v>5383</v>
      </c>
      <c r="C1130" s="2" t="n">
        <v>0</v>
      </c>
      <c r="D1130" s="2" t="n">
        <v>0</v>
      </c>
      <c r="E1130" s="2" t="s">
        <v>11174</v>
      </c>
      <c r="F1130" s="2" t="s">
        <v>743</v>
      </c>
      <c r="G1130" s="2" t="s">
        <v>10058</v>
      </c>
      <c r="H1130" s="2" t="s">
        <v>2948</v>
      </c>
      <c r="I1130" s="2" t="s">
        <v>2825</v>
      </c>
      <c r="J1130" s="2" t="s">
        <v>11175</v>
      </c>
      <c r="K1130" s="2" t="s">
        <v>507</v>
      </c>
      <c r="L1130" s="2" t="n">
        <v>0.17</v>
      </c>
      <c r="M1130" s="2" t="n">
        <v>0.9</v>
      </c>
    </row>
    <row r="1131" customFormat="false" ht="15" hidden="false" customHeight="false" outlineLevel="0" collapsed="false">
      <c r="A1131" s="2" t="n">
        <v>1129</v>
      </c>
      <c r="B1131" s="2" t="s">
        <v>5383</v>
      </c>
      <c r="C1131" s="2" t="n">
        <v>0</v>
      </c>
      <c r="D1131" s="2" t="n">
        <v>0</v>
      </c>
      <c r="E1131" s="2" t="s">
        <v>11176</v>
      </c>
      <c r="F1131" s="2" t="s">
        <v>743</v>
      </c>
      <c r="G1131" s="2" t="s">
        <v>10061</v>
      </c>
      <c r="H1131" s="2" t="s">
        <v>745</v>
      </c>
      <c r="I1131" s="2" t="s">
        <v>4290</v>
      </c>
      <c r="J1131" s="2" t="s">
        <v>11177</v>
      </c>
      <c r="K1131" s="2" t="s">
        <v>507</v>
      </c>
      <c r="L1131" s="2" t="n">
        <v>0.1</v>
      </c>
      <c r="M1131" s="2" t="n">
        <v>0.6</v>
      </c>
    </row>
    <row r="1132" customFormat="false" ht="15" hidden="false" customHeight="false" outlineLevel="0" collapsed="false">
      <c r="A1132" s="2" t="n">
        <v>1130</v>
      </c>
      <c r="B1132" s="2" t="s">
        <v>5383</v>
      </c>
      <c r="C1132" s="2" t="n">
        <v>1</v>
      </c>
      <c r="D1132" s="2" t="n">
        <v>0</v>
      </c>
      <c r="E1132" s="2" t="s">
        <v>5414</v>
      </c>
      <c r="F1132" s="2" t="s">
        <v>5415</v>
      </c>
      <c r="G1132" s="2" t="s">
        <v>5416</v>
      </c>
      <c r="H1132" s="2" t="s">
        <v>5408</v>
      </c>
      <c r="I1132" s="2" t="s">
        <v>647</v>
      </c>
      <c r="J1132" s="2" t="s">
        <v>11178</v>
      </c>
      <c r="K1132" s="2" t="s">
        <v>507</v>
      </c>
      <c r="L1132" s="2" t="n">
        <v>0</v>
      </c>
      <c r="M1132" s="2" t="n">
        <v>0.75</v>
      </c>
    </row>
    <row r="1133" customFormat="false" ht="15" hidden="false" customHeight="false" outlineLevel="0" collapsed="false">
      <c r="A1133" s="2" t="n">
        <v>1131</v>
      </c>
      <c r="B1133" s="2" t="s">
        <v>5383</v>
      </c>
      <c r="C1133" s="2" t="n">
        <v>2</v>
      </c>
      <c r="D1133" s="2" t="n">
        <v>0</v>
      </c>
      <c r="E1133" s="2" t="s">
        <v>5422</v>
      </c>
      <c r="F1133" s="2" t="s">
        <v>743</v>
      </c>
      <c r="G1133" s="2" t="s">
        <v>3012</v>
      </c>
      <c r="H1133" s="2" t="s">
        <v>2948</v>
      </c>
      <c r="I1133" s="2" t="s">
        <v>1875</v>
      </c>
      <c r="J1133" s="2" t="s">
        <v>11179</v>
      </c>
      <c r="K1133" s="2" t="s">
        <v>507</v>
      </c>
      <c r="L1133" s="2" t="n">
        <v>0.07</v>
      </c>
      <c r="M1133" s="2" t="n">
        <v>1</v>
      </c>
    </row>
    <row r="1134" customFormat="false" ht="15" hidden="false" customHeight="false" outlineLevel="0" collapsed="false">
      <c r="A1134" s="2" t="n">
        <v>1132</v>
      </c>
      <c r="B1134" s="2" t="s">
        <v>5383</v>
      </c>
      <c r="C1134" s="2" t="n">
        <v>1</v>
      </c>
      <c r="D1134" s="2" t="n">
        <v>1</v>
      </c>
      <c r="E1134" s="2" t="s">
        <v>5428</v>
      </c>
      <c r="F1134" s="2" t="s">
        <v>743</v>
      </c>
      <c r="G1134" s="2" t="s">
        <v>3016</v>
      </c>
      <c r="H1134" s="2" t="s">
        <v>2948</v>
      </c>
      <c r="I1134" s="2" t="s">
        <v>3017</v>
      </c>
      <c r="J1134" s="2" t="s">
        <v>11180</v>
      </c>
      <c r="K1134" s="2" t="s">
        <v>507</v>
      </c>
      <c r="L1134" s="2" t="n">
        <v>0.08</v>
      </c>
      <c r="M1134" s="2" t="n">
        <v>0.67</v>
      </c>
    </row>
    <row r="1135" customFormat="false" ht="15" hidden="false" customHeight="false" outlineLevel="0" collapsed="false">
      <c r="A1135" s="2" t="n">
        <v>1133</v>
      </c>
      <c r="B1135" s="2" t="s">
        <v>5383</v>
      </c>
      <c r="C1135" s="2" t="n">
        <v>1</v>
      </c>
      <c r="D1135" s="2" t="n">
        <v>0</v>
      </c>
      <c r="E1135" s="2" t="s">
        <v>5431</v>
      </c>
      <c r="F1135" s="2" t="s">
        <v>5074</v>
      </c>
      <c r="G1135" s="2" t="s">
        <v>5432</v>
      </c>
      <c r="H1135" s="2" t="s">
        <v>2983</v>
      </c>
      <c r="I1135" s="2" t="s">
        <v>604</v>
      </c>
      <c r="J1135" s="2" t="s">
        <v>11181</v>
      </c>
      <c r="K1135" s="2" t="s">
        <v>507</v>
      </c>
      <c r="L1135" s="2" t="n">
        <v>0</v>
      </c>
      <c r="M1135" s="2" t="n">
        <v>0.45</v>
      </c>
    </row>
    <row r="1136" customFormat="false" ht="15" hidden="false" customHeight="false" outlineLevel="0" collapsed="false">
      <c r="A1136" s="2" t="n">
        <v>1134</v>
      </c>
      <c r="B1136" s="2" t="s">
        <v>5383</v>
      </c>
      <c r="C1136" s="2" t="n">
        <v>0</v>
      </c>
      <c r="D1136" s="2" t="n">
        <v>0</v>
      </c>
      <c r="E1136" s="2" t="s">
        <v>11182</v>
      </c>
      <c r="F1136" s="2" t="s">
        <v>5115</v>
      </c>
      <c r="G1136" s="2" t="s">
        <v>3022</v>
      </c>
      <c r="H1136" s="2" t="s">
        <v>420</v>
      </c>
      <c r="I1136" s="2" t="s">
        <v>3023</v>
      </c>
      <c r="J1136" s="2" t="s">
        <v>11183</v>
      </c>
      <c r="K1136" s="2" t="s">
        <v>507</v>
      </c>
      <c r="L1136" s="2" t="n">
        <v>0.11</v>
      </c>
      <c r="M1136" s="2" t="n">
        <v>1</v>
      </c>
    </row>
    <row r="1137" customFormat="false" ht="15" hidden="false" customHeight="false" outlineLevel="0" collapsed="false">
      <c r="A1137" s="2" t="n">
        <v>1135</v>
      </c>
      <c r="B1137" s="2" t="s">
        <v>5383</v>
      </c>
      <c r="C1137" s="2" t="n">
        <v>0</v>
      </c>
      <c r="D1137" s="2" t="n">
        <v>0</v>
      </c>
      <c r="E1137" s="2" t="s">
        <v>11184</v>
      </c>
      <c r="F1137" s="2" t="s">
        <v>3318</v>
      </c>
      <c r="G1137" s="2" t="s">
        <v>3029</v>
      </c>
      <c r="H1137" s="2" t="s">
        <v>2948</v>
      </c>
      <c r="I1137" s="2" t="s">
        <v>3017</v>
      </c>
      <c r="J1137" s="2" t="s">
        <v>11185</v>
      </c>
      <c r="K1137" s="2" t="s">
        <v>507</v>
      </c>
      <c r="L1137" s="2" t="n">
        <v>0.12</v>
      </c>
      <c r="M1137" s="2" t="n">
        <v>0.55</v>
      </c>
    </row>
    <row r="1138" customFormat="false" ht="15" hidden="false" customHeight="false" outlineLevel="0" collapsed="false">
      <c r="A1138" s="2" t="n">
        <v>1136</v>
      </c>
      <c r="B1138" s="2" t="s">
        <v>5383</v>
      </c>
      <c r="C1138" s="2" t="n">
        <v>0</v>
      </c>
      <c r="D1138" s="2" t="n">
        <v>0</v>
      </c>
      <c r="E1138" s="2" t="s">
        <v>11186</v>
      </c>
      <c r="F1138" s="2" t="s">
        <v>1135</v>
      </c>
      <c r="G1138" s="2" t="s">
        <v>3034</v>
      </c>
      <c r="H1138" s="2" t="s">
        <v>2948</v>
      </c>
      <c r="I1138" s="2" t="s">
        <v>1972</v>
      </c>
      <c r="J1138" s="2" t="s">
        <v>11187</v>
      </c>
      <c r="K1138" s="2" t="s">
        <v>507</v>
      </c>
      <c r="L1138" s="2" t="n">
        <v>0</v>
      </c>
      <c r="M1138" s="2" t="n">
        <v>0.78</v>
      </c>
    </row>
    <row r="1139" customFormat="false" ht="15" hidden="false" customHeight="false" outlineLevel="0" collapsed="false">
      <c r="A1139" s="2" t="n">
        <v>1137</v>
      </c>
      <c r="B1139" s="2" t="s">
        <v>5383</v>
      </c>
      <c r="C1139" s="2" t="n">
        <v>0</v>
      </c>
      <c r="D1139" s="2" t="n">
        <v>0</v>
      </c>
      <c r="E1139" s="2" t="s">
        <v>11188</v>
      </c>
      <c r="F1139" s="2" t="s">
        <v>6694</v>
      </c>
      <c r="G1139" s="2" t="s">
        <v>3037</v>
      </c>
      <c r="H1139" s="2" t="s">
        <v>2948</v>
      </c>
      <c r="I1139" s="2" t="s">
        <v>1138</v>
      </c>
      <c r="J1139" s="2" t="s">
        <v>11189</v>
      </c>
      <c r="K1139" s="2" t="s">
        <v>507</v>
      </c>
      <c r="L1139" s="2" t="n">
        <v>0</v>
      </c>
      <c r="M1139" s="2" t="n">
        <v>0</v>
      </c>
    </row>
    <row r="1140" customFormat="false" ht="15" hidden="false" customHeight="false" outlineLevel="0" collapsed="false">
      <c r="A1140" s="2" t="n">
        <v>1138</v>
      </c>
      <c r="B1140" s="2" t="s">
        <v>5383</v>
      </c>
      <c r="C1140" s="2" t="n">
        <v>0</v>
      </c>
      <c r="D1140" s="2" t="n">
        <v>0</v>
      </c>
      <c r="E1140" s="2" t="s">
        <v>11190</v>
      </c>
      <c r="F1140" s="2" t="s">
        <v>743</v>
      </c>
      <c r="G1140" s="2" t="s">
        <v>10074</v>
      </c>
      <c r="H1140" s="2" t="s">
        <v>1378</v>
      </c>
      <c r="I1140" s="2" t="s">
        <v>1574</v>
      </c>
      <c r="J1140" s="2" t="s">
        <v>11191</v>
      </c>
      <c r="K1140" s="2" t="s">
        <v>507</v>
      </c>
      <c r="L1140" s="2" t="n">
        <v>0</v>
      </c>
      <c r="M1140" s="2" t="n">
        <v>0.43</v>
      </c>
    </row>
    <row r="1141" customFormat="false" ht="15" hidden="false" customHeight="false" outlineLevel="0" collapsed="false">
      <c r="A1141" s="2" t="n">
        <v>1139</v>
      </c>
      <c r="B1141" s="2" t="s">
        <v>5383</v>
      </c>
      <c r="C1141" s="2" t="n">
        <v>0</v>
      </c>
      <c r="D1141" s="2" t="n">
        <v>0</v>
      </c>
      <c r="E1141" s="2" t="s">
        <v>11192</v>
      </c>
      <c r="F1141" s="2" t="s">
        <v>11193</v>
      </c>
      <c r="G1141" s="2" t="s">
        <v>3040</v>
      </c>
      <c r="H1141" s="2" t="s">
        <v>2948</v>
      </c>
      <c r="I1141" s="2" t="s">
        <v>3017</v>
      </c>
      <c r="J1141" s="2" t="s">
        <v>11194</v>
      </c>
      <c r="K1141" s="2" t="s">
        <v>507</v>
      </c>
      <c r="L1141" s="2" t="n">
        <v>0</v>
      </c>
      <c r="M1141" s="2" t="n">
        <v>0.64</v>
      </c>
    </row>
    <row r="1142" customFormat="false" ht="15" hidden="false" customHeight="false" outlineLevel="0" collapsed="false">
      <c r="A1142" s="2" t="n">
        <v>1140</v>
      </c>
      <c r="B1142" s="2" t="s">
        <v>5433</v>
      </c>
      <c r="C1142" s="2" t="n">
        <v>0</v>
      </c>
      <c r="D1142" s="2" t="n">
        <v>0</v>
      </c>
      <c r="E1142" s="2" t="s">
        <v>11195</v>
      </c>
      <c r="F1142" s="2" t="s">
        <v>11193</v>
      </c>
      <c r="G1142" s="2" t="s">
        <v>3046</v>
      </c>
      <c r="H1142" s="2" t="s">
        <v>2948</v>
      </c>
      <c r="I1142" s="2" t="s">
        <v>2149</v>
      </c>
      <c r="J1142" s="2" t="s">
        <v>11196</v>
      </c>
      <c r="K1142" s="2" t="s">
        <v>507</v>
      </c>
      <c r="L1142" s="2" t="n">
        <v>0</v>
      </c>
      <c r="M1142" s="2" t="n">
        <v>0.83</v>
      </c>
    </row>
    <row r="1143" customFormat="false" ht="15" hidden="false" customHeight="false" outlineLevel="0" collapsed="false">
      <c r="A1143" s="2" t="n">
        <v>1141</v>
      </c>
      <c r="B1143" s="2" t="s">
        <v>5433</v>
      </c>
      <c r="C1143" s="2" t="n">
        <v>0</v>
      </c>
      <c r="D1143" s="2" t="n">
        <v>0</v>
      </c>
      <c r="E1143" s="2" t="s">
        <v>11197</v>
      </c>
      <c r="F1143" s="2" t="s">
        <v>5453</v>
      </c>
      <c r="G1143" s="2" t="s">
        <v>3053</v>
      </c>
      <c r="H1143" s="2" t="s">
        <v>2983</v>
      </c>
      <c r="I1143" s="2" t="s">
        <v>132</v>
      </c>
      <c r="J1143" s="2" t="s">
        <v>11198</v>
      </c>
      <c r="K1143" s="2" t="s">
        <v>507</v>
      </c>
      <c r="L1143" s="2" t="n">
        <v>0</v>
      </c>
      <c r="M1143" s="2" t="n">
        <v>0.82</v>
      </c>
    </row>
    <row r="1144" customFormat="false" ht="15" hidden="false" customHeight="false" outlineLevel="0" collapsed="false">
      <c r="A1144" s="2" t="n">
        <v>1142</v>
      </c>
      <c r="B1144" s="2" t="s">
        <v>5433</v>
      </c>
      <c r="C1144" s="2" t="n">
        <v>1</v>
      </c>
      <c r="D1144" s="2" t="n">
        <v>1</v>
      </c>
      <c r="E1144" s="2" t="s">
        <v>5439</v>
      </c>
      <c r="F1144" s="2" t="s">
        <v>95</v>
      </c>
      <c r="G1144" s="2" t="s">
        <v>5440</v>
      </c>
      <c r="H1144" s="2" t="s">
        <v>245</v>
      </c>
      <c r="I1144" s="2" t="s">
        <v>3321</v>
      </c>
      <c r="J1144" s="2" t="s">
        <v>11199</v>
      </c>
      <c r="K1144" s="2" t="s">
        <v>507</v>
      </c>
      <c r="L1144" s="2" t="n">
        <v>0.09</v>
      </c>
      <c r="M1144" s="2" t="n">
        <v>0.83</v>
      </c>
    </row>
    <row r="1145" customFormat="false" ht="15" hidden="false" customHeight="false" outlineLevel="0" collapsed="false">
      <c r="A1145" s="2" t="n">
        <v>1143</v>
      </c>
      <c r="B1145" s="2" t="s">
        <v>5433</v>
      </c>
      <c r="C1145" s="2" t="n">
        <v>1</v>
      </c>
      <c r="D1145" s="2" t="n">
        <v>1</v>
      </c>
      <c r="E1145" s="2" t="s">
        <v>5444</v>
      </c>
      <c r="F1145" s="2" t="s">
        <v>5445</v>
      </c>
      <c r="G1145" s="2" t="s">
        <v>3058</v>
      </c>
      <c r="H1145" s="2" t="s">
        <v>594</v>
      </c>
      <c r="I1145" s="2" t="s">
        <v>768</v>
      </c>
      <c r="J1145" s="2" t="s">
        <v>11200</v>
      </c>
      <c r="K1145" s="2" t="s">
        <v>507</v>
      </c>
      <c r="L1145" s="2" t="n">
        <v>0</v>
      </c>
      <c r="M1145" s="2" t="n">
        <v>1</v>
      </c>
    </row>
    <row r="1146" customFormat="false" ht="15" hidden="false" customHeight="false" outlineLevel="0" collapsed="false">
      <c r="A1146" s="2" t="n">
        <v>1144</v>
      </c>
      <c r="B1146" s="2" t="s">
        <v>5433</v>
      </c>
      <c r="C1146" s="2" t="n">
        <v>0</v>
      </c>
      <c r="D1146" s="2" t="n">
        <v>0</v>
      </c>
      <c r="E1146" s="2" t="s">
        <v>11201</v>
      </c>
      <c r="F1146" s="2" t="s">
        <v>11202</v>
      </c>
      <c r="G1146" s="2" t="s">
        <v>3066</v>
      </c>
      <c r="H1146" s="2" t="s">
        <v>745</v>
      </c>
      <c r="I1146" s="2" t="s">
        <v>115</v>
      </c>
      <c r="J1146" s="2" t="s">
        <v>11203</v>
      </c>
      <c r="K1146" s="2" t="s">
        <v>507</v>
      </c>
      <c r="L1146" s="2" t="n">
        <v>0</v>
      </c>
      <c r="M1146" s="2" t="n">
        <v>0.75</v>
      </c>
    </row>
    <row r="1147" customFormat="false" ht="15" hidden="false" customHeight="false" outlineLevel="0" collapsed="false">
      <c r="A1147" s="2" t="n">
        <v>1145</v>
      </c>
      <c r="B1147" s="2" t="s">
        <v>5433</v>
      </c>
      <c r="C1147" s="2" t="n">
        <v>0</v>
      </c>
      <c r="D1147" s="2" t="n">
        <v>0</v>
      </c>
      <c r="E1147" s="2" t="s">
        <v>11204</v>
      </c>
      <c r="F1147" s="2" t="s">
        <v>2212</v>
      </c>
      <c r="G1147" s="2" t="s">
        <v>3077</v>
      </c>
      <c r="H1147" s="2" t="s">
        <v>594</v>
      </c>
      <c r="I1147" s="2" t="s">
        <v>2506</v>
      </c>
      <c r="J1147" s="2" t="s">
        <v>11205</v>
      </c>
      <c r="K1147" s="2" t="s">
        <v>507</v>
      </c>
      <c r="L1147" s="2" t="n">
        <v>0</v>
      </c>
      <c r="M1147" s="2" t="n">
        <v>0.67</v>
      </c>
    </row>
    <row r="1148" customFormat="false" ht="15" hidden="false" customHeight="false" outlineLevel="0" collapsed="false">
      <c r="A1148" s="2" t="n">
        <v>1146</v>
      </c>
      <c r="B1148" s="2" t="s">
        <v>5433</v>
      </c>
      <c r="C1148" s="2" t="n">
        <v>0</v>
      </c>
      <c r="D1148" s="2" t="n">
        <v>0</v>
      </c>
      <c r="E1148" s="2" t="s">
        <v>11206</v>
      </c>
      <c r="F1148" s="2" t="s">
        <v>3762</v>
      </c>
      <c r="G1148" s="2" t="s">
        <v>3087</v>
      </c>
      <c r="H1148" s="2" t="s">
        <v>594</v>
      </c>
      <c r="I1148" s="2" t="s">
        <v>3088</v>
      </c>
      <c r="J1148" s="2" t="s">
        <v>11207</v>
      </c>
      <c r="K1148" s="2" t="s">
        <v>507</v>
      </c>
      <c r="L1148" s="2" t="n">
        <v>0</v>
      </c>
      <c r="M1148" s="2" t="n">
        <v>0.75</v>
      </c>
    </row>
    <row r="1149" customFormat="false" ht="15" hidden="false" customHeight="false" outlineLevel="0" collapsed="false">
      <c r="A1149" s="2" t="n">
        <v>1147</v>
      </c>
      <c r="B1149" s="2" t="s">
        <v>5433</v>
      </c>
      <c r="C1149" s="2" t="n">
        <v>0</v>
      </c>
      <c r="D1149" s="2" t="n">
        <v>0</v>
      </c>
      <c r="E1149" s="2" t="s">
        <v>11208</v>
      </c>
      <c r="F1149" s="2" t="s">
        <v>5453</v>
      </c>
      <c r="G1149" s="2" t="s">
        <v>3095</v>
      </c>
      <c r="H1149" s="2" t="s">
        <v>745</v>
      </c>
      <c r="I1149" s="2" t="s">
        <v>2149</v>
      </c>
      <c r="J1149" s="2" t="s">
        <v>11209</v>
      </c>
      <c r="K1149" s="2" t="s">
        <v>507</v>
      </c>
      <c r="L1149" s="2" t="n">
        <v>0</v>
      </c>
      <c r="M1149" s="2" t="n">
        <v>0.88</v>
      </c>
    </row>
    <row r="1150" customFormat="false" ht="15" hidden="false" customHeight="false" outlineLevel="0" collapsed="false">
      <c r="A1150" s="2" t="n">
        <v>1148</v>
      </c>
      <c r="B1150" s="2" t="s">
        <v>5433</v>
      </c>
      <c r="C1150" s="2" t="n">
        <v>2</v>
      </c>
      <c r="D1150" s="2" t="n">
        <v>2</v>
      </c>
      <c r="E1150" s="2" t="s">
        <v>5452</v>
      </c>
      <c r="F1150" s="2" t="s">
        <v>5453</v>
      </c>
      <c r="G1150" s="2" t="s">
        <v>3104</v>
      </c>
      <c r="H1150" s="2" t="s">
        <v>1238</v>
      </c>
      <c r="I1150" s="2" t="s">
        <v>1332</v>
      </c>
      <c r="J1150" s="2" t="s">
        <v>11210</v>
      </c>
      <c r="K1150" s="2" t="s">
        <v>507</v>
      </c>
      <c r="L1150" s="2" t="n">
        <v>0.17</v>
      </c>
      <c r="M1150" s="2" t="n">
        <v>0.77</v>
      </c>
    </row>
    <row r="1151" customFormat="false" ht="15" hidden="false" customHeight="false" outlineLevel="0" collapsed="false">
      <c r="A1151" s="2" t="n">
        <v>1149</v>
      </c>
      <c r="B1151" s="2" t="s">
        <v>5433</v>
      </c>
      <c r="C1151" s="2" t="n">
        <v>1</v>
      </c>
      <c r="D1151" s="2" t="n">
        <v>0</v>
      </c>
      <c r="E1151" s="2" t="s">
        <v>5461</v>
      </c>
      <c r="F1151" s="2" t="s">
        <v>580</v>
      </c>
      <c r="G1151" s="2" t="s">
        <v>3114</v>
      </c>
      <c r="H1151" s="2" t="s">
        <v>745</v>
      </c>
      <c r="I1151" s="2" t="s">
        <v>1768</v>
      </c>
      <c r="J1151" s="2" t="s">
        <v>11211</v>
      </c>
      <c r="K1151" s="2" t="s">
        <v>507</v>
      </c>
      <c r="L1151" s="2" t="n">
        <v>0</v>
      </c>
      <c r="M1151" s="2" t="n">
        <v>0.38</v>
      </c>
    </row>
    <row r="1152" customFormat="false" ht="15" hidden="false" customHeight="false" outlineLevel="0" collapsed="false">
      <c r="A1152" s="2" t="n">
        <v>1150</v>
      </c>
      <c r="B1152" s="2" t="s">
        <v>5433</v>
      </c>
      <c r="C1152" s="2" t="n">
        <v>2</v>
      </c>
      <c r="D1152" s="2" t="n">
        <v>0</v>
      </c>
      <c r="E1152" s="2" t="s">
        <v>5467</v>
      </c>
      <c r="F1152" s="2" t="s">
        <v>95</v>
      </c>
      <c r="G1152" s="2" t="s">
        <v>3126</v>
      </c>
      <c r="H1152" s="2" t="s">
        <v>178</v>
      </c>
      <c r="I1152" s="2" t="s">
        <v>1482</v>
      </c>
      <c r="J1152" s="2" t="s">
        <v>11212</v>
      </c>
      <c r="K1152" s="2" t="s">
        <v>507</v>
      </c>
      <c r="L1152" s="2" t="n">
        <v>0.2</v>
      </c>
      <c r="M1152" s="2" t="n">
        <v>0.9</v>
      </c>
    </row>
    <row r="1153" customFormat="false" ht="15" hidden="false" customHeight="false" outlineLevel="0" collapsed="false">
      <c r="A1153" s="2" t="n">
        <v>1151</v>
      </c>
      <c r="B1153" s="2" t="s">
        <v>5433</v>
      </c>
      <c r="C1153" s="2" t="n">
        <v>0</v>
      </c>
      <c r="D1153" s="2" t="n">
        <v>0</v>
      </c>
      <c r="E1153" s="2" t="s">
        <v>11213</v>
      </c>
      <c r="F1153" s="2" t="s">
        <v>580</v>
      </c>
      <c r="G1153" s="2" t="s">
        <v>10093</v>
      </c>
      <c r="H1153" s="2" t="s">
        <v>745</v>
      </c>
      <c r="I1153" s="2" t="s">
        <v>301</v>
      </c>
      <c r="J1153" s="2" t="s">
        <v>11214</v>
      </c>
      <c r="K1153" s="2" t="s">
        <v>507</v>
      </c>
      <c r="L1153" s="2" t="n">
        <v>0</v>
      </c>
      <c r="M1153" s="2" t="n">
        <v>0.5</v>
      </c>
    </row>
    <row r="1154" customFormat="false" ht="15" hidden="false" customHeight="false" outlineLevel="0" collapsed="false">
      <c r="A1154" s="2" t="n">
        <v>1152</v>
      </c>
      <c r="B1154" s="2" t="s">
        <v>5433</v>
      </c>
      <c r="C1154" s="2" t="n">
        <v>4</v>
      </c>
      <c r="D1154" s="2" t="n">
        <v>0</v>
      </c>
      <c r="E1154" s="2" t="s">
        <v>5473</v>
      </c>
      <c r="F1154" s="2" t="s">
        <v>95</v>
      </c>
      <c r="G1154" s="2" t="s">
        <v>3141</v>
      </c>
      <c r="H1154" s="2" t="s">
        <v>3142</v>
      </c>
      <c r="I1154" s="2" t="s">
        <v>2234</v>
      </c>
      <c r="J1154" s="2" t="s">
        <v>11215</v>
      </c>
      <c r="K1154" s="2" t="s">
        <v>507</v>
      </c>
      <c r="L1154" s="2" t="n">
        <v>0.12</v>
      </c>
      <c r="M1154" s="2" t="n">
        <v>0.62</v>
      </c>
    </row>
    <row r="1155" customFormat="false" ht="15" hidden="false" customHeight="false" outlineLevel="0" collapsed="false">
      <c r="A1155" s="2" t="n">
        <v>1153</v>
      </c>
      <c r="B1155" s="2" t="s">
        <v>5433</v>
      </c>
      <c r="C1155" s="2" t="n">
        <v>0</v>
      </c>
      <c r="D1155" s="2" t="n">
        <v>0</v>
      </c>
      <c r="E1155" s="2" t="s">
        <v>11216</v>
      </c>
      <c r="F1155" s="2" t="s">
        <v>580</v>
      </c>
      <c r="G1155" s="2" t="s">
        <v>3148</v>
      </c>
      <c r="H1155" s="2" t="s">
        <v>696</v>
      </c>
      <c r="I1155" s="2" t="s">
        <v>1306</v>
      </c>
      <c r="J1155" s="2" t="s">
        <v>11217</v>
      </c>
      <c r="K1155" s="2" t="s">
        <v>507</v>
      </c>
      <c r="L1155" s="2" t="n">
        <v>0</v>
      </c>
      <c r="M1155" s="2" t="n">
        <v>0.43</v>
      </c>
    </row>
    <row r="1156" customFormat="false" ht="15" hidden="false" customHeight="false" outlineLevel="0" collapsed="false">
      <c r="A1156" s="2" t="n">
        <v>1154</v>
      </c>
      <c r="B1156" s="2" t="s">
        <v>5433</v>
      </c>
      <c r="C1156" s="2" t="n">
        <v>1</v>
      </c>
      <c r="D1156" s="2" t="n">
        <v>1</v>
      </c>
      <c r="E1156" s="2" t="s">
        <v>5485</v>
      </c>
      <c r="F1156" s="2" t="s">
        <v>803</v>
      </c>
      <c r="G1156" s="2" t="s">
        <v>5486</v>
      </c>
      <c r="H1156" s="2" t="s">
        <v>5487</v>
      </c>
      <c r="I1156" s="2" t="s">
        <v>3023</v>
      </c>
      <c r="J1156" s="2" t="s">
        <v>11218</v>
      </c>
      <c r="K1156" s="2" t="s">
        <v>507</v>
      </c>
      <c r="L1156" s="2" t="n">
        <v>0</v>
      </c>
      <c r="M1156" s="2" t="n">
        <v>1</v>
      </c>
    </row>
    <row r="1157" customFormat="false" ht="15" hidden="false" customHeight="false" outlineLevel="0" collapsed="false">
      <c r="A1157" s="2" t="n">
        <v>1155</v>
      </c>
      <c r="B1157" s="2" t="s">
        <v>5433</v>
      </c>
      <c r="C1157" s="2" t="n">
        <v>0</v>
      </c>
      <c r="D1157" s="2" t="n">
        <v>0</v>
      </c>
      <c r="E1157" s="2" t="s">
        <v>11219</v>
      </c>
      <c r="F1157" s="2" t="s">
        <v>11220</v>
      </c>
      <c r="G1157" s="2" t="s">
        <v>10101</v>
      </c>
      <c r="H1157" s="2" t="s">
        <v>594</v>
      </c>
      <c r="I1157" s="2" t="s">
        <v>647</v>
      </c>
      <c r="J1157" s="2" t="s">
        <v>11221</v>
      </c>
      <c r="K1157" s="2" t="s">
        <v>507</v>
      </c>
      <c r="L1157" s="2" t="n">
        <v>0</v>
      </c>
      <c r="M1157" s="2" t="n">
        <v>0.88</v>
      </c>
    </row>
    <row r="1158" customFormat="false" ht="15" hidden="false" customHeight="false" outlineLevel="0" collapsed="false">
      <c r="A1158" s="2" t="n">
        <v>1156</v>
      </c>
      <c r="B1158" s="2" t="s">
        <v>5433</v>
      </c>
      <c r="C1158" s="2" t="n">
        <v>0</v>
      </c>
      <c r="D1158" s="2" t="n">
        <v>0</v>
      </c>
      <c r="E1158" s="2" t="s">
        <v>11222</v>
      </c>
      <c r="F1158" s="2" t="s">
        <v>9793</v>
      </c>
      <c r="G1158" s="2" t="s">
        <v>11223</v>
      </c>
      <c r="H1158" s="2" t="s">
        <v>3343</v>
      </c>
      <c r="I1158" s="2" t="s">
        <v>190</v>
      </c>
      <c r="J1158" s="2" t="s">
        <v>11224</v>
      </c>
      <c r="K1158" s="2" t="s">
        <v>507</v>
      </c>
      <c r="L1158" s="2" t="n">
        <v>0</v>
      </c>
      <c r="M1158" s="2" t="n">
        <v>0.38</v>
      </c>
    </row>
    <row r="1159" customFormat="false" ht="15" hidden="false" customHeight="false" outlineLevel="0" collapsed="false">
      <c r="A1159" s="2" t="n">
        <v>1157</v>
      </c>
      <c r="B1159" s="2" t="s">
        <v>5433</v>
      </c>
      <c r="C1159" s="2" t="n">
        <v>0</v>
      </c>
      <c r="D1159" s="2" t="n">
        <v>0</v>
      </c>
      <c r="E1159" s="2" t="s">
        <v>11225</v>
      </c>
      <c r="F1159" s="2" t="s">
        <v>11226</v>
      </c>
      <c r="G1159" s="2" t="s">
        <v>10104</v>
      </c>
      <c r="H1159" s="2" t="s">
        <v>745</v>
      </c>
      <c r="I1159" s="2" t="s">
        <v>1354</v>
      </c>
      <c r="J1159" s="2" t="s">
        <v>11227</v>
      </c>
      <c r="K1159" s="2" t="s">
        <v>507</v>
      </c>
      <c r="L1159" s="2" t="n">
        <v>0</v>
      </c>
      <c r="M1159" s="2" t="n">
        <v>0.79</v>
      </c>
    </row>
    <row r="1160" customFormat="false" ht="15" hidden="false" customHeight="false" outlineLevel="0" collapsed="false">
      <c r="A1160" s="2" t="n">
        <v>1158</v>
      </c>
      <c r="B1160" s="2" t="s">
        <v>5433</v>
      </c>
      <c r="C1160" s="2" t="n">
        <v>1</v>
      </c>
      <c r="D1160" s="2" t="n">
        <v>1</v>
      </c>
      <c r="E1160" s="2" t="s">
        <v>5493</v>
      </c>
      <c r="F1160" s="2" t="s">
        <v>5494</v>
      </c>
      <c r="G1160" s="2" t="s">
        <v>5495</v>
      </c>
      <c r="H1160" s="2" t="s">
        <v>3185</v>
      </c>
      <c r="I1160" s="2" t="s">
        <v>3169</v>
      </c>
      <c r="J1160" s="2" t="s">
        <v>11228</v>
      </c>
      <c r="K1160" s="2" t="s">
        <v>507</v>
      </c>
      <c r="L1160" s="2" t="n">
        <v>0.11</v>
      </c>
      <c r="M1160" s="2" t="n">
        <v>0.62</v>
      </c>
    </row>
    <row r="1161" customFormat="false" ht="15" hidden="false" customHeight="false" outlineLevel="0" collapsed="false">
      <c r="A1161" s="2" t="n">
        <v>1159</v>
      </c>
      <c r="B1161" s="2" t="s">
        <v>5433</v>
      </c>
      <c r="C1161" s="2" t="n">
        <v>0</v>
      </c>
      <c r="D1161" s="2" t="n">
        <v>0</v>
      </c>
      <c r="E1161" s="2" t="s">
        <v>11229</v>
      </c>
      <c r="F1161" s="2" t="s">
        <v>803</v>
      </c>
      <c r="G1161" s="2" t="s">
        <v>10111</v>
      </c>
      <c r="H1161" s="2" t="s">
        <v>1146</v>
      </c>
      <c r="I1161" s="2" t="s">
        <v>3169</v>
      </c>
      <c r="J1161" s="2" t="s">
        <v>11230</v>
      </c>
      <c r="K1161" s="2" t="s">
        <v>507</v>
      </c>
      <c r="L1161" s="2" t="n">
        <v>0.11</v>
      </c>
      <c r="M1161" s="2" t="n">
        <v>1</v>
      </c>
    </row>
    <row r="1162" customFormat="false" ht="15" hidden="false" customHeight="false" outlineLevel="0" collapsed="false">
      <c r="A1162" s="2" t="n">
        <v>1160</v>
      </c>
      <c r="B1162" s="2" t="s">
        <v>5433</v>
      </c>
      <c r="C1162" s="2" t="n">
        <v>1</v>
      </c>
      <c r="D1162" s="2" t="n">
        <v>1</v>
      </c>
      <c r="E1162" s="2" t="s">
        <v>5503</v>
      </c>
      <c r="F1162" s="2" t="s">
        <v>3762</v>
      </c>
      <c r="G1162" s="2" t="s">
        <v>5504</v>
      </c>
      <c r="H1162" s="2" t="s">
        <v>3185</v>
      </c>
      <c r="I1162" s="2" t="s">
        <v>3744</v>
      </c>
      <c r="J1162" s="2" t="s">
        <v>11231</v>
      </c>
      <c r="K1162" s="2" t="s">
        <v>507</v>
      </c>
      <c r="L1162" s="2" t="n">
        <v>0.12</v>
      </c>
      <c r="M1162" s="2" t="n">
        <v>0.38</v>
      </c>
    </row>
    <row r="1163" customFormat="false" ht="15" hidden="false" customHeight="false" outlineLevel="0" collapsed="false">
      <c r="A1163" s="2" t="n">
        <v>1161</v>
      </c>
      <c r="B1163" s="2" t="s">
        <v>5433</v>
      </c>
      <c r="C1163" s="2" t="n">
        <v>1</v>
      </c>
      <c r="D1163" s="2" t="n">
        <v>0</v>
      </c>
      <c r="E1163" s="2" t="s">
        <v>5510</v>
      </c>
      <c r="F1163" s="2" t="s">
        <v>2239</v>
      </c>
      <c r="G1163" s="2" t="s">
        <v>5511</v>
      </c>
      <c r="H1163" s="2" t="s">
        <v>1314</v>
      </c>
      <c r="I1163" s="2" t="s">
        <v>1397</v>
      </c>
      <c r="J1163" s="2" t="s">
        <v>11232</v>
      </c>
      <c r="K1163" s="2" t="s">
        <v>507</v>
      </c>
      <c r="L1163" s="2" t="n">
        <v>0</v>
      </c>
      <c r="M1163" s="2" t="n">
        <v>0.62</v>
      </c>
    </row>
    <row r="1164" customFormat="false" ht="15" hidden="false" customHeight="false" outlineLevel="0" collapsed="false">
      <c r="A1164" s="2" t="n">
        <v>1162</v>
      </c>
      <c r="B1164" s="2" t="s">
        <v>5433</v>
      </c>
      <c r="C1164" s="2" t="n">
        <v>0</v>
      </c>
      <c r="D1164" s="2" t="n">
        <v>0</v>
      </c>
      <c r="E1164" s="2" t="s">
        <v>11233</v>
      </c>
      <c r="F1164" s="2" t="s">
        <v>3524</v>
      </c>
      <c r="G1164" s="2" t="s">
        <v>10118</v>
      </c>
      <c r="H1164" s="2" t="s">
        <v>1146</v>
      </c>
      <c r="I1164" s="2" t="s">
        <v>2013</v>
      </c>
      <c r="J1164" s="2" t="s">
        <v>11234</v>
      </c>
      <c r="K1164" s="2" t="s">
        <v>507</v>
      </c>
      <c r="L1164" s="2" t="n">
        <v>0</v>
      </c>
      <c r="M1164" s="2" t="n">
        <v>0.67</v>
      </c>
    </row>
    <row r="1165" customFormat="false" ht="15" hidden="false" customHeight="false" outlineLevel="0" collapsed="false">
      <c r="A1165" s="2" t="n">
        <v>1163</v>
      </c>
      <c r="B1165" s="2" t="s">
        <v>5433</v>
      </c>
      <c r="C1165" s="2" t="n">
        <v>0</v>
      </c>
      <c r="D1165" s="2" t="n">
        <v>0</v>
      </c>
      <c r="E1165" s="2" t="s">
        <v>11235</v>
      </c>
      <c r="F1165" s="2" t="s">
        <v>5194</v>
      </c>
      <c r="G1165" s="2" t="s">
        <v>10121</v>
      </c>
      <c r="H1165" s="2" t="s">
        <v>3185</v>
      </c>
      <c r="I1165" s="2" t="s">
        <v>2149</v>
      </c>
      <c r="J1165" s="2" t="s">
        <v>11236</v>
      </c>
      <c r="K1165" s="2" t="s">
        <v>507</v>
      </c>
      <c r="L1165" s="2" t="n">
        <v>0</v>
      </c>
      <c r="M1165" s="2" t="n">
        <v>0.89</v>
      </c>
    </row>
    <row r="1166" customFormat="false" ht="15" hidden="false" customHeight="false" outlineLevel="0" collapsed="false">
      <c r="A1166" s="2" t="n">
        <v>1164</v>
      </c>
      <c r="B1166" s="2" t="s">
        <v>5433</v>
      </c>
      <c r="C1166" s="2" t="n">
        <v>0</v>
      </c>
      <c r="D1166" s="2" t="n">
        <v>0</v>
      </c>
      <c r="E1166" s="2" t="s">
        <v>11237</v>
      </c>
      <c r="F1166" s="2" t="s">
        <v>11238</v>
      </c>
      <c r="G1166" s="2" t="s">
        <v>10124</v>
      </c>
      <c r="H1166" s="2" t="s">
        <v>594</v>
      </c>
      <c r="I1166" s="2" t="s">
        <v>851</v>
      </c>
      <c r="J1166" s="2" t="s">
        <v>11239</v>
      </c>
      <c r="K1166" s="2" t="s">
        <v>507</v>
      </c>
      <c r="L1166" s="2" t="n">
        <v>0</v>
      </c>
      <c r="M1166" s="2" t="n">
        <v>0.86</v>
      </c>
    </row>
    <row r="1167" customFormat="false" ht="15" hidden="false" customHeight="false" outlineLevel="0" collapsed="false">
      <c r="A1167" s="2" t="n">
        <v>1165</v>
      </c>
      <c r="B1167" s="2" t="s">
        <v>5433</v>
      </c>
      <c r="C1167" s="2" t="n">
        <v>1</v>
      </c>
      <c r="D1167" s="2" t="n">
        <v>0</v>
      </c>
      <c r="E1167" s="2" t="s">
        <v>5517</v>
      </c>
      <c r="F1167" s="2" t="s">
        <v>963</v>
      </c>
      <c r="G1167" s="2" t="s">
        <v>5518</v>
      </c>
      <c r="H1167" s="2" t="s">
        <v>594</v>
      </c>
      <c r="I1167" s="2" t="s">
        <v>5519</v>
      </c>
      <c r="J1167" s="2" t="s">
        <v>11240</v>
      </c>
      <c r="K1167" s="2" t="s">
        <v>507</v>
      </c>
      <c r="L1167" s="2" t="n">
        <v>0</v>
      </c>
      <c r="M1167" s="2" t="n">
        <v>0.64</v>
      </c>
    </row>
    <row r="1168" customFormat="false" ht="15" hidden="false" customHeight="false" outlineLevel="0" collapsed="false">
      <c r="A1168" s="2" t="n">
        <v>1166</v>
      </c>
      <c r="B1168" s="2" t="s">
        <v>5433</v>
      </c>
      <c r="C1168" s="2" t="n">
        <v>1</v>
      </c>
      <c r="D1168" s="2" t="n">
        <v>0</v>
      </c>
      <c r="E1168" s="2" t="s">
        <v>5523</v>
      </c>
      <c r="F1168" s="2" t="s">
        <v>5524</v>
      </c>
      <c r="G1168" s="2" t="s">
        <v>5525</v>
      </c>
      <c r="H1168" s="2" t="s">
        <v>420</v>
      </c>
      <c r="I1168" s="2" t="s">
        <v>805</v>
      </c>
      <c r="J1168" s="2" t="s">
        <v>11241</v>
      </c>
      <c r="K1168" s="2" t="s">
        <v>507</v>
      </c>
      <c r="L1168" s="2" t="n">
        <v>0.15</v>
      </c>
      <c r="M1168" s="2" t="n">
        <v>0.6</v>
      </c>
    </row>
    <row r="1169" customFormat="false" ht="15" hidden="false" customHeight="false" outlineLevel="0" collapsed="false">
      <c r="A1169" s="2" t="n">
        <v>1167</v>
      </c>
      <c r="B1169" s="2" t="s">
        <v>5433</v>
      </c>
      <c r="C1169" s="2" t="n">
        <v>1</v>
      </c>
      <c r="D1169" s="2" t="n">
        <v>0</v>
      </c>
      <c r="E1169" s="2" t="s">
        <v>5531</v>
      </c>
      <c r="F1169" s="2" t="s">
        <v>5532</v>
      </c>
      <c r="G1169" s="2" t="s">
        <v>5533</v>
      </c>
      <c r="H1169" s="2" t="s">
        <v>5534</v>
      </c>
      <c r="I1169" s="2" t="s">
        <v>3469</v>
      </c>
      <c r="J1169" s="2" t="s">
        <v>11242</v>
      </c>
      <c r="K1169" s="2" t="s">
        <v>507</v>
      </c>
      <c r="L1169" s="2" t="n">
        <v>0</v>
      </c>
      <c r="M1169" s="2" t="n">
        <v>0.75</v>
      </c>
    </row>
    <row r="1170" customFormat="false" ht="15" hidden="false" customHeight="false" outlineLevel="0" collapsed="false">
      <c r="A1170" s="2" t="n">
        <v>1168</v>
      </c>
      <c r="B1170" s="2" t="s">
        <v>5433</v>
      </c>
      <c r="C1170" s="2" t="n">
        <v>1</v>
      </c>
      <c r="D1170" s="2" t="n">
        <v>1</v>
      </c>
      <c r="E1170" s="2" t="s">
        <v>5538</v>
      </c>
      <c r="F1170" s="2" t="s">
        <v>5539</v>
      </c>
      <c r="G1170" s="2" t="s">
        <v>5540</v>
      </c>
      <c r="H1170" s="2" t="s">
        <v>3185</v>
      </c>
      <c r="I1170" s="2" t="s">
        <v>1543</v>
      </c>
      <c r="J1170" s="2" t="s">
        <v>11243</v>
      </c>
      <c r="K1170" s="2" t="s">
        <v>507</v>
      </c>
      <c r="L1170" s="2" t="n">
        <v>0</v>
      </c>
      <c r="M1170" s="2" t="n">
        <v>0.57</v>
      </c>
    </row>
    <row r="1171" customFormat="false" ht="15" hidden="false" customHeight="false" outlineLevel="0" collapsed="false">
      <c r="A1171" s="2" t="n">
        <v>1169</v>
      </c>
      <c r="B1171" s="2" t="s">
        <v>5433</v>
      </c>
      <c r="C1171" s="2" t="n">
        <v>1</v>
      </c>
      <c r="D1171" s="2" t="n">
        <v>1</v>
      </c>
      <c r="E1171" s="2" t="s">
        <v>5545</v>
      </c>
      <c r="F1171" s="2" t="s">
        <v>5546</v>
      </c>
      <c r="G1171" s="2" t="s">
        <v>5547</v>
      </c>
      <c r="H1171" s="2" t="s">
        <v>5548</v>
      </c>
      <c r="I1171" s="2" t="s">
        <v>3169</v>
      </c>
      <c r="J1171" s="2" t="s">
        <v>11244</v>
      </c>
      <c r="K1171" s="2" t="s">
        <v>507</v>
      </c>
      <c r="L1171" s="2" t="n">
        <v>0.12</v>
      </c>
      <c r="M1171" s="2" t="n">
        <v>0.67</v>
      </c>
    </row>
    <row r="1172" customFormat="false" ht="15" hidden="false" customHeight="false" outlineLevel="0" collapsed="false">
      <c r="A1172" s="2" t="n">
        <v>1170</v>
      </c>
      <c r="B1172" s="2" t="s">
        <v>5549</v>
      </c>
      <c r="C1172" s="2" t="n">
        <v>0</v>
      </c>
      <c r="D1172" s="2" t="n">
        <v>0</v>
      </c>
      <c r="E1172" s="2" t="s">
        <v>11245</v>
      </c>
      <c r="F1172" s="2" t="s">
        <v>11246</v>
      </c>
      <c r="G1172" s="2" t="s">
        <v>3167</v>
      </c>
      <c r="H1172" s="2" t="s">
        <v>3168</v>
      </c>
      <c r="I1172" s="2" t="s">
        <v>3169</v>
      </c>
      <c r="J1172" s="2" t="s">
        <v>11247</v>
      </c>
      <c r="K1172" s="2" t="s">
        <v>507</v>
      </c>
      <c r="L1172" s="2" t="n">
        <v>0.1</v>
      </c>
      <c r="M1172" s="2" t="n">
        <v>0.9</v>
      </c>
    </row>
    <row r="1173" customFormat="false" ht="15" hidden="false" customHeight="false" outlineLevel="0" collapsed="false">
      <c r="A1173" s="2" t="n">
        <v>1171</v>
      </c>
      <c r="B1173" s="2" t="s">
        <v>5549</v>
      </c>
      <c r="C1173" s="2" t="n">
        <v>0</v>
      </c>
      <c r="D1173" s="2" t="n">
        <v>0</v>
      </c>
      <c r="E1173" s="2" t="s">
        <v>11248</v>
      </c>
      <c r="F1173" s="2" t="s">
        <v>11249</v>
      </c>
      <c r="G1173" s="2" t="s">
        <v>10146</v>
      </c>
      <c r="H1173" s="2" t="s">
        <v>10147</v>
      </c>
      <c r="I1173" s="2" t="s">
        <v>1306</v>
      </c>
      <c r="J1173" s="2" t="s">
        <v>11250</v>
      </c>
      <c r="K1173" s="2" t="s">
        <v>507</v>
      </c>
      <c r="L1173" s="2" t="n">
        <v>0</v>
      </c>
      <c r="M1173" s="2" t="n">
        <v>0.73</v>
      </c>
    </row>
    <row r="1174" customFormat="false" ht="15" hidden="false" customHeight="false" outlineLevel="0" collapsed="false">
      <c r="A1174" s="2" t="n">
        <v>1172</v>
      </c>
      <c r="B1174" s="2" t="s">
        <v>5549</v>
      </c>
      <c r="C1174" s="2" t="n">
        <v>0</v>
      </c>
      <c r="D1174" s="2" t="n">
        <v>0</v>
      </c>
      <c r="E1174" s="2" t="s">
        <v>11251</v>
      </c>
      <c r="F1174" s="2" t="s">
        <v>95</v>
      </c>
      <c r="G1174" s="2" t="s">
        <v>3184</v>
      </c>
      <c r="H1174" s="2" t="s">
        <v>3185</v>
      </c>
      <c r="I1174" s="2" t="s">
        <v>3186</v>
      </c>
      <c r="J1174" s="2" t="s">
        <v>11252</v>
      </c>
      <c r="K1174" s="2" t="s">
        <v>507</v>
      </c>
      <c r="L1174" s="2" t="n">
        <v>0.09</v>
      </c>
      <c r="M1174" s="2" t="n">
        <v>0.91</v>
      </c>
    </row>
    <row r="1175" customFormat="false" ht="15" hidden="false" customHeight="false" outlineLevel="0" collapsed="false">
      <c r="A1175" s="2" t="n">
        <v>1173</v>
      </c>
      <c r="B1175" s="2" t="s">
        <v>5549</v>
      </c>
      <c r="C1175" s="2" t="n">
        <v>0</v>
      </c>
      <c r="D1175" s="2" t="n">
        <v>0</v>
      </c>
      <c r="E1175" s="2" t="s">
        <v>11253</v>
      </c>
      <c r="F1175" s="2" t="s">
        <v>5524</v>
      </c>
      <c r="G1175" s="2" t="s">
        <v>10152</v>
      </c>
      <c r="H1175" s="2" t="s">
        <v>745</v>
      </c>
      <c r="I1175" s="2" t="s">
        <v>1750</v>
      </c>
      <c r="J1175" s="2" t="s">
        <v>11254</v>
      </c>
      <c r="K1175" s="2" t="s">
        <v>507</v>
      </c>
      <c r="L1175" s="2" t="n">
        <v>0.11</v>
      </c>
      <c r="M1175" s="2" t="n">
        <v>0.77</v>
      </c>
    </row>
    <row r="1176" customFormat="false" ht="15" hidden="false" customHeight="false" outlineLevel="0" collapsed="false">
      <c r="A1176" s="2" t="n">
        <v>1174</v>
      </c>
      <c r="B1176" s="2" t="s">
        <v>5549</v>
      </c>
      <c r="C1176" s="2" t="n">
        <v>2</v>
      </c>
      <c r="D1176" s="2" t="n">
        <v>0</v>
      </c>
      <c r="E1176" s="2" t="s">
        <v>5555</v>
      </c>
      <c r="F1176" s="2" t="s">
        <v>5524</v>
      </c>
      <c r="G1176" s="2" t="s">
        <v>5556</v>
      </c>
      <c r="H1176" s="2" t="s">
        <v>3185</v>
      </c>
      <c r="I1176" s="2" t="s">
        <v>5557</v>
      </c>
      <c r="J1176" s="2" t="s">
        <v>11255</v>
      </c>
      <c r="K1176" s="2" t="s">
        <v>507</v>
      </c>
      <c r="L1176" s="2" t="n">
        <v>0.07</v>
      </c>
      <c r="M1176" s="2" t="n">
        <v>0.62</v>
      </c>
    </row>
    <row r="1177" customFormat="false" ht="15" hidden="false" customHeight="false" outlineLevel="0" collapsed="false">
      <c r="A1177" s="2" t="n">
        <v>1175</v>
      </c>
      <c r="B1177" s="2" t="s">
        <v>5549</v>
      </c>
      <c r="C1177" s="2" t="n">
        <v>0</v>
      </c>
      <c r="D1177" s="2" t="n">
        <v>0</v>
      </c>
      <c r="E1177" s="2" t="s">
        <v>11256</v>
      </c>
      <c r="F1177" s="2" t="s">
        <v>95</v>
      </c>
      <c r="G1177" s="2" t="s">
        <v>10157</v>
      </c>
      <c r="H1177" s="2" t="s">
        <v>3223</v>
      </c>
      <c r="I1177" s="2" t="s">
        <v>1092</v>
      </c>
      <c r="J1177" s="2" t="s">
        <v>11257</v>
      </c>
      <c r="K1177" s="2" t="s">
        <v>507</v>
      </c>
      <c r="L1177" s="2" t="n">
        <v>0</v>
      </c>
      <c r="M1177" s="2" t="n">
        <v>0.77</v>
      </c>
    </row>
    <row r="1178" customFormat="false" ht="15" hidden="false" customHeight="false" outlineLevel="0" collapsed="false">
      <c r="A1178" s="2" t="n">
        <v>1176</v>
      </c>
      <c r="B1178" s="2" t="s">
        <v>5549</v>
      </c>
      <c r="C1178" s="2" t="n">
        <v>1</v>
      </c>
      <c r="D1178" s="2" t="n">
        <v>0</v>
      </c>
      <c r="E1178" s="2" t="s">
        <v>5568</v>
      </c>
      <c r="F1178" s="2" t="s">
        <v>5524</v>
      </c>
      <c r="G1178" s="2" t="s">
        <v>5569</v>
      </c>
      <c r="H1178" s="2" t="s">
        <v>3185</v>
      </c>
      <c r="I1178" s="2" t="s">
        <v>5570</v>
      </c>
      <c r="J1178" s="2" t="s">
        <v>11258</v>
      </c>
      <c r="K1178" s="2" t="s">
        <v>507</v>
      </c>
      <c r="L1178" s="2" t="n">
        <v>0.09</v>
      </c>
      <c r="M1178" s="2" t="n">
        <v>1</v>
      </c>
    </row>
    <row r="1179" customFormat="false" ht="15" hidden="false" customHeight="false" outlineLevel="0" collapsed="false">
      <c r="A1179" s="2" t="n">
        <v>1177</v>
      </c>
      <c r="B1179" s="2" t="s">
        <v>5549</v>
      </c>
      <c r="C1179" s="2" t="n">
        <v>0</v>
      </c>
      <c r="D1179" s="2" t="n">
        <v>0</v>
      </c>
      <c r="E1179" s="2" t="s">
        <v>11259</v>
      </c>
      <c r="F1179" s="2" t="s">
        <v>11260</v>
      </c>
      <c r="G1179" s="2" t="s">
        <v>10162</v>
      </c>
      <c r="H1179" s="2" t="s">
        <v>3185</v>
      </c>
      <c r="I1179" s="2" t="s">
        <v>3823</v>
      </c>
      <c r="J1179" s="2" t="s">
        <v>11261</v>
      </c>
      <c r="K1179" s="2" t="s">
        <v>507</v>
      </c>
      <c r="L1179" s="2" t="n">
        <v>0</v>
      </c>
      <c r="M1179" s="2" t="n">
        <v>0.43</v>
      </c>
    </row>
    <row r="1180" customFormat="false" ht="15" hidden="false" customHeight="false" outlineLevel="0" collapsed="false">
      <c r="A1180" s="2" t="n">
        <v>1178</v>
      </c>
      <c r="B1180" s="2" t="s">
        <v>5549</v>
      </c>
      <c r="C1180" s="2" t="n">
        <v>0</v>
      </c>
      <c r="D1180" s="2" t="n">
        <v>0</v>
      </c>
      <c r="E1180" s="2" t="s">
        <v>11262</v>
      </c>
      <c r="F1180" s="2" t="s">
        <v>11260</v>
      </c>
      <c r="G1180" s="2" t="s">
        <v>10165</v>
      </c>
      <c r="H1180" s="2" t="s">
        <v>594</v>
      </c>
      <c r="I1180" s="2" t="s">
        <v>1261</v>
      </c>
      <c r="J1180" s="2" t="s">
        <v>11263</v>
      </c>
      <c r="K1180" s="2" t="s">
        <v>507</v>
      </c>
      <c r="L1180" s="2" t="n">
        <v>0</v>
      </c>
      <c r="M1180" s="2" t="n">
        <v>0.92</v>
      </c>
    </row>
    <row r="1181" customFormat="false" ht="15" hidden="false" customHeight="false" outlineLevel="0" collapsed="false">
      <c r="A1181" s="2" t="n">
        <v>1179</v>
      </c>
      <c r="B1181" s="2" t="s">
        <v>5549</v>
      </c>
      <c r="C1181" s="2" t="n">
        <v>1</v>
      </c>
      <c r="D1181" s="2" t="n">
        <v>0</v>
      </c>
      <c r="E1181" s="2" t="s">
        <v>5574</v>
      </c>
      <c r="F1181" s="2" t="s">
        <v>5575</v>
      </c>
      <c r="G1181" s="2" t="s">
        <v>3193</v>
      </c>
      <c r="H1181" s="2" t="s">
        <v>594</v>
      </c>
      <c r="I1181" s="2" t="s">
        <v>3194</v>
      </c>
      <c r="J1181" s="2" t="s">
        <v>11264</v>
      </c>
      <c r="K1181" s="2" t="s">
        <v>507</v>
      </c>
      <c r="L1181" s="2" t="n">
        <v>0.25</v>
      </c>
      <c r="M1181" s="2" t="n">
        <v>0.73</v>
      </c>
    </row>
    <row r="1182" customFormat="false" ht="15" hidden="false" customHeight="false" outlineLevel="0" collapsed="false">
      <c r="A1182" s="2" t="n">
        <v>1180</v>
      </c>
      <c r="B1182" s="2" t="s">
        <v>5549</v>
      </c>
      <c r="C1182" s="2" t="n">
        <v>1</v>
      </c>
      <c r="D1182" s="2" t="n">
        <v>0</v>
      </c>
      <c r="E1182" s="2" t="s">
        <v>5582</v>
      </c>
      <c r="F1182" s="2" t="s">
        <v>95</v>
      </c>
      <c r="G1182" s="2" t="s">
        <v>3205</v>
      </c>
      <c r="H1182" s="2" t="s">
        <v>3168</v>
      </c>
      <c r="I1182" s="2" t="s">
        <v>3206</v>
      </c>
      <c r="J1182" s="2" t="s">
        <v>11265</v>
      </c>
      <c r="K1182" s="2" t="s">
        <v>507</v>
      </c>
      <c r="L1182" s="2" t="n">
        <v>0.1</v>
      </c>
      <c r="M1182" s="2" t="n">
        <v>0.8</v>
      </c>
    </row>
    <row r="1183" customFormat="false" ht="15" hidden="false" customHeight="false" outlineLevel="0" collapsed="false">
      <c r="A1183" s="2" t="n">
        <v>1181</v>
      </c>
      <c r="B1183" s="2" t="s">
        <v>5549</v>
      </c>
      <c r="C1183" s="2" t="n">
        <v>0</v>
      </c>
      <c r="D1183" s="2" t="n">
        <v>0</v>
      </c>
      <c r="E1183" s="2" t="s">
        <v>11266</v>
      </c>
      <c r="F1183" s="2" t="s">
        <v>4322</v>
      </c>
      <c r="G1183" s="2" t="s">
        <v>3211</v>
      </c>
      <c r="H1183" s="2" t="s">
        <v>3212</v>
      </c>
      <c r="I1183" s="2" t="s">
        <v>204</v>
      </c>
      <c r="J1183" s="2" t="s">
        <v>11267</v>
      </c>
      <c r="K1183" s="2" t="s">
        <v>507</v>
      </c>
      <c r="L1183" s="2" t="n">
        <v>0</v>
      </c>
      <c r="M1183" s="2" t="n">
        <v>0.33</v>
      </c>
    </row>
    <row r="1184" customFormat="false" ht="15" hidden="false" customHeight="false" outlineLevel="0" collapsed="false">
      <c r="A1184" s="2" t="n">
        <v>1182</v>
      </c>
      <c r="B1184" s="2" t="s">
        <v>5549</v>
      </c>
      <c r="C1184" s="2" t="n">
        <v>0</v>
      </c>
      <c r="D1184" s="2" t="n">
        <v>0</v>
      </c>
      <c r="E1184" s="2" t="s">
        <v>11268</v>
      </c>
      <c r="F1184" s="2" t="s">
        <v>7941</v>
      </c>
      <c r="G1184" s="2" t="s">
        <v>3222</v>
      </c>
      <c r="H1184" s="2" t="s">
        <v>3223</v>
      </c>
      <c r="I1184" s="2" t="s">
        <v>697</v>
      </c>
      <c r="J1184" s="2" t="s">
        <v>11269</v>
      </c>
      <c r="K1184" s="2" t="s">
        <v>507</v>
      </c>
      <c r="L1184" s="2" t="n">
        <v>0</v>
      </c>
      <c r="M1184" s="2" t="n">
        <v>0.7</v>
      </c>
    </row>
    <row r="1185" customFormat="false" ht="15" hidden="false" customHeight="false" outlineLevel="0" collapsed="false">
      <c r="A1185" s="2" t="n">
        <v>1183</v>
      </c>
      <c r="B1185" s="2" t="s">
        <v>5549</v>
      </c>
      <c r="C1185" s="2" t="n">
        <v>0</v>
      </c>
      <c r="D1185" s="2" t="n">
        <v>0</v>
      </c>
      <c r="E1185" s="2" t="s">
        <v>11270</v>
      </c>
      <c r="F1185" s="2" t="s">
        <v>418</v>
      </c>
      <c r="G1185" s="2" t="s">
        <v>3229</v>
      </c>
      <c r="H1185" s="2" t="s">
        <v>97</v>
      </c>
      <c r="I1185" s="2" t="s">
        <v>2613</v>
      </c>
      <c r="J1185" s="2" t="s">
        <v>11271</v>
      </c>
      <c r="K1185" s="2" t="s">
        <v>507</v>
      </c>
      <c r="L1185" s="2" t="n">
        <v>0</v>
      </c>
      <c r="M1185" s="2" t="n">
        <v>0.9</v>
      </c>
    </row>
    <row r="1186" customFormat="false" ht="15" hidden="false" customHeight="false" outlineLevel="0" collapsed="false">
      <c r="A1186" s="2" t="n">
        <v>1184</v>
      </c>
      <c r="B1186" s="2" t="s">
        <v>5549</v>
      </c>
      <c r="C1186" s="2" t="n">
        <v>3</v>
      </c>
      <c r="D1186" s="2" t="n">
        <v>1</v>
      </c>
      <c r="E1186" s="2" t="s">
        <v>5589</v>
      </c>
      <c r="F1186" s="2" t="s">
        <v>5590</v>
      </c>
      <c r="G1186" s="2" t="s">
        <v>5591</v>
      </c>
      <c r="H1186" s="2" t="s">
        <v>420</v>
      </c>
      <c r="I1186" s="2" t="s">
        <v>1429</v>
      </c>
      <c r="J1186" s="2" t="s">
        <v>11272</v>
      </c>
      <c r="K1186" s="2" t="s">
        <v>507</v>
      </c>
      <c r="L1186" s="2" t="n">
        <v>0.09</v>
      </c>
      <c r="M1186" s="2" t="n">
        <v>0.56</v>
      </c>
    </row>
    <row r="1187" customFormat="false" ht="15" hidden="false" customHeight="false" outlineLevel="0" collapsed="false">
      <c r="A1187" s="2" t="n">
        <v>1185</v>
      </c>
      <c r="B1187" s="2" t="s">
        <v>5549</v>
      </c>
      <c r="C1187" s="2" t="n">
        <v>0</v>
      </c>
      <c r="D1187" s="2" t="n">
        <v>0</v>
      </c>
      <c r="E1187" s="2" t="s">
        <v>11273</v>
      </c>
      <c r="F1187" s="2" t="s">
        <v>11274</v>
      </c>
      <c r="G1187" s="2" t="s">
        <v>3237</v>
      </c>
      <c r="H1187" s="2" t="s">
        <v>3238</v>
      </c>
      <c r="I1187" s="2" t="s">
        <v>3239</v>
      </c>
      <c r="J1187" s="2" t="s">
        <v>11275</v>
      </c>
      <c r="K1187" s="2" t="s">
        <v>507</v>
      </c>
      <c r="L1187" s="2" t="n">
        <v>0.09</v>
      </c>
      <c r="M1187" s="2" t="n">
        <v>0.86</v>
      </c>
    </row>
    <row r="1188" customFormat="false" ht="15" hidden="false" customHeight="false" outlineLevel="0" collapsed="false">
      <c r="A1188" s="2" t="n">
        <v>1186</v>
      </c>
      <c r="B1188" s="2" t="s">
        <v>5549</v>
      </c>
      <c r="C1188" s="2" t="n">
        <v>0</v>
      </c>
      <c r="D1188" s="2" t="n">
        <v>0</v>
      </c>
      <c r="E1188" s="2" t="s">
        <v>11276</v>
      </c>
      <c r="F1188" s="2" t="s">
        <v>11277</v>
      </c>
      <c r="G1188" s="2" t="s">
        <v>10179</v>
      </c>
      <c r="H1188" s="2" t="s">
        <v>420</v>
      </c>
      <c r="I1188" s="2" t="s">
        <v>1741</v>
      </c>
      <c r="J1188" s="2" t="s">
        <v>11278</v>
      </c>
      <c r="K1188" s="2" t="s">
        <v>507</v>
      </c>
      <c r="L1188" s="2" t="n">
        <v>0</v>
      </c>
      <c r="M1188" s="2" t="n">
        <v>0.91</v>
      </c>
    </row>
    <row r="1189" customFormat="false" ht="15" hidden="false" customHeight="false" outlineLevel="0" collapsed="false">
      <c r="A1189" s="2" t="n">
        <v>1187</v>
      </c>
      <c r="B1189" s="2" t="s">
        <v>5549</v>
      </c>
      <c r="C1189" s="2" t="n">
        <v>0</v>
      </c>
      <c r="D1189" s="2" t="n">
        <v>0</v>
      </c>
      <c r="E1189" s="2" t="s">
        <v>11279</v>
      </c>
      <c r="F1189" s="2" t="s">
        <v>11280</v>
      </c>
      <c r="G1189" s="2" t="s">
        <v>11281</v>
      </c>
      <c r="H1189" s="2" t="s">
        <v>66</v>
      </c>
      <c r="I1189" s="2" t="s">
        <v>2013</v>
      </c>
      <c r="J1189" s="2" t="s">
        <v>11282</v>
      </c>
      <c r="K1189" s="2" t="s">
        <v>507</v>
      </c>
      <c r="L1189" s="2" t="n">
        <v>0</v>
      </c>
      <c r="M1189" s="2" t="n">
        <v>0.73</v>
      </c>
    </row>
    <row r="1190" customFormat="false" ht="15" hidden="false" customHeight="false" outlineLevel="0" collapsed="false">
      <c r="A1190" s="2" t="n">
        <v>1188</v>
      </c>
      <c r="B1190" s="2" t="s">
        <v>5549</v>
      </c>
      <c r="C1190" s="2" t="n">
        <v>0</v>
      </c>
      <c r="D1190" s="2" t="n">
        <v>0</v>
      </c>
      <c r="E1190" s="2" t="s">
        <v>11283</v>
      </c>
      <c r="F1190" s="2" t="s">
        <v>11277</v>
      </c>
      <c r="G1190" s="2" t="s">
        <v>3244</v>
      </c>
      <c r="H1190" s="2" t="s">
        <v>965</v>
      </c>
      <c r="I1190" s="2" t="s">
        <v>98</v>
      </c>
      <c r="J1190" s="2" t="s">
        <v>11284</v>
      </c>
      <c r="K1190" s="2" t="s">
        <v>507</v>
      </c>
      <c r="L1190" s="2" t="n">
        <v>0</v>
      </c>
      <c r="M1190" s="2" t="n">
        <v>0.81</v>
      </c>
    </row>
    <row r="1191" customFormat="false" ht="15" hidden="false" customHeight="false" outlineLevel="0" collapsed="false">
      <c r="A1191" s="2" t="n">
        <v>1189</v>
      </c>
      <c r="B1191" s="2" t="s">
        <v>5549</v>
      </c>
      <c r="C1191" s="2" t="n">
        <v>0</v>
      </c>
      <c r="D1191" s="2" t="n">
        <v>0</v>
      </c>
      <c r="E1191" s="2" t="s">
        <v>11285</v>
      </c>
      <c r="F1191" s="2" t="s">
        <v>803</v>
      </c>
      <c r="G1191" s="2" t="s">
        <v>3261</v>
      </c>
      <c r="H1191" s="2" t="s">
        <v>3262</v>
      </c>
      <c r="I1191" s="2" t="s">
        <v>67</v>
      </c>
      <c r="J1191" s="2" t="s">
        <v>11286</v>
      </c>
      <c r="K1191" s="2" t="s">
        <v>507</v>
      </c>
      <c r="L1191" s="2" t="n">
        <v>0</v>
      </c>
      <c r="M1191" s="2" t="n">
        <v>1</v>
      </c>
    </row>
    <row r="1192" customFormat="false" ht="15" hidden="false" customHeight="false" outlineLevel="0" collapsed="false">
      <c r="A1192" s="2" t="n">
        <v>1190</v>
      </c>
      <c r="B1192" s="2" t="s">
        <v>5549</v>
      </c>
      <c r="C1192" s="2" t="n">
        <v>0</v>
      </c>
      <c r="D1192" s="2" t="n">
        <v>0</v>
      </c>
      <c r="E1192" s="2" t="s">
        <v>11287</v>
      </c>
      <c r="F1192" s="2" t="s">
        <v>11288</v>
      </c>
      <c r="G1192" s="2" t="s">
        <v>3271</v>
      </c>
      <c r="H1192" s="2" t="s">
        <v>1378</v>
      </c>
      <c r="I1192" s="2" t="s">
        <v>421</v>
      </c>
      <c r="J1192" s="2" t="s">
        <v>11289</v>
      </c>
      <c r="K1192" s="2" t="s">
        <v>507</v>
      </c>
      <c r="L1192" s="2" t="n">
        <v>0</v>
      </c>
      <c r="M1192" s="2" t="n">
        <v>0.83</v>
      </c>
    </row>
    <row r="1193" customFormat="false" ht="15" hidden="false" customHeight="false" outlineLevel="0" collapsed="false">
      <c r="A1193" s="2" t="n">
        <v>1191</v>
      </c>
      <c r="B1193" s="2" t="s">
        <v>5549</v>
      </c>
      <c r="C1193" s="2" t="n">
        <v>0</v>
      </c>
      <c r="D1193" s="2" t="n">
        <v>0</v>
      </c>
      <c r="E1193" s="2" t="s">
        <v>11290</v>
      </c>
      <c r="F1193" s="2" t="s">
        <v>743</v>
      </c>
      <c r="G1193" s="2" t="s">
        <v>3280</v>
      </c>
      <c r="H1193" s="2" t="s">
        <v>2233</v>
      </c>
      <c r="I1193" s="2" t="s">
        <v>1147</v>
      </c>
      <c r="J1193" s="2" t="s">
        <v>11291</v>
      </c>
      <c r="K1193" s="2" t="s">
        <v>507</v>
      </c>
      <c r="L1193" s="2" t="n">
        <v>0</v>
      </c>
      <c r="M1193" s="2" t="n">
        <v>0.73</v>
      </c>
    </row>
    <row r="1194" customFormat="false" ht="15" hidden="false" customHeight="false" outlineLevel="0" collapsed="false">
      <c r="A1194" s="2" t="n">
        <v>1192</v>
      </c>
      <c r="B1194" s="2" t="s">
        <v>5549</v>
      </c>
      <c r="C1194" s="2" t="n">
        <v>1</v>
      </c>
      <c r="D1194" s="2" t="n">
        <v>1</v>
      </c>
      <c r="E1194" s="2" t="s">
        <v>5600</v>
      </c>
      <c r="F1194" s="2" t="s">
        <v>3341</v>
      </c>
      <c r="G1194" s="2" t="s">
        <v>5601</v>
      </c>
      <c r="H1194" s="2" t="s">
        <v>603</v>
      </c>
      <c r="I1194" s="2" t="s">
        <v>370</v>
      </c>
      <c r="J1194" s="2" t="s">
        <v>11292</v>
      </c>
      <c r="K1194" s="2" t="s">
        <v>507</v>
      </c>
      <c r="L1194" s="2" t="n">
        <v>0.09</v>
      </c>
      <c r="M1194" s="2" t="n">
        <v>0.77</v>
      </c>
    </row>
    <row r="1195" customFormat="false" ht="15" hidden="false" customHeight="false" outlineLevel="0" collapsed="false">
      <c r="A1195" s="2" t="n">
        <v>1193</v>
      </c>
      <c r="B1195" s="2" t="s">
        <v>5549</v>
      </c>
      <c r="C1195" s="2" t="n">
        <v>0</v>
      </c>
      <c r="D1195" s="2" t="n">
        <v>0</v>
      </c>
      <c r="E1195" s="2" t="s">
        <v>11293</v>
      </c>
      <c r="F1195" s="2" t="s">
        <v>11294</v>
      </c>
      <c r="G1195" s="2" t="s">
        <v>3286</v>
      </c>
      <c r="H1195" s="2" t="s">
        <v>420</v>
      </c>
      <c r="I1195" s="2" t="s">
        <v>2399</v>
      </c>
      <c r="J1195" s="2" t="s">
        <v>11295</v>
      </c>
      <c r="K1195" s="2" t="s">
        <v>507</v>
      </c>
      <c r="L1195" s="2" t="n">
        <v>0</v>
      </c>
      <c r="M1195" s="2" t="n">
        <v>0.33</v>
      </c>
    </row>
    <row r="1196" customFormat="false" ht="15" hidden="false" customHeight="false" outlineLevel="0" collapsed="false">
      <c r="A1196" s="2" t="n">
        <v>1194</v>
      </c>
      <c r="B1196" s="2" t="s">
        <v>5549</v>
      </c>
      <c r="C1196" s="2" t="n">
        <v>0</v>
      </c>
      <c r="D1196" s="2" t="n">
        <v>0</v>
      </c>
      <c r="E1196" s="2" t="s">
        <v>11296</v>
      </c>
      <c r="F1196" s="2" t="s">
        <v>11297</v>
      </c>
      <c r="G1196" s="2" t="s">
        <v>3314</v>
      </c>
      <c r="H1196" s="2" t="s">
        <v>3315</v>
      </c>
      <c r="I1196" s="2" t="s">
        <v>2037</v>
      </c>
      <c r="J1196" s="2" t="s">
        <v>11298</v>
      </c>
      <c r="K1196" s="2" t="s">
        <v>507</v>
      </c>
      <c r="L1196" s="2" t="n">
        <v>0.09</v>
      </c>
      <c r="M1196" s="2" t="n">
        <v>0.62</v>
      </c>
    </row>
    <row r="1197" customFormat="false" ht="15" hidden="false" customHeight="false" outlineLevel="0" collapsed="false">
      <c r="A1197" s="2" t="n">
        <v>1195</v>
      </c>
      <c r="B1197" s="2" t="s">
        <v>5549</v>
      </c>
      <c r="C1197" s="2" t="n">
        <v>0</v>
      </c>
      <c r="D1197" s="2" t="n">
        <v>0</v>
      </c>
      <c r="E1197" s="2" t="s">
        <v>11299</v>
      </c>
      <c r="F1197" s="2" t="s">
        <v>3347</v>
      </c>
      <c r="G1197" s="2" t="s">
        <v>3319</v>
      </c>
      <c r="H1197" s="2" t="s">
        <v>3320</v>
      </c>
      <c r="I1197" s="2" t="s">
        <v>3321</v>
      </c>
      <c r="J1197" s="2" t="s">
        <v>11300</v>
      </c>
      <c r="K1197" s="2" t="s">
        <v>507</v>
      </c>
      <c r="L1197" s="2" t="n">
        <v>0</v>
      </c>
      <c r="M1197" s="2" t="n">
        <v>0.89</v>
      </c>
    </row>
    <row r="1198" customFormat="false" ht="15" hidden="false" customHeight="false" outlineLevel="0" collapsed="false">
      <c r="A1198" s="2" t="n">
        <v>1196</v>
      </c>
      <c r="B1198" s="2" t="s">
        <v>5549</v>
      </c>
      <c r="C1198" s="2" t="n">
        <v>1</v>
      </c>
      <c r="D1198" s="2" t="n">
        <v>0</v>
      </c>
      <c r="E1198" s="2" t="s">
        <v>5606</v>
      </c>
      <c r="F1198" s="2" t="s">
        <v>694</v>
      </c>
      <c r="G1198" s="2" t="s">
        <v>3329</v>
      </c>
      <c r="H1198" s="2" t="s">
        <v>3330</v>
      </c>
      <c r="I1198" s="2" t="s">
        <v>2158</v>
      </c>
      <c r="J1198" s="2" t="s">
        <v>11301</v>
      </c>
      <c r="K1198" s="2" t="s">
        <v>507</v>
      </c>
      <c r="L1198" s="2" t="n">
        <v>0</v>
      </c>
      <c r="M1198" s="2" t="n">
        <v>0.88</v>
      </c>
    </row>
    <row r="1199" customFormat="false" ht="15" hidden="false" customHeight="false" outlineLevel="0" collapsed="false">
      <c r="A1199" s="2" t="n">
        <v>1197</v>
      </c>
      <c r="B1199" s="2" t="s">
        <v>5549</v>
      </c>
      <c r="C1199" s="2" t="n">
        <v>0</v>
      </c>
      <c r="D1199" s="2" t="n">
        <v>0</v>
      </c>
      <c r="E1199" s="2" t="s">
        <v>11302</v>
      </c>
      <c r="F1199" s="2" t="s">
        <v>2952</v>
      </c>
      <c r="G1199" s="2" t="s">
        <v>3342</v>
      </c>
      <c r="H1199" s="2" t="s">
        <v>3343</v>
      </c>
      <c r="I1199" s="2" t="s">
        <v>2489</v>
      </c>
      <c r="J1199" s="2" t="s">
        <v>11303</v>
      </c>
      <c r="K1199" s="2" t="s">
        <v>507</v>
      </c>
      <c r="L1199" s="2" t="n">
        <v>0.14</v>
      </c>
      <c r="M1199" s="2" t="n">
        <v>0.79</v>
      </c>
    </row>
    <row r="1200" customFormat="false" ht="15" hidden="false" customHeight="false" outlineLevel="0" collapsed="false">
      <c r="A1200" s="2" t="n">
        <v>1198</v>
      </c>
      <c r="B1200" s="2" t="s">
        <v>5549</v>
      </c>
      <c r="C1200" s="2" t="n">
        <v>0</v>
      </c>
      <c r="D1200" s="2" t="n">
        <v>0</v>
      </c>
      <c r="E1200" s="2" t="s">
        <v>11304</v>
      </c>
      <c r="F1200" s="2" t="s">
        <v>1158</v>
      </c>
      <c r="G1200" s="2" t="s">
        <v>3348</v>
      </c>
      <c r="H1200" s="2" t="s">
        <v>965</v>
      </c>
      <c r="I1200" s="2" t="s">
        <v>98</v>
      </c>
      <c r="J1200" s="2" t="s">
        <v>11305</v>
      </c>
      <c r="K1200" s="2" t="s">
        <v>507</v>
      </c>
      <c r="L1200" s="2" t="n">
        <v>0</v>
      </c>
      <c r="M1200" s="2" t="n">
        <v>0.64</v>
      </c>
    </row>
    <row r="1201" customFormat="false" ht="15" hidden="false" customHeight="false" outlineLevel="0" collapsed="false">
      <c r="A1201" s="2" t="n">
        <v>1199</v>
      </c>
      <c r="B1201" s="2" t="s">
        <v>5549</v>
      </c>
      <c r="C1201" s="2" t="n">
        <v>0</v>
      </c>
      <c r="D1201" s="2" t="n">
        <v>0</v>
      </c>
      <c r="E1201" s="2" t="s">
        <v>11306</v>
      </c>
      <c r="F1201" s="2" t="s">
        <v>803</v>
      </c>
      <c r="G1201" s="2" t="s">
        <v>3353</v>
      </c>
      <c r="H1201" s="2" t="s">
        <v>1500</v>
      </c>
      <c r="I1201" s="2" t="s">
        <v>1501</v>
      </c>
      <c r="J1201" s="2" t="s">
        <v>11307</v>
      </c>
      <c r="K1201" s="2" t="s">
        <v>507</v>
      </c>
      <c r="L1201" s="2" t="n">
        <v>0</v>
      </c>
      <c r="M1201" s="2" t="n">
        <v>1</v>
      </c>
    </row>
    <row r="1202" customFormat="false" ht="15" hidden="false" customHeight="false" outlineLevel="0" collapsed="false">
      <c r="A1202" s="2" t="n">
        <v>1200</v>
      </c>
      <c r="B1202" s="2" t="s">
        <v>5607</v>
      </c>
      <c r="C1202" s="2" t="n">
        <v>0</v>
      </c>
      <c r="D1202" s="2" t="n">
        <v>0</v>
      </c>
      <c r="E1202" s="2" t="s">
        <v>11308</v>
      </c>
      <c r="F1202" s="2" t="s">
        <v>5667</v>
      </c>
      <c r="G1202" s="2" t="s">
        <v>10196</v>
      </c>
      <c r="H1202" s="2" t="s">
        <v>696</v>
      </c>
      <c r="I1202" s="2" t="s">
        <v>647</v>
      </c>
      <c r="J1202" s="2" t="s">
        <v>11309</v>
      </c>
      <c r="K1202" s="2" t="s">
        <v>507</v>
      </c>
      <c r="L1202" s="2" t="n">
        <v>0</v>
      </c>
      <c r="M1202" s="2" t="n">
        <v>0.86</v>
      </c>
    </row>
    <row r="1203" customFormat="false" ht="15" hidden="false" customHeight="false" outlineLevel="0" collapsed="false">
      <c r="A1203" s="2" t="n">
        <v>1201</v>
      </c>
      <c r="B1203" s="2" t="s">
        <v>5607</v>
      </c>
      <c r="C1203" s="2" t="n">
        <v>0</v>
      </c>
      <c r="D1203" s="2" t="n">
        <v>0</v>
      </c>
      <c r="E1203" s="2" t="s">
        <v>11310</v>
      </c>
      <c r="F1203" s="2" t="s">
        <v>10696</v>
      </c>
      <c r="G1203" s="2" t="s">
        <v>10199</v>
      </c>
      <c r="H1203" s="2" t="s">
        <v>965</v>
      </c>
      <c r="I1203" s="2" t="s">
        <v>5557</v>
      </c>
      <c r="J1203" s="2" t="s">
        <v>11311</v>
      </c>
      <c r="K1203" s="2" t="s">
        <v>507</v>
      </c>
      <c r="L1203" s="2" t="n">
        <v>0.11</v>
      </c>
      <c r="M1203" s="2" t="n">
        <v>1</v>
      </c>
    </row>
    <row r="1204" customFormat="false" ht="15" hidden="false" customHeight="false" outlineLevel="0" collapsed="false">
      <c r="A1204" s="2" t="n">
        <v>1202</v>
      </c>
      <c r="B1204" s="2" t="s">
        <v>5607</v>
      </c>
      <c r="C1204" s="2" t="n">
        <v>1</v>
      </c>
      <c r="D1204" s="2" t="n">
        <v>0</v>
      </c>
      <c r="E1204" s="2" t="s">
        <v>5615</v>
      </c>
      <c r="F1204" s="2" t="s">
        <v>5616</v>
      </c>
      <c r="G1204" s="2" t="s">
        <v>5617</v>
      </c>
      <c r="H1204" s="2" t="s">
        <v>965</v>
      </c>
      <c r="I1204" s="2" t="s">
        <v>1543</v>
      </c>
      <c r="J1204" s="2" t="s">
        <v>11312</v>
      </c>
      <c r="K1204" s="2" t="s">
        <v>507</v>
      </c>
      <c r="L1204" s="2" t="n">
        <v>0</v>
      </c>
      <c r="M1204" s="2" t="n">
        <v>1</v>
      </c>
    </row>
    <row r="1205" customFormat="false" ht="15" hidden="false" customHeight="false" outlineLevel="0" collapsed="false">
      <c r="A1205" s="2" t="n">
        <v>1203</v>
      </c>
      <c r="B1205" s="2" t="s">
        <v>5607</v>
      </c>
      <c r="C1205" s="2" t="n">
        <v>1</v>
      </c>
      <c r="D1205" s="2" t="n">
        <v>0</v>
      </c>
      <c r="E1205" s="2" t="s">
        <v>5621</v>
      </c>
      <c r="F1205" s="2" t="s">
        <v>95</v>
      </c>
      <c r="G1205" s="2" t="s">
        <v>3359</v>
      </c>
      <c r="H1205" s="2" t="s">
        <v>582</v>
      </c>
      <c r="I1205" s="2" t="s">
        <v>487</v>
      </c>
      <c r="J1205" s="2" t="s">
        <v>11313</v>
      </c>
      <c r="K1205" s="2" t="s">
        <v>507</v>
      </c>
      <c r="L1205" s="2" t="n">
        <v>0</v>
      </c>
      <c r="M1205" s="2" t="n">
        <v>0.88</v>
      </c>
    </row>
    <row r="1206" customFormat="false" ht="15" hidden="false" customHeight="false" outlineLevel="0" collapsed="false">
      <c r="A1206" s="2" t="n">
        <v>1204</v>
      </c>
      <c r="B1206" s="2" t="s">
        <v>5607</v>
      </c>
      <c r="C1206" s="2" t="n">
        <v>0</v>
      </c>
      <c r="D1206" s="2" t="n">
        <v>0</v>
      </c>
      <c r="E1206" s="2" t="s">
        <v>11314</v>
      </c>
      <c r="F1206" s="2" t="s">
        <v>11315</v>
      </c>
      <c r="G1206" s="2" t="s">
        <v>3371</v>
      </c>
      <c r="H1206" s="2" t="s">
        <v>965</v>
      </c>
      <c r="I1206" s="2" t="s">
        <v>918</v>
      </c>
      <c r="J1206" s="2" t="s">
        <v>11316</v>
      </c>
      <c r="K1206" s="2" t="s">
        <v>507</v>
      </c>
      <c r="L1206" s="2" t="n">
        <v>0.11</v>
      </c>
      <c r="M1206" s="2" t="n">
        <v>0.7</v>
      </c>
    </row>
    <row r="1207" customFormat="false" ht="15" hidden="false" customHeight="false" outlineLevel="0" collapsed="false">
      <c r="A1207" s="2" t="n">
        <v>1205</v>
      </c>
      <c r="B1207" s="2" t="s">
        <v>5607</v>
      </c>
      <c r="C1207" s="2" t="n">
        <v>0</v>
      </c>
      <c r="D1207" s="2" t="n">
        <v>0</v>
      </c>
      <c r="E1207" s="2" t="s">
        <v>11317</v>
      </c>
      <c r="F1207" s="2" t="s">
        <v>6239</v>
      </c>
      <c r="G1207" s="2" t="s">
        <v>3376</v>
      </c>
      <c r="H1207" s="2" t="s">
        <v>582</v>
      </c>
      <c r="I1207" s="2" t="s">
        <v>1261</v>
      </c>
      <c r="J1207" s="2" t="s">
        <v>11318</v>
      </c>
      <c r="K1207" s="2" t="s">
        <v>507</v>
      </c>
      <c r="L1207" s="2" t="n">
        <v>0</v>
      </c>
      <c r="M1207" s="2" t="n">
        <v>0.88</v>
      </c>
    </row>
    <row r="1208" customFormat="false" ht="15" hidden="false" customHeight="false" outlineLevel="0" collapsed="false">
      <c r="A1208" s="2" t="n">
        <v>1206</v>
      </c>
      <c r="B1208" s="2" t="s">
        <v>5607</v>
      </c>
      <c r="C1208" s="2" t="n">
        <v>0</v>
      </c>
      <c r="D1208" s="2" t="n">
        <v>0</v>
      </c>
      <c r="E1208" s="2" t="s">
        <v>11319</v>
      </c>
      <c r="F1208" s="2" t="s">
        <v>3341</v>
      </c>
      <c r="G1208" s="2" t="s">
        <v>3386</v>
      </c>
      <c r="H1208" s="2" t="s">
        <v>3387</v>
      </c>
      <c r="I1208" s="2" t="s">
        <v>1204</v>
      </c>
      <c r="J1208" s="2" t="s">
        <v>11320</v>
      </c>
      <c r="K1208" s="2" t="s">
        <v>507</v>
      </c>
      <c r="L1208" s="2" t="n">
        <v>0.11</v>
      </c>
      <c r="M1208" s="2" t="n">
        <v>0.8</v>
      </c>
    </row>
    <row r="1209" customFormat="false" ht="15" hidden="false" customHeight="false" outlineLevel="0" collapsed="false">
      <c r="A1209" s="2" t="n">
        <v>1207</v>
      </c>
      <c r="B1209" s="2" t="s">
        <v>5607</v>
      </c>
      <c r="C1209" s="2" t="n">
        <v>0</v>
      </c>
      <c r="D1209" s="2" t="n">
        <v>0</v>
      </c>
      <c r="E1209" s="2" t="s">
        <v>11321</v>
      </c>
      <c r="F1209" s="2" t="s">
        <v>4322</v>
      </c>
      <c r="G1209" s="2" t="s">
        <v>3394</v>
      </c>
      <c r="H1209" s="2" t="s">
        <v>3343</v>
      </c>
      <c r="I1209" s="2" t="s">
        <v>301</v>
      </c>
      <c r="J1209" s="2" t="s">
        <v>11322</v>
      </c>
      <c r="K1209" s="2" t="s">
        <v>507</v>
      </c>
      <c r="L1209" s="2" t="n">
        <v>0</v>
      </c>
      <c r="M1209" s="2" t="n">
        <v>0.33</v>
      </c>
    </row>
    <row r="1210" customFormat="false" ht="15" hidden="false" customHeight="false" outlineLevel="0" collapsed="false">
      <c r="A1210" s="2" t="n">
        <v>1208</v>
      </c>
      <c r="B1210" s="2" t="s">
        <v>5607</v>
      </c>
      <c r="C1210" s="2" t="n">
        <v>1</v>
      </c>
      <c r="D1210" s="2" t="n">
        <v>1</v>
      </c>
      <c r="E1210" s="2" t="s">
        <v>5630</v>
      </c>
      <c r="F1210" s="2" t="s">
        <v>5631</v>
      </c>
      <c r="G1210" s="2" t="s">
        <v>3397</v>
      </c>
      <c r="H1210" s="2" t="s">
        <v>1146</v>
      </c>
      <c r="I1210" s="2" t="s">
        <v>3398</v>
      </c>
      <c r="J1210" s="2" t="s">
        <v>11323</v>
      </c>
      <c r="K1210" s="2" t="s">
        <v>507</v>
      </c>
      <c r="L1210" s="2" t="n">
        <v>0</v>
      </c>
      <c r="M1210" s="2" t="n">
        <v>0.9</v>
      </c>
    </row>
    <row r="1211" customFormat="false" ht="15" hidden="false" customHeight="false" outlineLevel="0" collapsed="false">
      <c r="A1211" s="2" t="n">
        <v>1209</v>
      </c>
      <c r="B1211" s="2" t="s">
        <v>5607</v>
      </c>
      <c r="C1211" s="2" t="n">
        <v>1</v>
      </c>
      <c r="D1211" s="2" t="n">
        <v>1</v>
      </c>
      <c r="E1211" s="2" t="s">
        <v>5636</v>
      </c>
      <c r="F1211" s="2" t="s">
        <v>5637</v>
      </c>
      <c r="G1211" s="2" t="s">
        <v>5638</v>
      </c>
      <c r="H1211" s="2" t="s">
        <v>3212</v>
      </c>
      <c r="I1211" s="2" t="s">
        <v>1147</v>
      </c>
      <c r="J1211" s="2" t="s">
        <v>11324</v>
      </c>
      <c r="K1211" s="2" t="s">
        <v>507</v>
      </c>
      <c r="L1211" s="2" t="n">
        <v>0</v>
      </c>
      <c r="M1211" s="2" t="n">
        <v>0.7</v>
      </c>
    </row>
    <row r="1212" customFormat="false" ht="15" hidden="false" customHeight="false" outlineLevel="0" collapsed="false">
      <c r="A1212" s="2" t="n">
        <v>1210</v>
      </c>
      <c r="B1212" s="2" t="s">
        <v>5607</v>
      </c>
      <c r="C1212" s="2" t="n">
        <v>0</v>
      </c>
      <c r="D1212" s="2" t="n">
        <v>0</v>
      </c>
      <c r="E1212" s="2" t="s">
        <v>11325</v>
      </c>
      <c r="F1212" s="2" t="s">
        <v>8272</v>
      </c>
      <c r="G1212" s="2" t="s">
        <v>10212</v>
      </c>
      <c r="H1212" s="2" t="s">
        <v>1137</v>
      </c>
      <c r="I1212" s="2" t="s">
        <v>4276</v>
      </c>
      <c r="J1212" s="2" t="s">
        <v>11326</v>
      </c>
      <c r="K1212" s="2" t="s">
        <v>507</v>
      </c>
      <c r="L1212" s="2" t="n">
        <v>0</v>
      </c>
      <c r="M1212" s="2" t="n">
        <v>0.82</v>
      </c>
    </row>
    <row r="1213" customFormat="false" ht="15" hidden="false" customHeight="false" outlineLevel="0" collapsed="false">
      <c r="A1213" s="2" t="n">
        <v>1211</v>
      </c>
      <c r="B1213" s="2" t="s">
        <v>5607</v>
      </c>
      <c r="C1213" s="2" t="n">
        <v>0</v>
      </c>
      <c r="D1213" s="2" t="n">
        <v>0</v>
      </c>
      <c r="E1213" s="2" t="s">
        <v>11327</v>
      </c>
      <c r="F1213" s="2" t="s">
        <v>11328</v>
      </c>
      <c r="G1213" s="2" t="s">
        <v>3402</v>
      </c>
      <c r="H1213" s="2" t="s">
        <v>1500</v>
      </c>
      <c r="I1213" s="2" t="s">
        <v>1793</v>
      </c>
      <c r="J1213" s="2" t="s">
        <v>11329</v>
      </c>
      <c r="K1213" s="2" t="s">
        <v>507</v>
      </c>
      <c r="L1213" s="2" t="n">
        <v>0.14</v>
      </c>
      <c r="M1213" s="2" t="n">
        <v>0.75</v>
      </c>
    </row>
    <row r="1214" customFormat="false" ht="15" hidden="false" customHeight="false" outlineLevel="0" collapsed="false">
      <c r="A1214" s="2" t="n">
        <v>1212</v>
      </c>
      <c r="B1214" s="2" t="s">
        <v>5607</v>
      </c>
      <c r="C1214" s="2" t="n">
        <v>0</v>
      </c>
      <c r="D1214" s="2" t="n">
        <v>0</v>
      </c>
      <c r="E1214" s="2" t="s">
        <v>11330</v>
      </c>
      <c r="F1214" s="2" t="s">
        <v>5045</v>
      </c>
      <c r="G1214" s="2" t="s">
        <v>3407</v>
      </c>
      <c r="H1214" s="2" t="s">
        <v>3408</v>
      </c>
      <c r="I1214" s="2" t="s">
        <v>476</v>
      </c>
      <c r="J1214" s="2" t="s">
        <v>11331</v>
      </c>
      <c r="K1214" s="2" t="s">
        <v>507</v>
      </c>
      <c r="L1214" s="2" t="n">
        <v>0.14</v>
      </c>
      <c r="M1214" s="2" t="n">
        <v>0.67</v>
      </c>
    </row>
    <row r="1215" customFormat="false" ht="15" hidden="false" customHeight="false" outlineLevel="0" collapsed="false">
      <c r="A1215" s="2" t="n">
        <v>1213</v>
      </c>
      <c r="B1215" s="2" t="s">
        <v>5607</v>
      </c>
      <c r="C1215" s="2" t="n">
        <v>2</v>
      </c>
      <c r="D1215" s="2" t="n">
        <v>0</v>
      </c>
      <c r="E1215" s="2" t="s">
        <v>5645</v>
      </c>
      <c r="F1215" s="2" t="s">
        <v>5646</v>
      </c>
      <c r="G1215" s="2" t="s">
        <v>5647</v>
      </c>
      <c r="H1215" s="2" t="s">
        <v>5648</v>
      </c>
      <c r="I1215" s="2" t="s">
        <v>476</v>
      </c>
      <c r="J1215" s="2" t="s">
        <v>11332</v>
      </c>
      <c r="K1215" s="2" t="s">
        <v>507</v>
      </c>
      <c r="L1215" s="2" t="n">
        <v>0</v>
      </c>
      <c r="M1215" s="2" t="n">
        <v>0.67</v>
      </c>
    </row>
    <row r="1216" customFormat="false" ht="15" hidden="false" customHeight="false" outlineLevel="0" collapsed="false">
      <c r="A1216" s="2" t="n">
        <v>1214</v>
      </c>
      <c r="B1216" s="2" t="s">
        <v>5607</v>
      </c>
      <c r="C1216" s="2" t="n">
        <v>0</v>
      </c>
      <c r="D1216" s="2" t="n">
        <v>0</v>
      </c>
      <c r="E1216" s="2" t="s">
        <v>11333</v>
      </c>
      <c r="F1216" s="2" t="s">
        <v>644</v>
      </c>
      <c r="G1216" s="2" t="s">
        <v>10220</v>
      </c>
      <c r="H1216" s="2" t="s">
        <v>10221</v>
      </c>
      <c r="I1216" s="2" t="s">
        <v>8275</v>
      </c>
      <c r="J1216" s="2" t="s">
        <v>11334</v>
      </c>
      <c r="K1216" s="2" t="s">
        <v>507</v>
      </c>
      <c r="L1216" s="2" t="n">
        <v>0</v>
      </c>
      <c r="M1216" s="2" t="n">
        <v>0.5</v>
      </c>
    </row>
    <row r="1217" customFormat="false" ht="15" hidden="false" customHeight="false" outlineLevel="0" collapsed="false">
      <c r="A1217" s="2" t="n">
        <v>1215</v>
      </c>
      <c r="B1217" s="2" t="s">
        <v>5607</v>
      </c>
      <c r="C1217" s="2" t="n">
        <v>0</v>
      </c>
      <c r="D1217" s="2" t="n">
        <v>0</v>
      </c>
      <c r="E1217" s="2" t="s">
        <v>11335</v>
      </c>
      <c r="F1217" s="2" t="s">
        <v>1144</v>
      </c>
      <c r="G1217" s="2" t="s">
        <v>10224</v>
      </c>
      <c r="H1217" s="2" t="s">
        <v>2233</v>
      </c>
      <c r="I1217" s="2" t="s">
        <v>2825</v>
      </c>
      <c r="J1217" s="2" t="s">
        <v>11336</v>
      </c>
      <c r="K1217" s="2" t="s">
        <v>507</v>
      </c>
      <c r="L1217" s="2" t="n">
        <v>0</v>
      </c>
      <c r="M1217" s="2" t="n">
        <v>0.5</v>
      </c>
    </row>
    <row r="1218" customFormat="false" ht="15" hidden="false" customHeight="false" outlineLevel="0" collapsed="false">
      <c r="A1218" s="2" t="n">
        <v>1216</v>
      </c>
      <c r="B1218" s="2" t="s">
        <v>5607</v>
      </c>
      <c r="C1218" s="2" t="n">
        <v>0</v>
      </c>
      <c r="D1218" s="2" t="n">
        <v>0</v>
      </c>
      <c r="E1218" s="2" t="s">
        <v>11337</v>
      </c>
      <c r="F1218" s="2" t="s">
        <v>11277</v>
      </c>
      <c r="G1218" s="2" t="s">
        <v>10227</v>
      </c>
      <c r="H1218" s="2" t="s">
        <v>7461</v>
      </c>
      <c r="I1218" s="2" t="s">
        <v>2731</v>
      </c>
      <c r="J1218" s="2" t="s">
        <v>11338</v>
      </c>
      <c r="K1218" s="2" t="s">
        <v>507</v>
      </c>
      <c r="L1218" s="2" t="n">
        <v>0.27</v>
      </c>
      <c r="M1218" s="2" t="n">
        <v>0.91</v>
      </c>
    </row>
    <row r="1219" customFormat="false" ht="15" hidden="false" customHeight="false" outlineLevel="0" collapsed="false">
      <c r="A1219" s="2" t="n">
        <v>1217</v>
      </c>
      <c r="B1219" s="2" t="s">
        <v>5607</v>
      </c>
      <c r="C1219" s="2" t="n">
        <v>0</v>
      </c>
      <c r="D1219" s="2" t="n">
        <v>0</v>
      </c>
      <c r="E1219" s="2" t="s">
        <v>11339</v>
      </c>
      <c r="F1219" s="2" t="s">
        <v>4322</v>
      </c>
      <c r="G1219" s="2" t="s">
        <v>10230</v>
      </c>
      <c r="H1219" s="2" t="s">
        <v>2195</v>
      </c>
      <c r="I1219" s="2" t="s">
        <v>2613</v>
      </c>
      <c r="J1219" s="2" t="s">
        <v>11340</v>
      </c>
      <c r="K1219" s="2" t="s">
        <v>507</v>
      </c>
      <c r="L1219" s="2" t="n">
        <v>0</v>
      </c>
      <c r="M1219" s="2" t="n">
        <v>0.33</v>
      </c>
    </row>
    <row r="1220" customFormat="false" ht="15" hidden="false" customHeight="false" outlineLevel="0" collapsed="false">
      <c r="A1220" s="2" t="n">
        <v>1218</v>
      </c>
      <c r="B1220" s="2" t="s">
        <v>5607</v>
      </c>
      <c r="C1220" s="2" t="n">
        <v>2</v>
      </c>
      <c r="D1220" s="2" t="n">
        <v>0</v>
      </c>
      <c r="E1220" s="2" t="s">
        <v>5656</v>
      </c>
      <c r="F1220" s="2" t="s">
        <v>2034</v>
      </c>
      <c r="G1220" s="2" t="s">
        <v>5657</v>
      </c>
      <c r="H1220" s="2" t="s">
        <v>646</v>
      </c>
      <c r="I1220" s="2" t="s">
        <v>2613</v>
      </c>
      <c r="J1220" s="2" t="s">
        <v>11341</v>
      </c>
      <c r="K1220" s="2" t="s">
        <v>507</v>
      </c>
      <c r="L1220" s="2" t="n">
        <v>0</v>
      </c>
      <c r="M1220" s="2" t="n">
        <v>0.67</v>
      </c>
    </row>
    <row r="1221" customFormat="false" ht="15" hidden="false" customHeight="false" outlineLevel="0" collapsed="false">
      <c r="A1221" s="2" t="n">
        <v>1219</v>
      </c>
      <c r="B1221" s="2" t="s">
        <v>5607</v>
      </c>
      <c r="C1221" s="2" t="n">
        <v>0</v>
      </c>
      <c r="D1221" s="2" t="n">
        <v>0</v>
      </c>
      <c r="E1221" s="2" t="s">
        <v>11342</v>
      </c>
      <c r="F1221" s="2" t="s">
        <v>743</v>
      </c>
      <c r="G1221" s="2" t="s">
        <v>10235</v>
      </c>
      <c r="H1221" s="2" t="s">
        <v>1146</v>
      </c>
      <c r="I1221" s="2" t="s">
        <v>1614</v>
      </c>
      <c r="J1221" s="2" t="s">
        <v>11343</v>
      </c>
      <c r="K1221" s="2" t="s">
        <v>507</v>
      </c>
      <c r="L1221" s="2" t="n">
        <v>0.12</v>
      </c>
      <c r="M1221" s="2" t="n">
        <v>0.75</v>
      </c>
    </row>
    <row r="1222" customFormat="false" ht="15" hidden="false" customHeight="false" outlineLevel="0" collapsed="false">
      <c r="A1222" s="2" t="n">
        <v>1220</v>
      </c>
      <c r="B1222" s="2" t="s">
        <v>5607</v>
      </c>
      <c r="C1222" s="2" t="n">
        <v>2</v>
      </c>
      <c r="D1222" s="2" t="n">
        <v>0</v>
      </c>
      <c r="E1222" s="2" t="s">
        <v>5666</v>
      </c>
      <c r="F1222" s="2" t="s">
        <v>5667</v>
      </c>
      <c r="G1222" s="2" t="s">
        <v>5668</v>
      </c>
      <c r="H1222" s="2" t="s">
        <v>5669</v>
      </c>
      <c r="I1222" s="2" t="s">
        <v>2613</v>
      </c>
      <c r="J1222" s="2" t="s">
        <v>11344</v>
      </c>
      <c r="K1222" s="2" t="s">
        <v>507</v>
      </c>
      <c r="L1222" s="2" t="n">
        <v>0</v>
      </c>
      <c r="M1222" s="2" t="n">
        <v>0.88</v>
      </c>
    </row>
    <row r="1223" customFormat="false" ht="15" hidden="false" customHeight="false" outlineLevel="0" collapsed="false">
      <c r="A1223" s="2" t="n">
        <v>1221</v>
      </c>
      <c r="B1223" s="2" t="s">
        <v>5607</v>
      </c>
      <c r="C1223" s="2" t="n">
        <v>2</v>
      </c>
      <c r="D1223" s="2" t="n">
        <v>0</v>
      </c>
      <c r="E1223" s="2" t="s">
        <v>5678</v>
      </c>
      <c r="F1223" s="2" t="s">
        <v>5679</v>
      </c>
      <c r="G1223" s="2" t="s">
        <v>5680</v>
      </c>
      <c r="H1223" s="2" t="s">
        <v>5681</v>
      </c>
      <c r="I1223" s="2" t="s">
        <v>2613</v>
      </c>
      <c r="J1223" s="2" t="s">
        <v>11345</v>
      </c>
      <c r="K1223" s="2" t="s">
        <v>507</v>
      </c>
      <c r="L1223" s="2" t="n">
        <v>0.18</v>
      </c>
      <c r="M1223" s="2" t="n">
        <v>0.82</v>
      </c>
    </row>
    <row r="1224" customFormat="false" ht="15" hidden="false" customHeight="false" outlineLevel="0" collapsed="false">
      <c r="A1224" s="2" t="n">
        <v>1222</v>
      </c>
      <c r="B1224" s="2" t="s">
        <v>5607</v>
      </c>
      <c r="C1224" s="2" t="n">
        <v>0</v>
      </c>
      <c r="D1224" s="2" t="n">
        <v>0</v>
      </c>
      <c r="E1224" s="2" t="s">
        <v>11346</v>
      </c>
      <c r="F1224" s="2" t="s">
        <v>11347</v>
      </c>
      <c r="G1224" s="2" t="s">
        <v>11348</v>
      </c>
      <c r="H1224" s="2" t="s">
        <v>2979</v>
      </c>
      <c r="I1224" s="2" t="s">
        <v>2613</v>
      </c>
      <c r="J1224" s="2" t="s">
        <v>11349</v>
      </c>
      <c r="K1224" s="2" t="s">
        <v>507</v>
      </c>
      <c r="L1224" s="2" t="n">
        <v>0</v>
      </c>
      <c r="M1224" s="2" t="n">
        <v>0.57</v>
      </c>
    </row>
    <row r="1225" customFormat="false" ht="15" hidden="false" customHeight="false" outlineLevel="0" collapsed="false">
      <c r="A1225" s="2" t="n">
        <v>1223</v>
      </c>
      <c r="B1225" s="2" t="s">
        <v>5607</v>
      </c>
      <c r="C1225" s="2" t="n">
        <v>1</v>
      </c>
      <c r="D1225" s="2" t="n">
        <v>0</v>
      </c>
      <c r="E1225" s="2" t="s">
        <v>5690</v>
      </c>
      <c r="F1225" s="2" t="s">
        <v>5691</v>
      </c>
      <c r="G1225" s="2" t="s">
        <v>5692</v>
      </c>
      <c r="H1225" s="2" t="s">
        <v>646</v>
      </c>
      <c r="I1225" s="2" t="s">
        <v>647</v>
      </c>
      <c r="J1225" s="2" t="s">
        <v>11350</v>
      </c>
      <c r="K1225" s="2" t="s">
        <v>507</v>
      </c>
      <c r="L1225" s="2" t="n">
        <v>0</v>
      </c>
      <c r="M1225" s="2" t="n">
        <v>0.82</v>
      </c>
    </row>
    <row r="1226" customFormat="false" ht="15" hidden="false" customHeight="false" outlineLevel="0" collapsed="false">
      <c r="A1226" s="2" t="n">
        <v>1224</v>
      </c>
      <c r="B1226" s="2" t="s">
        <v>5607</v>
      </c>
      <c r="C1226" s="2" t="n">
        <v>0</v>
      </c>
      <c r="D1226" s="2" t="n">
        <v>0</v>
      </c>
      <c r="E1226" s="2" t="s">
        <v>11351</v>
      </c>
      <c r="F1226" s="2" t="s">
        <v>4742</v>
      </c>
      <c r="G1226" s="2" t="s">
        <v>11352</v>
      </c>
      <c r="H1226" s="2" t="s">
        <v>11353</v>
      </c>
      <c r="I1226" s="2" t="s">
        <v>2149</v>
      </c>
      <c r="J1226" s="2" t="s">
        <v>11354</v>
      </c>
      <c r="K1226" s="2" t="s">
        <v>507</v>
      </c>
      <c r="L1226" s="2" t="n">
        <v>0.25</v>
      </c>
      <c r="M1226" s="2" t="n">
        <v>0.77</v>
      </c>
    </row>
    <row r="1227" customFormat="false" ht="15" hidden="false" customHeight="false" outlineLevel="0" collapsed="false">
      <c r="A1227" s="2" t="n">
        <v>1225</v>
      </c>
      <c r="B1227" s="2" t="s">
        <v>5607</v>
      </c>
      <c r="C1227" s="2" t="n">
        <v>0</v>
      </c>
      <c r="D1227" s="2" t="n">
        <v>0</v>
      </c>
      <c r="E1227" s="2" t="s">
        <v>11355</v>
      </c>
      <c r="F1227" s="2" t="s">
        <v>2089</v>
      </c>
      <c r="G1227" s="2" t="s">
        <v>11356</v>
      </c>
      <c r="H1227" s="2" t="s">
        <v>11357</v>
      </c>
      <c r="I1227" s="2" t="s">
        <v>1306</v>
      </c>
      <c r="J1227" s="2" t="s">
        <v>11358</v>
      </c>
      <c r="K1227" s="2" t="s">
        <v>507</v>
      </c>
      <c r="L1227" s="2" t="n">
        <v>0</v>
      </c>
      <c r="M1227" s="2" t="n">
        <v>0.6</v>
      </c>
    </row>
    <row r="1228" customFormat="false" ht="15" hidden="false" customHeight="false" outlineLevel="0" collapsed="false">
      <c r="A1228" s="2" t="n">
        <v>1226</v>
      </c>
      <c r="B1228" s="2" t="s">
        <v>5607</v>
      </c>
      <c r="C1228" s="2" t="n">
        <v>0</v>
      </c>
      <c r="D1228" s="2" t="n">
        <v>0</v>
      </c>
      <c r="E1228" s="2" t="s">
        <v>11359</v>
      </c>
      <c r="F1228" s="2" t="s">
        <v>4784</v>
      </c>
      <c r="G1228" s="2" t="s">
        <v>11360</v>
      </c>
      <c r="H1228" s="2" t="s">
        <v>696</v>
      </c>
      <c r="I1228" s="2" t="s">
        <v>5388</v>
      </c>
      <c r="J1228" s="2" t="s">
        <v>11361</v>
      </c>
      <c r="K1228" s="2" t="s">
        <v>507</v>
      </c>
      <c r="L1228" s="2" t="n">
        <v>0</v>
      </c>
      <c r="M1228" s="2" t="n">
        <v>0.29</v>
      </c>
    </row>
    <row r="1229" customFormat="false" ht="15" hidden="false" customHeight="false" outlineLevel="0" collapsed="false">
      <c r="A1229" s="2" t="n">
        <v>1227</v>
      </c>
      <c r="B1229" s="2" t="s">
        <v>5607</v>
      </c>
      <c r="C1229" s="2" t="n">
        <v>0</v>
      </c>
      <c r="D1229" s="2" t="n">
        <v>0</v>
      </c>
      <c r="E1229" s="2" t="s">
        <v>11362</v>
      </c>
      <c r="F1229" s="2" t="s">
        <v>2924</v>
      </c>
      <c r="G1229" s="2" t="s">
        <v>11363</v>
      </c>
      <c r="H1229" s="2" t="s">
        <v>1500</v>
      </c>
      <c r="I1229" s="2" t="s">
        <v>686</v>
      </c>
      <c r="J1229" s="2" t="s">
        <v>11364</v>
      </c>
      <c r="K1229" s="2" t="s">
        <v>507</v>
      </c>
      <c r="L1229" s="2" t="n">
        <v>0</v>
      </c>
      <c r="M1229" s="2" t="n">
        <v>0.67</v>
      </c>
    </row>
    <row r="1230" customFormat="false" ht="15" hidden="false" customHeight="false" outlineLevel="0" collapsed="false">
      <c r="A1230" s="2" t="n">
        <v>1228</v>
      </c>
      <c r="B1230" s="2" t="s">
        <v>5607</v>
      </c>
      <c r="C1230" s="2" t="n">
        <v>0</v>
      </c>
      <c r="D1230" s="2" t="n">
        <v>0</v>
      </c>
      <c r="E1230" s="2" t="s">
        <v>11365</v>
      </c>
      <c r="F1230" s="2" t="s">
        <v>8272</v>
      </c>
      <c r="G1230" s="2" t="s">
        <v>11366</v>
      </c>
      <c r="H1230" s="2" t="s">
        <v>2979</v>
      </c>
      <c r="I1230" s="2" t="s">
        <v>686</v>
      </c>
      <c r="J1230" s="2" t="s">
        <v>11367</v>
      </c>
      <c r="K1230" s="2" t="s">
        <v>507</v>
      </c>
      <c r="L1230" s="2" t="n">
        <v>0</v>
      </c>
      <c r="M1230" s="2" t="n">
        <v>0.89</v>
      </c>
    </row>
    <row r="1231" customFormat="false" ht="15" hidden="false" customHeight="false" outlineLevel="0" collapsed="false">
      <c r="A1231" s="2" t="n">
        <v>1229</v>
      </c>
      <c r="B1231" s="2" t="s">
        <v>5607</v>
      </c>
      <c r="C1231" s="2" t="n">
        <v>0</v>
      </c>
      <c r="D1231" s="2" t="n">
        <v>0</v>
      </c>
      <c r="E1231" s="2" t="s">
        <v>11368</v>
      </c>
      <c r="F1231" s="2" t="s">
        <v>10696</v>
      </c>
      <c r="G1231" s="2" t="s">
        <v>11369</v>
      </c>
      <c r="H1231" s="2" t="s">
        <v>3343</v>
      </c>
      <c r="I1231" s="2" t="s">
        <v>1055</v>
      </c>
      <c r="J1231" s="2" t="s">
        <v>11370</v>
      </c>
      <c r="K1231" s="2" t="s">
        <v>507</v>
      </c>
      <c r="L1231" s="2" t="n">
        <v>0</v>
      </c>
      <c r="M1231" s="2" t="n">
        <v>1</v>
      </c>
    </row>
    <row r="1232" customFormat="false" ht="15" hidden="false" customHeight="false" outlineLevel="0" collapsed="false">
      <c r="A1232" s="2" t="n">
        <v>1230</v>
      </c>
      <c r="B1232" s="2" t="s">
        <v>5693</v>
      </c>
      <c r="C1232" s="2" t="n">
        <v>0</v>
      </c>
      <c r="D1232" s="2" t="n">
        <v>0</v>
      </c>
      <c r="E1232" s="2" t="s">
        <v>11371</v>
      </c>
      <c r="F1232" s="2" t="s">
        <v>644</v>
      </c>
      <c r="G1232" s="2" t="s">
        <v>11372</v>
      </c>
      <c r="H1232" s="2" t="s">
        <v>11373</v>
      </c>
      <c r="I1232" s="2" t="s">
        <v>360</v>
      </c>
      <c r="J1232" s="2" t="s">
        <v>11374</v>
      </c>
      <c r="K1232" s="2" t="s">
        <v>507</v>
      </c>
      <c r="L1232" s="2" t="n">
        <v>0.17</v>
      </c>
      <c r="M1232" s="2" t="n">
        <v>0.62</v>
      </c>
    </row>
    <row r="1233" customFormat="false" ht="15" hidden="false" customHeight="false" outlineLevel="0" collapsed="false">
      <c r="A1233" s="2" t="n">
        <v>1231</v>
      </c>
      <c r="B1233" s="2" t="s">
        <v>5693</v>
      </c>
      <c r="C1233" s="2" t="n">
        <v>1</v>
      </c>
      <c r="D1233" s="2" t="n">
        <v>0</v>
      </c>
      <c r="E1233" s="2" t="s">
        <v>5698</v>
      </c>
      <c r="F1233" s="2" t="s">
        <v>5699</v>
      </c>
      <c r="G1233" s="2" t="s">
        <v>5700</v>
      </c>
      <c r="H1233" s="2" t="s">
        <v>696</v>
      </c>
      <c r="I1233" s="2" t="s">
        <v>686</v>
      </c>
      <c r="J1233" s="2" t="s">
        <v>11375</v>
      </c>
      <c r="K1233" s="2" t="s">
        <v>507</v>
      </c>
      <c r="L1233" s="2" t="n">
        <v>0</v>
      </c>
      <c r="M1233" s="2" t="n">
        <v>0.88</v>
      </c>
    </row>
    <row r="1234" customFormat="false" ht="15" hidden="false" customHeight="false" outlineLevel="0" collapsed="false">
      <c r="A1234" s="2" t="n">
        <v>1232</v>
      </c>
      <c r="B1234" s="2" t="s">
        <v>5693</v>
      </c>
      <c r="C1234" s="2" t="n">
        <v>0</v>
      </c>
      <c r="D1234" s="2" t="n">
        <v>0</v>
      </c>
      <c r="E1234" s="2" t="s">
        <v>11376</v>
      </c>
      <c r="F1234" s="2" t="s">
        <v>10696</v>
      </c>
      <c r="G1234" s="2" t="s">
        <v>11377</v>
      </c>
      <c r="H1234" s="2" t="s">
        <v>1170</v>
      </c>
      <c r="I1234" s="2" t="s">
        <v>1092</v>
      </c>
      <c r="J1234" s="2" t="s">
        <v>11378</v>
      </c>
      <c r="K1234" s="2" t="s">
        <v>507</v>
      </c>
      <c r="L1234" s="2" t="n">
        <v>0.1</v>
      </c>
      <c r="M1234" s="2" t="n">
        <v>1</v>
      </c>
    </row>
    <row r="1235" customFormat="false" ht="15" hidden="false" customHeight="false" outlineLevel="0" collapsed="false">
      <c r="A1235" s="2" t="n">
        <v>1233</v>
      </c>
      <c r="B1235" s="2" t="s">
        <v>5693</v>
      </c>
      <c r="C1235" s="2" t="n">
        <v>0</v>
      </c>
      <c r="D1235" s="2" t="n">
        <v>0</v>
      </c>
      <c r="E1235" s="2" t="s">
        <v>11379</v>
      </c>
      <c r="F1235" s="2" t="s">
        <v>11238</v>
      </c>
      <c r="G1235" s="2" t="s">
        <v>11380</v>
      </c>
      <c r="H1235" s="2" t="s">
        <v>245</v>
      </c>
      <c r="I1235" s="2" t="s">
        <v>538</v>
      </c>
      <c r="J1235" s="2" t="s">
        <v>11381</v>
      </c>
      <c r="K1235" s="2" t="s">
        <v>507</v>
      </c>
      <c r="L1235" s="2" t="n">
        <v>0</v>
      </c>
      <c r="M1235" s="2" t="n">
        <v>0.9</v>
      </c>
    </row>
    <row r="1236" customFormat="false" ht="15" hidden="false" customHeight="false" outlineLevel="0" collapsed="false">
      <c r="A1236" s="2" t="n">
        <v>1234</v>
      </c>
      <c r="B1236" s="2" t="s">
        <v>5693</v>
      </c>
      <c r="C1236" s="2" t="n">
        <v>0</v>
      </c>
      <c r="D1236" s="2" t="n">
        <v>0</v>
      </c>
      <c r="E1236" s="2" t="s">
        <v>11382</v>
      </c>
      <c r="F1236" s="2" t="s">
        <v>11383</v>
      </c>
      <c r="G1236" s="2" t="s">
        <v>11384</v>
      </c>
      <c r="H1236" s="2" t="s">
        <v>420</v>
      </c>
      <c r="I1236" s="2" t="s">
        <v>1266</v>
      </c>
      <c r="J1236" s="2" t="s">
        <v>11385</v>
      </c>
      <c r="K1236" s="2" t="s">
        <v>507</v>
      </c>
      <c r="L1236" s="2" t="n">
        <v>0.12</v>
      </c>
      <c r="M1236" s="2" t="n">
        <v>0.88</v>
      </c>
    </row>
    <row r="1237" customFormat="false" ht="15" hidden="false" customHeight="false" outlineLevel="0" collapsed="false">
      <c r="A1237" s="2" t="n">
        <v>1235</v>
      </c>
      <c r="B1237" s="2" t="s">
        <v>5693</v>
      </c>
      <c r="C1237" s="2" t="n">
        <v>0</v>
      </c>
      <c r="D1237" s="2" t="n">
        <v>0</v>
      </c>
      <c r="E1237" s="2" t="s">
        <v>11386</v>
      </c>
      <c r="F1237" s="2" t="s">
        <v>11387</v>
      </c>
      <c r="G1237" s="2" t="s">
        <v>11388</v>
      </c>
      <c r="H1237" s="2" t="s">
        <v>1146</v>
      </c>
      <c r="I1237" s="2" t="s">
        <v>795</v>
      </c>
      <c r="J1237" s="2" t="s">
        <v>11389</v>
      </c>
      <c r="K1237" s="2" t="s">
        <v>507</v>
      </c>
      <c r="L1237" s="2" t="n">
        <v>0</v>
      </c>
      <c r="M1237" s="2" t="n">
        <v>1</v>
      </c>
    </row>
    <row r="1238" customFormat="false" ht="15" hidden="false" customHeight="false" outlineLevel="0" collapsed="false">
      <c r="A1238" s="2" t="n">
        <v>1236</v>
      </c>
      <c r="B1238" s="2" t="s">
        <v>5693</v>
      </c>
      <c r="C1238" s="2" t="n">
        <v>0</v>
      </c>
      <c r="D1238" s="2" t="n">
        <v>0</v>
      </c>
      <c r="E1238" s="2" t="s">
        <v>11390</v>
      </c>
      <c r="F1238" s="2" t="s">
        <v>11391</v>
      </c>
      <c r="G1238" s="2" t="s">
        <v>11392</v>
      </c>
      <c r="H1238" s="2" t="s">
        <v>178</v>
      </c>
      <c r="I1238" s="2" t="s">
        <v>2594</v>
      </c>
      <c r="J1238" s="2" t="s">
        <v>11393</v>
      </c>
      <c r="K1238" s="2" t="s">
        <v>507</v>
      </c>
      <c r="L1238" s="2" t="n">
        <v>0.1</v>
      </c>
      <c r="M1238" s="2" t="n">
        <v>0.91</v>
      </c>
    </row>
    <row r="1239" customFormat="false" ht="15" hidden="false" customHeight="false" outlineLevel="0" collapsed="false">
      <c r="A1239" s="2" t="n">
        <v>1237</v>
      </c>
      <c r="B1239" s="2" t="s">
        <v>5693</v>
      </c>
      <c r="C1239" s="2" t="n">
        <v>0</v>
      </c>
      <c r="D1239" s="2" t="n">
        <v>0</v>
      </c>
      <c r="E1239" s="2" t="s">
        <v>11394</v>
      </c>
      <c r="F1239" s="2" t="s">
        <v>4322</v>
      </c>
      <c r="G1239" s="2" t="s">
        <v>11395</v>
      </c>
      <c r="H1239" s="2" t="s">
        <v>11396</v>
      </c>
      <c r="I1239" s="2" t="s">
        <v>2252</v>
      </c>
      <c r="J1239" s="2" t="s">
        <v>11397</v>
      </c>
      <c r="K1239" s="2" t="s">
        <v>507</v>
      </c>
      <c r="L1239" s="2" t="n">
        <v>0.12</v>
      </c>
      <c r="M1239" s="2" t="n">
        <v>0.33</v>
      </c>
    </row>
    <row r="1240" customFormat="false" ht="15" hidden="false" customHeight="false" outlineLevel="0" collapsed="false">
      <c r="A1240" s="2" t="n">
        <v>1238</v>
      </c>
      <c r="B1240" s="2" t="s">
        <v>5693</v>
      </c>
      <c r="C1240" s="2" t="n">
        <v>0</v>
      </c>
      <c r="D1240" s="2" t="n">
        <v>0</v>
      </c>
      <c r="E1240" s="2" t="s">
        <v>11398</v>
      </c>
      <c r="F1240" s="2" t="s">
        <v>11399</v>
      </c>
      <c r="G1240" s="2" t="s">
        <v>11400</v>
      </c>
      <c r="H1240" s="2" t="s">
        <v>3238</v>
      </c>
      <c r="I1240" s="2" t="s">
        <v>2346</v>
      </c>
      <c r="J1240" s="2" t="s">
        <v>11401</v>
      </c>
      <c r="K1240" s="2" t="s">
        <v>507</v>
      </c>
      <c r="L1240" s="2" t="n">
        <v>0.11</v>
      </c>
      <c r="M1240" s="2" t="n">
        <v>0.67</v>
      </c>
    </row>
    <row r="1241" customFormat="false" ht="15" hidden="false" customHeight="false" outlineLevel="0" collapsed="false">
      <c r="A1241" s="2" t="n">
        <v>1239</v>
      </c>
      <c r="B1241" s="2" t="s">
        <v>5693</v>
      </c>
      <c r="C1241" s="2" t="n">
        <v>0</v>
      </c>
      <c r="D1241" s="2" t="n">
        <v>0</v>
      </c>
      <c r="E1241" s="2" t="s">
        <v>11402</v>
      </c>
      <c r="F1241" s="2" t="s">
        <v>11399</v>
      </c>
      <c r="G1241" s="2" t="s">
        <v>11403</v>
      </c>
      <c r="H1241" s="2" t="s">
        <v>9698</v>
      </c>
      <c r="I1241" s="2" t="s">
        <v>115</v>
      </c>
      <c r="J1241" s="2" t="s">
        <v>11404</v>
      </c>
      <c r="K1241" s="2" t="s">
        <v>507</v>
      </c>
      <c r="L1241" s="2" t="n">
        <v>0.2</v>
      </c>
      <c r="M1241" s="2" t="n">
        <v>0.86</v>
      </c>
    </row>
    <row r="1242" customFormat="false" ht="15" hidden="false" customHeight="false" outlineLevel="0" collapsed="false">
      <c r="A1242" s="2" t="n">
        <v>1240</v>
      </c>
      <c r="B1242" s="2" t="s">
        <v>5693</v>
      </c>
      <c r="C1242" s="2" t="n">
        <v>0</v>
      </c>
      <c r="D1242" s="2" t="n">
        <v>0</v>
      </c>
      <c r="E1242" s="2" t="s">
        <v>11405</v>
      </c>
      <c r="F1242" s="2" t="s">
        <v>1158</v>
      </c>
      <c r="G1242" s="2" t="s">
        <v>11406</v>
      </c>
      <c r="H1242" s="2" t="s">
        <v>3212</v>
      </c>
      <c r="I1242" s="2" t="s">
        <v>7581</v>
      </c>
      <c r="J1242" s="2" t="s">
        <v>11407</v>
      </c>
      <c r="K1242" s="2" t="s">
        <v>507</v>
      </c>
      <c r="L1242" s="2" t="n">
        <v>0</v>
      </c>
      <c r="M1242" s="2" t="n">
        <v>0.56</v>
      </c>
    </row>
    <row r="1243" customFormat="false" ht="15" hidden="false" customHeight="false" outlineLevel="0" collapsed="false">
      <c r="A1243" s="2" t="n">
        <v>1241</v>
      </c>
      <c r="B1243" s="2" t="s">
        <v>5693</v>
      </c>
      <c r="C1243" s="2" t="n">
        <v>1</v>
      </c>
      <c r="D1243" s="2" t="n">
        <v>0</v>
      </c>
      <c r="E1243" s="2" t="s">
        <v>5707</v>
      </c>
      <c r="F1243" s="2" t="s">
        <v>1158</v>
      </c>
      <c r="G1243" s="2" t="s">
        <v>5708</v>
      </c>
      <c r="H1243" s="2" t="s">
        <v>245</v>
      </c>
      <c r="I1243" s="2" t="s">
        <v>3023</v>
      </c>
      <c r="J1243" s="2" t="s">
        <v>11408</v>
      </c>
      <c r="K1243" s="2" t="s">
        <v>507</v>
      </c>
      <c r="L1243" s="2" t="n">
        <v>0</v>
      </c>
      <c r="M1243" s="2" t="n">
        <v>0.73</v>
      </c>
    </row>
    <row r="1244" customFormat="false" ht="15" hidden="false" customHeight="false" outlineLevel="0" collapsed="false">
      <c r="A1244" s="2" t="n">
        <v>1242</v>
      </c>
      <c r="B1244" s="2" t="s">
        <v>5693</v>
      </c>
      <c r="C1244" s="2" t="n">
        <v>0</v>
      </c>
      <c r="D1244" s="2" t="n">
        <v>0</v>
      </c>
      <c r="E1244" s="2" t="s">
        <v>11409</v>
      </c>
      <c r="F1244" s="2" t="s">
        <v>1158</v>
      </c>
      <c r="G1244" s="2" t="s">
        <v>11410</v>
      </c>
      <c r="H1244" s="2" t="s">
        <v>158</v>
      </c>
      <c r="I1244" s="2" t="s">
        <v>1774</v>
      </c>
      <c r="J1244" s="2" t="s">
        <v>11411</v>
      </c>
      <c r="K1244" s="2" t="s">
        <v>507</v>
      </c>
      <c r="L1244" s="2" t="n">
        <v>0.22</v>
      </c>
      <c r="M1244" s="2" t="n">
        <v>0.58</v>
      </c>
    </row>
    <row r="1245" customFormat="false" ht="15" hidden="false" customHeight="false" outlineLevel="0" collapsed="false">
      <c r="A1245" s="2" t="n">
        <v>1243</v>
      </c>
      <c r="B1245" s="2" t="s">
        <v>5693</v>
      </c>
      <c r="C1245" s="2" t="n">
        <v>0</v>
      </c>
      <c r="D1245" s="2" t="n">
        <v>0</v>
      </c>
      <c r="E1245" s="2" t="s">
        <v>11412</v>
      </c>
      <c r="F1245" s="2" t="s">
        <v>1158</v>
      </c>
      <c r="G1245" s="2" t="s">
        <v>11413</v>
      </c>
      <c r="H1245" s="2" t="s">
        <v>66</v>
      </c>
      <c r="I1245" s="2" t="s">
        <v>2852</v>
      </c>
      <c r="J1245" s="2" t="s">
        <v>11414</v>
      </c>
      <c r="K1245" s="2" t="s">
        <v>507</v>
      </c>
      <c r="L1245" s="2" t="n">
        <v>0</v>
      </c>
      <c r="M1245" s="2" t="n">
        <v>0.89</v>
      </c>
    </row>
    <row r="1246" customFormat="false" ht="15" hidden="false" customHeight="false" outlineLevel="0" collapsed="false">
      <c r="A1246" s="2" t="n">
        <v>1244</v>
      </c>
      <c r="B1246" s="2" t="s">
        <v>5693</v>
      </c>
      <c r="C1246" s="2" t="n">
        <v>1</v>
      </c>
      <c r="D1246" s="2" t="n">
        <v>1</v>
      </c>
      <c r="E1246" s="2" t="s">
        <v>5713</v>
      </c>
      <c r="F1246" s="2" t="s">
        <v>1498</v>
      </c>
      <c r="G1246" s="2" t="s">
        <v>5714</v>
      </c>
      <c r="H1246" s="2" t="s">
        <v>5715</v>
      </c>
      <c r="I1246" s="2" t="s">
        <v>538</v>
      </c>
      <c r="J1246" s="2" t="s">
        <v>11415</v>
      </c>
      <c r="K1246" s="2" t="s">
        <v>507</v>
      </c>
      <c r="L1246" s="2" t="n">
        <v>0</v>
      </c>
      <c r="M1246" s="2" t="n">
        <v>0.67</v>
      </c>
    </row>
    <row r="1247" customFormat="false" ht="15" hidden="false" customHeight="false" outlineLevel="0" collapsed="false">
      <c r="A1247" s="2" t="n">
        <v>1245</v>
      </c>
      <c r="B1247" s="2" t="s">
        <v>5693</v>
      </c>
      <c r="C1247" s="2" t="n">
        <v>0</v>
      </c>
      <c r="D1247" s="2" t="n">
        <v>0</v>
      </c>
      <c r="E1247" s="2" t="s">
        <v>11416</v>
      </c>
      <c r="F1247" s="2" t="s">
        <v>11417</v>
      </c>
      <c r="G1247" s="2" t="s">
        <v>11418</v>
      </c>
      <c r="H1247" s="2" t="s">
        <v>1170</v>
      </c>
      <c r="I1247" s="2" t="s">
        <v>2005</v>
      </c>
      <c r="J1247" s="2" t="s">
        <v>11419</v>
      </c>
      <c r="K1247" s="2" t="s">
        <v>507</v>
      </c>
      <c r="L1247" s="2" t="n">
        <v>0</v>
      </c>
      <c r="M1247" s="2" t="n">
        <v>0.6</v>
      </c>
    </row>
    <row r="1248" customFormat="false" ht="15" hidden="false" customHeight="false" outlineLevel="0" collapsed="false">
      <c r="A1248" s="2" t="n">
        <v>1246</v>
      </c>
      <c r="B1248" s="2" t="s">
        <v>5693</v>
      </c>
      <c r="C1248" s="2" t="n">
        <v>0</v>
      </c>
      <c r="D1248" s="2" t="n">
        <v>0</v>
      </c>
      <c r="E1248" s="2" t="s">
        <v>11420</v>
      </c>
      <c r="F1248" s="2" t="s">
        <v>11280</v>
      </c>
      <c r="G1248" s="2" t="s">
        <v>11421</v>
      </c>
      <c r="H1248" s="2" t="s">
        <v>245</v>
      </c>
      <c r="I1248" s="2" t="s">
        <v>1113</v>
      </c>
      <c r="J1248" s="2" t="s">
        <v>11422</v>
      </c>
      <c r="K1248" s="2" t="s">
        <v>507</v>
      </c>
      <c r="L1248" s="2" t="n">
        <v>0</v>
      </c>
      <c r="M1248" s="2" t="n">
        <v>0.62</v>
      </c>
    </row>
    <row r="1249" customFormat="false" ht="15" hidden="false" customHeight="false" outlineLevel="0" collapsed="false">
      <c r="A1249" s="2" t="n">
        <v>1247</v>
      </c>
      <c r="B1249" s="2" t="s">
        <v>5693</v>
      </c>
      <c r="C1249" s="2" t="n">
        <v>1</v>
      </c>
      <c r="D1249" s="2" t="n">
        <v>0</v>
      </c>
      <c r="E1249" s="2" t="s">
        <v>5720</v>
      </c>
      <c r="F1249" s="2" t="s">
        <v>1158</v>
      </c>
      <c r="G1249" s="2" t="s">
        <v>5721</v>
      </c>
      <c r="H1249" s="2" t="s">
        <v>66</v>
      </c>
      <c r="I1249" s="2" t="s">
        <v>4314</v>
      </c>
      <c r="J1249" s="2" t="s">
        <v>11423</v>
      </c>
      <c r="K1249" s="2" t="s">
        <v>507</v>
      </c>
      <c r="L1249" s="2" t="n">
        <v>0.12</v>
      </c>
      <c r="M1249" s="2" t="n">
        <v>0.92</v>
      </c>
    </row>
    <row r="1250" customFormat="false" ht="15" hidden="false" customHeight="false" outlineLevel="0" collapsed="false">
      <c r="A1250" s="2" t="n">
        <v>1248</v>
      </c>
      <c r="B1250" s="2" t="s">
        <v>5693</v>
      </c>
      <c r="C1250" s="2" t="n">
        <v>0</v>
      </c>
      <c r="D1250" s="2" t="n">
        <v>0</v>
      </c>
      <c r="E1250" s="2" t="s">
        <v>11424</v>
      </c>
      <c r="F1250" s="2" t="s">
        <v>2952</v>
      </c>
      <c r="G1250" s="2" t="s">
        <v>11425</v>
      </c>
      <c r="H1250" s="2" t="s">
        <v>178</v>
      </c>
      <c r="I1250" s="2" t="s">
        <v>2506</v>
      </c>
      <c r="J1250" s="2" t="s">
        <v>11426</v>
      </c>
      <c r="K1250" s="2" t="s">
        <v>507</v>
      </c>
      <c r="L1250" s="2" t="n">
        <v>0</v>
      </c>
      <c r="M1250" s="2" t="n">
        <v>0.82</v>
      </c>
    </row>
    <row r="1251" customFormat="false" ht="15" hidden="false" customHeight="false" outlineLevel="0" collapsed="false">
      <c r="A1251" s="2" t="n">
        <v>1249</v>
      </c>
      <c r="B1251" s="2" t="s">
        <v>5693</v>
      </c>
      <c r="C1251" s="2" t="n">
        <v>0</v>
      </c>
      <c r="D1251" s="2" t="n">
        <v>0</v>
      </c>
      <c r="E1251" s="2" t="s">
        <v>11427</v>
      </c>
      <c r="F1251" s="2" t="s">
        <v>1158</v>
      </c>
      <c r="G1251" s="2" t="s">
        <v>11428</v>
      </c>
      <c r="H1251" s="2" t="s">
        <v>66</v>
      </c>
      <c r="I1251" s="2" t="s">
        <v>4206</v>
      </c>
      <c r="J1251" s="2" t="s">
        <v>11429</v>
      </c>
      <c r="K1251" s="2" t="s">
        <v>507</v>
      </c>
      <c r="L1251" s="2" t="n">
        <v>0</v>
      </c>
      <c r="M1251" s="2" t="n">
        <v>1</v>
      </c>
    </row>
    <row r="1252" customFormat="false" ht="15" hidden="false" customHeight="false" outlineLevel="0" collapsed="false">
      <c r="A1252" s="2" t="n">
        <v>1250</v>
      </c>
      <c r="B1252" s="2" t="s">
        <v>5693</v>
      </c>
      <c r="C1252" s="2" t="n">
        <v>0</v>
      </c>
      <c r="D1252" s="2" t="n">
        <v>0</v>
      </c>
      <c r="E1252" s="2" t="s">
        <v>11430</v>
      </c>
      <c r="F1252" s="2" t="s">
        <v>1158</v>
      </c>
      <c r="G1252" s="2" t="s">
        <v>11431</v>
      </c>
      <c r="H1252" s="2" t="s">
        <v>11432</v>
      </c>
      <c r="I1252" s="2" t="s">
        <v>231</v>
      </c>
      <c r="J1252" s="2" t="s">
        <v>11433</v>
      </c>
      <c r="K1252" s="2" t="s">
        <v>507</v>
      </c>
      <c r="L1252" s="2" t="n">
        <v>0</v>
      </c>
      <c r="M1252" s="2" t="n">
        <v>0.82</v>
      </c>
    </row>
    <row r="1253" customFormat="false" ht="15" hidden="false" customHeight="false" outlineLevel="0" collapsed="false">
      <c r="A1253" s="2" t="n">
        <v>1251</v>
      </c>
      <c r="B1253" s="2" t="s">
        <v>5693</v>
      </c>
      <c r="C1253" s="2" t="n">
        <v>0</v>
      </c>
      <c r="D1253" s="2" t="n">
        <v>0</v>
      </c>
      <c r="E1253" s="2" t="s">
        <v>11434</v>
      </c>
      <c r="F1253" s="2" t="s">
        <v>1158</v>
      </c>
      <c r="G1253" s="2" t="s">
        <v>11435</v>
      </c>
      <c r="H1253" s="2" t="s">
        <v>11436</v>
      </c>
      <c r="I1253" s="2" t="s">
        <v>1147</v>
      </c>
      <c r="J1253" s="2" t="s">
        <v>11437</v>
      </c>
      <c r="K1253" s="2" t="s">
        <v>507</v>
      </c>
      <c r="L1253" s="2" t="n">
        <v>0.09</v>
      </c>
      <c r="M1253" s="2" t="n">
        <v>0.62</v>
      </c>
    </row>
    <row r="1254" customFormat="false" ht="15" hidden="false" customHeight="false" outlineLevel="0" collapsed="false">
      <c r="A1254" s="2" t="n">
        <v>1252</v>
      </c>
      <c r="B1254" s="2" t="s">
        <v>5693</v>
      </c>
      <c r="C1254" s="2" t="n">
        <v>0</v>
      </c>
      <c r="D1254" s="2" t="n">
        <v>0</v>
      </c>
      <c r="E1254" s="2" t="s">
        <v>11438</v>
      </c>
      <c r="F1254" s="2" t="s">
        <v>1158</v>
      </c>
      <c r="G1254" s="2" t="s">
        <v>11439</v>
      </c>
      <c r="H1254" s="2" t="s">
        <v>178</v>
      </c>
      <c r="I1254" s="2" t="s">
        <v>1654</v>
      </c>
      <c r="J1254" s="2" t="s">
        <v>11440</v>
      </c>
      <c r="K1254" s="2" t="s">
        <v>507</v>
      </c>
      <c r="L1254" s="2" t="n">
        <v>0</v>
      </c>
      <c r="M1254" s="2" t="n">
        <v>0.89</v>
      </c>
    </row>
    <row r="1255" customFormat="false" ht="15" hidden="false" customHeight="false" outlineLevel="0" collapsed="false">
      <c r="A1255" s="2" t="n">
        <v>1253</v>
      </c>
      <c r="B1255" s="2" t="s">
        <v>5693</v>
      </c>
      <c r="C1255" s="2" t="n">
        <v>0</v>
      </c>
      <c r="D1255" s="2" t="n">
        <v>0</v>
      </c>
      <c r="E1255" s="2" t="s">
        <v>11441</v>
      </c>
      <c r="F1255" s="2" t="s">
        <v>644</v>
      </c>
      <c r="G1255" s="2" t="s">
        <v>11442</v>
      </c>
      <c r="H1255" s="2" t="s">
        <v>420</v>
      </c>
      <c r="I1255" s="2" t="s">
        <v>360</v>
      </c>
      <c r="J1255" s="2" t="s">
        <v>11443</v>
      </c>
      <c r="K1255" s="2" t="s">
        <v>507</v>
      </c>
      <c r="L1255" s="2" t="n">
        <v>0</v>
      </c>
      <c r="M1255" s="2" t="n">
        <v>0.45</v>
      </c>
    </row>
    <row r="1256" customFormat="false" ht="15" hidden="false" customHeight="false" outlineLevel="0" collapsed="false">
      <c r="A1256" s="2" t="n">
        <v>1254</v>
      </c>
      <c r="B1256" s="2" t="s">
        <v>5693</v>
      </c>
      <c r="C1256" s="2" t="n">
        <v>1</v>
      </c>
      <c r="D1256" s="2" t="n">
        <v>0</v>
      </c>
      <c r="E1256" s="2" t="s">
        <v>5726</v>
      </c>
      <c r="F1256" s="2" t="s">
        <v>5727</v>
      </c>
      <c r="G1256" s="2" t="s">
        <v>5728</v>
      </c>
      <c r="H1256" s="2" t="s">
        <v>5729</v>
      </c>
      <c r="I1256" s="2" t="s">
        <v>204</v>
      </c>
      <c r="J1256" s="2" t="s">
        <v>11444</v>
      </c>
      <c r="K1256" s="2" t="s">
        <v>507</v>
      </c>
      <c r="L1256" s="2" t="n">
        <v>0.1</v>
      </c>
      <c r="M1256" s="2" t="n">
        <v>0.88</v>
      </c>
    </row>
    <row r="1257" customFormat="false" ht="15" hidden="false" customHeight="false" outlineLevel="0" collapsed="false">
      <c r="A1257" s="2" t="n">
        <v>1255</v>
      </c>
      <c r="B1257" s="2" t="s">
        <v>5693</v>
      </c>
      <c r="C1257" s="2" t="n">
        <v>1</v>
      </c>
      <c r="D1257" s="2" t="n">
        <v>1</v>
      </c>
      <c r="E1257" s="2" t="s">
        <v>5736</v>
      </c>
      <c r="F1257" s="2" t="s">
        <v>4036</v>
      </c>
      <c r="G1257" s="2" t="s">
        <v>5737</v>
      </c>
      <c r="H1257" s="2" t="s">
        <v>745</v>
      </c>
      <c r="I1257" s="2" t="s">
        <v>1332</v>
      </c>
      <c r="J1257" s="2" t="s">
        <v>11445</v>
      </c>
      <c r="K1257" s="2" t="s">
        <v>507</v>
      </c>
      <c r="L1257" s="2" t="n">
        <v>0</v>
      </c>
      <c r="M1257" s="2" t="n">
        <v>0.58</v>
      </c>
    </row>
    <row r="1258" customFormat="false" ht="15" hidden="false" customHeight="false" outlineLevel="0" collapsed="false">
      <c r="A1258" s="2" t="n">
        <v>1256</v>
      </c>
      <c r="B1258" s="2" t="s">
        <v>5693</v>
      </c>
      <c r="C1258" s="2" t="n">
        <v>0</v>
      </c>
      <c r="D1258" s="2" t="n">
        <v>0</v>
      </c>
      <c r="E1258" s="2" t="s">
        <v>11446</v>
      </c>
      <c r="F1258" s="2" t="s">
        <v>1158</v>
      </c>
      <c r="G1258" s="2" t="s">
        <v>11447</v>
      </c>
      <c r="H1258" s="2" t="s">
        <v>745</v>
      </c>
      <c r="I1258" s="2" t="s">
        <v>2939</v>
      </c>
      <c r="J1258" s="2" t="s">
        <v>11448</v>
      </c>
      <c r="K1258" s="2" t="s">
        <v>507</v>
      </c>
      <c r="L1258" s="2" t="n">
        <v>0</v>
      </c>
      <c r="M1258" s="2" t="n">
        <v>0.91</v>
      </c>
    </row>
    <row r="1259" customFormat="false" ht="15" hidden="false" customHeight="false" outlineLevel="0" collapsed="false">
      <c r="A1259" s="2" t="n">
        <v>1257</v>
      </c>
      <c r="B1259" s="2" t="s">
        <v>5693</v>
      </c>
      <c r="C1259" s="2" t="n">
        <v>1</v>
      </c>
      <c r="D1259" s="2" t="n">
        <v>1</v>
      </c>
      <c r="E1259" s="2" t="s">
        <v>5742</v>
      </c>
      <c r="F1259" s="2" t="s">
        <v>4078</v>
      </c>
      <c r="G1259" s="2" t="s">
        <v>5743</v>
      </c>
      <c r="H1259" s="2" t="s">
        <v>745</v>
      </c>
      <c r="I1259" s="2" t="s">
        <v>5744</v>
      </c>
      <c r="J1259" s="2" t="s">
        <v>11449</v>
      </c>
      <c r="K1259" s="2" t="s">
        <v>507</v>
      </c>
      <c r="L1259" s="2" t="n">
        <v>0</v>
      </c>
      <c r="M1259" s="2" t="n">
        <v>0.89</v>
      </c>
    </row>
    <row r="1260" customFormat="false" ht="15" hidden="false" customHeight="false" outlineLevel="0" collapsed="false">
      <c r="A1260" s="2" t="n">
        <v>1258</v>
      </c>
      <c r="B1260" s="2" t="s">
        <v>5693</v>
      </c>
      <c r="C1260" s="2" t="n">
        <v>1</v>
      </c>
      <c r="D1260" s="2" t="n">
        <v>0</v>
      </c>
      <c r="E1260" s="2" t="s">
        <v>5748</v>
      </c>
      <c r="F1260" s="2" t="s">
        <v>1158</v>
      </c>
      <c r="G1260" s="2" t="s">
        <v>5749</v>
      </c>
      <c r="H1260" s="2" t="s">
        <v>5750</v>
      </c>
      <c r="I1260" s="2" t="s">
        <v>987</v>
      </c>
      <c r="J1260" s="2" t="s">
        <v>11450</v>
      </c>
      <c r="K1260" s="2" t="s">
        <v>507</v>
      </c>
      <c r="L1260" s="2" t="n">
        <v>0</v>
      </c>
      <c r="M1260" s="2" t="n">
        <v>0.7</v>
      </c>
    </row>
    <row r="1261" customFormat="false" ht="15" hidden="false" customHeight="false" outlineLevel="0" collapsed="false">
      <c r="A1261" s="2" t="n">
        <v>1259</v>
      </c>
      <c r="B1261" s="2" t="s">
        <v>5693</v>
      </c>
      <c r="C1261" s="2" t="n">
        <v>0</v>
      </c>
      <c r="D1261" s="2" t="n">
        <v>0</v>
      </c>
      <c r="E1261" s="2" t="s">
        <v>11451</v>
      </c>
      <c r="F1261" s="2" t="s">
        <v>1158</v>
      </c>
      <c r="G1261" s="2" t="s">
        <v>11452</v>
      </c>
      <c r="H1261" s="2" t="s">
        <v>745</v>
      </c>
      <c r="I1261" s="2" t="s">
        <v>4290</v>
      </c>
      <c r="J1261" s="2" t="s">
        <v>11453</v>
      </c>
      <c r="K1261" s="2" t="s">
        <v>507</v>
      </c>
      <c r="L1261" s="2" t="n">
        <v>0</v>
      </c>
      <c r="M1261" s="2" t="n">
        <v>0.6</v>
      </c>
    </row>
    <row r="1262" customFormat="false" ht="15" hidden="false" customHeight="false" outlineLevel="0" collapsed="false">
      <c r="A1262" s="2" t="n">
        <v>1260</v>
      </c>
      <c r="B1262" s="2" t="s">
        <v>5751</v>
      </c>
      <c r="C1262" s="2" t="n">
        <v>0</v>
      </c>
      <c r="D1262" s="2" t="n">
        <v>0</v>
      </c>
      <c r="E1262" s="2" t="s">
        <v>11454</v>
      </c>
      <c r="F1262" s="2" t="s">
        <v>743</v>
      </c>
      <c r="G1262" s="2" t="s">
        <v>11455</v>
      </c>
      <c r="H1262" s="2" t="s">
        <v>455</v>
      </c>
      <c r="I1262" s="2" t="s">
        <v>1429</v>
      </c>
      <c r="J1262" s="2" t="s">
        <v>11456</v>
      </c>
      <c r="K1262" s="2" t="s">
        <v>507</v>
      </c>
      <c r="L1262" s="2" t="n">
        <v>0</v>
      </c>
      <c r="M1262" s="2" t="n">
        <v>0.64</v>
      </c>
    </row>
    <row r="1263" customFormat="false" ht="15" hidden="false" customHeight="false" outlineLevel="0" collapsed="false">
      <c r="A1263" s="2" t="n">
        <v>1261</v>
      </c>
      <c r="B1263" s="2" t="s">
        <v>5751</v>
      </c>
      <c r="C1263" s="2" t="n">
        <v>0</v>
      </c>
      <c r="D1263" s="2" t="n">
        <v>0</v>
      </c>
      <c r="E1263" s="2" t="s">
        <v>11457</v>
      </c>
      <c r="F1263" s="2" t="s">
        <v>2239</v>
      </c>
      <c r="G1263" s="2" t="s">
        <v>11458</v>
      </c>
      <c r="H1263" s="2" t="s">
        <v>420</v>
      </c>
      <c r="I1263" s="2" t="s">
        <v>2215</v>
      </c>
      <c r="J1263" s="2" t="s">
        <v>11459</v>
      </c>
      <c r="K1263" s="2" t="s">
        <v>507</v>
      </c>
      <c r="L1263" s="2" t="n">
        <v>0</v>
      </c>
      <c r="M1263" s="2" t="n">
        <v>0.78</v>
      </c>
    </row>
    <row r="1264" customFormat="false" ht="15" hidden="false" customHeight="false" outlineLevel="0" collapsed="false">
      <c r="A1264" s="2" t="n">
        <v>1262</v>
      </c>
      <c r="B1264" s="2" t="s">
        <v>5751</v>
      </c>
      <c r="C1264" s="2" t="n">
        <v>2</v>
      </c>
      <c r="D1264" s="2" t="n">
        <v>0</v>
      </c>
      <c r="E1264" s="2" t="s">
        <v>5756</v>
      </c>
      <c r="F1264" s="2" t="s">
        <v>5166</v>
      </c>
      <c r="G1264" s="2" t="s">
        <v>5757</v>
      </c>
      <c r="H1264" s="2" t="s">
        <v>917</v>
      </c>
      <c r="I1264" s="2" t="s">
        <v>918</v>
      </c>
      <c r="J1264" s="2" t="s">
        <v>11460</v>
      </c>
      <c r="K1264" s="2" t="s">
        <v>507</v>
      </c>
      <c r="L1264" s="2" t="n">
        <v>0</v>
      </c>
      <c r="M1264" s="2" t="n">
        <v>1</v>
      </c>
    </row>
    <row r="1265" customFormat="false" ht="15" hidden="false" customHeight="false" outlineLevel="0" collapsed="false">
      <c r="A1265" s="2" t="n">
        <v>1263</v>
      </c>
      <c r="B1265" s="2" t="s">
        <v>5751</v>
      </c>
      <c r="C1265" s="2" t="n">
        <v>4</v>
      </c>
      <c r="D1265" s="2" t="n">
        <v>0</v>
      </c>
      <c r="E1265" s="2" t="s">
        <v>5763</v>
      </c>
      <c r="F1265" s="2" t="s">
        <v>5166</v>
      </c>
      <c r="G1265" s="2" t="s">
        <v>5764</v>
      </c>
      <c r="H1265" s="2" t="s">
        <v>420</v>
      </c>
      <c r="I1265" s="2" t="s">
        <v>1932</v>
      </c>
      <c r="J1265" s="2" t="s">
        <v>11461</v>
      </c>
      <c r="K1265" s="2" t="s">
        <v>507</v>
      </c>
      <c r="L1265" s="2" t="n">
        <v>0</v>
      </c>
      <c r="M1265" s="2" t="n">
        <v>0.88</v>
      </c>
    </row>
    <row r="1266" customFormat="false" ht="15" hidden="false" customHeight="false" outlineLevel="0" collapsed="false">
      <c r="A1266" s="2" t="n">
        <v>1264</v>
      </c>
      <c r="B1266" s="2" t="s">
        <v>5751</v>
      </c>
      <c r="C1266" s="2" t="n">
        <v>0</v>
      </c>
      <c r="D1266" s="2" t="n">
        <v>0</v>
      </c>
      <c r="E1266" s="2" t="s">
        <v>11462</v>
      </c>
      <c r="F1266" s="2" t="s">
        <v>743</v>
      </c>
      <c r="G1266" s="2" t="s">
        <v>11463</v>
      </c>
      <c r="H1266" s="2" t="s">
        <v>420</v>
      </c>
      <c r="I1266" s="2" t="s">
        <v>1574</v>
      </c>
      <c r="J1266" s="2" t="s">
        <v>11464</v>
      </c>
      <c r="K1266" s="2" t="s">
        <v>507</v>
      </c>
      <c r="L1266" s="2" t="n">
        <v>0</v>
      </c>
      <c r="M1266" s="2" t="n">
        <v>0.91</v>
      </c>
    </row>
    <row r="1267" customFormat="false" ht="15" hidden="false" customHeight="false" outlineLevel="0" collapsed="false">
      <c r="A1267" s="2" t="n">
        <v>1265</v>
      </c>
      <c r="B1267" s="2" t="s">
        <v>5751</v>
      </c>
      <c r="C1267" s="2" t="n">
        <v>1</v>
      </c>
      <c r="D1267" s="2" t="n">
        <v>0</v>
      </c>
      <c r="E1267" s="2" t="s">
        <v>5783</v>
      </c>
      <c r="F1267" s="2" t="s">
        <v>803</v>
      </c>
      <c r="G1267" s="2" t="s">
        <v>5784</v>
      </c>
      <c r="H1267" s="2" t="s">
        <v>420</v>
      </c>
      <c r="I1267" s="2" t="s">
        <v>2901</v>
      </c>
      <c r="J1267" s="2" t="s">
        <v>11465</v>
      </c>
      <c r="K1267" s="2" t="s">
        <v>507</v>
      </c>
      <c r="L1267" s="2" t="n">
        <v>0</v>
      </c>
      <c r="M1267" s="2" t="n">
        <v>1</v>
      </c>
    </row>
    <row r="1268" customFormat="false" ht="15" hidden="false" customHeight="false" outlineLevel="0" collapsed="false">
      <c r="A1268" s="2" t="n">
        <v>1266</v>
      </c>
      <c r="B1268" s="2" t="s">
        <v>5751</v>
      </c>
      <c r="C1268" s="2" t="n">
        <v>1</v>
      </c>
      <c r="D1268" s="2" t="n">
        <v>0</v>
      </c>
      <c r="E1268" s="2" t="s">
        <v>5787</v>
      </c>
      <c r="F1268" s="2" t="s">
        <v>5788</v>
      </c>
      <c r="G1268" s="2" t="s">
        <v>5789</v>
      </c>
      <c r="H1268" s="2" t="s">
        <v>5790</v>
      </c>
      <c r="I1268" s="2" t="s">
        <v>538</v>
      </c>
      <c r="J1268" s="2" t="s">
        <v>11466</v>
      </c>
      <c r="K1268" s="2" t="s">
        <v>507</v>
      </c>
      <c r="L1268" s="2" t="n">
        <v>0.12</v>
      </c>
      <c r="M1268" s="2" t="n">
        <v>0.93</v>
      </c>
    </row>
    <row r="1269" customFormat="false" ht="15" hidden="false" customHeight="false" outlineLevel="0" collapsed="false">
      <c r="A1269" s="2" t="n">
        <v>1267</v>
      </c>
      <c r="B1269" s="2" t="s">
        <v>5751</v>
      </c>
      <c r="C1269" s="2" t="n">
        <v>0</v>
      </c>
      <c r="D1269" s="2" t="n">
        <v>0</v>
      </c>
      <c r="E1269" s="2" t="s">
        <v>11467</v>
      </c>
      <c r="F1269" s="2" t="s">
        <v>743</v>
      </c>
      <c r="G1269" s="2" t="s">
        <v>11468</v>
      </c>
      <c r="H1269" s="2" t="s">
        <v>11469</v>
      </c>
      <c r="I1269" s="2" t="s">
        <v>604</v>
      </c>
      <c r="J1269" s="2" t="s">
        <v>11470</v>
      </c>
      <c r="K1269" s="2" t="s">
        <v>507</v>
      </c>
      <c r="L1269" s="2" t="n">
        <v>0</v>
      </c>
      <c r="M1269" s="2" t="n">
        <v>0.83</v>
      </c>
    </row>
    <row r="1270" customFormat="false" ht="15" hidden="false" customHeight="false" outlineLevel="0" collapsed="false">
      <c r="A1270" s="2" t="n">
        <v>1268</v>
      </c>
      <c r="B1270" s="2" t="s">
        <v>5751</v>
      </c>
      <c r="C1270" s="2" t="n">
        <v>0</v>
      </c>
      <c r="D1270" s="2" t="n">
        <v>0</v>
      </c>
      <c r="E1270" s="2" t="s">
        <v>11471</v>
      </c>
      <c r="F1270" s="2" t="s">
        <v>743</v>
      </c>
      <c r="G1270" s="2" t="s">
        <v>11472</v>
      </c>
      <c r="H1270" s="2" t="s">
        <v>646</v>
      </c>
      <c r="I1270" s="2" t="s">
        <v>1793</v>
      </c>
      <c r="J1270" s="2" t="s">
        <v>11473</v>
      </c>
      <c r="K1270" s="2" t="s">
        <v>507</v>
      </c>
      <c r="L1270" s="2" t="n">
        <v>0</v>
      </c>
      <c r="M1270" s="2" t="n">
        <v>0.82</v>
      </c>
    </row>
    <row r="1271" customFormat="false" ht="15" hidden="false" customHeight="false" outlineLevel="0" collapsed="false">
      <c r="A1271" s="2" t="n">
        <v>1269</v>
      </c>
      <c r="B1271" s="2" t="s">
        <v>5751</v>
      </c>
      <c r="C1271" s="2" t="n">
        <v>0</v>
      </c>
      <c r="D1271" s="2" t="n">
        <v>0</v>
      </c>
      <c r="E1271" s="2" t="s">
        <v>11474</v>
      </c>
      <c r="F1271" s="2" t="s">
        <v>743</v>
      </c>
      <c r="G1271" s="2" t="s">
        <v>3415</v>
      </c>
      <c r="H1271" s="2" t="s">
        <v>3416</v>
      </c>
      <c r="I1271" s="2" t="s">
        <v>1648</v>
      </c>
      <c r="J1271" s="2" t="s">
        <v>11475</v>
      </c>
      <c r="K1271" s="2" t="s">
        <v>507</v>
      </c>
      <c r="L1271" s="2" t="n">
        <v>0</v>
      </c>
      <c r="M1271" s="2" t="n">
        <v>0.67</v>
      </c>
    </row>
    <row r="1272" customFormat="false" ht="15" hidden="false" customHeight="false" outlineLevel="0" collapsed="false">
      <c r="A1272" s="2" t="n">
        <v>1270</v>
      </c>
      <c r="B1272" s="2" t="s">
        <v>5751</v>
      </c>
      <c r="C1272" s="2" t="n">
        <v>0</v>
      </c>
      <c r="D1272" s="2" t="n">
        <v>0</v>
      </c>
      <c r="E1272" s="2" t="s">
        <v>11476</v>
      </c>
      <c r="F1272" s="2" t="s">
        <v>11274</v>
      </c>
      <c r="G1272" s="2" t="s">
        <v>11477</v>
      </c>
      <c r="H1272" s="2" t="s">
        <v>1423</v>
      </c>
      <c r="I1272" s="2" t="s">
        <v>3321</v>
      </c>
      <c r="J1272" s="2" t="s">
        <v>11478</v>
      </c>
      <c r="K1272" s="2" t="s">
        <v>507</v>
      </c>
      <c r="L1272" s="2" t="n">
        <v>0.14</v>
      </c>
      <c r="M1272" s="2" t="n">
        <v>0.91</v>
      </c>
    </row>
    <row r="1273" customFormat="false" ht="15" hidden="false" customHeight="false" outlineLevel="0" collapsed="false">
      <c r="A1273" s="2" t="n">
        <v>1271</v>
      </c>
      <c r="B1273" s="2" t="s">
        <v>5751</v>
      </c>
      <c r="C1273" s="2" t="n">
        <v>0</v>
      </c>
      <c r="D1273" s="2" t="n">
        <v>0</v>
      </c>
      <c r="E1273" s="2" t="s">
        <v>11479</v>
      </c>
      <c r="F1273" s="2" t="s">
        <v>743</v>
      </c>
      <c r="G1273" s="2" t="s">
        <v>3424</v>
      </c>
      <c r="H1273" s="2" t="s">
        <v>3425</v>
      </c>
      <c r="I1273" s="2" t="s">
        <v>1078</v>
      </c>
      <c r="J1273" s="2" t="s">
        <v>11480</v>
      </c>
      <c r="K1273" s="2" t="s">
        <v>507</v>
      </c>
      <c r="L1273" s="2" t="n">
        <v>0.17</v>
      </c>
      <c r="M1273" s="2" t="n">
        <v>0.67</v>
      </c>
    </row>
    <row r="1274" customFormat="false" ht="15" hidden="false" customHeight="false" outlineLevel="0" collapsed="false">
      <c r="A1274" s="2" t="n">
        <v>1272</v>
      </c>
      <c r="B1274" s="2" t="s">
        <v>5751</v>
      </c>
      <c r="C1274" s="2" t="n">
        <v>0</v>
      </c>
      <c r="D1274" s="2" t="n">
        <v>0</v>
      </c>
      <c r="E1274" s="2" t="s">
        <v>11481</v>
      </c>
      <c r="F1274" s="2" t="s">
        <v>11328</v>
      </c>
      <c r="G1274" s="2" t="s">
        <v>10241</v>
      </c>
      <c r="H1274" s="2" t="s">
        <v>158</v>
      </c>
      <c r="I1274" s="2" t="s">
        <v>3823</v>
      </c>
      <c r="J1274" s="2" t="s">
        <v>11482</v>
      </c>
      <c r="K1274" s="2" t="s">
        <v>507</v>
      </c>
      <c r="L1274" s="2" t="n">
        <v>0</v>
      </c>
      <c r="M1274" s="2" t="n">
        <v>0.77</v>
      </c>
    </row>
    <row r="1275" customFormat="false" ht="15" hidden="false" customHeight="false" outlineLevel="0" collapsed="false">
      <c r="A1275" s="2" t="n">
        <v>1273</v>
      </c>
      <c r="B1275" s="2" t="s">
        <v>5751</v>
      </c>
      <c r="C1275" s="2" t="n">
        <v>0</v>
      </c>
      <c r="D1275" s="2" t="n">
        <v>0</v>
      </c>
      <c r="E1275" s="2" t="s">
        <v>11483</v>
      </c>
      <c r="F1275" s="2" t="s">
        <v>11484</v>
      </c>
      <c r="G1275" s="2" t="s">
        <v>3433</v>
      </c>
      <c r="H1275" s="2" t="s">
        <v>3434</v>
      </c>
      <c r="I1275" s="2" t="s">
        <v>3435</v>
      </c>
      <c r="J1275" s="2" t="s">
        <v>11485</v>
      </c>
      <c r="K1275" s="2" t="s">
        <v>507</v>
      </c>
      <c r="L1275" s="2" t="n">
        <v>0</v>
      </c>
      <c r="M1275" s="2" t="n">
        <v>0.92</v>
      </c>
    </row>
    <row r="1276" customFormat="false" ht="15" hidden="false" customHeight="false" outlineLevel="0" collapsed="false">
      <c r="A1276" s="2" t="n">
        <v>1274</v>
      </c>
      <c r="B1276" s="2" t="s">
        <v>5751</v>
      </c>
      <c r="C1276" s="2" t="n">
        <v>0</v>
      </c>
      <c r="D1276" s="2" t="n">
        <v>0</v>
      </c>
      <c r="E1276" s="2" t="s">
        <v>11486</v>
      </c>
      <c r="F1276" s="2" t="s">
        <v>11487</v>
      </c>
      <c r="G1276" s="2" t="s">
        <v>3449</v>
      </c>
      <c r="H1276" s="2" t="s">
        <v>3434</v>
      </c>
      <c r="I1276" s="2" t="s">
        <v>98</v>
      </c>
      <c r="J1276" s="2" t="s">
        <v>11488</v>
      </c>
      <c r="K1276" s="2" t="s">
        <v>507</v>
      </c>
      <c r="L1276" s="2" t="n">
        <v>0.09</v>
      </c>
      <c r="M1276" s="2" t="n">
        <v>0.71</v>
      </c>
    </row>
    <row r="1277" customFormat="false" ht="15" hidden="false" customHeight="false" outlineLevel="0" collapsed="false">
      <c r="A1277" s="2" t="n">
        <v>1275</v>
      </c>
      <c r="B1277" s="2" t="s">
        <v>5751</v>
      </c>
      <c r="C1277" s="2" t="n">
        <v>0</v>
      </c>
      <c r="D1277" s="2" t="n">
        <v>0</v>
      </c>
      <c r="E1277" s="2" t="s">
        <v>11489</v>
      </c>
      <c r="F1277" s="2" t="s">
        <v>11490</v>
      </c>
      <c r="G1277" s="2" t="s">
        <v>10246</v>
      </c>
      <c r="H1277" s="2" t="s">
        <v>3434</v>
      </c>
      <c r="I1277" s="2" t="s">
        <v>190</v>
      </c>
      <c r="J1277" s="2" t="s">
        <v>11491</v>
      </c>
      <c r="K1277" s="2" t="s">
        <v>507</v>
      </c>
      <c r="L1277" s="2" t="n">
        <v>0</v>
      </c>
      <c r="M1277" s="2" t="n">
        <v>1</v>
      </c>
    </row>
    <row r="1278" customFormat="false" ht="15" hidden="false" customHeight="false" outlineLevel="0" collapsed="false">
      <c r="A1278" s="2" t="n">
        <v>1276</v>
      </c>
      <c r="B1278" s="2" t="s">
        <v>5751</v>
      </c>
      <c r="C1278" s="2" t="n">
        <v>0</v>
      </c>
      <c r="D1278" s="2" t="n">
        <v>0</v>
      </c>
      <c r="E1278" s="2" t="s">
        <v>11492</v>
      </c>
      <c r="F1278" s="2" t="s">
        <v>11484</v>
      </c>
      <c r="G1278" s="2" t="s">
        <v>3455</v>
      </c>
      <c r="H1278" s="2" t="s">
        <v>3456</v>
      </c>
      <c r="I1278" s="2" t="s">
        <v>2303</v>
      </c>
      <c r="J1278" s="2" t="s">
        <v>11493</v>
      </c>
      <c r="K1278" s="2" t="s">
        <v>507</v>
      </c>
      <c r="L1278" s="2" t="n">
        <v>0</v>
      </c>
      <c r="M1278" s="2" t="n">
        <v>0.91</v>
      </c>
    </row>
    <row r="1279" customFormat="false" ht="15" hidden="false" customHeight="false" outlineLevel="0" collapsed="false">
      <c r="A1279" s="2" t="n">
        <v>1277</v>
      </c>
      <c r="B1279" s="2" t="s">
        <v>5751</v>
      </c>
      <c r="C1279" s="2" t="n">
        <v>0</v>
      </c>
      <c r="D1279" s="2" t="n">
        <v>0</v>
      </c>
      <c r="E1279" s="2" t="s">
        <v>11494</v>
      </c>
      <c r="F1279" s="2" t="s">
        <v>743</v>
      </c>
      <c r="G1279" s="2" t="s">
        <v>3467</v>
      </c>
      <c r="H1279" s="2" t="s">
        <v>3468</v>
      </c>
      <c r="I1279" s="2" t="s">
        <v>3469</v>
      </c>
      <c r="J1279" s="2" t="s">
        <v>11495</v>
      </c>
      <c r="K1279" s="2" t="s">
        <v>507</v>
      </c>
      <c r="L1279" s="2" t="n">
        <v>0</v>
      </c>
      <c r="M1279" s="2" t="n">
        <v>0.64</v>
      </c>
    </row>
    <row r="1280" customFormat="false" ht="15" hidden="false" customHeight="false" outlineLevel="0" collapsed="false">
      <c r="A1280" s="2" t="n">
        <v>1278</v>
      </c>
      <c r="B1280" s="2" t="s">
        <v>5751</v>
      </c>
      <c r="C1280" s="2" t="n">
        <v>0</v>
      </c>
      <c r="D1280" s="2" t="n">
        <v>0</v>
      </c>
      <c r="E1280" s="2" t="s">
        <v>11496</v>
      </c>
      <c r="F1280" s="2" t="s">
        <v>11497</v>
      </c>
      <c r="G1280" s="2" t="s">
        <v>3480</v>
      </c>
      <c r="H1280" s="2" t="s">
        <v>3481</v>
      </c>
      <c r="I1280" s="2" t="s">
        <v>1543</v>
      </c>
      <c r="J1280" s="2" t="s">
        <v>11498</v>
      </c>
      <c r="K1280" s="2" t="s">
        <v>507</v>
      </c>
      <c r="L1280" s="2" t="n">
        <v>0</v>
      </c>
      <c r="M1280" s="2" t="n">
        <v>0.55</v>
      </c>
    </row>
    <row r="1281" customFormat="false" ht="15" hidden="false" customHeight="false" outlineLevel="0" collapsed="false">
      <c r="A1281" s="2" t="n">
        <v>1279</v>
      </c>
      <c r="B1281" s="2" t="s">
        <v>5751</v>
      </c>
      <c r="C1281" s="2" t="n">
        <v>0</v>
      </c>
      <c r="D1281" s="2" t="n">
        <v>0</v>
      </c>
      <c r="E1281" s="2" t="s">
        <v>11499</v>
      </c>
      <c r="F1281" s="2" t="s">
        <v>2924</v>
      </c>
      <c r="G1281" s="2" t="s">
        <v>3487</v>
      </c>
      <c r="H1281" s="2" t="s">
        <v>3434</v>
      </c>
      <c r="I1281" s="2" t="s">
        <v>370</v>
      </c>
      <c r="J1281" s="2" t="s">
        <v>11500</v>
      </c>
      <c r="K1281" s="2" t="s">
        <v>507</v>
      </c>
      <c r="L1281" s="2" t="n">
        <v>0</v>
      </c>
      <c r="M1281" s="2" t="n">
        <v>0.89</v>
      </c>
    </row>
    <row r="1282" customFormat="false" ht="15" hidden="false" customHeight="false" outlineLevel="0" collapsed="false">
      <c r="A1282" s="2" t="n">
        <v>1280</v>
      </c>
      <c r="B1282" s="2" t="s">
        <v>5751</v>
      </c>
      <c r="C1282" s="2" t="n">
        <v>0</v>
      </c>
      <c r="D1282" s="2" t="n">
        <v>0</v>
      </c>
      <c r="E1282" s="2" t="s">
        <v>11501</v>
      </c>
      <c r="F1282" s="2" t="s">
        <v>4322</v>
      </c>
      <c r="G1282" s="2" t="s">
        <v>3497</v>
      </c>
      <c r="H1282" s="2" t="s">
        <v>3498</v>
      </c>
      <c r="I1282" s="2" t="s">
        <v>421</v>
      </c>
      <c r="J1282" s="2" t="s">
        <v>11502</v>
      </c>
      <c r="K1282" s="2" t="s">
        <v>507</v>
      </c>
      <c r="L1282" s="2" t="n">
        <v>0</v>
      </c>
      <c r="M1282" s="2" t="n">
        <v>0.33</v>
      </c>
    </row>
    <row r="1283" customFormat="false" ht="15" hidden="false" customHeight="false" outlineLevel="0" collapsed="false">
      <c r="A1283" s="2" t="n">
        <v>1281</v>
      </c>
      <c r="B1283" s="2" t="s">
        <v>5751</v>
      </c>
      <c r="C1283" s="2" t="n">
        <v>0</v>
      </c>
      <c r="D1283" s="2" t="n">
        <v>0</v>
      </c>
      <c r="E1283" s="2" t="s">
        <v>11503</v>
      </c>
      <c r="F1283" s="2" t="s">
        <v>4742</v>
      </c>
      <c r="G1283" s="2" t="s">
        <v>10255</v>
      </c>
      <c r="H1283" s="2" t="s">
        <v>420</v>
      </c>
      <c r="I1283" s="2" t="s">
        <v>3017</v>
      </c>
      <c r="J1283" s="2" t="s">
        <v>11504</v>
      </c>
      <c r="K1283" s="2" t="s">
        <v>507</v>
      </c>
      <c r="L1283" s="2" t="n">
        <v>0</v>
      </c>
      <c r="M1283" s="2" t="n">
        <v>0.69</v>
      </c>
    </row>
    <row r="1284" customFormat="false" ht="15" hidden="false" customHeight="false" outlineLevel="0" collapsed="false">
      <c r="A1284" s="2" t="n">
        <v>1282</v>
      </c>
      <c r="B1284" s="2" t="s">
        <v>5751</v>
      </c>
      <c r="C1284" s="2" t="n">
        <v>0</v>
      </c>
      <c r="D1284" s="2" t="n">
        <v>0</v>
      </c>
      <c r="E1284" s="2" t="s">
        <v>11505</v>
      </c>
      <c r="F1284" s="2" t="s">
        <v>95</v>
      </c>
      <c r="G1284" s="2" t="s">
        <v>3505</v>
      </c>
      <c r="H1284" s="2" t="s">
        <v>97</v>
      </c>
      <c r="I1284" s="2" t="s">
        <v>3506</v>
      </c>
      <c r="J1284" s="2" t="s">
        <v>11506</v>
      </c>
      <c r="K1284" s="2" t="s">
        <v>507</v>
      </c>
      <c r="L1284" s="2" t="n">
        <v>0.11</v>
      </c>
      <c r="M1284" s="2" t="n">
        <v>0.9</v>
      </c>
    </row>
    <row r="1285" customFormat="false" ht="15" hidden="false" customHeight="false" outlineLevel="0" collapsed="false">
      <c r="A1285" s="2" t="n">
        <v>1283</v>
      </c>
      <c r="B1285" s="2" t="s">
        <v>5751</v>
      </c>
      <c r="C1285" s="2" t="n">
        <v>0</v>
      </c>
      <c r="D1285" s="2" t="n">
        <v>0</v>
      </c>
      <c r="E1285" s="2" t="s">
        <v>11507</v>
      </c>
      <c r="F1285" s="2" t="s">
        <v>5699</v>
      </c>
      <c r="G1285" s="2" t="s">
        <v>10259</v>
      </c>
      <c r="H1285" s="2" t="s">
        <v>10260</v>
      </c>
      <c r="I1285" s="2" t="s">
        <v>2825</v>
      </c>
      <c r="J1285" s="2" t="s">
        <v>11508</v>
      </c>
      <c r="K1285" s="2" t="s">
        <v>507</v>
      </c>
      <c r="L1285" s="2" t="n">
        <v>0.1</v>
      </c>
      <c r="M1285" s="2" t="n">
        <v>1</v>
      </c>
    </row>
    <row r="1286" customFormat="false" ht="15" hidden="false" customHeight="false" outlineLevel="0" collapsed="false">
      <c r="A1286" s="2" t="n">
        <v>1284</v>
      </c>
      <c r="B1286" s="2" t="s">
        <v>5751</v>
      </c>
      <c r="C1286" s="2" t="n">
        <v>0</v>
      </c>
      <c r="D1286" s="2" t="n">
        <v>0</v>
      </c>
      <c r="E1286" s="2" t="s">
        <v>11509</v>
      </c>
      <c r="F1286" s="2" t="s">
        <v>2924</v>
      </c>
      <c r="G1286" s="2" t="s">
        <v>3516</v>
      </c>
      <c r="H1286" s="2" t="s">
        <v>3517</v>
      </c>
      <c r="I1286" s="2" t="s">
        <v>805</v>
      </c>
      <c r="J1286" s="2" t="s">
        <v>11510</v>
      </c>
      <c r="K1286" s="2" t="s">
        <v>507</v>
      </c>
      <c r="L1286" s="2" t="n">
        <v>0</v>
      </c>
      <c r="M1286" s="2" t="n">
        <v>0.75</v>
      </c>
    </row>
    <row r="1287" customFormat="false" ht="15" hidden="false" customHeight="false" outlineLevel="0" collapsed="false">
      <c r="A1287" s="2" t="n">
        <v>1285</v>
      </c>
      <c r="B1287" s="2" t="s">
        <v>5751</v>
      </c>
      <c r="C1287" s="2" t="n">
        <v>0</v>
      </c>
      <c r="D1287" s="2" t="n">
        <v>0</v>
      </c>
      <c r="E1287" s="2" t="s">
        <v>11511</v>
      </c>
      <c r="F1287" s="2" t="s">
        <v>3347</v>
      </c>
      <c r="G1287" s="2" t="s">
        <v>3525</v>
      </c>
      <c r="H1287" s="2" t="s">
        <v>3526</v>
      </c>
      <c r="I1287" s="2" t="s">
        <v>512</v>
      </c>
      <c r="J1287" s="2" t="s">
        <v>11512</v>
      </c>
      <c r="K1287" s="2" t="s">
        <v>507</v>
      </c>
      <c r="L1287" s="2" t="n">
        <v>0.07</v>
      </c>
      <c r="M1287" s="2" t="n">
        <v>0.9</v>
      </c>
    </row>
    <row r="1288" customFormat="false" ht="15" hidden="false" customHeight="false" outlineLevel="0" collapsed="false">
      <c r="A1288" s="2" t="n">
        <v>1286</v>
      </c>
      <c r="B1288" s="2" t="s">
        <v>5751</v>
      </c>
      <c r="C1288" s="2" t="n">
        <v>0</v>
      </c>
      <c r="D1288" s="2" t="n">
        <v>0</v>
      </c>
      <c r="E1288" s="2" t="s">
        <v>11513</v>
      </c>
      <c r="F1288" s="2" t="s">
        <v>4742</v>
      </c>
      <c r="G1288" s="2" t="s">
        <v>10266</v>
      </c>
      <c r="H1288" s="2" t="s">
        <v>10267</v>
      </c>
      <c r="I1288" s="2" t="s">
        <v>1614</v>
      </c>
      <c r="J1288" s="2" t="s">
        <v>11514</v>
      </c>
      <c r="K1288" s="2" t="s">
        <v>507</v>
      </c>
      <c r="L1288" s="2" t="n">
        <v>0.09</v>
      </c>
      <c r="M1288" s="2" t="n">
        <v>0.5</v>
      </c>
    </row>
    <row r="1289" customFormat="false" ht="15" hidden="false" customHeight="false" outlineLevel="0" collapsed="false">
      <c r="A1289" s="2" t="n">
        <v>1287</v>
      </c>
      <c r="B1289" s="2" t="s">
        <v>5751</v>
      </c>
      <c r="C1289" s="2" t="n">
        <v>1</v>
      </c>
      <c r="D1289" s="2" t="n">
        <v>1</v>
      </c>
      <c r="E1289" s="2" t="s">
        <v>5794</v>
      </c>
      <c r="F1289" s="2" t="s">
        <v>743</v>
      </c>
      <c r="G1289" s="2" t="s">
        <v>3536</v>
      </c>
      <c r="H1289" s="2" t="s">
        <v>3537</v>
      </c>
      <c r="I1289" s="2" t="s">
        <v>1875</v>
      </c>
      <c r="J1289" s="2" t="s">
        <v>11515</v>
      </c>
      <c r="K1289" s="2" t="s">
        <v>507</v>
      </c>
      <c r="L1289" s="2" t="n">
        <v>0.08</v>
      </c>
      <c r="M1289" s="2" t="n">
        <v>0.75</v>
      </c>
    </row>
    <row r="1290" customFormat="false" ht="15" hidden="false" customHeight="false" outlineLevel="0" collapsed="false">
      <c r="A1290" s="2" t="n">
        <v>1288</v>
      </c>
      <c r="B1290" s="2" t="s">
        <v>5751</v>
      </c>
      <c r="C1290" s="2" t="n">
        <v>0</v>
      </c>
      <c r="D1290" s="2" t="n">
        <v>0</v>
      </c>
      <c r="E1290" s="2" t="s">
        <v>11516</v>
      </c>
      <c r="F1290" s="2" t="s">
        <v>3544</v>
      </c>
      <c r="G1290" s="2" t="s">
        <v>10272</v>
      </c>
      <c r="H1290" s="2" t="s">
        <v>696</v>
      </c>
      <c r="I1290" s="2" t="s">
        <v>5570</v>
      </c>
      <c r="J1290" s="2" t="s">
        <v>11517</v>
      </c>
      <c r="K1290" s="2" t="s">
        <v>507</v>
      </c>
      <c r="L1290" s="2" t="n">
        <v>0</v>
      </c>
      <c r="M1290" s="2" t="n">
        <v>1</v>
      </c>
    </row>
    <row r="1291" customFormat="false" ht="15" hidden="false" customHeight="false" outlineLevel="0" collapsed="false">
      <c r="A1291" s="2" t="n">
        <v>1289</v>
      </c>
      <c r="B1291" s="2" t="s">
        <v>5751</v>
      </c>
      <c r="C1291" s="2" t="n">
        <v>0</v>
      </c>
      <c r="D1291" s="2" t="n">
        <v>0</v>
      </c>
      <c r="E1291" s="2" t="s">
        <v>11518</v>
      </c>
      <c r="F1291" s="2" t="s">
        <v>10696</v>
      </c>
      <c r="G1291" s="2" t="s">
        <v>10275</v>
      </c>
      <c r="H1291" s="2" t="s">
        <v>4764</v>
      </c>
      <c r="I1291" s="2" t="s">
        <v>1932</v>
      </c>
      <c r="J1291" s="2" t="s">
        <v>11519</v>
      </c>
      <c r="K1291" s="2" t="s">
        <v>507</v>
      </c>
      <c r="L1291" s="2" t="n">
        <v>0</v>
      </c>
      <c r="M1291" s="2" t="n">
        <v>1</v>
      </c>
    </row>
    <row r="1292" customFormat="false" ht="15" hidden="false" customHeight="false" outlineLevel="0" collapsed="false">
      <c r="A1292" s="2" t="n">
        <v>1290</v>
      </c>
      <c r="B1292" s="2" t="s">
        <v>5795</v>
      </c>
      <c r="C1292" s="2" t="n">
        <v>1</v>
      </c>
      <c r="D1292" s="2" t="n">
        <v>0</v>
      </c>
      <c r="E1292" s="2" t="s">
        <v>5800</v>
      </c>
      <c r="F1292" s="2" t="s">
        <v>1563</v>
      </c>
      <c r="G1292" s="2" t="s">
        <v>5801</v>
      </c>
      <c r="H1292" s="2" t="s">
        <v>3434</v>
      </c>
      <c r="I1292" s="2" t="s">
        <v>5802</v>
      </c>
      <c r="J1292" s="2" t="s">
        <v>11520</v>
      </c>
      <c r="K1292" s="2" t="s">
        <v>507</v>
      </c>
      <c r="L1292" s="2" t="n">
        <v>0.11</v>
      </c>
      <c r="M1292" s="2" t="n">
        <v>1</v>
      </c>
    </row>
    <row r="1293" customFormat="false" ht="15" hidden="false" customHeight="false" outlineLevel="0" collapsed="false">
      <c r="A1293" s="2" t="n">
        <v>1291</v>
      </c>
      <c r="B1293" s="2" t="s">
        <v>5795</v>
      </c>
      <c r="C1293" s="2" t="n">
        <v>0</v>
      </c>
      <c r="D1293" s="2" t="n">
        <v>0</v>
      </c>
      <c r="E1293" s="2" t="s">
        <v>11521</v>
      </c>
      <c r="F1293" s="2" t="s">
        <v>11522</v>
      </c>
      <c r="G1293" s="2" t="s">
        <v>10280</v>
      </c>
      <c r="H1293" s="2" t="s">
        <v>2926</v>
      </c>
      <c r="I1293" s="2" t="s">
        <v>1424</v>
      </c>
      <c r="J1293" s="2" t="s">
        <v>11523</v>
      </c>
      <c r="K1293" s="2" t="s">
        <v>507</v>
      </c>
      <c r="L1293" s="2" t="n">
        <v>0</v>
      </c>
      <c r="M1293" s="2" t="n">
        <v>0.77</v>
      </c>
    </row>
    <row r="1294" customFormat="false" ht="15" hidden="false" customHeight="false" outlineLevel="0" collapsed="false">
      <c r="A1294" s="2" t="n">
        <v>1292</v>
      </c>
      <c r="B1294" s="2" t="s">
        <v>5795</v>
      </c>
      <c r="C1294" s="2" t="n">
        <v>2</v>
      </c>
      <c r="D1294" s="2" t="n">
        <v>0</v>
      </c>
      <c r="E1294" s="2" t="s">
        <v>5806</v>
      </c>
      <c r="F1294" s="2" t="s">
        <v>5807</v>
      </c>
      <c r="G1294" s="2" t="s">
        <v>5808</v>
      </c>
      <c r="H1294" s="2" t="s">
        <v>696</v>
      </c>
      <c r="I1294" s="2" t="s">
        <v>3088</v>
      </c>
      <c r="J1294" s="2" t="s">
        <v>11524</v>
      </c>
      <c r="K1294" s="2" t="s">
        <v>507</v>
      </c>
      <c r="L1294" s="2" t="n">
        <v>0</v>
      </c>
      <c r="M1294" s="2" t="n">
        <v>0.78</v>
      </c>
    </row>
    <row r="1295" customFormat="false" ht="15" hidden="false" customHeight="false" outlineLevel="0" collapsed="false">
      <c r="A1295" s="2" t="n">
        <v>1293</v>
      </c>
      <c r="B1295" s="2" t="s">
        <v>5795</v>
      </c>
      <c r="C1295" s="2" t="n">
        <v>0</v>
      </c>
      <c r="D1295" s="2" t="n">
        <v>0</v>
      </c>
      <c r="E1295" s="2" t="s">
        <v>11525</v>
      </c>
      <c r="F1295" s="2" t="s">
        <v>3341</v>
      </c>
      <c r="G1295" s="2" t="s">
        <v>10286</v>
      </c>
      <c r="H1295" s="2" t="s">
        <v>10260</v>
      </c>
      <c r="I1295" s="2" t="s">
        <v>321</v>
      </c>
      <c r="J1295" s="2" t="s">
        <v>11526</v>
      </c>
      <c r="K1295" s="2" t="s">
        <v>507</v>
      </c>
      <c r="L1295" s="2" t="n">
        <v>0</v>
      </c>
      <c r="M1295" s="2" t="n">
        <v>0.58</v>
      </c>
    </row>
    <row r="1296" customFormat="false" ht="15" hidden="false" customHeight="false" outlineLevel="0" collapsed="false">
      <c r="A1296" s="2" t="n">
        <v>1294</v>
      </c>
      <c r="B1296" s="2" t="s">
        <v>5795</v>
      </c>
      <c r="C1296" s="2" t="n">
        <v>0</v>
      </c>
      <c r="D1296" s="2" t="n">
        <v>0</v>
      </c>
      <c r="E1296" s="2" t="s">
        <v>11527</v>
      </c>
      <c r="F1296" s="2" t="s">
        <v>8301</v>
      </c>
      <c r="G1296" s="2" t="s">
        <v>10289</v>
      </c>
      <c r="H1296" s="2" t="s">
        <v>10290</v>
      </c>
      <c r="I1296" s="2" t="s">
        <v>1078</v>
      </c>
      <c r="J1296" s="2" t="s">
        <v>11528</v>
      </c>
      <c r="K1296" s="2" t="s">
        <v>507</v>
      </c>
      <c r="L1296" s="2" t="n">
        <v>0</v>
      </c>
      <c r="M1296" s="2" t="n">
        <v>0.71</v>
      </c>
    </row>
    <row r="1297" customFormat="false" ht="15" hidden="false" customHeight="false" outlineLevel="0" collapsed="false">
      <c r="A1297" s="2" t="n">
        <v>1295</v>
      </c>
      <c r="B1297" s="2" t="s">
        <v>5795</v>
      </c>
      <c r="C1297" s="2" t="n">
        <v>1</v>
      </c>
      <c r="D1297" s="2" t="n">
        <v>0</v>
      </c>
      <c r="E1297" s="2" t="s">
        <v>5815</v>
      </c>
      <c r="F1297" s="2" t="s">
        <v>963</v>
      </c>
      <c r="G1297" s="2" t="s">
        <v>5816</v>
      </c>
      <c r="H1297" s="2" t="s">
        <v>3434</v>
      </c>
      <c r="I1297" s="2" t="s">
        <v>3088</v>
      </c>
      <c r="J1297" s="2" t="s">
        <v>11529</v>
      </c>
      <c r="K1297" s="2" t="s">
        <v>507</v>
      </c>
      <c r="L1297" s="2" t="n">
        <v>0.09</v>
      </c>
      <c r="M1297" s="2" t="n">
        <v>0.91</v>
      </c>
    </row>
    <row r="1298" customFormat="false" ht="15" hidden="false" customHeight="false" outlineLevel="0" collapsed="false">
      <c r="A1298" s="2" t="n">
        <v>1296</v>
      </c>
      <c r="B1298" s="2" t="s">
        <v>5795</v>
      </c>
      <c r="C1298" s="2" t="n">
        <v>0</v>
      </c>
      <c r="D1298" s="2" t="n">
        <v>0</v>
      </c>
      <c r="E1298" s="2" t="s">
        <v>11530</v>
      </c>
      <c r="F1298" s="2" t="s">
        <v>11531</v>
      </c>
      <c r="G1298" s="2" t="s">
        <v>10296</v>
      </c>
      <c r="H1298" s="2" t="s">
        <v>3544</v>
      </c>
      <c r="I1298" s="2" t="s">
        <v>246</v>
      </c>
      <c r="J1298" s="2" t="s">
        <v>11532</v>
      </c>
      <c r="K1298" s="2" t="s">
        <v>507</v>
      </c>
      <c r="L1298" s="2" t="n">
        <v>0</v>
      </c>
      <c r="M1298" s="2" t="n">
        <v>0.75</v>
      </c>
    </row>
    <row r="1299" customFormat="false" ht="15" hidden="false" customHeight="false" outlineLevel="0" collapsed="false">
      <c r="A1299" s="2" t="n">
        <v>1297</v>
      </c>
      <c r="B1299" s="2" t="s">
        <v>5795</v>
      </c>
      <c r="C1299" s="2" t="n">
        <v>0</v>
      </c>
      <c r="D1299" s="2" t="n">
        <v>0</v>
      </c>
      <c r="E1299" s="2" t="s">
        <v>11533</v>
      </c>
      <c r="F1299" s="2" t="s">
        <v>11484</v>
      </c>
      <c r="G1299" s="2" t="s">
        <v>3545</v>
      </c>
      <c r="H1299" s="2" t="s">
        <v>3546</v>
      </c>
      <c r="I1299" s="2" t="s">
        <v>1932</v>
      </c>
      <c r="J1299" s="2" t="s">
        <v>11534</v>
      </c>
      <c r="K1299" s="2" t="s">
        <v>507</v>
      </c>
      <c r="L1299" s="2" t="n">
        <v>0</v>
      </c>
      <c r="M1299" s="2" t="n">
        <v>0.67</v>
      </c>
    </row>
    <row r="1300" customFormat="false" ht="15" hidden="false" customHeight="false" outlineLevel="0" collapsed="false">
      <c r="A1300" s="2" t="n">
        <v>1298</v>
      </c>
      <c r="B1300" s="2" t="s">
        <v>5795</v>
      </c>
      <c r="C1300" s="2" t="n">
        <v>0</v>
      </c>
      <c r="D1300" s="2" t="n">
        <v>0</v>
      </c>
      <c r="E1300" s="2" t="s">
        <v>11535</v>
      </c>
      <c r="F1300" s="2" t="s">
        <v>5546</v>
      </c>
      <c r="G1300" s="2" t="s">
        <v>11536</v>
      </c>
      <c r="H1300" s="2" t="s">
        <v>10221</v>
      </c>
      <c r="I1300" s="2" t="s">
        <v>595</v>
      </c>
      <c r="J1300" s="2" t="s">
        <v>11537</v>
      </c>
      <c r="K1300" s="2" t="s">
        <v>507</v>
      </c>
      <c r="L1300" s="2" t="n">
        <v>0.25</v>
      </c>
      <c r="M1300" s="2" t="n">
        <v>0.43</v>
      </c>
    </row>
    <row r="1301" customFormat="false" ht="15" hidden="false" customHeight="false" outlineLevel="0" collapsed="false">
      <c r="A1301" s="2" t="n">
        <v>1299</v>
      </c>
      <c r="B1301" s="2" t="s">
        <v>5795</v>
      </c>
      <c r="C1301" s="2" t="n">
        <v>0</v>
      </c>
      <c r="D1301" s="2" t="n">
        <v>0</v>
      </c>
      <c r="E1301" s="2" t="s">
        <v>11538</v>
      </c>
      <c r="F1301" s="2" t="s">
        <v>11539</v>
      </c>
      <c r="G1301" s="2" t="s">
        <v>10300</v>
      </c>
      <c r="H1301" s="2" t="s">
        <v>1390</v>
      </c>
      <c r="I1301" s="2" t="s">
        <v>1923</v>
      </c>
      <c r="J1301" s="2" t="s">
        <v>11540</v>
      </c>
      <c r="K1301" s="2" t="s">
        <v>507</v>
      </c>
      <c r="L1301" s="2" t="n">
        <v>0.13</v>
      </c>
      <c r="M1301" s="2" t="n">
        <v>0.58</v>
      </c>
    </row>
    <row r="1302" customFormat="false" ht="15" hidden="false" customHeight="false" outlineLevel="0" collapsed="false">
      <c r="A1302" s="2" t="n">
        <v>1300</v>
      </c>
      <c r="B1302" s="2" t="s">
        <v>5795</v>
      </c>
      <c r="C1302" s="2" t="n">
        <v>0</v>
      </c>
      <c r="D1302" s="2" t="n">
        <v>0</v>
      </c>
      <c r="E1302" s="2" t="s">
        <v>11541</v>
      </c>
      <c r="F1302" s="2" t="s">
        <v>3858</v>
      </c>
      <c r="G1302" s="2" t="s">
        <v>3554</v>
      </c>
      <c r="H1302" s="2" t="s">
        <v>2979</v>
      </c>
      <c r="I1302" s="2" t="s">
        <v>1078</v>
      </c>
      <c r="J1302" s="2" t="s">
        <v>11542</v>
      </c>
      <c r="K1302" s="2" t="s">
        <v>507</v>
      </c>
      <c r="L1302" s="2" t="n">
        <v>0</v>
      </c>
      <c r="M1302" s="2" t="n">
        <v>0.64</v>
      </c>
    </row>
    <row r="1303" customFormat="false" ht="15" hidden="false" customHeight="false" outlineLevel="0" collapsed="false">
      <c r="A1303" s="2" t="n">
        <v>1301</v>
      </c>
      <c r="B1303" s="2" t="s">
        <v>5795</v>
      </c>
      <c r="C1303" s="2" t="n">
        <v>0</v>
      </c>
      <c r="D1303" s="2" t="n">
        <v>0</v>
      </c>
      <c r="E1303" s="2" t="s">
        <v>11543</v>
      </c>
      <c r="F1303" s="2" t="s">
        <v>11544</v>
      </c>
      <c r="G1303" s="2" t="s">
        <v>3562</v>
      </c>
      <c r="H1303" s="2" t="s">
        <v>2214</v>
      </c>
      <c r="I1303" s="2" t="s">
        <v>2939</v>
      </c>
      <c r="J1303" s="2" t="s">
        <v>11545</v>
      </c>
      <c r="K1303" s="2" t="s">
        <v>507</v>
      </c>
      <c r="L1303" s="2" t="n">
        <v>0.25</v>
      </c>
      <c r="M1303" s="2" t="n">
        <v>0.64</v>
      </c>
    </row>
    <row r="1304" customFormat="false" ht="15" hidden="false" customHeight="false" outlineLevel="0" collapsed="false">
      <c r="A1304" s="2" t="n">
        <v>1302</v>
      </c>
      <c r="B1304" s="2" t="s">
        <v>5795</v>
      </c>
      <c r="C1304" s="2" t="n">
        <v>0</v>
      </c>
      <c r="D1304" s="2" t="n">
        <v>0</v>
      </c>
      <c r="E1304" s="2" t="s">
        <v>11546</v>
      </c>
      <c r="F1304" s="2" t="s">
        <v>1135</v>
      </c>
      <c r="G1304" s="2" t="s">
        <v>10305</v>
      </c>
      <c r="H1304" s="2" t="s">
        <v>3434</v>
      </c>
      <c r="I1304" s="2" t="s">
        <v>2158</v>
      </c>
      <c r="J1304" s="2" t="s">
        <v>11547</v>
      </c>
      <c r="K1304" s="2" t="s">
        <v>507</v>
      </c>
      <c r="L1304" s="2" t="n">
        <v>0</v>
      </c>
      <c r="M1304" s="2" t="n">
        <v>0.7</v>
      </c>
    </row>
    <row r="1305" customFormat="false" ht="15" hidden="false" customHeight="false" outlineLevel="0" collapsed="false">
      <c r="A1305" s="2" t="n">
        <v>1303</v>
      </c>
      <c r="B1305" s="2" t="s">
        <v>5795</v>
      </c>
      <c r="C1305" s="2" t="n">
        <v>0</v>
      </c>
      <c r="D1305" s="2" t="n">
        <v>0</v>
      </c>
      <c r="E1305" s="2" t="s">
        <v>11548</v>
      </c>
      <c r="F1305" s="2" t="s">
        <v>11549</v>
      </c>
      <c r="G1305" s="2" t="s">
        <v>3567</v>
      </c>
      <c r="H1305" s="2" t="s">
        <v>97</v>
      </c>
      <c r="I1305" s="2" t="s">
        <v>2005</v>
      </c>
      <c r="J1305" s="2" t="s">
        <v>11550</v>
      </c>
      <c r="K1305" s="2" t="s">
        <v>507</v>
      </c>
      <c r="L1305" s="2" t="n">
        <v>0.12</v>
      </c>
      <c r="M1305" s="2" t="n">
        <v>1</v>
      </c>
    </row>
    <row r="1306" customFormat="false" ht="15" hidden="false" customHeight="false" outlineLevel="0" collapsed="false">
      <c r="A1306" s="2" t="n">
        <v>1304</v>
      </c>
      <c r="B1306" s="2" t="s">
        <v>5795</v>
      </c>
      <c r="C1306" s="2" t="n">
        <v>0</v>
      </c>
      <c r="D1306" s="2" t="n">
        <v>0</v>
      </c>
      <c r="E1306" s="2" t="s">
        <v>11551</v>
      </c>
      <c r="F1306" s="2" t="s">
        <v>10964</v>
      </c>
      <c r="G1306" s="2" t="s">
        <v>10309</v>
      </c>
      <c r="H1306" s="2" t="s">
        <v>3573</v>
      </c>
      <c r="I1306" s="2" t="s">
        <v>1648</v>
      </c>
      <c r="J1306" s="2" t="s">
        <v>11552</v>
      </c>
      <c r="K1306" s="2" t="s">
        <v>507</v>
      </c>
      <c r="L1306" s="2" t="n">
        <v>0</v>
      </c>
      <c r="M1306" s="2" t="n">
        <v>0.7</v>
      </c>
    </row>
    <row r="1307" customFormat="false" ht="15" hidden="false" customHeight="false" outlineLevel="0" collapsed="false">
      <c r="A1307" s="2" t="n">
        <v>1305</v>
      </c>
      <c r="B1307" s="2" t="s">
        <v>5795</v>
      </c>
      <c r="C1307" s="2" t="n">
        <v>0</v>
      </c>
      <c r="D1307" s="2" t="n">
        <v>0</v>
      </c>
      <c r="E1307" s="2" t="s">
        <v>11553</v>
      </c>
      <c r="F1307" s="2" t="s">
        <v>11554</v>
      </c>
      <c r="G1307" s="2" t="s">
        <v>3580</v>
      </c>
      <c r="H1307" s="2" t="s">
        <v>66</v>
      </c>
      <c r="I1307" s="2" t="s">
        <v>3581</v>
      </c>
      <c r="J1307" s="2" t="s">
        <v>11555</v>
      </c>
      <c r="K1307" s="2" t="s">
        <v>507</v>
      </c>
      <c r="L1307" s="2" t="n">
        <v>0.17</v>
      </c>
      <c r="M1307" s="2" t="n">
        <v>0.86</v>
      </c>
    </row>
    <row r="1308" customFormat="false" ht="15" hidden="false" customHeight="false" outlineLevel="0" collapsed="false">
      <c r="A1308" s="2" t="n">
        <v>1306</v>
      </c>
      <c r="B1308" s="2" t="s">
        <v>5795</v>
      </c>
      <c r="C1308" s="2" t="n">
        <v>0</v>
      </c>
      <c r="D1308" s="2" t="n">
        <v>0</v>
      </c>
      <c r="E1308" s="2" t="s">
        <v>11556</v>
      </c>
      <c r="F1308" s="2" t="s">
        <v>11557</v>
      </c>
      <c r="G1308" s="2" t="s">
        <v>3596</v>
      </c>
      <c r="H1308" s="2" t="s">
        <v>245</v>
      </c>
      <c r="I1308" s="2" t="s">
        <v>1332</v>
      </c>
      <c r="J1308" s="2" t="s">
        <v>11558</v>
      </c>
      <c r="K1308" s="2" t="s">
        <v>507</v>
      </c>
      <c r="L1308" s="2" t="n">
        <v>0</v>
      </c>
      <c r="M1308" s="2" t="n">
        <v>0.75</v>
      </c>
    </row>
    <row r="1309" customFormat="false" ht="15" hidden="false" customHeight="false" outlineLevel="0" collapsed="false">
      <c r="A1309" s="2" t="n">
        <v>1307</v>
      </c>
      <c r="B1309" s="2" t="s">
        <v>5795</v>
      </c>
      <c r="C1309" s="2" t="n">
        <v>1</v>
      </c>
      <c r="D1309" s="2" t="n">
        <v>0</v>
      </c>
      <c r="E1309" s="2" t="s">
        <v>5822</v>
      </c>
      <c r="F1309" s="2" t="s">
        <v>3341</v>
      </c>
      <c r="G1309" s="2" t="s">
        <v>3607</v>
      </c>
      <c r="H1309" s="2" t="s">
        <v>158</v>
      </c>
      <c r="I1309" s="2" t="s">
        <v>1429</v>
      </c>
      <c r="J1309" s="2" t="s">
        <v>11559</v>
      </c>
      <c r="K1309" s="2" t="s">
        <v>507</v>
      </c>
      <c r="L1309" s="2" t="n">
        <v>0.17</v>
      </c>
      <c r="M1309" s="2" t="n">
        <v>0.87</v>
      </c>
    </row>
    <row r="1310" customFormat="false" ht="15" hidden="false" customHeight="false" outlineLevel="0" collapsed="false">
      <c r="A1310" s="2" t="n">
        <v>1308</v>
      </c>
      <c r="B1310" s="2" t="s">
        <v>5795</v>
      </c>
      <c r="C1310" s="2" t="n">
        <v>0</v>
      </c>
      <c r="D1310" s="2" t="n">
        <v>0</v>
      </c>
      <c r="E1310" s="2" t="s">
        <v>11560</v>
      </c>
      <c r="F1310" s="2" t="s">
        <v>803</v>
      </c>
      <c r="G1310" s="2" t="s">
        <v>3615</v>
      </c>
      <c r="H1310" s="2" t="s">
        <v>178</v>
      </c>
      <c r="I1310" s="2" t="s">
        <v>2399</v>
      </c>
      <c r="J1310" s="2" t="s">
        <v>11561</v>
      </c>
      <c r="K1310" s="2" t="s">
        <v>507</v>
      </c>
      <c r="L1310" s="2" t="n">
        <v>0</v>
      </c>
      <c r="M1310" s="2" t="n">
        <v>1</v>
      </c>
    </row>
    <row r="1311" customFormat="false" ht="15" hidden="false" customHeight="false" outlineLevel="0" collapsed="false">
      <c r="A1311" s="2" t="n">
        <v>1309</v>
      </c>
      <c r="B1311" s="2" t="s">
        <v>5795</v>
      </c>
      <c r="C1311" s="2" t="n">
        <v>0</v>
      </c>
      <c r="D1311" s="2" t="n">
        <v>0</v>
      </c>
      <c r="E1311" s="2" t="s">
        <v>11562</v>
      </c>
      <c r="F1311" s="2" t="s">
        <v>11557</v>
      </c>
      <c r="G1311" s="2" t="s">
        <v>10317</v>
      </c>
      <c r="H1311" s="2" t="s">
        <v>1170</v>
      </c>
      <c r="I1311" s="2" t="s">
        <v>1923</v>
      </c>
      <c r="J1311" s="2" t="s">
        <v>11563</v>
      </c>
      <c r="K1311" s="2" t="s">
        <v>507</v>
      </c>
      <c r="L1311" s="2" t="n">
        <v>0</v>
      </c>
      <c r="M1311" s="2" t="n">
        <v>0.83</v>
      </c>
    </row>
    <row r="1312" customFormat="false" ht="15" hidden="false" customHeight="false" outlineLevel="0" collapsed="false">
      <c r="A1312" s="2" t="n">
        <v>1310</v>
      </c>
      <c r="B1312" s="2" t="s">
        <v>5795</v>
      </c>
      <c r="C1312" s="2" t="n">
        <v>0</v>
      </c>
      <c r="D1312" s="2" t="n">
        <v>0</v>
      </c>
      <c r="E1312" s="2" t="s">
        <v>11564</v>
      </c>
      <c r="F1312" s="2" t="s">
        <v>11238</v>
      </c>
      <c r="G1312" s="2" t="s">
        <v>3630</v>
      </c>
      <c r="H1312" s="2" t="s">
        <v>66</v>
      </c>
      <c r="I1312" s="2" t="s">
        <v>1840</v>
      </c>
      <c r="J1312" s="2" t="s">
        <v>11565</v>
      </c>
      <c r="K1312" s="2" t="s">
        <v>507</v>
      </c>
      <c r="L1312" s="2" t="n">
        <v>0</v>
      </c>
      <c r="M1312" s="2" t="n">
        <v>0.75</v>
      </c>
    </row>
    <row r="1313" customFormat="false" ht="15" hidden="false" customHeight="false" outlineLevel="0" collapsed="false">
      <c r="A1313" s="2" t="n">
        <v>1311</v>
      </c>
      <c r="B1313" s="2" t="s">
        <v>5795</v>
      </c>
      <c r="C1313" s="2" t="n">
        <v>0</v>
      </c>
      <c r="D1313" s="2" t="n">
        <v>0</v>
      </c>
      <c r="E1313" s="2" t="s">
        <v>11566</v>
      </c>
      <c r="F1313" s="2" t="s">
        <v>5194</v>
      </c>
      <c r="G1313" s="2" t="s">
        <v>3639</v>
      </c>
      <c r="H1313" s="2" t="s">
        <v>1170</v>
      </c>
      <c r="I1313" s="2" t="s">
        <v>115</v>
      </c>
      <c r="J1313" s="2" t="s">
        <v>11567</v>
      </c>
      <c r="K1313" s="2" t="s">
        <v>507</v>
      </c>
      <c r="L1313" s="2" t="n">
        <v>0.11</v>
      </c>
      <c r="M1313" s="2" t="n">
        <v>0.86</v>
      </c>
    </row>
    <row r="1314" customFormat="false" ht="15" hidden="false" customHeight="false" outlineLevel="0" collapsed="false">
      <c r="A1314" s="2" t="n">
        <v>1312</v>
      </c>
      <c r="B1314" s="2" t="s">
        <v>5795</v>
      </c>
      <c r="C1314" s="2" t="n">
        <v>0</v>
      </c>
      <c r="D1314" s="2" t="n">
        <v>0</v>
      </c>
      <c r="E1314" s="2" t="s">
        <v>11568</v>
      </c>
      <c r="F1314" s="2" t="s">
        <v>176</v>
      </c>
      <c r="G1314" s="2" t="s">
        <v>3645</v>
      </c>
      <c r="H1314" s="2" t="s">
        <v>158</v>
      </c>
      <c r="I1314" s="2" t="s">
        <v>3646</v>
      </c>
      <c r="J1314" s="2" t="s">
        <v>11569</v>
      </c>
      <c r="K1314" s="2" t="s">
        <v>160</v>
      </c>
      <c r="L1314" s="2" t="n">
        <v>0.43</v>
      </c>
      <c r="M1314" s="2" t="n">
        <v>0.57</v>
      </c>
    </row>
    <row r="1315" customFormat="false" ht="15" hidden="false" customHeight="false" outlineLevel="0" collapsed="false">
      <c r="A1315" s="2" t="n">
        <v>1313</v>
      </c>
      <c r="B1315" s="2" t="s">
        <v>5795</v>
      </c>
      <c r="C1315" s="2" t="n">
        <v>2</v>
      </c>
      <c r="D1315" s="2" t="n">
        <v>0</v>
      </c>
      <c r="E1315" s="2" t="s">
        <v>5826</v>
      </c>
      <c r="F1315" s="2" t="s">
        <v>64</v>
      </c>
      <c r="G1315" s="2" t="s">
        <v>3656</v>
      </c>
      <c r="H1315" s="2" t="s">
        <v>745</v>
      </c>
      <c r="I1315" s="2" t="s">
        <v>945</v>
      </c>
      <c r="J1315" s="2" t="s">
        <v>11570</v>
      </c>
      <c r="K1315" s="2" t="s">
        <v>160</v>
      </c>
      <c r="L1315" s="2" t="n">
        <v>0.33</v>
      </c>
      <c r="M1315" s="2" t="n">
        <v>0.6</v>
      </c>
    </row>
    <row r="1316" customFormat="false" ht="15" hidden="false" customHeight="false" outlineLevel="0" collapsed="false">
      <c r="A1316" s="2" t="n">
        <v>1314</v>
      </c>
      <c r="B1316" s="2" t="s">
        <v>5795</v>
      </c>
      <c r="C1316" s="2" t="n">
        <v>3</v>
      </c>
      <c r="D1316" s="2" t="n">
        <v>0</v>
      </c>
      <c r="E1316" s="2" t="s">
        <v>5833</v>
      </c>
      <c r="F1316" s="2" t="s">
        <v>1168</v>
      </c>
      <c r="G1316" s="2" t="s">
        <v>3671</v>
      </c>
      <c r="H1316" s="2" t="s">
        <v>66</v>
      </c>
      <c r="I1316" s="2" t="s">
        <v>283</v>
      </c>
      <c r="J1316" s="2" t="s">
        <v>11571</v>
      </c>
      <c r="K1316" s="2" t="s">
        <v>68</v>
      </c>
      <c r="L1316" s="2" t="n">
        <v>0.56</v>
      </c>
      <c r="M1316" s="2" t="n">
        <v>0.7</v>
      </c>
    </row>
    <row r="1317" customFormat="false" ht="15" hidden="false" customHeight="false" outlineLevel="0" collapsed="false">
      <c r="A1317" s="2" t="n">
        <v>1315</v>
      </c>
      <c r="B1317" s="2" t="s">
        <v>5795</v>
      </c>
      <c r="C1317" s="2" t="n">
        <v>2</v>
      </c>
      <c r="D1317" s="2" t="n">
        <v>0</v>
      </c>
      <c r="E1317" s="2" t="s">
        <v>5842</v>
      </c>
      <c r="F1317" s="2" t="s">
        <v>112</v>
      </c>
      <c r="G1317" s="2" t="s">
        <v>3679</v>
      </c>
      <c r="H1317" s="2" t="s">
        <v>158</v>
      </c>
      <c r="I1317" s="2" t="s">
        <v>3506</v>
      </c>
      <c r="J1317" s="2" t="s">
        <v>11572</v>
      </c>
      <c r="K1317" s="2" t="s">
        <v>507</v>
      </c>
      <c r="L1317" s="2" t="n">
        <v>0.22</v>
      </c>
      <c r="M1317" s="2" t="n">
        <v>1</v>
      </c>
    </row>
    <row r="1318" customFormat="false" ht="15" hidden="false" customHeight="false" outlineLevel="0" collapsed="false">
      <c r="A1318" s="2" t="n">
        <v>1316</v>
      </c>
      <c r="B1318" s="2" t="s">
        <v>5795</v>
      </c>
      <c r="C1318" s="2" t="n">
        <v>2</v>
      </c>
      <c r="D1318" s="2" t="n">
        <v>0</v>
      </c>
      <c r="E1318" s="2" t="s">
        <v>5848</v>
      </c>
      <c r="F1318" s="2" t="s">
        <v>5210</v>
      </c>
      <c r="G1318" s="2" t="s">
        <v>3688</v>
      </c>
      <c r="H1318" s="2" t="s">
        <v>66</v>
      </c>
      <c r="I1318" s="2" t="s">
        <v>1768</v>
      </c>
      <c r="J1318" s="2" t="s">
        <v>11573</v>
      </c>
      <c r="K1318" s="2" t="s">
        <v>507</v>
      </c>
      <c r="L1318" s="2" t="n">
        <v>0.25</v>
      </c>
      <c r="M1318" s="2" t="n">
        <v>0.71</v>
      </c>
    </row>
    <row r="1319" customFormat="false" ht="15" hidden="false" customHeight="false" outlineLevel="0" collapsed="false">
      <c r="A1319" s="2" t="n">
        <v>1317</v>
      </c>
      <c r="B1319" s="2" t="s">
        <v>5795</v>
      </c>
      <c r="C1319" s="2" t="n">
        <v>3</v>
      </c>
      <c r="D1319" s="2" t="n">
        <v>0</v>
      </c>
      <c r="E1319" s="2" t="s">
        <v>5855</v>
      </c>
      <c r="F1319" s="2" t="s">
        <v>243</v>
      </c>
      <c r="G1319" s="2" t="s">
        <v>3698</v>
      </c>
      <c r="H1319" s="2" t="s">
        <v>158</v>
      </c>
      <c r="I1319" s="2" t="s">
        <v>1700</v>
      </c>
      <c r="J1319" s="2" t="s">
        <v>11574</v>
      </c>
      <c r="K1319" s="2" t="s">
        <v>507</v>
      </c>
      <c r="L1319" s="2" t="n">
        <v>0.17</v>
      </c>
      <c r="M1319" s="2" t="n">
        <v>0.8</v>
      </c>
    </row>
    <row r="1320" customFormat="false" ht="15" hidden="false" customHeight="false" outlineLevel="0" collapsed="false">
      <c r="A1320" s="2" t="n">
        <v>1318</v>
      </c>
      <c r="B1320" s="2" t="s">
        <v>5795</v>
      </c>
      <c r="C1320" s="2" t="n">
        <v>2</v>
      </c>
      <c r="D1320" s="2" t="n">
        <v>0</v>
      </c>
      <c r="E1320" s="2" t="s">
        <v>5865</v>
      </c>
      <c r="F1320" s="2" t="s">
        <v>1498</v>
      </c>
      <c r="G1320" s="2" t="s">
        <v>3708</v>
      </c>
      <c r="H1320" s="2" t="s">
        <v>745</v>
      </c>
      <c r="I1320" s="2" t="s">
        <v>2431</v>
      </c>
      <c r="J1320" s="2" t="s">
        <v>11575</v>
      </c>
      <c r="K1320" s="2" t="s">
        <v>507</v>
      </c>
      <c r="L1320" s="2" t="n">
        <v>0.22</v>
      </c>
      <c r="M1320" s="2" t="n">
        <v>0.5</v>
      </c>
    </row>
    <row r="1321" customFormat="false" ht="17.15" hidden="false" customHeight="false" outlineLevel="0" collapsed="false">
      <c r="A1321" s="2" t="n">
        <v>1319</v>
      </c>
      <c r="B1321" s="2" t="s">
        <v>5795</v>
      </c>
      <c r="C1321" s="2" t="n">
        <v>0</v>
      </c>
      <c r="D1321" s="2" t="n">
        <v>0</v>
      </c>
      <c r="E1321" s="2" t="s">
        <v>11576</v>
      </c>
      <c r="F1321" s="2" t="s">
        <v>6247</v>
      </c>
      <c r="G1321" s="2" t="s">
        <v>10329</v>
      </c>
      <c r="H1321" s="2" t="s">
        <v>745</v>
      </c>
      <c r="I1321" s="2" t="s">
        <v>204</v>
      </c>
      <c r="J1321" s="2" t="s">
        <v>11577</v>
      </c>
      <c r="K1321" s="2" t="s">
        <v>507</v>
      </c>
      <c r="L1321" s="2" t="n">
        <v>0</v>
      </c>
      <c r="M1321" s="2" t="n">
        <v>0.86</v>
      </c>
    </row>
    <row r="1322" customFormat="false" ht="15" hidden="false" customHeight="false" outlineLevel="0" collapsed="false">
      <c r="A1322" s="2" t="n">
        <v>1320</v>
      </c>
      <c r="B1322" s="2" t="s">
        <v>5867</v>
      </c>
      <c r="C1322" s="2" t="n">
        <v>1</v>
      </c>
      <c r="D1322" s="2" t="n">
        <v>0</v>
      </c>
      <c r="E1322" s="2" t="s">
        <v>5872</v>
      </c>
      <c r="F1322" s="2" t="s">
        <v>64</v>
      </c>
      <c r="G1322" s="2" t="s">
        <v>3721</v>
      </c>
      <c r="H1322" s="2" t="s">
        <v>965</v>
      </c>
      <c r="I1322" s="2" t="s">
        <v>1138</v>
      </c>
      <c r="J1322" s="2" t="s">
        <v>11578</v>
      </c>
      <c r="K1322" s="2" t="s">
        <v>507</v>
      </c>
      <c r="L1322" s="2" t="n">
        <v>0.25</v>
      </c>
      <c r="M1322" s="2" t="n">
        <v>0.89</v>
      </c>
    </row>
    <row r="1323" customFormat="false" ht="15" hidden="false" customHeight="false" outlineLevel="0" collapsed="false">
      <c r="A1323" s="2" t="n">
        <v>1321</v>
      </c>
      <c r="B1323" s="2" t="s">
        <v>5867</v>
      </c>
      <c r="C1323" s="2" t="n">
        <v>0</v>
      </c>
      <c r="D1323" s="2" t="n">
        <v>0</v>
      </c>
      <c r="E1323" s="2" t="s">
        <v>11579</v>
      </c>
      <c r="F1323" s="2" t="s">
        <v>176</v>
      </c>
      <c r="G1323" s="2" t="s">
        <v>3730</v>
      </c>
      <c r="H1323" s="2" t="s">
        <v>3731</v>
      </c>
      <c r="I1323" s="2" t="s">
        <v>1923</v>
      </c>
      <c r="J1323" s="2" t="s">
        <v>11580</v>
      </c>
      <c r="K1323" s="2" t="s">
        <v>507</v>
      </c>
      <c r="L1323" s="2" t="n">
        <v>0.11</v>
      </c>
      <c r="M1323" s="2" t="n">
        <v>0.71</v>
      </c>
    </row>
    <row r="1324" customFormat="false" ht="15" hidden="false" customHeight="false" outlineLevel="0" collapsed="false">
      <c r="A1324" s="2" t="n">
        <v>1322</v>
      </c>
      <c r="B1324" s="2" t="s">
        <v>5867</v>
      </c>
      <c r="C1324" s="2" t="n">
        <v>2</v>
      </c>
      <c r="D1324" s="2" t="n">
        <v>2</v>
      </c>
      <c r="E1324" s="2" t="s">
        <v>5876</v>
      </c>
      <c r="F1324" s="2" t="s">
        <v>64</v>
      </c>
      <c r="G1324" s="2" t="s">
        <v>5877</v>
      </c>
      <c r="H1324" s="2" t="s">
        <v>420</v>
      </c>
      <c r="I1324" s="2" t="s">
        <v>5388</v>
      </c>
      <c r="J1324" s="2" t="s">
        <v>11581</v>
      </c>
      <c r="K1324" s="2" t="s">
        <v>507</v>
      </c>
      <c r="L1324" s="2" t="n">
        <v>0</v>
      </c>
      <c r="M1324" s="2" t="n">
        <v>1</v>
      </c>
    </row>
    <row r="1325" customFormat="false" ht="15" hidden="false" customHeight="false" outlineLevel="0" collapsed="false">
      <c r="A1325" s="2" t="n">
        <v>1323</v>
      </c>
      <c r="B1325" s="2" t="s">
        <v>5867</v>
      </c>
      <c r="C1325" s="2" t="n">
        <v>1</v>
      </c>
      <c r="D1325" s="2" t="n">
        <v>0</v>
      </c>
      <c r="E1325" s="2" t="s">
        <v>5884</v>
      </c>
      <c r="F1325" s="2" t="s">
        <v>64</v>
      </c>
      <c r="G1325" s="2" t="s">
        <v>3743</v>
      </c>
      <c r="H1325" s="2" t="s">
        <v>178</v>
      </c>
      <c r="I1325" s="2" t="s">
        <v>3744</v>
      </c>
      <c r="J1325" s="2" t="s">
        <v>11582</v>
      </c>
      <c r="K1325" s="2" t="s">
        <v>507</v>
      </c>
      <c r="L1325" s="2" t="n">
        <v>0.09</v>
      </c>
      <c r="M1325" s="2" t="n">
        <v>0.78</v>
      </c>
    </row>
    <row r="1326" customFormat="false" ht="15" hidden="false" customHeight="false" outlineLevel="0" collapsed="false">
      <c r="A1326" s="2" t="n">
        <v>1324</v>
      </c>
      <c r="B1326" s="2" t="s">
        <v>5867</v>
      </c>
      <c r="C1326" s="2" t="n">
        <v>2</v>
      </c>
      <c r="D1326" s="2" t="n">
        <v>0</v>
      </c>
      <c r="E1326" s="2" t="s">
        <v>5888</v>
      </c>
      <c r="F1326" s="2" t="s">
        <v>112</v>
      </c>
      <c r="G1326" s="2" t="s">
        <v>3749</v>
      </c>
      <c r="H1326" s="2" t="s">
        <v>1170</v>
      </c>
      <c r="I1326" s="2" t="s">
        <v>2241</v>
      </c>
      <c r="J1326" s="2" t="s">
        <v>11583</v>
      </c>
      <c r="K1326" s="2" t="s">
        <v>507</v>
      </c>
      <c r="L1326" s="2" t="n">
        <v>0</v>
      </c>
      <c r="M1326" s="2" t="n">
        <v>1</v>
      </c>
    </row>
    <row r="1327" customFormat="false" ht="15" hidden="false" customHeight="false" outlineLevel="0" collapsed="false">
      <c r="A1327" s="2" t="n">
        <v>1325</v>
      </c>
      <c r="B1327" s="2" t="s">
        <v>5867</v>
      </c>
      <c r="C1327" s="2" t="n">
        <v>0</v>
      </c>
      <c r="D1327" s="2" t="n">
        <v>0</v>
      </c>
      <c r="E1327" s="2" t="s">
        <v>11584</v>
      </c>
      <c r="F1327" s="2" t="s">
        <v>176</v>
      </c>
      <c r="G1327" s="2" t="s">
        <v>3754</v>
      </c>
      <c r="H1327" s="2" t="s">
        <v>2214</v>
      </c>
      <c r="I1327" s="2" t="s">
        <v>2506</v>
      </c>
      <c r="J1327" s="2" t="s">
        <v>11585</v>
      </c>
      <c r="K1327" s="2" t="s">
        <v>507</v>
      </c>
      <c r="L1327" s="2" t="n">
        <v>0.1</v>
      </c>
      <c r="M1327" s="2" t="n">
        <v>1</v>
      </c>
    </row>
    <row r="1328" customFormat="false" ht="15" hidden="false" customHeight="false" outlineLevel="0" collapsed="false">
      <c r="A1328" s="2" t="n">
        <v>1326</v>
      </c>
      <c r="B1328" s="2" t="s">
        <v>5867</v>
      </c>
      <c r="C1328" s="2" t="n">
        <v>0</v>
      </c>
      <c r="D1328" s="2" t="n">
        <v>0</v>
      </c>
      <c r="E1328" s="2" t="s">
        <v>11586</v>
      </c>
      <c r="F1328" s="2" t="s">
        <v>176</v>
      </c>
      <c r="G1328" s="2" t="s">
        <v>3763</v>
      </c>
      <c r="H1328" s="2" t="s">
        <v>3764</v>
      </c>
      <c r="I1328" s="2" t="s">
        <v>3765</v>
      </c>
      <c r="J1328" s="2" t="s">
        <v>11587</v>
      </c>
      <c r="K1328" s="2" t="s">
        <v>507</v>
      </c>
      <c r="L1328" s="2" t="n">
        <v>0.14</v>
      </c>
      <c r="M1328" s="2" t="n">
        <v>0.67</v>
      </c>
    </row>
    <row r="1329" customFormat="false" ht="15" hidden="false" customHeight="false" outlineLevel="0" collapsed="false">
      <c r="A1329" s="2" t="n">
        <v>1327</v>
      </c>
      <c r="B1329" s="2" t="s">
        <v>5867</v>
      </c>
      <c r="C1329" s="2" t="n">
        <v>0</v>
      </c>
      <c r="D1329" s="2" t="n">
        <v>0</v>
      </c>
      <c r="E1329" s="2" t="s">
        <v>11588</v>
      </c>
      <c r="F1329" s="2" t="s">
        <v>176</v>
      </c>
      <c r="G1329" s="2" t="s">
        <v>3774</v>
      </c>
      <c r="H1329" s="2" t="s">
        <v>1931</v>
      </c>
      <c r="I1329" s="2" t="s">
        <v>2489</v>
      </c>
      <c r="J1329" s="2" t="s">
        <v>11589</v>
      </c>
      <c r="K1329" s="2" t="s">
        <v>507</v>
      </c>
      <c r="L1329" s="2" t="n">
        <v>0.08</v>
      </c>
      <c r="M1329" s="2" t="n">
        <v>0.58</v>
      </c>
    </row>
    <row r="1330" customFormat="false" ht="15" hidden="false" customHeight="false" outlineLevel="0" collapsed="false">
      <c r="A1330" s="2" t="n">
        <v>1328</v>
      </c>
      <c r="B1330" s="2" t="s">
        <v>5867</v>
      </c>
      <c r="C1330" s="2" t="n">
        <v>2</v>
      </c>
      <c r="D1330" s="2" t="n">
        <v>0</v>
      </c>
      <c r="E1330" s="2" t="s">
        <v>5895</v>
      </c>
      <c r="F1330" s="2" t="s">
        <v>112</v>
      </c>
      <c r="G1330" s="2" t="s">
        <v>5896</v>
      </c>
      <c r="H1330" s="2" t="s">
        <v>1170</v>
      </c>
      <c r="I1330" s="2" t="s">
        <v>3321</v>
      </c>
      <c r="J1330" s="2" t="s">
        <v>11590</v>
      </c>
      <c r="K1330" s="2" t="s">
        <v>507</v>
      </c>
      <c r="L1330" s="2" t="n">
        <v>0.1</v>
      </c>
      <c r="M1330" s="2" t="n">
        <v>1</v>
      </c>
    </row>
    <row r="1331" customFormat="false" ht="15" hidden="false" customHeight="false" outlineLevel="0" collapsed="false">
      <c r="A1331" s="2" t="n">
        <v>1329</v>
      </c>
      <c r="B1331" s="2" t="s">
        <v>5867</v>
      </c>
      <c r="C1331" s="2" t="n">
        <v>3</v>
      </c>
      <c r="D1331" s="2" t="n">
        <v>3</v>
      </c>
      <c r="E1331" s="2" t="s">
        <v>5901</v>
      </c>
      <c r="F1331" s="2" t="s">
        <v>5902</v>
      </c>
      <c r="G1331" s="2" t="s">
        <v>3786</v>
      </c>
      <c r="H1331" s="2" t="s">
        <v>745</v>
      </c>
      <c r="I1331" s="2" t="s">
        <v>3787</v>
      </c>
      <c r="J1331" s="2" t="s">
        <v>11591</v>
      </c>
      <c r="K1331" s="2" t="s">
        <v>507</v>
      </c>
      <c r="L1331" s="2" t="n">
        <v>0.12</v>
      </c>
      <c r="M1331" s="2" t="n">
        <v>0.5</v>
      </c>
    </row>
    <row r="1332" customFormat="false" ht="15" hidden="false" customHeight="false" outlineLevel="0" collapsed="false">
      <c r="A1332" s="2" t="n">
        <v>1330</v>
      </c>
      <c r="B1332" s="2" t="s">
        <v>5867</v>
      </c>
      <c r="C1332" s="2" t="n">
        <v>3</v>
      </c>
      <c r="D1332" s="2" t="n">
        <v>0</v>
      </c>
      <c r="E1332" s="2" t="s">
        <v>5908</v>
      </c>
      <c r="F1332" s="2" t="s">
        <v>5902</v>
      </c>
      <c r="G1332" s="2" t="s">
        <v>3792</v>
      </c>
      <c r="H1332" s="2" t="s">
        <v>3793</v>
      </c>
      <c r="I1332" s="2" t="s">
        <v>776</v>
      </c>
      <c r="J1332" s="2" t="s">
        <v>11592</v>
      </c>
      <c r="K1332" s="2" t="s">
        <v>507</v>
      </c>
      <c r="L1332" s="2" t="n">
        <v>0.14</v>
      </c>
      <c r="M1332" s="2" t="n">
        <v>0.57</v>
      </c>
    </row>
    <row r="1333" customFormat="false" ht="15" hidden="false" customHeight="false" outlineLevel="0" collapsed="false">
      <c r="A1333" s="2" t="n">
        <v>1331</v>
      </c>
      <c r="B1333" s="2" t="s">
        <v>5867</v>
      </c>
      <c r="C1333" s="2" t="n">
        <v>0</v>
      </c>
      <c r="D1333" s="2" t="n">
        <v>0</v>
      </c>
      <c r="E1333" s="2" t="s">
        <v>11593</v>
      </c>
      <c r="F1333" s="2" t="s">
        <v>694</v>
      </c>
      <c r="G1333" s="2" t="s">
        <v>3800</v>
      </c>
      <c r="H1333" s="2" t="s">
        <v>1170</v>
      </c>
      <c r="I1333" s="2" t="s">
        <v>2168</v>
      </c>
      <c r="J1333" s="2" t="s">
        <v>11594</v>
      </c>
      <c r="K1333" s="2" t="s">
        <v>507</v>
      </c>
      <c r="L1333" s="2" t="n">
        <v>0</v>
      </c>
      <c r="M1333" s="2" t="n">
        <v>0.82</v>
      </c>
    </row>
    <row r="1334" customFormat="false" ht="15" hidden="false" customHeight="false" outlineLevel="0" collapsed="false">
      <c r="A1334" s="2" t="n">
        <v>1332</v>
      </c>
      <c r="B1334" s="2" t="s">
        <v>5867</v>
      </c>
      <c r="C1334" s="2" t="n">
        <v>0</v>
      </c>
      <c r="D1334" s="2" t="n">
        <v>0</v>
      </c>
      <c r="E1334" s="2" t="s">
        <v>11595</v>
      </c>
      <c r="F1334" s="2" t="s">
        <v>1498</v>
      </c>
      <c r="G1334" s="2" t="s">
        <v>3807</v>
      </c>
      <c r="H1334" s="2" t="s">
        <v>1170</v>
      </c>
      <c r="I1334" s="2" t="s">
        <v>2168</v>
      </c>
      <c r="J1334" s="2" t="s">
        <v>11596</v>
      </c>
      <c r="K1334" s="2" t="s">
        <v>507</v>
      </c>
      <c r="L1334" s="2" t="n">
        <v>0.12</v>
      </c>
      <c r="M1334" s="2" t="n">
        <v>0.44</v>
      </c>
    </row>
    <row r="1335" customFormat="false" ht="15" hidden="false" customHeight="false" outlineLevel="0" collapsed="false">
      <c r="A1335" s="2" t="n">
        <v>1333</v>
      </c>
      <c r="B1335" s="2" t="s">
        <v>5867</v>
      </c>
      <c r="C1335" s="2" t="n">
        <v>0</v>
      </c>
      <c r="D1335" s="2" t="n">
        <v>0</v>
      </c>
      <c r="E1335" s="2" t="s">
        <v>11597</v>
      </c>
      <c r="F1335" s="2" t="s">
        <v>644</v>
      </c>
      <c r="G1335" s="2" t="s">
        <v>3813</v>
      </c>
      <c r="H1335" s="2" t="s">
        <v>745</v>
      </c>
      <c r="I1335" s="2" t="s">
        <v>647</v>
      </c>
      <c r="J1335" s="2" t="s">
        <v>11598</v>
      </c>
      <c r="K1335" s="2" t="s">
        <v>507</v>
      </c>
      <c r="L1335" s="2" t="n">
        <v>0.12</v>
      </c>
      <c r="M1335" s="2" t="n">
        <v>0.62</v>
      </c>
    </row>
    <row r="1336" customFormat="false" ht="15" hidden="false" customHeight="false" outlineLevel="0" collapsed="false">
      <c r="A1336" s="2" t="n">
        <v>1334</v>
      </c>
      <c r="B1336" s="2" t="s">
        <v>5867</v>
      </c>
      <c r="C1336" s="2" t="n">
        <v>1</v>
      </c>
      <c r="D1336" s="2" t="n">
        <v>0</v>
      </c>
      <c r="E1336" s="2" t="s">
        <v>5918</v>
      </c>
      <c r="F1336" s="2" t="s">
        <v>1421</v>
      </c>
      <c r="G1336" s="2" t="s">
        <v>3822</v>
      </c>
      <c r="H1336" s="2" t="s">
        <v>745</v>
      </c>
      <c r="I1336" s="2" t="s">
        <v>3823</v>
      </c>
      <c r="J1336" s="2" t="s">
        <v>11599</v>
      </c>
      <c r="K1336" s="2" t="s">
        <v>507</v>
      </c>
      <c r="L1336" s="2" t="n">
        <v>0.17</v>
      </c>
      <c r="M1336" s="2" t="n">
        <v>0.5</v>
      </c>
    </row>
    <row r="1337" customFormat="false" ht="15" hidden="false" customHeight="false" outlineLevel="0" collapsed="false">
      <c r="A1337" s="2" t="n">
        <v>1335</v>
      </c>
      <c r="B1337" s="2" t="s">
        <v>5867</v>
      </c>
      <c r="C1337" s="2" t="n">
        <v>0</v>
      </c>
      <c r="D1337" s="2" t="n">
        <v>0</v>
      </c>
      <c r="E1337" s="2" t="s">
        <v>11600</v>
      </c>
      <c r="F1337" s="2" t="s">
        <v>3544</v>
      </c>
      <c r="G1337" s="2" t="s">
        <v>3828</v>
      </c>
      <c r="H1337" s="2" t="s">
        <v>3517</v>
      </c>
      <c r="I1337" s="2" t="s">
        <v>1092</v>
      </c>
      <c r="J1337" s="2" t="s">
        <v>11601</v>
      </c>
      <c r="K1337" s="2" t="s">
        <v>507</v>
      </c>
      <c r="L1337" s="2" t="n">
        <v>0.1</v>
      </c>
      <c r="M1337" s="2" t="n">
        <v>0.43</v>
      </c>
    </row>
    <row r="1338" customFormat="false" ht="15" hidden="false" customHeight="false" outlineLevel="0" collapsed="false">
      <c r="A1338" s="2" t="n">
        <v>1336</v>
      </c>
      <c r="B1338" s="2" t="s">
        <v>5867</v>
      </c>
      <c r="C1338" s="2" t="n">
        <v>0</v>
      </c>
      <c r="D1338" s="2" t="n">
        <v>0</v>
      </c>
      <c r="E1338" s="2" t="s">
        <v>11602</v>
      </c>
      <c r="F1338" s="2" t="s">
        <v>3318</v>
      </c>
      <c r="G1338" s="2" t="s">
        <v>3838</v>
      </c>
      <c r="H1338" s="2" t="s">
        <v>3839</v>
      </c>
      <c r="I1338" s="2" t="s">
        <v>1365</v>
      </c>
      <c r="J1338" s="2" t="s">
        <v>11603</v>
      </c>
      <c r="K1338" s="2" t="s">
        <v>507</v>
      </c>
      <c r="L1338" s="2" t="n">
        <v>0</v>
      </c>
      <c r="M1338" s="2" t="n">
        <v>0.78</v>
      </c>
    </row>
    <row r="1339" customFormat="false" ht="15" hidden="false" customHeight="false" outlineLevel="0" collapsed="false">
      <c r="A1339" s="2" t="n">
        <v>1337</v>
      </c>
      <c r="B1339" s="2" t="s">
        <v>5867</v>
      </c>
      <c r="C1339" s="2" t="n">
        <v>0</v>
      </c>
      <c r="D1339" s="2" t="n">
        <v>0</v>
      </c>
      <c r="E1339" s="2" t="s">
        <v>11604</v>
      </c>
      <c r="F1339" s="2" t="s">
        <v>694</v>
      </c>
      <c r="G1339" s="2" t="s">
        <v>3859</v>
      </c>
      <c r="H1339" s="2" t="s">
        <v>3517</v>
      </c>
      <c r="I1339" s="2" t="s">
        <v>1424</v>
      </c>
      <c r="J1339" s="2" t="s">
        <v>11605</v>
      </c>
      <c r="K1339" s="2" t="s">
        <v>507</v>
      </c>
      <c r="L1339" s="2" t="n">
        <v>0</v>
      </c>
      <c r="M1339" s="2" t="n">
        <v>0.78</v>
      </c>
    </row>
    <row r="1340" customFormat="false" ht="15" hidden="false" customHeight="false" outlineLevel="0" collapsed="false">
      <c r="A1340" s="2" t="n">
        <v>1338</v>
      </c>
      <c r="B1340" s="2" t="s">
        <v>5867</v>
      </c>
      <c r="C1340" s="2" t="n">
        <v>0</v>
      </c>
      <c r="D1340" s="2" t="n">
        <v>0</v>
      </c>
      <c r="E1340" s="2" t="s">
        <v>11606</v>
      </c>
      <c r="F1340" s="2" t="s">
        <v>694</v>
      </c>
      <c r="G1340" s="2" t="s">
        <v>3873</v>
      </c>
      <c r="H1340" s="2" t="s">
        <v>178</v>
      </c>
      <c r="I1340" s="2" t="s">
        <v>530</v>
      </c>
      <c r="J1340" s="2" t="s">
        <v>11607</v>
      </c>
      <c r="K1340" s="2" t="s">
        <v>507</v>
      </c>
      <c r="L1340" s="2" t="n">
        <v>0.08</v>
      </c>
      <c r="M1340" s="2" t="n">
        <v>0.71</v>
      </c>
    </row>
    <row r="1341" customFormat="false" ht="15" hidden="false" customHeight="false" outlineLevel="0" collapsed="false">
      <c r="A1341" s="2" t="n">
        <v>1339</v>
      </c>
      <c r="B1341" s="2" t="s">
        <v>5867</v>
      </c>
      <c r="C1341" s="2" t="n">
        <v>0</v>
      </c>
      <c r="D1341" s="2" t="n">
        <v>0</v>
      </c>
      <c r="E1341" s="2" t="s">
        <v>11608</v>
      </c>
      <c r="F1341" s="2" t="s">
        <v>694</v>
      </c>
      <c r="G1341" s="2" t="s">
        <v>3887</v>
      </c>
      <c r="H1341" s="2" t="s">
        <v>158</v>
      </c>
      <c r="I1341" s="2" t="s">
        <v>3888</v>
      </c>
      <c r="J1341" s="2" t="s">
        <v>11609</v>
      </c>
      <c r="K1341" s="2" t="s">
        <v>507</v>
      </c>
      <c r="L1341" s="2" t="n">
        <v>0.12</v>
      </c>
      <c r="M1341" s="2" t="n">
        <v>0.71</v>
      </c>
    </row>
    <row r="1342" customFormat="false" ht="15" hidden="false" customHeight="false" outlineLevel="0" collapsed="false">
      <c r="A1342" s="2" t="n">
        <v>1340</v>
      </c>
      <c r="B1342" s="2" t="s">
        <v>5867</v>
      </c>
      <c r="C1342" s="2" t="n">
        <v>0</v>
      </c>
      <c r="D1342" s="2" t="n">
        <v>0</v>
      </c>
      <c r="E1342" s="2" t="s">
        <v>11610</v>
      </c>
      <c r="F1342" s="2" t="s">
        <v>694</v>
      </c>
      <c r="G1342" s="2" t="s">
        <v>3895</v>
      </c>
      <c r="H1342" s="2" t="s">
        <v>114</v>
      </c>
      <c r="I1342" s="2" t="s">
        <v>1078</v>
      </c>
      <c r="J1342" s="2" t="s">
        <v>11611</v>
      </c>
      <c r="K1342" s="2" t="s">
        <v>507</v>
      </c>
      <c r="L1342" s="2" t="n">
        <v>0</v>
      </c>
      <c r="M1342" s="2" t="n">
        <v>0.75</v>
      </c>
    </row>
    <row r="1343" customFormat="false" ht="15" hidden="false" customHeight="false" outlineLevel="0" collapsed="false">
      <c r="A1343" s="2" t="n">
        <v>1341</v>
      </c>
      <c r="B1343" s="2" t="s">
        <v>5867</v>
      </c>
      <c r="C1343" s="2" t="n">
        <v>0</v>
      </c>
      <c r="D1343" s="2" t="n">
        <v>0</v>
      </c>
      <c r="E1343" s="2" t="s">
        <v>11612</v>
      </c>
      <c r="F1343" s="2" t="s">
        <v>694</v>
      </c>
      <c r="G1343" s="2" t="s">
        <v>3909</v>
      </c>
      <c r="H1343" s="2" t="s">
        <v>3910</v>
      </c>
      <c r="I1343" s="2" t="s">
        <v>2489</v>
      </c>
      <c r="J1343" s="2" t="s">
        <v>11613</v>
      </c>
      <c r="K1343" s="2" t="s">
        <v>507</v>
      </c>
      <c r="L1343" s="2" t="n">
        <v>0.09</v>
      </c>
      <c r="M1343" s="2" t="n">
        <v>0.7</v>
      </c>
    </row>
    <row r="1344" customFormat="false" ht="15" hidden="false" customHeight="false" outlineLevel="0" collapsed="false">
      <c r="A1344" s="2" t="n">
        <v>1342</v>
      </c>
      <c r="B1344" s="2" t="s">
        <v>5867</v>
      </c>
      <c r="C1344" s="2" t="n">
        <v>0</v>
      </c>
      <c r="D1344" s="2" t="n">
        <v>0</v>
      </c>
      <c r="E1344" s="2" t="s">
        <v>11614</v>
      </c>
      <c r="F1344" s="2" t="s">
        <v>694</v>
      </c>
      <c r="G1344" s="2" t="s">
        <v>3918</v>
      </c>
      <c r="H1344" s="2" t="s">
        <v>3212</v>
      </c>
      <c r="I1344" s="2" t="s">
        <v>3919</v>
      </c>
      <c r="J1344" s="2" t="s">
        <v>11615</v>
      </c>
      <c r="K1344" s="2" t="s">
        <v>507</v>
      </c>
      <c r="L1344" s="2" t="n">
        <v>0</v>
      </c>
      <c r="M1344" s="2" t="n">
        <v>0.5</v>
      </c>
    </row>
    <row r="1345" customFormat="false" ht="15" hidden="false" customHeight="false" outlineLevel="0" collapsed="false">
      <c r="A1345" s="2" t="n">
        <v>1343</v>
      </c>
      <c r="B1345" s="2" t="s">
        <v>5867</v>
      </c>
      <c r="C1345" s="2" t="n">
        <v>0</v>
      </c>
      <c r="D1345" s="2" t="n">
        <v>0</v>
      </c>
      <c r="E1345" s="2" t="s">
        <v>11616</v>
      </c>
      <c r="F1345" s="2" t="s">
        <v>3313</v>
      </c>
      <c r="G1345" s="2" t="s">
        <v>3945</v>
      </c>
      <c r="H1345" s="2" t="s">
        <v>97</v>
      </c>
      <c r="I1345" s="2" t="s">
        <v>430</v>
      </c>
      <c r="J1345" s="2" t="s">
        <v>11617</v>
      </c>
      <c r="K1345" s="2" t="s">
        <v>507</v>
      </c>
      <c r="L1345" s="2" t="n">
        <v>0</v>
      </c>
      <c r="M1345" s="2" t="n">
        <v>1</v>
      </c>
    </row>
    <row r="1346" customFormat="false" ht="15" hidden="false" customHeight="false" outlineLevel="0" collapsed="false">
      <c r="A1346" s="2" t="n">
        <v>1344</v>
      </c>
      <c r="B1346" s="2" t="s">
        <v>5867</v>
      </c>
      <c r="C1346" s="2" t="n">
        <v>0</v>
      </c>
      <c r="D1346" s="2" t="n">
        <v>0</v>
      </c>
      <c r="E1346" s="2" t="s">
        <v>11618</v>
      </c>
      <c r="F1346" s="2" t="s">
        <v>4036</v>
      </c>
      <c r="G1346" s="2" t="s">
        <v>3951</v>
      </c>
      <c r="H1346" s="2" t="s">
        <v>114</v>
      </c>
      <c r="I1346" s="2" t="s">
        <v>3765</v>
      </c>
      <c r="J1346" s="2" t="s">
        <v>11619</v>
      </c>
      <c r="K1346" s="2" t="s">
        <v>507</v>
      </c>
      <c r="L1346" s="2" t="n">
        <v>0</v>
      </c>
      <c r="M1346" s="2" t="n">
        <v>0.8</v>
      </c>
    </row>
    <row r="1347" customFormat="false" ht="15" hidden="false" customHeight="false" outlineLevel="0" collapsed="false">
      <c r="A1347" s="2" t="n">
        <v>1345</v>
      </c>
      <c r="B1347" s="2" t="s">
        <v>5867</v>
      </c>
      <c r="C1347" s="2" t="n">
        <v>1</v>
      </c>
      <c r="D1347" s="2" t="n">
        <v>0</v>
      </c>
      <c r="E1347" s="2" t="s">
        <v>5921</v>
      </c>
      <c r="F1347" s="2" t="s">
        <v>176</v>
      </c>
      <c r="G1347" s="2" t="s">
        <v>3957</v>
      </c>
      <c r="H1347" s="2" t="s">
        <v>158</v>
      </c>
      <c r="I1347" s="2" t="s">
        <v>3194</v>
      </c>
      <c r="J1347" s="2" t="s">
        <v>11620</v>
      </c>
      <c r="K1347" s="2" t="s">
        <v>68</v>
      </c>
      <c r="L1347" s="2" t="n">
        <v>0.5</v>
      </c>
      <c r="M1347" s="2" t="n">
        <v>0.3</v>
      </c>
    </row>
    <row r="1348" customFormat="false" ht="15" hidden="false" customHeight="false" outlineLevel="0" collapsed="false">
      <c r="A1348" s="2" t="n">
        <v>1346</v>
      </c>
      <c r="B1348" s="2" t="s">
        <v>5867</v>
      </c>
      <c r="C1348" s="2" t="n">
        <v>0</v>
      </c>
      <c r="D1348" s="2" t="n">
        <v>0</v>
      </c>
      <c r="E1348" s="2" t="s">
        <v>11621</v>
      </c>
      <c r="F1348" s="2" t="s">
        <v>176</v>
      </c>
      <c r="G1348" s="2" t="s">
        <v>3966</v>
      </c>
      <c r="H1348" s="2" t="s">
        <v>3910</v>
      </c>
      <c r="I1348" s="2" t="s">
        <v>3646</v>
      </c>
      <c r="J1348" s="2" t="s">
        <v>11622</v>
      </c>
      <c r="K1348" s="2" t="s">
        <v>1588</v>
      </c>
      <c r="L1348" s="2" t="n">
        <v>0.35</v>
      </c>
      <c r="M1348" s="2" t="n">
        <v>0.73</v>
      </c>
    </row>
    <row r="1349" customFormat="false" ht="15" hidden="false" customHeight="false" outlineLevel="0" collapsed="false">
      <c r="A1349" s="2" t="n">
        <v>1347</v>
      </c>
      <c r="B1349" s="2" t="s">
        <v>5867</v>
      </c>
      <c r="C1349" s="2" t="n">
        <v>3</v>
      </c>
      <c r="D1349" s="2" t="n">
        <v>0</v>
      </c>
      <c r="E1349" s="2" t="s">
        <v>5925</v>
      </c>
      <c r="F1349" s="2" t="s">
        <v>1168</v>
      </c>
      <c r="G1349" s="2" t="s">
        <v>3974</v>
      </c>
      <c r="H1349" s="2" t="s">
        <v>178</v>
      </c>
      <c r="I1349" s="2" t="s">
        <v>190</v>
      </c>
      <c r="J1349" s="2" t="s">
        <v>11623</v>
      </c>
      <c r="K1349" s="2" t="s">
        <v>507</v>
      </c>
      <c r="L1349" s="2" t="n">
        <v>0.27</v>
      </c>
      <c r="M1349" s="2" t="n">
        <v>0.67</v>
      </c>
    </row>
    <row r="1350" customFormat="false" ht="15" hidden="false" customHeight="false" outlineLevel="0" collapsed="false">
      <c r="A1350" s="2" t="n">
        <v>1348</v>
      </c>
      <c r="B1350" s="2" t="s">
        <v>5867</v>
      </c>
      <c r="C1350" s="2" t="n">
        <v>2</v>
      </c>
      <c r="D1350" s="2" t="n">
        <v>0</v>
      </c>
      <c r="E1350" s="2" t="s">
        <v>5934</v>
      </c>
      <c r="F1350" s="2" t="s">
        <v>64</v>
      </c>
      <c r="G1350" s="2" t="s">
        <v>3979</v>
      </c>
      <c r="H1350" s="2" t="s">
        <v>158</v>
      </c>
      <c r="I1350" s="2" t="s">
        <v>2037</v>
      </c>
      <c r="J1350" s="2" t="s">
        <v>11624</v>
      </c>
      <c r="K1350" s="2" t="s">
        <v>507</v>
      </c>
      <c r="L1350" s="2" t="n">
        <v>0.11</v>
      </c>
      <c r="M1350" s="2" t="n">
        <v>1</v>
      </c>
    </row>
    <row r="1351" customFormat="false" ht="15" hidden="false" customHeight="false" outlineLevel="0" collapsed="false">
      <c r="A1351" s="2" t="n">
        <v>1349</v>
      </c>
      <c r="B1351" s="2" t="s">
        <v>5867</v>
      </c>
      <c r="C1351" s="2" t="n">
        <v>2</v>
      </c>
      <c r="D1351" s="2" t="n">
        <v>0</v>
      </c>
      <c r="E1351" s="2" t="s">
        <v>5940</v>
      </c>
      <c r="F1351" s="2" t="s">
        <v>176</v>
      </c>
      <c r="G1351" s="2" t="s">
        <v>3988</v>
      </c>
      <c r="H1351" s="2" t="s">
        <v>178</v>
      </c>
      <c r="I1351" s="2" t="s">
        <v>512</v>
      </c>
      <c r="J1351" s="2" t="s">
        <v>11625</v>
      </c>
      <c r="K1351" s="2" t="s">
        <v>160</v>
      </c>
      <c r="L1351" s="2" t="n">
        <v>0.3</v>
      </c>
      <c r="M1351" s="2" t="n">
        <v>0.67</v>
      </c>
    </row>
    <row r="1352" customFormat="false" ht="15" hidden="false" customHeight="false" outlineLevel="0" collapsed="false">
      <c r="A1352" s="2" t="n">
        <v>1350</v>
      </c>
      <c r="B1352" s="2" t="s">
        <v>5943</v>
      </c>
      <c r="C1352" s="2" t="n">
        <v>3</v>
      </c>
      <c r="D1352" s="2" t="n">
        <v>0</v>
      </c>
      <c r="E1352" s="2" t="s">
        <v>5947</v>
      </c>
      <c r="F1352" s="2" t="s">
        <v>176</v>
      </c>
      <c r="G1352" s="2" t="s">
        <v>3997</v>
      </c>
      <c r="H1352" s="2" t="s">
        <v>1137</v>
      </c>
      <c r="I1352" s="2" t="s">
        <v>3469</v>
      </c>
      <c r="J1352" s="2" t="s">
        <v>11626</v>
      </c>
      <c r="K1352" s="2" t="s">
        <v>160</v>
      </c>
      <c r="L1352" s="2" t="n">
        <v>0.38</v>
      </c>
      <c r="M1352" s="2" t="n">
        <v>0.58</v>
      </c>
    </row>
    <row r="1353" customFormat="false" ht="15" hidden="false" customHeight="false" outlineLevel="0" collapsed="false">
      <c r="A1353" s="2" t="n">
        <v>1351</v>
      </c>
      <c r="B1353" s="2" t="s">
        <v>5943</v>
      </c>
      <c r="C1353" s="2" t="n">
        <v>2</v>
      </c>
      <c r="D1353" s="2" t="n">
        <v>0</v>
      </c>
      <c r="E1353" s="2" t="s">
        <v>5957</v>
      </c>
      <c r="F1353" s="2" t="s">
        <v>64</v>
      </c>
      <c r="G1353" s="2" t="s">
        <v>4009</v>
      </c>
      <c r="H1353" s="2" t="s">
        <v>812</v>
      </c>
      <c r="I1353" s="2" t="s">
        <v>1324</v>
      </c>
      <c r="J1353" s="2" t="s">
        <v>11627</v>
      </c>
      <c r="K1353" s="2" t="s">
        <v>507</v>
      </c>
      <c r="L1353" s="2" t="n">
        <v>0</v>
      </c>
      <c r="M1353" s="2" t="n">
        <v>0.75</v>
      </c>
    </row>
    <row r="1354" customFormat="false" ht="15" hidden="false" customHeight="false" outlineLevel="0" collapsed="false">
      <c r="A1354" s="2" t="n">
        <v>1352</v>
      </c>
      <c r="B1354" s="2" t="s">
        <v>5943</v>
      </c>
      <c r="C1354" s="2" t="n">
        <v>3</v>
      </c>
      <c r="D1354" s="2" t="n">
        <v>0</v>
      </c>
      <c r="E1354" s="2" t="s">
        <v>5961</v>
      </c>
      <c r="F1354" s="2" t="s">
        <v>64</v>
      </c>
      <c r="G1354" s="2" t="s">
        <v>4013</v>
      </c>
      <c r="H1354" s="2" t="s">
        <v>4014</v>
      </c>
      <c r="I1354" s="2" t="s">
        <v>331</v>
      </c>
      <c r="J1354" s="2" t="s">
        <v>11628</v>
      </c>
      <c r="K1354" s="2" t="s">
        <v>507</v>
      </c>
      <c r="L1354" s="2" t="n">
        <v>0</v>
      </c>
      <c r="M1354" s="2" t="n">
        <v>0.78</v>
      </c>
    </row>
    <row r="1355" customFormat="false" ht="15" hidden="false" customHeight="false" outlineLevel="0" collapsed="false">
      <c r="A1355" s="2" t="n">
        <v>1353</v>
      </c>
      <c r="B1355" s="2" t="s">
        <v>5943</v>
      </c>
      <c r="C1355" s="2" t="n">
        <v>3</v>
      </c>
      <c r="D1355" s="2" t="n">
        <v>0</v>
      </c>
      <c r="E1355" s="2" t="s">
        <v>5970</v>
      </c>
      <c r="F1355" s="2" t="s">
        <v>64</v>
      </c>
      <c r="G1355" s="2" t="s">
        <v>4021</v>
      </c>
      <c r="H1355" s="2" t="s">
        <v>4022</v>
      </c>
      <c r="I1355" s="2" t="s">
        <v>2939</v>
      </c>
      <c r="J1355" s="2" t="s">
        <v>11629</v>
      </c>
      <c r="K1355" s="2" t="s">
        <v>507</v>
      </c>
      <c r="L1355" s="2" t="n">
        <v>0.14</v>
      </c>
      <c r="M1355" s="2" t="n">
        <v>0.67</v>
      </c>
    </row>
    <row r="1356" customFormat="false" ht="15" hidden="false" customHeight="false" outlineLevel="0" collapsed="false">
      <c r="A1356" s="2" t="n">
        <v>1354</v>
      </c>
      <c r="B1356" s="2" t="s">
        <v>5943</v>
      </c>
      <c r="C1356" s="2" t="n">
        <v>3</v>
      </c>
      <c r="D1356" s="2" t="n">
        <v>0</v>
      </c>
      <c r="E1356" s="2" t="s">
        <v>5978</v>
      </c>
      <c r="F1356" s="2" t="s">
        <v>64</v>
      </c>
      <c r="G1356" s="2" t="s">
        <v>4037</v>
      </c>
      <c r="H1356" s="2" t="s">
        <v>178</v>
      </c>
      <c r="I1356" s="2" t="s">
        <v>1774</v>
      </c>
      <c r="J1356" s="2" t="s">
        <v>11630</v>
      </c>
      <c r="K1356" s="2" t="s">
        <v>507</v>
      </c>
      <c r="L1356" s="2" t="n">
        <v>0</v>
      </c>
      <c r="M1356" s="2" t="n">
        <v>0.9</v>
      </c>
    </row>
    <row r="1357" customFormat="false" ht="15" hidden="false" customHeight="false" outlineLevel="0" collapsed="false">
      <c r="A1357" s="2" t="n">
        <v>1355</v>
      </c>
      <c r="B1357" s="2" t="s">
        <v>5943</v>
      </c>
      <c r="C1357" s="2" t="n">
        <v>2</v>
      </c>
      <c r="D1357" s="2" t="n">
        <v>0</v>
      </c>
      <c r="E1357" s="2" t="s">
        <v>5988</v>
      </c>
      <c r="F1357" s="2" t="s">
        <v>64</v>
      </c>
      <c r="G1357" s="2" t="s">
        <v>4047</v>
      </c>
      <c r="H1357" s="2" t="s">
        <v>4048</v>
      </c>
      <c r="I1357" s="2" t="s">
        <v>604</v>
      </c>
      <c r="J1357" s="2" t="s">
        <v>11631</v>
      </c>
      <c r="K1357" s="2" t="s">
        <v>507</v>
      </c>
      <c r="L1357" s="2" t="n">
        <v>0</v>
      </c>
      <c r="M1357" s="2" t="n">
        <v>0.7</v>
      </c>
    </row>
    <row r="1358" customFormat="false" ht="15" hidden="false" customHeight="false" outlineLevel="0" collapsed="false">
      <c r="A1358" s="2" t="n">
        <v>1356</v>
      </c>
      <c r="B1358" s="2" t="s">
        <v>5943</v>
      </c>
      <c r="C1358" s="2" t="n">
        <v>2</v>
      </c>
      <c r="D1358" s="2" t="n">
        <v>2</v>
      </c>
      <c r="E1358" s="2" t="s">
        <v>5994</v>
      </c>
      <c r="F1358" s="2" t="s">
        <v>492</v>
      </c>
      <c r="G1358" s="2" t="s">
        <v>4052</v>
      </c>
      <c r="H1358" s="2" t="s">
        <v>582</v>
      </c>
      <c r="I1358" s="2" t="s">
        <v>2158</v>
      </c>
      <c r="J1358" s="2" t="s">
        <v>11632</v>
      </c>
      <c r="K1358" s="2" t="s">
        <v>507</v>
      </c>
      <c r="L1358" s="2" t="n">
        <v>0</v>
      </c>
      <c r="M1358" s="2" t="n">
        <v>1</v>
      </c>
    </row>
    <row r="1359" customFormat="false" ht="15" hidden="false" customHeight="false" outlineLevel="0" collapsed="false">
      <c r="A1359" s="2" t="n">
        <v>1357</v>
      </c>
      <c r="B1359" s="2" t="s">
        <v>5943</v>
      </c>
      <c r="C1359" s="2" t="n">
        <v>1</v>
      </c>
      <c r="D1359" s="2" t="n">
        <v>0</v>
      </c>
      <c r="E1359" s="2" t="s">
        <v>6002</v>
      </c>
      <c r="F1359" s="2" t="s">
        <v>1563</v>
      </c>
      <c r="G1359" s="2" t="s">
        <v>6003</v>
      </c>
      <c r="H1359" s="2" t="s">
        <v>812</v>
      </c>
      <c r="I1359" s="2" t="s">
        <v>2037</v>
      </c>
      <c r="J1359" s="2" t="s">
        <v>11633</v>
      </c>
      <c r="K1359" s="2" t="s">
        <v>507</v>
      </c>
      <c r="L1359" s="2" t="n">
        <v>0.2</v>
      </c>
      <c r="M1359" s="2" t="n">
        <v>1</v>
      </c>
    </row>
    <row r="1360" customFormat="false" ht="15" hidden="false" customHeight="false" outlineLevel="0" collapsed="false">
      <c r="A1360" s="2" t="n">
        <v>1358</v>
      </c>
      <c r="B1360" s="2" t="s">
        <v>5943</v>
      </c>
      <c r="C1360" s="2" t="n">
        <v>1</v>
      </c>
      <c r="D1360" s="2" t="n">
        <v>1</v>
      </c>
      <c r="E1360" s="2" t="s">
        <v>6010</v>
      </c>
      <c r="F1360" s="2" t="s">
        <v>3313</v>
      </c>
      <c r="G1360" s="2" t="s">
        <v>4059</v>
      </c>
      <c r="H1360" s="2" t="s">
        <v>965</v>
      </c>
      <c r="I1360" s="2" t="s">
        <v>2013</v>
      </c>
      <c r="J1360" s="2" t="s">
        <v>11634</v>
      </c>
      <c r="K1360" s="2" t="s">
        <v>507</v>
      </c>
      <c r="L1360" s="2" t="n">
        <v>0.1</v>
      </c>
      <c r="M1360" s="2" t="n">
        <v>1</v>
      </c>
    </row>
    <row r="1361" customFormat="false" ht="15" hidden="false" customHeight="false" outlineLevel="0" collapsed="false">
      <c r="A1361" s="2" t="n">
        <v>1359</v>
      </c>
      <c r="B1361" s="2" t="s">
        <v>5943</v>
      </c>
      <c r="C1361" s="2" t="n">
        <v>0</v>
      </c>
      <c r="D1361" s="2" t="n">
        <v>0</v>
      </c>
      <c r="E1361" s="2" t="s">
        <v>11635</v>
      </c>
      <c r="F1361" s="2" t="s">
        <v>11636</v>
      </c>
      <c r="G1361" s="2" t="s">
        <v>10372</v>
      </c>
      <c r="H1361" s="2" t="s">
        <v>10373</v>
      </c>
      <c r="I1361" s="2" t="s">
        <v>1574</v>
      </c>
      <c r="J1361" s="2" t="s">
        <v>11637</v>
      </c>
      <c r="K1361" s="2" t="s">
        <v>507</v>
      </c>
      <c r="L1361" s="2" t="n">
        <v>0</v>
      </c>
      <c r="M1361" s="2" t="n">
        <v>0.77</v>
      </c>
    </row>
    <row r="1362" customFormat="false" ht="15" hidden="false" customHeight="false" outlineLevel="0" collapsed="false">
      <c r="A1362" s="2" t="n">
        <v>1360</v>
      </c>
      <c r="B1362" s="2" t="s">
        <v>5943</v>
      </c>
      <c r="C1362" s="2" t="n">
        <v>0</v>
      </c>
      <c r="D1362" s="2" t="n">
        <v>0</v>
      </c>
      <c r="E1362" s="2" t="s">
        <v>11638</v>
      </c>
      <c r="F1362" s="2" t="s">
        <v>1351</v>
      </c>
      <c r="G1362" s="2" t="s">
        <v>4065</v>
      </c>
      <c r="H1362" s="2" t="s">
        <v>4066</v>
      </c>
      <c r="I1362" s="2" t="s">
        <v>1365</v>
      </c>
      <c r="J1362" s="2" t="s">
        <v>11639</v>
      </c>
      <c r="K1362" s="2" t="s">
        <v>507</v>
      </c>
      <c r="L1362" s="2" t="n">
        <v>0</v>
      </c>
      <c r="M1362" s="2" t="n">
        <v>0.89</v>
      </c>
    </row>
    <row r="1363" customFormat="false" ht="15" hidden="false" customHeight="false" outlineLevel="0" collapsed="false">
      <c r="A1363" s="2" t="n">
        <v>1361</v>
      </c>
      <c r="B1363" s="2" t="s">
        <v>5943</v>
      </c>
      <c r="C1363" s="2" t="n">
        <v>0</v>
      </c>
      <c r="D1363" s="2" t="n">
        <v>0</v>
      </c>
      <c r="E1363" s="2" t="s">
        <v>11640</v>
      </c>
      <c r="F1363" s="2" t="s">
        <v>11641</v>
      </c>
      <c r="G1363" s="2" t="s">
        <v>10377</v>
      </c>
      <c r="H1363" s="2" t="s">
        <v>1323</v>
      </c>
      <c r="I1363" s="2" t="s">
        <v>3823</v>
      </c>
      <c r="J1363" s="2" t="s">
        <v>11642</v>
      </c>
      <c r="K1363" s="2" t="s">
        <v>507</v>
      </c>
      <c r="L1363" s="2" t="n">
        <v>0</v>
      </c>
      <c r="M1363" s="2" t="n">
        <v>0.56</v>
      </c>
    </row>
    <row r="1364" customFormat="false" ht="15" hidden="false" customHeight="false" outlineLevel="0" collapsed="false">
      <c r="A1364" s="2" t="n">
        <v>1362</v>
      </c>
      <c r="B1364" s="2" t="s">
        <v>5943</v>
      </c>
      <c r="C1364" s="2" t="n">
        <v>0</v>
      </c>
      <c r="D1364" s="2" t="n">
        <v>0</v>
      </c>
      <c r="E1364" s="2" t="s">
        <v>11643</v>
      </c>
      <c r="F1364" s="2" t="s">
        <v>3313</v>
      </c>
      <c r="G1364" s="2" t="s">
        <v>4071</v>
      </c>
      <c r="H1364" s="2" t="s">
        <v>4072</v>
      </c>
      <c r="I1364" s="2" t="s">
        <v>966</v>
      </c>
      <c r="J1364" s="2" t="s">
        <v>11644</v>
      </c>
      <c r="K1364" s="2" t="s">
        <v>507</v>
      </c>
      <c r="L1364" s="2" t="n">
        <v>0.18</v>
      </c>
      <c r="M1364" s="2" t="n">
        <v>1</v>
      </c>
    </row>
    <row r="1365" customFormat="false" ht="15" hidden="false" customHeight="false" outlineLevel="0" collapsed="false">
      <c r="A1365" s="2" t="n">
        <v>1363</v>
      </c>
      <c r="B1365" s="2" t="s">
        <v>5943</v>
      </c>
      <c r="C1365" s="2" t="n">
        <v>1</v>
      </c>
      <c r="D1365" s="2" t="n">
        <v>0</v>
      </c>
      <c r="E1365" s="2" t="s">
        <v>6014</v>
      </c>
      <c r="F1365" s="2" t="s">
        <v>1498</v>
      </c>
      <c r="G1365" s="2" t="s">
        <v>4079</v>
      </c>
      <c r="H1365" s="2" t="s">
        <v>178</v>
      </c>
      <c r="I1365" s="2" t="s">
        <v>2379</v>
      </c>
      <c r="J1365" s="2" t="s">
        <v>11645</v>
      </c>
      <c r="K1365" s="2" t="s">
        <v>507</v>
      </c>
      <c r="L1365" s="2" t="n">
        <v>0.08</v>
      </c>
      <c r="M1365" s="2" t="n">
        <v>0.67</v>
      </c>
    </row>
    <row r="1366" customFormat="false" ht="15" hidden="false" customHeight="false" outlineLevel="0" collapsed="false">
      <c r="A1366" s="2" t="n">
        <v>1364</v>
      </c>
      <c r="B1366" s="2" t="s">
        <v>5943</v>
      </c>
      <c r="C1366" s="2" t="n">
        <v>1</v>
      </c>
      <c r="D1366" s="2" t="n">
        <v>1</v>
      </c>
      <c r="E1366" s="2" t="s">
        <v>6017</v>
      </c>
      <c r="F1366" s="2" t="s">
        <v>2239</v>
      </c>
      <c r="G1366" s="2" t="s">
        <v>4087</v>
      </c>
      <c r="H1366" s="2" t="s">
        <v>745</v>
      </c>
      <c r="I1366" s="2" t="s">
        <v>3435</v>
      </c>
      <c r="J1366" s="2" t="s">
        <v>11646</v>
      </c>
      <c r="K1366" s="2" t="s">
        <v>507</v>
      </c>
      <c r="L1366" s="2" t="n">
        <v>0</v>
      </c>
      <c r="M1366" s="2" t="n">
        <v>0.88</v>
      </c>
    </row>
    <row r="1367" customFormat="false" ht="15" hidden="false" customHeight="false" outlineLevel="0" collapsed="false">
      <c r="A1367" s="2" t="n">
        <v>1365</v>
      </c>
      <c r="B1367" s="2" t="s">
        <v>5943</v>
      </c>
      <c r="C1367" s="2" t="n">
        <v>1</v>
      </c>
      <c r="D1367" s="2" t="n">
        <v>0</v>
      </c>
      <c r="E1367" s="2" t="s">
        <v>6020</v>
      </c>
      <c r="F1367" s="2" t="s">
        <v>1144</v>
      </c>
      <c r="G1367" s="2" t="s">
        <v>4095</v>
      </c>
      <c r="H1367" s="2" t="s">
        <v>158</v>
      </c>
      <c r="I1367" s="2" t="s">
        <v>4096</v>
      </c>
      <c r="J1367" s="2" t="s">
        <v>11647</v>
      </c>
      <c r="K1367" s="2" t="s">
        <v>507</v>
      </c>
      <c r="L1367" s="2" t="n">
        <v>0</v>
      </c>
      <c r="M1367" s="2" t="n">
        <v>0.88</v>
      </c>
    </row>
    <row r="1368" customFormat="false" ht="15" hidden="false" customHeight="false" outlineLevel="0" collapsed="false">
      <c r="A1368" s="2" t="n">
        <v>1366</v>
      </c>
      <c r="B1368" s="2" t="s">
        <v>5943</v>
      </c>
      <c r="C1368" s="2" t="n">
        <v>1</v>
      </c>
      <c r="D1368" s="2" t="n">
        <v>0</v>
      </c>
      <c r="E1368" s="2" t="s">
        <v>6022</v>
      </c>
      <c r="F1368" s="2" t="s">
        <v>6023</v>
      </c>
      <c r="G1368" s="2" t="s">
        <v>4102</v>
      </c>
      <c r="H1368" s="2" t="s">
        <v>917</v>
      </c>
      <c r="I1368" s="2" t="s">
        <v>2005</v>
      </c>
      <c r="J1368" s="2" t="s">
        <v>11648</v>
      </c>
      <c r="K1368" s="2" t="s">
        <v>507</v>
      </c>
      <c r="L1368" s="2" t="n">
        <v>0</v>
      </c>
      <c r="M1368" s="2" t="n">
        <v>0.71</v>
      </c>
    </row>
    <row r="1369" customFormat="false" ht="15" hidden="false" customHeight="false" outlineLevel="0" collapsed="false">
      <c r="A1369" s="2" t="n">
        <v>1367</v>
      </c>
      <c r="B1369" s="2" t="s">
        <v>5943</v>
      </c>
      <c r="C1369" s="2" t="n">
        <v>1</v>
      </c>
      <c r="D1369" s="2" t="n">
        <v>1</v>
      </c>
      <c r="E1369" s="2" t="s">
        <v>6025</v>
      </c>
      <c r="F1369" s="2" t="s">
        <v>6026</v>
      </c>
      <c r="G1369" s="2" t="s">
        <v>4115</v>
      </c>
      <c r="H1369" s="2" t="s">
        <v>97</v>
      </c>
      <c r="I1369" s="2" t="s">
        <v>2489</v>
      </c>
      <c r="J1369" s="2" t="s">
        <v>11649</v>
      </c>
      <c r="K1369" s="2" t="s">
        <v>507</v>
      </c>
      <c r="L1369" s="2" t="n">
        <v>0.11</v>
      </c>
      <c r="M1369" s="2" t="n">
        <v>0.64</v>
      </c>
    </row>
    <row r="1370" customFormat="false" ht="15" hidden="false" customHeight="false" outlineLevel="0" collapsed="false">
      <c r="A1370" s="2" t="n">
        <v>1368</v>
      </c>
      <c r="B1370" s="2" t="s">
        <v>5943</v>
      </c>
      <c r="C1370" s="2" t="n">
        <v>1</v>
      </c>
      <c r="D1370" s="2" t="n">
        <v>1</v>
      </c>
      <c r="E1370" s="2" t="s">
        <v>6032</v>
      </c>
      <c r="F1370" s="2" t="s">
        <v>6033</v>
      </c>
      <c r="G1370" s="2" t="s">
        <v>4128</v>
      </c>
      <c r="H1370" s="2" t="s">
        <v>4066</v>
      </c>
      <c r="I1370" s="2" t="s">
        <v>495</v>
      </c>
      <c r="J1370" s="2" t="s">
        <v>11650</v>
      </c>
      <c r="K1370" s="2" t="s">
        <v>507</v>
      </c>
      <c r="L1370" s="2" t="n">
        <v>0.1</v>
      </c>
      <c r="M1370" s="2" t="n">
        <v>0.82</v>
      </c>
    </row>
    <row r="1371" customFormat="false" ht="15" hidden="false" customHeight="false" outlineLevel="0" collapsed="false">
      <c r="A1371" s="2" t="n">
        <v>1369</v>
      </c>
      <c r="B1371" s="2" t="s">
        <v>5943</v>
      </c>
      <c r="C1371" s="2" t="n">
        <v>3</v>
      </c>
      <c r="D1371" s="2" t="n">
        <v>1</v>
      </c>
      <c r="E1371" s="2" t="s">
        <v>6037</v>
      </c>
      <c r="F1371" s="2" t="s">
        <v>64</v>
      </c>
      <c r="G1371" s="2" t="s">
        <v>4134</v>
      </c>
      <c r="H1371" s="2" t="s">
        <v>745</v>
      </c>
      <c r="I1371" s="2" t="s">
        <v>1875</v>
      </c>
      <c r="J1371" s="2" t="s">
        <v>11651</v>
      </c>
      <c r="K1371" s="2" t="s">
        <v>68</v>
      </c>
      <c r="L1371" s="2" t="n">
        <v>0.62</v>
      </c>
      <c r="M1371" s="2" t="n">
        <v>0.67</v>
      </c>
    </row>
    <row r="1372" customFormat="false" ht="15" hidden="false" customHeight="false" outlineLevel="0" collapsed="false">
      <c r="A1372" s="2" t="n">
        <v>1370</v>
      </c>
      <c r="B1372" s="2" t="s">
        <v>5943</v>
      </c>
      <c r="C1372" s="2" t="n">
        <v>1</v>
      </c>
      <c r="D1372" s="2" t="n">
        <v>1</v>
      </c>
      <c r="E1372" s="2" t="s">
        <v>6044</v>
      </c>
      <c r="F1372" s="2" t="s">
        <v>1498</v>
      </c>
      <c r="G1372" s="2" t="s">
        <v>4138</v>
      </c>
      <c r="H1372" s="2" t="s">
        <v>4139</v>
      </c>
      <c r="I1372" s="2" t="s">
        <v>1365</v>
      </c>
      <c r="J1372" s="2" t="s">
        <v>11652</v>
      </c>
      <c r="K1372" s="2" t="s">
        <v>507</v>
      </c>
      <c r="L1372" s="2" t="n">
        <v>0.07</v>
      </c>
      <c r="M1372" s="2" t="n">
        <v>0.6</v>
      </c>
    </row>
    <row r="1373" customFormat="false" ht="15" hidden="false" customHeight="false" outlineLevel="0" collapsed="false">
      <c r="A1373" s="2" t="n">
        <v>1371</v>
      </c>
      <c r="B1373" s="2" t="s">
        <v>5943</v>
      </c>
      <c r="C1373" s="2" t="n">
        <v>1</v>
      </c>
      <c r="D1373" s="2" t="n">
        <v>0</v>
      </c>
      <c r="E1373" s="2" t="s">
        <v>6049</v>
      </c>
      <c r="F1373" s="2" t="s">
        <v>6050</v>
      </c>
      <c r="G1373" s="2" t="s">
        <v>6051</v>
      </c>
      <c r="H1373" s="2" t="s">
        <v>158</v>
      </c>
      <c r="I1373" s="2" t="s">
        <v>1482</v>
      </c>
      <c r="J1373" s="2" t="s">
        <v>11653</v>
      </c>
      <c r="K1373" s="2" t="s">
        <v>507</v>
      </c>
      <c r="L1373" s="2" t="n">
        <v>0.25</v>
      </c>
      <c r="M1373" s="2" t="n">
        <v>0.75</v>
      </c>
    </row>
    <row r="1374" customFormat="false" ht="15" hidden="false" customHeight="false" outlineLevel="0" collapsed="false">
      <c r="A1374" s="2" t="n">
        <v>1372</v>
      </c>
      <c r="B1374" s="2" t="s">
        <v>5943</v>
      </c>
      <c r="C1374" s="2" t="n">
        <v>0</v>
      </c>
      <c r="D1374" s="2" t="n">
        <v>0</v>
      </c>
      <c r="E1374" s="2" t="s">
        <v>11654</v>
      </c>
      <c r="F1374" s="2" t="s">
        <v>11062</v>
      </c>
      <c r="G1374" s="2" t="s">
        <v>4142</v>
      </c>
      <c r="H1374" s="2" t="s">
        <v>745</v>
      </c>
      <c r="I1374" s="2" t="s">
        <v>2013</v>
      </c>
      <c r="J1374" s="2" t="s">
        <v>11655</v>
      </c>
      <c r="K1374" s="2" t="s">
        <v>507</v>
      </c>
      <c r="L1374" s="2" t="n">
        <v>0</v>
      </c>
      <c r="M1374" s="2" t="n">
        <v>0.7</v>
      </c>
    </row>
    <row r="1375" customFormat="false" ht="15" hidden="false" customHeight="false" outlineLevel="0" collapsed="false">
      <c r="A1375" s="2" t="n">
        <v>1373</v>
      </c>
      <c r="B1375" s="2" t="s">
        <v>5943</v>
      </c>
      <c r="C1375" s="2" t="n">
        <v>0</v>
      </c>
      <c r="D1375" s="2" t="n">
        <v>0</v>
      </c>
      <c r="E1375" s="2" t="s">
        <v>11656</v>
      </c>
      <c r="F1375" s="2" t="s">
        <v>2239</v>
      </c>
      <c r="G1375" s="2" t="s">
        <v>10395</v>
      </c>
      <c r="H1375" s="2" t="s">
        <v>420</v>
      </c>
      <c r="I1375" s="2" t="s">
        <v>2013</v>
      </c>
      <c r="J1375" s="2" t="s">
        <v>11657</v>
      </c>
      <c r="K1375" s="2" t="s">
        <v>507</v>
      </c>
      <c r="L1375" s="2" t="n">
        <v>0.08</v>
      </c>
      <c r="M1375" s="2" t="n">
        <v>0.88</v>
      </c>
    </row>
    <row r="1376" customFormat="false" ht="15" hidden="false" customHeight="false" outlineLevel="0" collapsed="false">
      <c r="A1376" s="2" t="n">
        <v>1374</v>
      </c>
      <c r="B1376" s="2" t="s">
        <v>5943</v>
      </c>
      <c r="C1376" s="2" t="n">
        <v>1</v>
      </c>
      <c r="D1376" s="2" t="n">
        <v>0</v>
      </c>
      <c r="E1376" s="2" t="s">
        <v>6053</v>
      </c>
      <c r="F1376" s="2" t="s">
        <v>6054</v>
      </c>
      <c r="G1376" s="2" t="s">
        <v>6055</v>
      </c>
      <c r="H1376" s="2" t="s">
        <v>6056</v>
      </c>
      <c r="I1376" s="2" t="s">
        <v>2013</v>
      </c>
      <c r="J1376" s="2" t="s">
        <v>11658</v>
      </c>
      <c r="K1376" s="2" t="s">
        <v>507</v>
      </c>
      <c r="L1376" s="2" t="n">
        <v>0</v>
      </c>
      <c r="M1376" s="2" t="n">
        <v>0.73</v>
      </c>
    </row>
    <row r="1377" customFormat="false" ht="15" hidden="false" customHeight="false" outlineLevel="0" collapsed="false">
      <c r="A1377" s="2" t="n">
        <v>1375</v>
      </c>
      <c r="B1377" s="2" t="s">
        <v>5943</v>
      </c>
      <c r="C1377" s="2" t="n">
        <v>1</v>
      </c>
      <c r="D1377" s="2" t="n">
        <v>0</v>
      </c>
      <c r="E1377" s="2" t="s">
        <v>6058</v>
      </c>
      <c r="F1377" s="2" t="s">
        <v>418</v>
      </c>
      <c r="G1377" s="2" t="s">
        <v>6059</v>
      </c>
      <c r="H1377" s="2" t="s">
        <v>6060</v>
      </c>
      <c r="I1377" s="2" t="s">
        <v>3744</v>
      </c>
      <c r="J1377" s="2" t="s">
        <v>11659</v>
      </c>
      <c r="K1377" s="2" t="s">
        <v>507</v>
      </c>
      <c r="L1377" s="2" t="n">
        <v>0</v>
      </c>
      <c r="M1377" s="2" t="n">
        <v>0.83</v>
      </c>
    </row>
    <row r="1378" customFormat="false" ht="15" hidden="false" customHeight="false" outlineLevel="0" collapsed="false">
      <c r="A1378" s="2" t="n">
        <v>1376</v>
      </c>
      <c r="B1378" s="2" t="s">
        <v>5943</v>
      </c>
      <c r="C1378" s="2" t="n">
        <v>1</v>
      </c>
      <c r="D1378" s="2" t="n">
        <v>0</v>
      </c>
      <c r="E1378" s="2" t="s">
        <v>6065</v>
      </c>
      <c r="F1378" s="2" t="s">
        <v>6066</v>
      </c>
      <c r="G1378" s="2" t="s">
        <v>6067</v>
      </c>
      <c r="H1378" s="2" t="s">
        <v>4139</v>
      </c>
      <c r="I1378" s="2" t="s">
        <v>1648</v>
      </c>
      <c r="J1378" s="2" t="s">
        <v>11660</v>
      </c>
      <c r="K1378" s="2" t="s">
        <v>507</v>
      </c>
      <c r="L1378" s="2" t="n">
        <v>0.08</v>
      </c>
      <c r="M1378" s="2" t="n">
        <v>0.7</v>
      </c>
    </row>
    <row r="1379" customFormat="false" ht="15" hidden="false" customHeight="false" outlineLevel="0" collapsed="false">
      <c r="A1379" s="2" t="n">
        <v>1377</v>
      </c>
      <c r="B1379" s="2" t="s">
        <v>5943</v>
      </c>
      <c r="C1379" s="2" t="n">
        <v>1</v>
      </c>
      <c r="D1379" s="2" t="n">
        <v>0</v>
      </c>
      <c r="E1379" s="2" t="s">
        <v>6071</v>
      </c>
      <c r="F1379" s="2" t="s">
        <v>2332</v>
      </c>
      <c r="G1379" s="2" t="s">
        <v>4153</v>
      </c>
      <c r="H1379" s="2" t="s">
        <v>1500</v>
      </c>
      <c r="I1379" s="2" t="s">
        <v>2013</v>
      </c>
      <c r="J1379" s="2" t="s">
        <v>11661</v>
      </c>
      <c r="K1379" s="2" t="s">
        <v>507</v>
      </c>
      <c r="L1379" s="2" t="n">
        <v>0</v>
      </c>
      <c r="M1379" s="2" t="n">
        <v>0.75</v>
      </c>
    </row>
    <row r="1380" customFormat="false" ht="15" hidden="false" customHeight="false" outlineLevel="0" collapsed="false">
      <c r="A1380" s="2" t="n">
        <v>1378</v>
      </c>
      <c r="B1380" s="2" t="s">
        <v>5943</v>
      </c>
      <c r="C1380" s="2" t="n">
        <v>1</v>
      </c>
      <c r="D1380" s="2" t="n">
        <v>0</v>
      </c>
      <c r="E1380" s="2" t="s">
        <v>6075</v>
      </c>
      <c r="F1380" s="2" t="s">
        <v>2239</v>
      </c>
      <c r="G1380" s="2" t="s">
        <v>6076</v>
      </c>
      <c r="H1380" s="2" t="s">
        <v>1991</v>
      </c>
      <c r="I1380" s="2" t="s">
        <v>2013</v>
      </c>
      <c r="J1380" s="2" t="s">
        <v>11662</v>
      </c>
      <c r="K1380" s="2" t="s">
        <v>507</v>
      </c>
      <c r="L1380" s="2" t="n">
        <v>0.16</v>
      </c>
      <c r="M1380" s="2" t="n">
        <v>0.89</v>
      </c>
    </row>
    <row r="1381" customFormat="false" ht="15" hidden="false" customHeight="false" outlineLevel="0" collapsed="false">
      <c r="A1381" s="2" t="n">
        <v>1379</v>
      </c>
      <c r="B1381" s="2" t="s">
        <v>5943</v>
      </c>
      <c r="C1381" s="2" t="n">
        <v>2</v>
      </c>
      <c r="D1381" s="2" t="n">
        <v>0</v>
      </c>
      <c r="E1381" s="2" t="s">
        <v>6079</v>
      </c>
      <c r="F1381" s="2" t="s">
        <v>64</v>
      </c>
      <c r="G1381" s="2" t="s">
        <v>6080</v>
      </c>
      <c r="H1381" s="2" t="s">
        <v>6081</v>
      </c>
      <c r="I1381" s="2" t="s">
        <v>604</v>
      </c>
      <c r="J1381" s="2" t="s">
        <v>11663</v>
      </c>
      <c r="K1381" s="2" t="s">
        <v>507</v>
      </c>
      <c r="L1381" s="2" t="n">
        <v>0</v>
      </c>
      <c r="M1381" s="2" t="n">
        <v>0.89</v>
      </c>
    </row>
    <row r="1382" customFormat="false" ht="15" hidden="false" customHeight="false" outlineLevel="0" collapsed="false">
      <c r="A1382" s="2" t="n">
        <v>1380</v>
      </c>
      <c r="B1382" s="2" t="s">
        <v>6084</v>
      </c>
      <c r="C1382" s="2" t="n">
        <v>3</v>
      </c>
      <c r="D1382" s="2" t="n">
        <v>0</v>
      </c>
      <c r="E1382" s="2" t="s">
        <v>6088</v>
      </c>
      <c r="F1382" s="2" t="s">
        <v>418</v>
      </c>
      <c r="G1382" s="2" t="s">
        <v>6089</v>
      </c>
      <c r="H1382" s="2" t="s">
        <v>420</v>
      </c>
      <c r="I1382" s="2" t="s">
        <v>604</v>
      </c>
      <c r="J1382" s="2" t="s">
        <v>11664</v>
      </c>
      <c r="K1382" s="2" t="s">
        <v>507</v>
      </c>
      <c r="L1382" s="2" t="n">
        <v>0</v>
      </c>
      <c r="M1382" s="2" t="n">
        <v>0.88</v>
      </c>
    </row>
    <row r="1383" customFormat="false" ht="15" hidden="false" customHeight="false" outlineLevel="0" collapsed="false">
      <c r="A1383" s="2" t="n">
        <v>1381</v>
      </c>
      <c r="B1383" s="2" t="s">
        <v>6084</v>
      </c>
      <c r="C1383" s="2" t="n">
        <v>1</v>
      </c>
      <c r="D1383" s="2" t="n">
        <v>0</v>
      </c>
      <c r="E1383" s="2" t="s">
        <v>6102</v>
      </c>
      <c r="F1383" s="2" t="s">
        <v>5342</v>
      </c>
      <c r="G1383" s="2" t="s">
        <v>6103</v>
      </c>
      <c r="H1383" s="2" t="s">
        <v>420</v>
      </c>
      <c r="I1383" s="2" t="s">
        <v>2013</v>
      </c>
      <c r="J1383" s="2" t="s">
        <v>11665</v>
      </c>
      <c r="K1383" s="2" t="s">
        <v>507</v>
      </c>
      <c r="L1383" s="2" t="n">
        <v>0</v>
      </c>
      <c r="M1383" s="2" t="n">
        <v>0.67</v>
      </c>
    </row>
    <row r="1384" customFormat="false" ht="15" hidden="false" customHeight="false" outlineLevel="0" collapsed="false">
      <c r="A1384" s="2" t="n">
        <v>1382</v>
      </c>
      <c r="B1384" s="2" t="s">
        <v>6084</v>
      </c>
      <c r="C1384" s="2" t="n">
        <v>2</v>
      </c>
      <c r="D1384" s="2" t="n">
        <v>0</v>
      </c>
      <c r="E1384" s="2" t="s">
        <v>6107</v>
      </c>
      <c r="F1384" s="2" t="s">
        <v>64</v>
      </c>
      <c r="G1384" s="2" t="s">
        <v>6108</v>
      </c>
      <c r="H1384" s="2" t="s">
        <v>178</v>
      </c>
      <c r="I1384" s="2" t="s">
        <v>6109</v>
      </c>
      <c r="J1384" s="2" t="s">
        <v>11666</v>
      </c>
      <c r="K1384" s="2" t="s">
        <v>507</v>
      </c>
      <c r="L1384" s="2" t="n">
        <v>0.08</v>
      </c>
      <c r="M1384" s="2" t="n">
        <v>0.67</v>
      </c>
    </row>
    <row r="1385" customFormat="false" ht="15" hidden="false" customHeight="false" outlineLevel="0" collapsed="false">
      <c r="A1385" s="2" t="n">
        <v>1383</v>
      </c>
      <c r="B1385" s="2" t="s">
        <v>6084</v>
      </c>
      <c r="C1385" s="2" t="n">
        <v>2</v>
      </c>
      <c r="D1385" s="2" t="n">
        <v>0</v>
      </c>
      <c r="E1385" s="2" t="s">
        <v>6115</v>
      </c>
      <c r="F1385" s="2" t="s">
        <v>64</v>
      </c>
      <c r="G1385" s="2" t="s">
        <v>4157</v>
      </c>
      <c r="H1385" s="2" t="s">
        <v>420</v>
      </c>
      <c r="I1385" s="2" t="s">
        <v>604</v>
      </c>
      <c r="J1385" s="2" t="s">
        <v>11667</v>
      </c>
      <c r="K1385" s="2" t="s">
        <v>507</v>
      </c>
      <c r="L1385" s="2" t="n">
        <v>0</v>
      </c>
      <c r="M1385" s="2" t="n">
        <v>0.7</v>
      </c>
    </row>
    <row r="1386" customFormat="false" ht="15" hidden="false" customHeight="false" outlineLevel="0" collapsed="false">
      <c r="A1386" s="2" t="n">
        <v>1384</v>
      </c>
      <c r="B1386" s="2" t="s">
        <v>6084</v>
      </c>
      <c r="C1386" s="2" t="n">
        <v>0</v>
      </c>
      <c r="D1386" s="2" t="n">
        <v>0</v>
      </c>
      <c r="E1386" s="2" t="s">
        <v>11668</v>
      </c>
      <c r="F1386" s="2" t="s">
        <v>11641</v>
      </c>
      <c r="G1386" s="2" t="s">
        <v>10419</v>
      </c>
      <c r="H1386" s="2" t="s">
        <v>6976</v>
      </c>
      <c r="I1386" s="2" t="s">
        <v>1138</v>
      </c>
      <c r="J1386" s="2" t="s">
        <v>11669</v>
      </c>
      <c r="K1386" s="2" t="s">
        <v>507</v>
      </c>
      <c r="L1386" s="2" t="n">
        <v>0</v>
      </c>
      <c r="M1386" s="2" t="n">
        <v>0.8</v>
      </c>
    </row>
    <row r="1387" customFormat="false" ht="15" hidden="false" customHeight="false" outlineLevel="0" collapsed="false">
      <c r="A1387" s="2" t="n">
        <v>1385</v>
      </c>
      <c r="B1387" s="2" t="s">
        <v>6084</v>
      </c>
      <c r="C1387" s="2" t="n">
        <v>0</v>
      </c>
      <c r="D1387" s="2" t="n">
        <v>0</v>
      </c>
      <c r="E1387" s="2" t="s">
        <v>11670</v>
      </c>
      <c r="F1387" s="2" t="s">
        <v>2239</v>
      </c>
      <c r="G1387" s="2" t="s">
        <v>4167</v>
      </c>
      <c r="H1387" s="2" t="s">
        <v>2214</v>
      </c>
      <c r="I1387" s="2" t="s">
        <v>2013</v>
      </c>
      <c r="J1387" s="2" t="s">
        <v>11671</v>
      </c>
      <c r="K1387" s="2" t="s">
        <v>507</v>
      </c>
      <c r="L1387" s="2" t="n">
        <v>0</v>
      </c>
      <c r="M1387" s="2" t="n">
        <v>0.88</v>
      </c>
    </row>
    <row r="1388" customFormat="false" ht="15" hidden="false" customHeight="false" outlineLevel="0" collapsed="false">
      <c r="A1388" s="2" t="n">
        <v>1386</v>
      </c>
      <c r="B1388" s="2" t="s">
        <v>6084</v>
      </c>
      <c r="C1388" s="2" t="n">
        <v>0</v>
      </c>
      <c r="D1388" s="2" t="n">
        <v>0</v>
      </c>
      <c r="E1388" s="2" t="s">
        <v>11672</v>
      </c>
      <c r="F1388" s="2" t="s">
        <v>1144</v>
      </c>
      <c r="G1388" s="2" t="s">
        <v>10423</v>
      </c>
      <c r="H1388" s="2" t="s">
        <v>4014</v>
      </c>
      <c r="I1388" s="2" t="s">
        <v>6601</v>
      </c>
      <c r="J1388" s="2" t="s">
        <v>11673</v>
      </c>
      <c r="K1388" s="2" t="s">
        <v>507</v>
      </c>
      <c r="L1388" s="2" t="n">
        <v>0</v>
      </c>
      <c r="M1388" s="2" t="n">
        <v>0.67</v>
      </c>
    </row>
    <row r="1389" customFormat="false" ht="15" hidden="false" customHeight="false" outlineLevel="0" collapsed="false">
      <c r="A1389" s="2" t="n">
        <v>1387</v>
      </c>
      <c r="B1389" s="2" t="s">
        <v>6084</v>
      </c>
      <c r="C1389" s="2" t="n">
        <v>0</v>
      </c>
      <c r="D1389" s="2" t="n">
        <v>0</v>
      </c>
      <c r="E1389" s="2" t="s">
        <v>11674</v>
      </c>
      <c r="F1389" s="2" t="s">
        <v>694</v>
      </c>
      <c r="G1389" s="2" t="s">
        <v>10426</v>
      </c>
      <c r="H1389" s="2" t="s">
        <v>66</v>
      </c>
      <c r="I1389" s="2" t="s">
        <v>2313</v>
      </c>
      <c r="J1389" s="2" t="s">
        <v>11675</v>
      </c>
      <c r="K1389" s="2" t="s">
        <v>507</v>
      </c>
      <c r="L1389" s="2" t="n">
        <v>0.17</v>
      </c>
      <c r="M1389" s="2" t="n">
        <v>1</v>
      </c>
    </row>
    <row r="1390" customFormat="false" ht="15" hidden="false" customHeight="false" outlineLevel="0" collapsed="false">
      <c r="A1390" s="2" t="n">
        <v>1388</v>
      </c>
      <c r="B1390" s="2" t="s">
        <v>6084</v>
      </c>
      <c r="C1390" s="2" t="n">
        <v>0</v>
      </c>
      <c r="D1390" s="2" t="n">
        <v>0</v>
      </c>
      <c r="E1390" s="2" t="s">
        <v>11676</v>
      </c>
      <c r="F1390" s="2" t="s">
        <v>1351</v>
      </c>
      <c r="G1390" s="2" t="s">
        <v>4172</v>
      </c>
      <c r="H1390" s="2" t="s">
        <v>1170</v>
      </c>
      <c r="I1390" s="2" t="s">
        <v>430</v>
      </c>
      <c r="J1390" s="2" t="s">
        <v>11677</v>
      </c>
      <c r="K1390" s="2" t="s">
        <v>507</v>
      </c>
      <c r="L1390" s="2" t="n">
        <v>0</v>
      </c>
      <c r="M1390" s="2" t="n">
        <v>0.5</v>
      </c>
    </row>
    <row r="1391" customFormat="false" ht="15" hidden="false" customHeight="false" outlineLevel="0" collapsed="false">
      <c r="A1391" s="2" t="n">
        <v>1389</v>
      </c>
      <c r="B1391" s="2" t="s">
        <v>6084</v>
      </c>
      <c r="C1391" s="2" t="n">
        <v>0</v>
      </c>
      <c r="D1391" s="2" t="n">
        <v>0</v>
      </c>
      <c r="E1391" s="2" t="s">
        <v>11678</v>
      </c>
      <c r="F1391" s="2" t="s">
        <v>10403</v>
      </c>
      <c r="G1391" s="2" t="s">
        <v>4184</v>
      </c>
      <c r="H1391" s="2" t="s">
        <v>66</v>
      </c>
      <c r="I1391" s="2" t="s">
        <v>2927</v>
      </c>
      <c r="J1391" s="2" t="s">
        <v>11679</v>
      </c>
      <c r="K1391" s="2" t="s">
        <v>507</v>
      </c>
      <c r="L1391" s="2" t="n">
        <v>0.11</v>
      </c>
      <c r="M1391" s="2" t="n">
        <v>0.89</v>
      </c>
    </row>
    <row r="1392" customFormat="false" ht="15" hidden="false" customHeight="false" outlineLevel="0" collapsed="false">
      <c r="A1392" s="2" t="n">
        <v>1390</v>
      </c>
      <c r="B1392" s="2" t="s">
        <v>6084</v>
      </c>
      <c r="C1392" s="2" t="n">
        <v>1</v>
      </c>
      <c r="D1392" s="2" t="n">
        <v>1</v>
      </c>
      <c r="E1392" s="2" t="s">
        <v>6119</v>
      </c>
      <c r="F1392" s="2" t="s">
        <v>453</v>
      </c>
      <c r="G1392" s="2" t="s">
        <v>4192</v>
      </c>
      <c r="H1392" s="2" t="s">
        <v>841</v>
      </c>
      <c r="I1392" s="2" t="s">
        <v>344</v>
      </c>
      <c r="J1392" s="2" t="s">
        <v>11646</v>
      </c>
      <c r="K1392" s="2" t="s">
        <v>507</v>
      </c>
      <c r="L1392" s="2" t="n">
        <v>0</v>
      </c>
      <c r="M1392" s="2" t="n">
        <v>0.88</v>
      </c>
    </row>
    <row r="1393" customFormat="false" ht="15" hidden="false" customHeight="false" outlineLevel="0" collapsed="false">
      <c r="A1393" s="2" t="n">
        <v>1391</v>
      </c>
      <c r="B1393" s="2" t="s">
        <v>6084</v>
      </c>
      <c r="C1393" s="2" t="n">
        <v>3</v>
      </c>
      <c r="D1393" s="2" t="n">
        <v>3</v>
      </c>
      <c r="E1393" s="2" t="s">
        <v>6124</v>
      </c>
      <c r="F1393" s="2" t="s">
        <v>64</v>
      </c>
      <c r="G1393" s="2" t="s">
        <v>6125</v>
      </c>
      <c r="H1393" s="2" t="s">
        <v>6126</v>
      </c>
      <c r="I1393" s="2" t="s">
        <v>538</v>
      </c>
      <c r="J1393" s="2" t="s">
        <v>11680</v>
      </c>
      <c r="K1393" s="2" t="s">
        <v>507</v>
      </c>
      <c r="L1393" s="2" t="n">
        <v>0.11</v>
      </c>
      <c r="M1393" s="2" t="n">
        <v>0.5</v>
      </c>
    </row>
    <row r="1394" customFormat="false" ht="15" hidden="false" customHeight="false" outlineLevel="0" collapsed="false">
      <c r="A1394" s="2" t="n">
        <v>1392</v>
      </c>
      <c r="B1394" s="2" t="s">
        <v>6084</v>
      </c>
      <c r="C1394" s="2" t="n">
        <v>1</v>
      </c>
      <c r="D1394" s="2" t="n">
        <v>1</v>
      </c>
      <c r="E1394" s="2" t="s">
        <v>6136</v>
      </c>
      <c r="F1394" s="2" t="s">
        <v>2239</v>
      </c>
      <c r="G1394" s="2" t="s">
        <v>4199</v>
      </c>
      <c r="H1394" s="2" t="s">
        <v>158</v>
      </c>
      <c r="I1394" s="2" t="s">
        <v>1768</v>
      </c>
      <c r="J1394" s="2" t="s">
        <v>11681</v>
      </c>
      <c r="K1394" s="2" t="s">
        <v>160</v>
      </c>
      <c r="L1394" s="2" t="n">
        <v>0.33</v>
      </c>
      <c r="M1394" s="2" t="n">
        <v>0.86</v>
      </c>
    </row>
    <row r="1395" customFormat="false" ht="15" hidden="false" customHeight="false" outlineLevel="0" collapsed="false">
      <c r="A1395" s="2" t="n">
        <v>1393</v>
      </c>
      <c r="B1395" s="2" t="s">
        <v>6084</v>
      </c>
      <c r="C1395" s="2" t="n">
        <v>1</v>
      </c>
      <c r="D1395" s="2" t="n">
        <v>1</v>
      </c>
      <c r="E1395" s="2" t="s">
        <v>6140</v>
      </c>
      <c r="F1395" s="2" t="s">
        <v>6141</v>
      </c>
      <c r="G1395" s="2" t="s">
        <v>4205</v>
      </c>
      <c r="H1395" s="2" t="s">
        <v>245</v>
      </c>
      <c r="I1395" s="2" t="s">
        <v>4206</v>
      </c>
      <c r="J1395" s="2" t="s">
        <v>11682</v>
      </c>
      <c r="K1395" s="2" t="s">
        <v>507</v>
      </c>
      <c r="L1395" s="2" t="n">
        <v>0</v>
      </c>
      <c r="M1395" s="2" t="n">
        <v>1</v>
      </c>
    </row>
    <row r="1396" customFormat="false" ht="15" hidden="false" customHeight="false" outlineLevel="0" collapsed="false">
      <c r="A1396" s="2" t="n">
        <v>1394</v>
      </c>
      <c r="B1396" s="2" t="s">
        <v>6084</v>
      </c>
      <c r="C1396" s="2" t="n">
        <v>0</v>
      </c>
      <c r="D1396" s="2" t="n">
        <v>0</v>
      </c>
      <c r="E1396" s="2" t="s">
        <v>11683</v>
      </c>
      <c r="F1396" s="2" t="s">
        <v>10100</v>
      </c>
      <c r="G1396" s="2" t="s">
        <v>4211</v>
      </c>
      <c r="H1396" s="2" t="s">
        <v>189</v>
      </c>
      <c r="I1396" s="2" t="s">
        <v>1634</v>
      </c>
      <c r="J1396" s="2" t="s">
        <v>11684</v>
      </c>
      <c r="K1396" s="2" t="s">
        <v>507</v>
      </c>
      <c r="L1396" s="2" t="n">
        <v>0.14</v>
      </c>
      <c r="M1396" s="2" t="n">
        <v>0.56</v>
      </c>
    </row>
    <row r="1397" customFormat="false" ht="15" hidden="false" customHeight="false" outlineLevel="0" collapsed="false">
      <c r="A1397" s="2" t="n">
        <v>1395</v>
      </c>
      <c r="B1397" s="2" t="s">
        <v>6084</v>
      </c>
      <c r="C1397" s="2" t="n">
        <v>0</v>
      </c>
      <c r="D1397" s="2" t="n">
        <v>0</v>
      </c>
      <c r="E1397" s="2" t="s">
        <v>11685</v>
      </c>
      <c r="F1397" s="2" t="s">
        <v>95</v>
      </c>
      <c r="G1397" s="2" t="s">
        <v>4221</v>
      </c>
      <c r="H1397" s="2" t="s">
        <v>4222</v>
      </c>
      <c r="I1397" s="2" t="s">
        <v>3169</v>
      </c>
      <c r="J1397" s="2" t="s">
        <v>11686</v>
      </c>
      <c r="K1397" s="2" t="s">
        <v>507</v>
      </c>
      <c r="L1397" s="2" t="n">
        <v>0.09</v>
      </c>
      <c r="M1397" s="2" t="n">
        <v>0.71</v>
      </c>
    </row>
    <row r="1398" customFormat="false" ht="15" hidden="false" customHeight="false" outlineLevel="0" collapsed="false">
      <c r="A1398" s="2" t="n">
        <v>1396</v>
      </c>
      <c r="B1398" s="2" t="s">
        <v>6084</v>
      </c>
      <c r="C1398" s="2" t="n">
        <v>1</v>
      </c>
      <c r="D1398" s="2" t="n">
        <v>0</v>
      </c>
      <c r="E1398" s="2" t="s">
        <v>6145</v>
      </c>
      <c r="F1398" s="2" t="s">
        <v>1498</v>
      </c>
      <c r="G1398" s="2" t="s">
        <v>6146</v>
      </c>
      <c r="H1398" s="2" t="s">
        <v>245</v>
      </c>
      <c r="I1398" s="2" t="s">
        <v>2162</v>
      </c>
      <c r="J1398" s="2" t="s">
        <v>11687</v>
      </c>
      <c r="K1398" s="2" t="s">
        <v>507</v>
      </c>
      <c r="L1398" s="2" t="n">
        <v>0.1</v>
      </c>
      <c r="M1398" s="2" t="n">
        <v>0.64</v>
      </c>
    </row>
    <row r="1399" customFormat="false" ht="15" hidden="false" customHeight="false" outlineLevel="0" collapsed="false">
      <c r="A1399" s="2" t="n">
        <v>1397</v>
      </c>
      <c r="B1399" s="2" t="s">
        <v>6084</v>
      </c>
      <c r="C1399" s="2" t="n">
        <v>1</v>
      </c>
      <c r="D1399" s="2" t="n">
        <v>0</v>
      </c>
      <c r="E1399" s="2" t="s">
        <v>6152</v>
      </c>
      <c r="F1399" s="2" t="s">
        <v>6153</v>
      </c>
      <c r="G1399" s="2" t="s">
        <v>4239</v>
      </c>
      <c r="H1399" s="2" t="s">
        <v>1170</v>
      </c>
      <c r="I1399" s="2" t="s">
        <v>246</v>
      </c>
      <c r="J1399" s="2" t="s">
        <v>11688</v>
      </c>
      <c r="K1399" s="2" t="s">
        <v>507</v>
      </c>
      <c r="L1399" s="2" t="n">
        <v>0</v>
      </c>
      <c r="M1399" s="2" t="n">
        <v>0.83</v>
      </c>
    </row>
    <row r="1400" customFormat="false" ht="15" hidden="false" customHeight="false" outlineLevel="0" collapsed="false">
      <c r="A1400" s="2" t="n">
        <v>1398</v>
      </c>
      <c r="B1400" s="2" t="s">
        <v>6084</v>
      </c>
      <c r="C1400" s="2" t="n">
        <v>1</v>
      </c>
      <c r="D1400" s="2" t="n">
        <v>0</v>
      </c>
      <c r="E1400" s="2" t="s">
        <v>6158</v>
      </c>
      <c r="F1400" s="2" t="s">
        <v>6159</v>
      </c>
      <c r="G1400" s="2" t="s">
        <v>4244</v>
      </c>
      <c r="H1400" s="2" t="s">
        <v>189</v>
      </c>
      <c r="I1400" s="2" t="s">
        <v>1810</v>
      </c>
      <c r="J1400" s="2" t="s">
        <v>11689</v>
      </c>
      <c r="K1400" s="2" t="s">
        <v>507</v>
      </c>
      <c r="L1400" s="2" t="n">
        <v>0</v>
      </c>
      <c r="M1400" s="2" t="n">
        <v>0.5</v>
      </c>
    </row>
    <row r="1401" customFormat="false" ht="15" hidden="false" customHeight="false" outlineLevel="0" collapsed="false">
      <c r="A1401" s="2" t="n">
        <v>1399</v>
      </c>
      <c r="B1401" s="2" t="s">
        <v>6084</v>
      </c>
      <c r="C1401" s="2" t="n">
        <v>0</v>
      </c>
      <c r="D1401" s="2" t="n">
        <v>0</v>
      </c>
      <c r="E1401" s="2" t="s">
        <v>11690</v>
      </c>
      <c r="F1401" s="2" t="s">
        <v>3313</v>
      </c>
      <c r="G1401" s="2" t="s">
        <v>4251</v>
      </c>
      <c r="H1401" s="2" t="s">
        <v>1170</v>
      </c>
      <c r="I1401" s="2" t="s">
        <v>4096</v>
      </c>
      <c r="J1401" s="2" t="s">
        <v>11691</v>
      </c>
      <c r="K1401" s="2" t="s">
        <v>507</v>
      </c>
      <c r="L1401" s="2" t="n">
        <v>0</v>
      </c>
      <c r="M1401" s="2" t="n">
        <v>1</v>
      </c>
    </row>
    <row r="1402" customFormat="false" ht="15" hidden="false" customHeight="false" outlineLevel="0" collapsed="false">
      <c r="A1402" s="2" t="n">
        <v>1400</v>
      </c>
      <c r="B1402" s="2" t="s">
        <v>6084</v>
      </c>
      <c r="C1402" s="2" t="n">
        <v>2</v>
      </c>
      <c r="D1402" s="2" t="n">
        <v>0</v>
      </c>
      <c r="E1402" s="2" t="s">
        <v>6164</v>
      </c>
      <c r="F1402" s="2" t="s">
        <v>64</v>
      </c>
      <c r="G1402" s="2" t="s">
        <v>4256</v>
      </c>
      <c r="H1402" s="2" t="s">
        <v>1500</v>
      </c>
      <c r="I1402" s="2" t="s">
        <v>3469</v>
      </c>
      <c r="J1402" s="2" t="s">
        <v>11692</v>
      </c>
      <c r="K1402" s="2" t="s">
        <v>507</v>
      </c>
      <c r="L1402" s="2" t="n">
        <v>0</v>
      </c>
      <c r="M1402" s="2" t="n">
        <v>1</v>
      </c>
    </row>
    <row r="1403" customFormat="false" ht="15" hidden="false" customHeight="false" outlineLevel="0" collapsed="false">
      <c r="A1403" s="2" t="n">
        <v>1401</v>
      </c>
      <c r="B1403" s="2" t="s">
        <v>6084</v>
      </c>
      <c r="C1403" s="2" t="n">
        <v>3</v>
      </c>
      <c r="D1403" s="2" t="n">
        <v>0</v>
      </c>
      <c r="E1403" s="2" t="s">
        <v>6171</v>
      </c>
      <c r="F1403" s="2" t="s">
        <v>418</v>
      </c>
      <c r="G1403" s="2" t="s">
        <v>6172</v>
      </c>
      <c r="H1403" s="2" t="s">
        <v>745</v>
      </c>
      <c r="I1403" s="2" t="s">
        <v>3787</v>
      </c>
      <c r="J1403" s="2" t="s">
        <v>11693</v>
      </c>
      <c r="K1403" s="2" t="s">
        <v>507</v>
      </c>
      <c r="L1403" s="2" t="n">
        <v>0</v>
      </c>
      <c r="M1403" s="2" t="n">
        <v>0.83</v>
      </c>
    </row>
    <row r="1404" customFormat="false" ht="15" hidden="false" customHeight="false" outlineLevel="0" collapsed="false">
      <c r="A1404" s="2" t="n">
        <v>1402</v>
      </c>
      <c r="B1404" s="2" t="s">
        <v>6084</v>
      </c>
      <c r="C1404" s="2" t="n">
        <v>1</v>
      </c>
      <c r="D1404" s="2" t="n">
        <v>0</v>
      </c>
      <c r="E1404" s="2" t="s">
        <v>6183</v>
      </c>
      <c r="F1404" s="2" t="s">
        <v>1135</v>
      </c>
      <c r="G1404" s="2" t="s">
        <v>4265</v>
      </c>
      <c r="H1404" s="2" t="s">
        <v>97</v>
      </c>
      <c r="I1404" s="2" t="s">
        <v>1266</v>
      </c>
      <c r="J1404" s="2" t="s">
        <v>11694</v>
      </c>
      <c r="K1404" s="2" t="s">
        <v>507</v>
      </c>
      <c r="L1404" s="2" t="n">
        <v>0.11</v>
      </c>
      <c r="M1404" s="2" t="n">
        <v>0.56</v>
      </c>
    </row>
    <row r="1405" customFormat="false" ht="15" hidden="false" customHeight="false" outlineLevel="0" collapsed="false">
      <c r="A1405" s="2" t="n">
        <v>1403</v>
      </c>
      <c r="B1405" s="2" t="s">
        <v>6084</v>
      </c>
      <c r="C1405" s="2" t="n">
        <v>2</v>
      </c>
      <c r="D1405" s="2" t="n">
        <v>0</v>
      </c>
      <c r="E1405" s="2" t="s">
        <v>6187</v>
      </c>
      <c r="F1405" s="2" t="s">
        <v>64</v>
      </c>
      <c r="G1405" s="2" t="s">
        <v>6188</v>
      </c>
      <c r="H1405" s="2" t="s">
        <v>494</v>
      </c>
      <c r="I1405" s="2" t="s">
        <v>2037</v>
      </c>
      <c r="J1405" s="2" t="s">
        <v>11695</v>
      </c>
      <c r="K1405" s="2" t="s">
        <v>160</v>
      </c>
      <c r="L1405" s="2" t="n">
        <v>0.4</v>
      </c>
      <c r="M1405" s="2" t="n">
        <v>0.44</v>
      </c>
    </row>
    <row r="1406" customFormat="false" ht="15" hidden="false" customHeight="false" outlineLevel="0" collapsed="false">
      <c r="A1406" s="2" t="n">
        <v>1404</v>
      </c>
      <c r="B1406" s="2" t="s">
        <v>6084</v>
      </c>
      <c r="C1406" s="2" t="n">
        <v>1</v>
      </c>
      <c r="D1406" s="2" t="n">
        <v>0</v>
      </c>
      <c r="E1406" s="2" t="s">
        <v>6195</v>
      </c>
      <c r="F1406" s="2" t="s">
        <v>64</v>
      </c>
      <c r="G1406" s="2" t="s">
        <v>4274</v>
      </c>
      <c r="H1406" s="2" t="s">
        <v>4275</v>
      </c>
      <c r="I1406" s="2" t="s">
        <v>4276</v>
      </c>
      <c r="J1406" s="2" t="s">
        <v>11696</v>
      </c>
      <c r="K1406" s="2" t="s">
        <v>507</v>
      </c>
      <c r="L1406" s="2" t="n">
        <v>0</v>
      </c>
      <c r="M1406" s="2" t="n">
        <v>0.8</v>
      </c>
    </row>
    <row r="1407" customFormat="false" ht="15" hidden="false" customHeight="false" outlineLevel="0" collapsed="false">
      <c r="A1407" s="2" t="n">
        <v>1405</v>
      </c>
      <c r="B1407" s="2" t="s">
        <v>6084</v>
      </c>
      <c r="C1407" s="2" t="n">
        <v>1</v>
      </c>
      <c r="D1407" s="2" t="n">
        <v>1</v>
      </c>
      <c r="E1407" s="2" t="s">
        <v>6199</v>
      </c>
      <c r="F1407" s="2" t="s">
        <v>64</v>
      </c>
      <c r="G1407" s="2" t="s">
        <v>4281</v>
      </c>
      <c r="H1407" s="2" t="s">
        <v>158</v>
      </c>
      <c r="I1407" s="2" t="s">
        <v>1700</v>
      </c>
      <c r="J1407" s="2" t="s">
        <v>11697</v>
      </c>
      <c r="K1407" s="2" t="s">
        <v>507</v>
      </c>
      <c r="L1407" s="2" t="n">
        <v>0.22</v>
      </c>
      <c r="M1407" s="2" t="n">
        <v>0.78</v>
      </c>
    </row>
    <row r="1408" customFormat="false" ht="15" hidden="false" customHeight="false" outlineLevel="0" collapsed="false">
      <c r="A1408" s="2" t="n">
        <v>1406</v>
      </c>
      <c r="B1408" s="2" t="s">
        <v>6084</v>
      </c>
      <c r="C1408" s="2" t="n">
        <v>1</v>
      </c>
      <c r="D1408" s="2" t="n">
        <v>0</v>
      </c>
      <c r="E1408" s="2" t="s">
        <v>6202</v>
      </c>
      <c r="F1408" s="2" t="s">
        <v>2239</v>
      </c>
      <c r="G1408" s="2" t="s">
        <v>4288</v>
      </c>
      <c r="H1408" s="2" t="s">
        <v>4289</v>
      </c>
      <c r="I1408" s="2" t="s">
        <v>4290</v>
      </c>
      <c r="J1408" s="2" t="s">
        <v>11698</v>
      </c>
      <c r="K1408" s="2" t="s">
        <v>507</v>
      </c>
      <c r="L1408" s="2" t="n">
        <v>0</v>
      </c>
      <c r="M1408" s="2" t="n">
        <v>0.89</v>
      </c>
    </row>
    <row r="1409" customFormat="false" ht="15" hidden="false" customHeight="false" outlineLevel="0" collapsed="false">
      <c r="A1409" s="2" t="n">
        <v>1407</v>
      </c>
      <c r="B1409" s="2" t="s">
        <v>6084</v>
      </c>
      <c r="C1409" s="2" t="n">
        <v>3</v>
      </c>
      <c r="D1409" s="2" t="n">
        <v>0</v>
      </c>
      <c r="E1409" s="2" t="s">
        <v>6207</v>
      </c>
      <c r="F1409" s="2" t="s">
        <v>112</v>
      </c>
      <c r="G1409" s="2" t="s">
        <v>4298</v>
      </c>
      <c r="H1409" s="2" t="s">
        <v>4299</v>
      </c>
      <c r="I1409" s="2" t="s">
        <v>604</v>
      </c>
      <c r="J1409" s="2" t="s">
        <v>11699</v>
      </c>
      <c r="K1409" s="2" t="s">
        <v>507</v>
      </c>
      <c r="L1409" s="2" t="n">
        <v>0</v>
      </c>
      <c r="M1409" s="2" t="n">
        <v>0.5</v>
      </c>
    </row>
    <row r="1410" customFormat="false" ht="15" hidden="false" customHeight="false" outlineLevel="0" collapsed="false">
      <c r="A1410" s="2" t="n">
        <v>1408</v>
      </c>
      <c r="B1410" s="2" t="s">
        <v>6084</v>
      </c>
      <c r="C1410" s="2" t="n">
        <v>0</v>
      </c>
      <c r="D1410" s="2" t="n">
        <v>0</v>
      </c>
      <c r="E1410" s="2" t="s">
        <v>11700</v>
      </c>
      <c r="F1410" s="2" t="s">
        <v>2924</v>
      </c>
      <c r="G1410" s="2" t="s">
        <v>4305</v>
      </c>
      <c r="H1410" s="2" t="s">
        <v>1500</v>
      </c>
      <c r="I1410" s="2" t="s">
        <v>1055</v>
      </c>
      <c r="J1410" s="2" t="s">
        <v>11701</v>
      </c>
      <c r="K1410" s="2" t="s">
        <v>507</v>
      </c>
      <c r="L1410" s="2" t="n">
        <v>0</v>
      </c>
      <c r="M1410" s="2" t="n">
        <v>0.62</v>
      </c>
    </row>
    <row r="1411" customFormat="false" ht="15" hidden="false" customHeight="false" outlineLevel="0" collapsed="false">
      <c r="A1411" s="2" t="n">
        <v>1409</v>
      </c>
      <c r="B1411" s="2" t="s">
        <v>6084</v>
      </c>
      <c r="C1411" s="2" t="n">
        <v>0</v>
      </c>
      <c r="D1411" s="2" t="n">
        <v>0</v>
      </c>
      <c r="E1411" s="2" t="s">
        <v>11702</v>
      </c>
      <c r="F1411" s="2" t="s">
        <v>2239</v>
      </c>
      <c r="G1411" s="2" t="s">
        <v>10450</v>
      </c>
      <c r="H1411" s="2" t="s">
        <v>3315</v>
      </c>
      <c r="I1411" s="2" t="s">
        <v>3469</v>
      </c>
      <c r="J1411" s="2" t="s">
        <v>11703</v>
      </c>
      <c r="K1411" s="2" t="s">
        <v>507</v>
      </c>
      <c r="L1411" s="2" t="n">
        <v>0</v>
      </c>
      <c r="M1411" s="2" t="n">
        <v>0.5</v>
      </c>
    </row>
    <row r="1412" customFormat="false" ht="15" hidden="false" customHeight="false" outlineLevel="0" collapsed="false">
      <c r="A1412" s="2" t="n">
        <v>1410</v>
      </c>
      <c r="B1412" s="2" t="s">
        <v>6215</v>
      </c>
      <c r="C1412" s="2" t="n">
        <v>0</v>
      </c>
      <c r="D1412" s="2" t="n">
        <v>0</v>
      </c>
      <c r="E1412" s="2" t="s">
        <v>11704</v>
      </c>
      <c r="F1412" s="2" t="s">
        <v>11705</v>
      </c>
      <c r="G1412" s="2" t="s">
        <v>10453</v>
      </c>
      <c r="H1412" s="2" t="s">
        <v>745</v>
      </c>
      <c r="I1412" s="2" t="s">
        <v>3919</v>
      </c>
      <c r="J1412" s="2" t="s">
        <v>11706</v>
      </c>
      <c r="K1412" s="2" t="s">
        <v>507</v>
      </c>
      <c r="L1412" s="2" t="n">
        <v>0.1</v>
      </c>
      <c r="M1412" s="2" t="n">
        <v>0.56</v>
      </c>
    </row>
    <row r="1413" customFormat="false" ht="15" hidden="false" customHeight="false" outlineLevel="0" collapsed="false">
      <c r="A1413" s="2" t="n">
        <v>1411</v>
      </c>
      <c r="B1413" s="2" t="s">
        <v>6215</v>
      </c>
      <c r="C1413" s="2" t="n">
        <v>0</v>
      </c>
      <c r="D1413" s="2" t="n">
        <v>0</v>
      </c>
      <c r="E1413" s="2" t="s">
        <v>11707</v>
      </c>
      <c r="F1413" s="2" t="s">
        <v>2212</v>
      </c>
      <c r="G1413" s="2" t="s">
        <v>10456</v>
      </c>
      <c r="H1413" s="2" t="s">
        <v>6572</v>
      </c>
      <c r="I1413" s="2" t="s">
        <v>686</v>
      </c>
      <c r="J1413" s="2" t="s">
        <v>11708</v>
      </c>
      <c r="K1413" s="2" t="s">
        <v>507</v>
      </c>
      <c r="L1413" s="2" t="n">
        <v>0.1</v>
      </c>
      <c r="M1413" s="2" t="n">
        <v>0.7</v>
      </c>
    </row>
    <row r="1414" customFormat="false" ht="15" hidden="false" customHeight="false" outlineLevel="0" collapsed="false">
      <c r="A1414" s="2" t="n">
        <v>1412</v>
      </c>
      <c r="B1414" s="2" t="s">
        <v>6215</v>
      </c>
      <c r="C1414" s="2" t="n">
        <v>0</v>
      </c>
      <c r="D1414" s="2" t="n">
        <v>0</v>
      </c>
      <c r="E1414" s="2" t="s">
        <v>11709</v>
      </c>
      <c r="F1414" s="2" t="s">
        <v>694</v>
      </c>
      <c r="G1414" s="2" t="s">
        <v>10459</v>
      </c>
      <c r="H1414" s="2" t="s">
        <v>745</v>
      </c>
      <c r="I1414" s="2" t="s">
        <v>686</v>
      </c>
      <c r="J1414" s="2" t="s">
        <v>11710</v>
      </c>
      <c r="K1414" s="2" t="s">
        <v>507</v>
      </c>
      <c r="L1414" s="2" t="n">
        <v>0</v>
      </c>
      <c r="M1414" s="2" t="n">
        <v>0.86</v>
      </c>
    </row>
    <row r="1415" customFormat="false" ht="15" hidden="false" customHeight="false" outlineLevel="0" collapsed="false">
      <c r="A1415" s="2" t="n">
        <v>1413</v>
      </c>
      <c r="B1415" s="2" t="s">
        <v>6215</v>
      </c>
      <c r="C1415" s="2" t="n">
        <v>1</v>
      </c>
      <c r="D1415" s="2" t="n">
        <v>1</v>
      </c>
      <c r="E1415" s="2" t="s">
        <v>6222</v>
      </c>
      <c r="F1415" s="2" t="s">
        <v>3313</v>
      </c>
      <c r="G1415" s="2" t="s">
        <v>6223</v>
      </c>
      <c r="H1415" s="2" t="s">
        <v>696</v>
      </c>
      <c r="I1415" s="2" t="s">
        <v>3469</v>
      </c>
      <c r="J1415" s="2" t="s">
        <v>11711</v>
      </c>
      <c r="K1415" s="2" t="s">
        <v>507</v>
      </c>
      <c r="L1415" s="2" t="n">
        <v>0</v>
      </c>
      <c r="M1415" s="2" t="n">
        <v>1</v>
      </c>
    </row>
    <row r="1416" customFormat="false" ht="15" hidden="false" customHeight="false" outlineLevel="0" collapsed="false">
      <c r="A1416" s="2" t="n">
        <v>1414</v>
      </c>
      <c r="B1416" s="2" t="s">
        <v>6215</v>
      </c>
      <c r="C1416" s="2" t="n">
        <v>0</v>
      </c>
      <c r="D1416" s="2" t="n">
        <v>0</v>
      </c>
      <c r="E1416" s="2" t="s">
        <v>11712</v>
      </c>
      <c r="F1416" s="2" t="s">
        <v>2239</v>
      </c>
      <c r="G1416" s="2" t="s">
        <v>10464</v>
      </c>
      <c r="H1416" s="2" t="s">
        <v>812</v>
      </c>
      <c r="I1416" s="2" t="s">
        <v>190</v>
      </c>
      <c r="J1416" s="2" t="s">
        <v>11713</v>
      </c>
      <c r="K1416" s="2" t="s">
        <v>507</v>
      </c>
      <c r="L1416" s="2" t="n">
        <v>0</v>
      </c>
      <c r="M1416" s="2" t="n">
        <v>0.62</v>
      </c>
    </row>
    <row r="1417" customFormat="false" ht="15" hidden="false" customHeight="false" outlineLevel="0" collapsed="false">
      <c r="A1417" s="2" t="n">
        <v>1415</v>
      </c>
      <c r="B1417" s="2" t="s">
        <v>6215</v>
      </c>
      <c r="C1417" s="2" t="n">
        <v>1</v>
      </c>
      <c r="D1417" s="2" t="n">
        <v>1</v>
      </c>
      <c r="E1417" s="2" t="s">
        <v>6225</v>
      </c>
      <c r="F1417" s="2" t="s">
        <v>6226</v>
      </c>
      <c r="G1417" s="2" t="s">
        <v>4312</v>
      </c>
      <c r="H1417" s="2" t="s">
        <v>4313</v>
      </c>
      <c r="I1417" s="2" t="s">
        <v>4314</v>
      </c>
      <c r="J1417" s="2" t="s">
        <v>11714</v>
      </c>
      <c r="K1417" s="2" t="s">
        <v>507</v>
      </c>
      <c r="L1417" s="2" t="n">
        <v>0.12</v>
      </c>
      <c r="M1417" s="2" t="n">
        <v>0.92</v>
      </c>
    </row>
    <row r="1418" customFormat="false" ht="15" hidden="false" customHeight="false" outlineLevel="0" collapsed="false">
      <c r="A1418" s="2" t="n">
        <v>1416</v>
      </c>
      <c r="B1418" s="2" t="s">
        <v>6215</v>
      </c>
      <c r="C1418" s="2" t="n">
        <v>0</v>
      </c>
      <c r="D1418" s="2" t="n">
        <v>0</v>
      </c>
      <c r="E1418" s="2" t="s">
        <v>11715</v>
      </c>
      <c r="F1418" s="2" t="s">
        <v>694</v>
      </c>
      <c r="G1418" s="2" t="s">
        <v>4327</v>
      </c>
      <c r="H1418" s="2" t="s">
        <v>4313</v>
      </c>
      <c r="I1418" s="2" t="s">
        <v>3506</v>
      </c>
      <c r="J1418" s="2" t="s">
        <v>11716</v>
      </c>
      <c r="K1418" s="2" t="s">
        <v>507</v>
      </c>
      <c r="L1418" s="2" t="n">
        <v>0.09</v>
      </c>
      <c r="M1418" s="2" t="n">
        <v>0.62</v>
      </c>
    </row>
    <row r="1419" customFormat="false" ht="15" hidden="false" customHeight="false" outlineLevel="0" collapsed="false">
      <c r="A1419" s="2" t="n">
        <v>1417</v>
      </c>
      <c r="B1419" s="2" t="s">
        <v>6215</v>
      </c>
      <c r="C1419" s="2" t="n">
        <v>0</v>
      </c>
      <c r="D1419" s="2" t="n">
        <v>0</v>
      </c>
      <c r="E1419" s="2" t="s">
        <v>11717</v>
      </c>
      <c r="F1419" s="2" t="s">
        <v>4798</v>
      </c>
      <c r="G1419" s="2" t="s">
        <v>4331</v>
      </c>
      <c r="H1419" s="2" t="s">
        <v>841</v>
      </c>
      <c r="I1419" s="2" t="s">
        <v>1648</v>
      </c>
      <c r="J1419" s="2" t="s">
        <v>11718</v>
      </c>
      <c r="K1419" s="2" t="s">
        <v>507</v>
      </c>
      <c r="L1419" s="2" t="n">
        <v>0</v>
      </c>
      <c r="M1419" s="2" t="n">
        <v>0.91</v>
      </c>
    </row>
    <row r="1420" customFormat="false" ht="15" hidden="false" customHeight="false" outlineLevel="0" collapsed="false">
      <c r="A1420" s="2" t="n">
        <v>1418</v>
      </c>
      <c r="B1420" s="2" t="s">
        <v>6215</v>
      </c>
      <c r="C1420" s="2" t="n">
        <v>1</v>
      </c>
      <c r="D1420" s="2" t="n">
        <v>1</v>
      </c>
      <c r="E1420" s="2" t="s">
        <v>6228</v>
      </c>
      <c r="F1420" s="2" t="s">
        <v>6229</v>
      </c>
      <c r="G1420" s="2" t="s">
        <v>6230</v>
      </c>
      <c r="H1420" s="2" t="s">
        <v>4339</v>
      </c>
      <c r="I1420" s="2" t="s">
        <v>1147</v>
      </c>
      <c r="J1420" s="2" t="s">
        <v>11719</v>
      </c>
      <c r="K1420" s="2" t="s">
        <v>507</v>
      </c>
      <c r="L1420" s="2" t="n">
        <v>0.09</v>
      </c>
      <c r="M1420" s="2" t="n">
        <v>0.33</v>
      </c>
    </row>
    <row r="1421" customFormat="false" ht="15" hidden="false" customHeight="false" outlineLevel="0" collapsed="false">
      <c r="A1421" s="2" t="n">
        <v>1419</v>
      </c>
      <c r="B1421" s="2" t="s">
        <v>6215</v>
      </c>
      <c r="C1421" s="2" t="n">
        <v>0</v>
      </c>
      <c r="D1421" s="2" t="n">
        <v>0</v>
      </c>
      <c r="E1421" s="2" t="s">
        <v>11720</v>
      </c>
      <c r="F1421" s="2" t="s">
        <v>1498</v>
      </c>
      <c r="G1421" s="2" t="s">
        <v>4340</v>
      </c>
      <c r="H1421" s="2" t="s">
        <v>4341</v>
      </c>
      <c r="I1421" s="2" t="s">
        <v>1932</v>
      </c>
      <c r="J1421" s="2" t="s">
        <v>11721</v>
      </c>
      <c r="K1421" s="2" t="s">
        <v>507</v>
      </c>
      <c r="L1421" s="2" t="n">
        <v>0</v>
      </c>
      <c r="M1421" s="2" t="n">
        <v>0.5</v>
      </c>
    </row>
    <row r="1422" customFormat="false" ht="15" hidden="false" customHeight="false" outlineLevel="0" collapsed="false">
      <c r="A1422" s="2" t="n">
        <v>1420</v>
      </c>
      <c r="B1422" s="2" t="s">
        <v>6215</v>
      </c>
      <c r="C1422" s="2" t="n">
        <v>0</v>
      </c>
      <c r="D1422" s="2" t="n">
        <v>0</v>
      </c>
      <c r="E1422" s="2" t="s">
        <v>11722</v>
      </c>
      <c r="F1422" s="2" t="s">
        <v>644</v>
      </c>
      <c r="G1422" s="2" t="s">
        <v>10473</v>
      </c>
      <c r="H1422" s="2" t="s">
        <v>4347</v>
      </c>
      <c r="I1422" s="2" t="s">
        <v>1147</v>
      </c>
      <c r="J1422" s="2" t="s">
        <v>11723</v>
      </c>
      <c r="K1422" s="2" t="s">
        <v>507</v>
      </c>
      <c r="L1422" s="2" t="n">
        <v>0.12</v>
      </c>
      <c r="M1422" s="2" t="n">
        <v>0.67</v>
      </c>
    </row>
    <row r="1423" customFormat="false" ht="15" hidden="false" customHeight="false" outlineLevel="0" collapsed="false">
      <c r="A1423" s="2" t="n">
        <v>1421</v>
      </c>
      <c r="B1423" s="2" t="s">
        <v>6215</v>
      </c>
      <c r="C1423" s="2" t="n">
        <v>0</v>
      </c>
      <c r="D1423" s="2" t="n">
        <v>0</v>
      </c>
      <c r="E1423" s="2" t="s">
        <v>11724</v>
      </c>
      <c r="F1423" s="2" t="s">
        <v>2239</v>
      </c>
      <c r="G1423" s="2" t="s">
        <v>4348</v>
      </c>
      <c r="H1423" s="2" t="s">
        <v>745</v>
      </c>
      <c r="I1423" s="2" t="s">
        <v>1188</v>
      </c>
      <c r="J1423" s="2" t="s">
        <v>11725</v>
      </c>
      <c r="K1423" s="2" t="s">
        <v>507</v>
      </c>
      <c r="L1423" s="2" t="n">
        <v>0.11</v>
      </c>
      <c r="M1423" s="2" t="n">
        <v>1</v>
      </c>
    </row>
    <row r="1424" customFormat="false" ht="15" hidden="false" customHeight="false" outlineLevel="0" collapsed="false">
      <c r="A1424" s="2" t="n">
        <v>1422</v>
      </c>
      <c r="B1424" s="2" t="s">
        <v>6215</v>
      </c>
      <c r="C1424" s="2" t="n">
        <v>0</v>
      </c>
      <c r="D1424" s="2" t="n">
        <v>0</v>
      </c>
      <c r="E1424" s="2" t="s">
        <v>11726</v>
      </c>
      <c r="F1424" s="2" t="s">
        <v>694</v>
      </c>
      <c r="G1424" s="2" t="s">
        <v>4358</v>
      </c>
      <c r="H1424" s="2" t="s">
        <v>4359</v>
      </c>
      <c r="I1424" s="2" t="s">
        <v>3398</v>
      </c>
      <c r="J1424" s="2" t="s">
        <v>11727</v>
      </c>
      <c r="K1424" s="2" t="s">
        <v>507</v>
      </c>
      <c r="L1424" s="2" t="n">
        <v>0.1</v>
      </c>
      <c r="M1424" s="2" t="n">
        <v>0.56</v>
      </c>
    </row>
    <row r="1425" customFormat="false" ht="15" hidden="false" customHeight="false" outlineLevel="0" collapsed="false">
      <c r="A1425" s="2" t="n">
        <v>1423</v>
      </c>
      <c r="B1425" s="2" t="s">
        <v>6215</v>
      </c>
      <c r="C1425" s="2" t="n">
        <v>0</v>
      </c>
      <c r="D1425" s="2" t="n">
        <v>0</v>
      </c>
      <c r="E1425" s="2" t="s">
        <v>11728</v>
      </c>
      <c r="F1425" s="2" t="s">
        <v>11729</v>
      </c>
      <c r="G1425" s="2" t="s">
        <v>4372</v>
      </c>
      <c r="H1425" s="2" t="s">
        <v>2214</v>
      </c>
      <c r="I1425" s="2" t="s">
        <v>1138</v>
      </c>
      <c r="J1425" s="2" t="s">
        <v>11730</v>
      </c>
      <c r="K1425" s="2" t="s">
        <v>507</v>
      </c>
      <c r="L1425" s="2" t="n">
        <v>0.1</v>
      </c>
      <c r="M1425" s="2" t="n">
        <v>1</v>
      </c>
    </row>
    <row r="1426" customFormat="false" ht="15" hidden="false" customHeight="false" outlineLevel="0" collapsed="false">
      <c r="A1426" s="2" t="n">
        <v>1424</v>
      </c>
      <c r="B1426" s="2" t="s">
        <v>6215</v>
      </c>
      <c r="C1426" s="2" t="n">
        <v>0</v>
      </c>
      <c r="D1426" s="2" t="n">
        <v>0</v>
      </c>
      <c r="E1426" s="2" t="s">
        <v>11731</v>
      </c>
      <c r="F1426" s="2" t="s">
        <v>1144</v>
      </c>
      <c r="G1426" s="2" t="s">
        <v>10479</v>
      </c>
      <c r="H1426" s="2" t="s">
        <v>4275</v>
      </c>
      <c r="I1426" s="2" t="s">
        <v>1614</v>
      </c>
      <c r="J1426" s="2" t="s">
        <v>11732</v>
      </c>
      <c r="K1426" s="2" t="s">
        <v>507</v>
      </c>
      <c r="L1426" s="2" t="n">
        <v>0</v>
      </c>
      <c r="M1426" s="2" t="n">
        <v>0.73</v>
      </c>
    </row>
    <row r="1427" customFormat="false" ht="15" hidden="false" customHeight="false" outlineLevel="0" collapsed="false">
      <c r="A1427" s="2" t="n">
        <v>1425</v>
      </c>
      <c r="B1427" s="2" t="s">
        <v>6215</v>
      </c>
      <c r="C1427" s="2" t="n">
        <v>0</v>
      </c>
      <c r="D1427" s="2" t="n">
        <v>0</v>
      </c>
      <c r="E1427" s="2" t="s">
        <v>11733</v>
      </c>
      <c r="F1427" s="2" t="s">
        <v>694</v>
      </c>
      <c r="G1427" s="2" t="s">
        <v>10482</v>
      </c>
      <c r="H1427" s="2" t="s">
        <v>8735</v>
      </c>
      <c r="I1427" s="2" t="s">
        <v>697</v>
      </c>
      <c r="J1427" s="2" t="s">
        <v>11734</v>
      </c>
      <c r="K1427" s="2" t="s">
        <v>507</v>
      </c>
      <c r="L1427" s="2" t="n">
        <v>0.14</v>
      </c>
      <c r="M1427" s="2" t="n">
        <v>0.71</v>
      </c>
    </row>
    <row r="1428" customFormat="false" ht="15" hidden="false" customHeight="false" outlineLevel="0" collapsed="false">
      <c r="A1428" s="2" t="n">
        <v>1426</v>
      </c>
      <c r="B1428" s="2" t="s">
        <v>6215</v>
      </c>
      <c r="C1428" s="2" t="n">
        <v>0</v>
      </c>
      <c r="D1428" s="2" t="n">
        <v>0</v>
      </c>
      <c r="E1428" s="2" t="s">
        <v>11735</v>
      </c>
      <c r="F1428" s="2" t="s">
        <v>694</v>
      </c>
      <c r="G1428" s="2" t="s">
        <v>4379</v>
      </c>
      <c r="H1428" s="2" t="s">
        <v>4380</v>
      </c>
      <c r="I1428" s="2" t="s">
        <v>2196</v>
      </c>
      <c r="J1428" s="2" t="s">
        <v>11736</v>
      </c>
      <c r="K1428" s="2" t="s">
        <v>507</v>
      </c>
      <c r="L1428" s="2" t="n">
        <v>0</v>
      </c>
      <c r="M1428" s="2" t="n">
        <v>0.91</v>
      </c>
    </row>
    <row r="1429" customFormat="false" ht="15" hidden="false" customHeight="false" outlineLevel="0" collapsed="false">
      <c r="A1429" s="2" t="n">
        <v>1427</v>
      </c>
      <c r="B1429" s="2" t="s">
        <v>6215</v>
      </c>
      <c r="C1429" s="2" t="n">
        <v>1</v>
      </c>
      <c r="D1429" s="2" t="n">
        <v>0</v>
      </c>
      <c r="E1429" s="2" t="s">
        <v>6235</v>
      </c>
      <c r="F1429" s="2" t="s">
        <v>3313</v>
      </c>
      <c r="G1429" s="2" t="s">
        <v>6236</v>
      </c>
      <c r="H1429" s="2" t="s">
        <v>2979</v>
      </c>
      <c r="I1429" s="2" t="s">
        <v>3787</v>
      </c>
      <c r="J1429" s="2" t="s">
        <v>11737</v>
      </c>
      <c r="K1429" s="2" t="s">
        <v>507</v>
      </c>
      <c r="L1429" s="2" t="n">
        <v>0.1</v>
      </c>
      <c r="M1429" s="2" t="n">
        <v>1</v>
      </c>
    </row>
    <row r="1430" customFormat="false" ht="15" hidden="false" customHeight="false" outlineLevel="0" collapsed="false">
      <c r="A1430" s="2" t="n">
        <v>1428</v>
      </c>
      <c r="B1430" s="2" t="s">
        <v>6215</v>
      </c>
      <c r="C1430" s="2" t="n">
        <v>1</v>
      </c>
      <c r="D1430" s="2" t="n">
        <v>0</v>
      </c>
      <c r="E1430" s="2" t="s">
        <v>6238</v>
      </c>
      <c r="F1430" s="2" t="s">
        <v>6239</v>
      </c>
      <c r="G1430" s="2" t="s">
        <v>6240</v>
      </c>
      <c r="H1430" s="2" t="s">
        <v>1043</v>
      </c>
      <c r="I1430" s="2" t="s">
        <v>1147</v>
      </c>
      <c r="J1430" s="2" t="s">
        <v>11738</v>
      </c>
      <c r="K1430" s="2" t="s">
        <v>160</v>
      </c>
      <c r="L1430" s="2" t="n">
        <v>0.38</v>
      </c>
      <c r="M1430" s="2" t="n">
        <v>0.91</v>
      </c>
    </row>
    <row r="1431" customFormat="false" ht="15" hidden="false" customHeight="false" outlineLevel="0" collapsed="false">
      <c r="A1431" s="2" t="n">
        <v>1429</v>
      </c>
      <c r="B1431" s="2" t="s">
        <v>6215</v>
      </c>
      <c r="C1431" s="2" t="n">
        <v>0</v>
      </c>
      <c r="D1431" s="2" t="n">
        <v>0</v>
      </c>
      <c r="E1431" s="2" t="s">
        <v>11739</v>
      </c>
      <c r="F1431" s="2" t="s">
        <v>5699</v>
      </c>
      <c r="G1431" s="2" t="s">
        <v>4385</v>
      </c>
      <c r="H1431" s="2" t="s">
        <v>4386</v>
      </c>
      <c r="I1431" s="2" t="s">
        <v>828</v>
      </c>
      <c r="J1431" s="2" t="s">
        <v>11740</v>
      </c>
      <c r="K1431" s="2" t="s">
        <v>507</v>
      </c>
      <c r="L1431" s="2" t="n">
        <v>0.23</v>
      </c>
      <c r="M1431" s="2" t="n">
        <v>0.91</v>
      </c>
    </row>
    <row r="1432" customFormat="false" ht="15" hidden="false" customHeight="false" outlineLevel="0" collapsed="false">
      <c r="A1432" s="2" t="n">
        <v>1430</v>
      </c>
      <c r="B1432" s="2" t="s">
        <v>6215</v>
      </c>
      <c r="C1432" s="2" t="n">
        <v>0</v>
      </c>
      <c r="D1432" s="2" t="n">
        <v>0</v>
      </c>
      <c r="E1432" s="2" t="s">
        <v>11741</v>
      </c>
      <c r="F1432" s="2" t="s">
        <v>95</v>
      </c>
      <c r="G1432" s="2" t="s">
        <v>4401</v>
      </c>
      <c r="H1432" s="2" t="s">
        <v>745</v>
      </c>
      <c r="I1432" s="2" t="s">
        <v>271</v>
      </c>
      <c r="J1432" s="2" t="s">
        <v>11742</v>
      </c>
      <c r="K1432" s="2" t="s">
        <v>507</v>
      </c>
      <c r="L1432" s="2" t="n">
        <v>0.1</v>
      </c>
      <c r="M1432" s="2" t="n">
        <v>0.83</v>
      </c>
    </row>
    <row r="1433" customFormat="false" ht="15" hidden="false" customHeight="false" outlineLevel="0" collapsed="false">
      <c r="A1433" s="2" t="n">
        <v>1431</v>
      </c>
      <c r="B1433" s="2" t="s">
        <v>6215</v>
      </c>
      <c r="C1433" s="2" t="n">
        <v>0</v>
      </c>
      <c r="D1433" s="2" t="n">
        <v>0</v>
      </c>
      <c r="E1433" s="2" t="s">
        <v>11743</v>
      </c>
      <c r="F1433" s="2" t="s">
        <v>4078</v>
      </c>
      <c r="G1433" s="2" t="s">
        <v>4407</v>
      </c>
      <c r="H1433" s="2" t="s">
        <v>4386</v>
      </c>
      <c r="I1433" s="2" t="s">
        <v>2999</v>
      </c>
      <c r="J1433" s="2" t="s">
        <v>11744</v>
      </c>
      <c r="K1433" s="2" t="s">
        <v>507</v>
      </c>
      <c r="L1433" s="2" t="n">
        <v>0</v>
      </c>
      <c r="M1433" s="2" t="n">
        <v>1</v>
      </c>
    </row>
    <row r="1434" customFormat="false" ht="15" hidden="false" customHeight="false" outlineLevel="0" collapsed="false">
      <c r="A1434" s="2" t="n">
        <v>1432</v>
      </c>
      <c r="B1434" s="2" t="s">
        <v>6215</v>
      </c>
      <c r="C1434" s="2" t="n">
        <v>0</v>
      </c>
      <c r="D1434" s="2" t="n">
        <v>0</v>
      </c>
      <c r="E1434" s="2" t="s">
        <v>11745</v>
      </c>
      <c r="F1434" s="2" t="s">
        <v>3313</v>
      </c>
      <c r="G1434" s="2" t="s">
        <v>4414</v>
      </c>
      <c r="H1434" s="2" t="s">
        <v>178</v>
      </c>
      <c r="I1434" s="2" t="s">
        <v>132</v>
      </c>
      <c r="J1434" s="2" t="s">
        <v>11746</v>
      </c>
      <c r="K1434" s="2" t="s">
        <v>507</v>
      </c>
      <c r="L1434" s="2" t="n">
        <v>0</v>
      </c>
      <c r="M1434" s="2" t="n">
        <v>1</v>
      </c>
    </row>
    <row r="1435" customFormat="false" ht="17.15" hidden="false" customHeight="false" outlineLevel="0" collapsed="false">
      <c r="A1435" s="2" t="n">
        <v>1433</v>
      </c>
      <c r="B1435" s="2" t="s">
        <v>6215</v>
      </c>
      <c r="C1435" s="2" t="n">
        <v>2</v>
      </c>
      <c r="D1435" s="2" t="n">
        <v>0</v>
      </c>
      <c r="E1435" s="2" t="s">
        <v>6246</v>
      </c>
      <c r="F1435" s="2" t="s">
        <v>6247</v>
      </c>
      <c r="G1435" s="2" t="s">
        <v>6248</v>
      </c>
      <c r="H1435" s="2" t="s">
        <v>178</v>
      </c>
      <c r="I1435" s="2" t="s">
        <v>67</v>
      </c>
      <c r="J1435" s="2" t="s">
        <v>11747</v>
      </c>
      <c r="K1435" s="2" t="s">
        <v>507</v>
      </c>
      <c r="L1435" s="2" t="n">
        <v>0.15</v>
      </c>
      <c r="M1435" s="2" t="n">
        <v>1</v>
      </c>
    </row>
    <row r="1436" customFormat="false" ht="15" hidden="false" customHeight="false" outlineLevel="0" collapsed="false">
      <c r="A1436" s="2" t="n">
        <v>1434</v>
      </c>
      <c r="B1436" s="2" t="s">
        <v>6215</v>
      </c>
      <c r="C1436" s="2" t="n">
        <v>3</v>
      </c>
      <c r="D1436" s="2" t="n">
        <v>0</v>
      </c>
      <c r="E1436" s="2" t="s">
        <v>6255</v>
      </c>
      <c r="F1436" s="2" t="s">
        <v>64</v>
      </c>
      <c r="G1436" s="2" t="s">
        <v>4436</v>
      </c>
      <c r="H1436" s="2" t="s">
        <v>114</v>
      </c>
      <c r="I1436" s="2" t="s">
        <v>1397</v>
      </c>
      <c r="J1436" s="2" t="s">
        <v>11748</v>
      </c>
      <c r="K1436" s="2" t="s">
        <v>507</v>
      </c>
      <c r="L1436" s="2" t="n">
        <v>0</v>
      </c>
      <c r="M1436" s="2" t="n">
        <v>0.5</v>
      </c>
    </row>
    <row r="1437" customFormat="false" ht="15" hidden="false" customHeight="false" outlineLevel="0" collapsed="false">
      <c r="A1437" s="2" t="n">
        <v>1435</v>
      </c>
      <c r="B1437" s="2" t="s">
        <v>6215</v>
      </c>
      <c r="C1437" s="2" t="n">
        <v>2</v>
      </c>
      <c r="D1437" s="2" t="n">
        <v>0</v>
      </c>
      <c r="E1437" s="2" t="s">
        <v>6268</v>
      </c>
      <c r="F1437" s="2" t="s">
        <v>418</v>
      </c>
      <c r="G1437" s="2" t="s">
        <v>4457</v>
      </c>
      <c r="H1437" s="2" t="s">
        <v>158</v>
      </c>
      <c r="I1437" s="2" t="s">
        <v>1543</v>
      </c>
      <c r="J1437" s="2" t="s">
        <v>11749</v>
      </c>
      <c r="K1437" s="2" t="s">
        <v>507</v>
      </c>
      <c r="L1437" s="2" t="n">
        <v>0.22</v>
      </c>
      <c r="M1437" s="2" t="n">
        <v>0.88</v>
      </c>
    </row>
    <row r="1438" customFormat="false" ht="15" hidden="false" customHeight="false" outlineLevel="0" collapsed="false">
      <c r="A1438" s="2" t="n">
        <v>1436</v>
      </c>
      <c r="B1438" s="2" t="s">
        <v>6215</v>
      </c>
      <c r="C1438" s="2" t="n">
        <v>2</v>
      </c>
      <c r="D1438" s="2" t="n">
        <v>0</v>
      </c>
      <c r="E1438" s="2" t="s">
        <v>6275</v>
      </c>
      <c r="F1438" s="2" t="s">
        <v>64</v>
      </c>
      <c r="G1438" s="2" t="s">
        <v>4468</v>
      </c>
      <c r="H1438" s="2" t="s">
        <v>114</v>
      </c>
      <c r="I1438" s="2" t="s">
        <v>1188</v>
      </c>
      <c r="J1438" s="2" t="s">
        <v>11750</v>
      </c>
      <c r="K1438" s="2" t="s">
        <v>160</v>
      </c>
      <c r="L1438" s="2" t="n">
        <v>0.33</v>
      </c>
      <c r="M1438" s="2" t="n">
        <v>1</v>
      </c>
    </row>
    <row r="1439" customFormat="false" ht="15" hidden="false" customHeight="false" outlineLevel="0" collapsed="false">
      <c r="A1439" s="2" t="n">
        <v>1437</v>
      </c>
      <c r="B1439" s="2" t="s">
        <v>6215</v>
      </c>
      <c r="C1439" s="2" t="n">
        <v>5</v>
      </c>
      <c r="D1439" s="2" t="n">
        <v>0</v>
      </c>
      <c r="E1439" s="2" t="s">
        <v>6283</v>
      </c>
      <c r="F1439" s="2" t="s">
        <v>64</v>
      </c>
      <c r="G1439" s="2" t="s">
        <v>4478</v>
      </c>
      <c r="H1439" s="2" t="s">
        <v>158</v>
      </c>
      <c r="I1439" s="2" t="s">
        <v>2168</v>
      </c>
      <c r="J1439" s="2" t="s">
        <v>11751</v>
      </c>
      <c r="K1439" s="2" t="s">
        <v>160</v>
      </c>
      <c r="L1439" s="2" t="n">
        <v>0.33</v>
      </c>
      <c r="M1439" s="2" t="n">
        <v>1</v>
      </c>
    </row>
    <row r="1440" customFormat="false" ht="15" hidden="false" customHeight="false" outlineLevel="0" collapsed="false">
      <c r="A1440" s="2" t="n">
        <v>1438</v>
      </c>
      <c r="B1440" s="2" t="s">
        <v>6215</v>
      </c>
      <c r="C1440" s="2" t="n">
        <v>0</v>
      </c>
      <c r="D1440" s="2" t="n">
        <v>0</v>
      </c>
      <c r="E1440" s="2" t="s">
        <v>11752</v>
      </c>
      <c r="F1440" s="2" t="s">
        <v>176</v>
      </c>
      <c r="G1440" s="2" t="s">
        <v>4487</v>
      </c>
      <c r="H1440" s="2" t="s">
        <v>66</v>
      </c>
      <c r="I1440" s="2" t="s">
        <v>1482</v>
      </c>
      <c r="J1440" s="2" t="s">
        <v>11753</v>
      </c>
      <c r="K1440" s="2" t="s">
        <v>1588</v>
      </c>
      <c r="L1440" s="2" t="n">
        <v>0.44</v>
      </c>
      <c r="M1440" s="2" t="n">
        <v>0.67</v>
      </c>
    </row>
    <row r="1441" customFormat="false" ht="15" hidden="false" customHeight="false" outlineLevel="0" collapsed="false">
      <c r="A1441" s="2" t="n">
        <v>1439</v>
      </c>
      <c r="B1441" s="2" t="s">
        <v>6215</v>
      </c>
      <c r="C1441" s="2" t="n">
        <v>1</v>
      </c>
      <c r="D1441" s="2" t="n">
        <v>1</v>
      </c>
      <c r="E1441" s="2" t="s">
        <v>6297</v>
      </c>
      <c r="F1441" s="2" t="s">
        <v>176</v>
      </c>
      <c r="G1441" s="2" t="s">
        <v>4493</v>
      </c>
      <c r="H1441" s="2" t="s">
        <v>114</v>
      </c>
      <c r="I1441" s="2" t="s">
        <v>1482</v>
      </c>
      <c r="J1441" s="2" t="s">
        <v>11754</v>
      </c>
      <c r="K1441" s="2" t="s">
        <v>507</v>
      </c>
      <c r="L1441" s="2" t="n">
        <v>0</v>
      </c>
      <c r="M1441" s="2" t="n">
        <v>0.8</v>
      </c>
    </row>
    <row r="1442" customFormat="false" ht="15" hidden="false" customHeight="false" outlineLevel="0" collapsed="false">
      <c r="A1442" s="2" t="n">
        <v>1440</v>
      </c>
      <c r="B1442" s="2" t="s">
        <v>6298</v>
      </c>
      <c r="C1442" s="2" t="n">
        <v>0</v>
      </c>
      <c r="D1442" s="2" t="n">
        <v>0</v>
      </c>
      <c r="E1442" s="2" t="s">
        <v>11755</v>
      </c>
      <c r="F1442" s="2" t="s">
        <v>11756</v>
      </c>
      <c r="G1442" s="2" t="s">
        <v>4501</v>
      </c>
      <c r="H1442" s="2" t="s">
        <v>114</v>
      </c>
      <c r="I1442" s="2" t="s">
        <v>301</v>
      </c>
      <c r="J1442" s="2" t="s">
        <v>11757</v>
      </c>
      <c r="K1442" s="2" t="s">
        <v>507</v>
      </c>
      <c r="L1442" s="2" t="n">
        <v>0</v>
      </c>
      <c r="M1442" s="2" t="n">
        <v>0.65</v>
      </c>
    </row>
    <row r="1443" customFormat="false" ht="15" hidden="false" customHeight="false" outlineLevel="0" collapsed="false">
      <c r="A1443" s="2" t="n">
        <v>1441</v>
      </c>
      <c r="B1443" s="2" t="s">
        <v>6298</v>
      </c>
      <c r="C1443" s="2" t="n">
        <v>0</v>
      </c>
      <c r="D1443" s="2" t="n">
        <v>0</v>
      </c>
      <c r="E1443" s="2" t="s">
        <v>11758</v>
      </c>
      <c r="F1443" s="2" t="s">
        <v>11759</v>
      </c>
      <c r="G1443" s="2" t="s">
        <v>4515</v>
      </c>
      <c r="H1443" s="2" t="s">
        <v>745</v>
      </c>
      <c r="I1443" s="2" t="s">
        <v>2252</v>
      </c>
      <c r="J1443" s="2" t="s">
        <v>11760</v>
      </c>
      <c r="K1443" s="2" t="s">
        <v>507</v>
      </c>
      <c r="L1443" s="2" t="n">
        <v>0.12</v>
      </c>
      <c r="M1443" s="2" t="n">
        <v>0.73</v>
      </c>
    </row>
    <row r="1444" customFormat="false" ht="15" hidden="false" customHeight="false" outlineLevel="0" collapsed="false">
      <c r="A1444" s="2" t="n">
        <v>1442</v>
      </c>
      <c r="B1444" s="2" t="s">
        <v>6298</v>
      </c>
      <c r="C1444" s="2" t="n">
        <v>0</v>
      </c>
      <c r="D1444" s="2" t="n">
        <v>0</v>
      </c>
      <c r="E1444" s="2" t="s">
        <v>11761</v>
      </c>
      <c r="F1444" s="2" t="s">
        <v>3544</v>
      </c>
      <c r="G1444" s="2" t="s">
        <v>4525</v>
      </c>
      <c r="H1444" s="2" t="s">
        <v>66</v>
      </c>
      <c r="I1444" s="2" t="s">
        <v>851</v>
      </c>
      <c r="J1444" s="2" t="s">
        <v>11762</v>
      </c>
      <c r="K1444" s="2" t="s">
        <v>507</v>
      </c>
      <c r="L1444" s="2" t="n">
        <v>0</v>
      </c>
      <c r="M1444" s="2" t="n">
        <v>0.73</v>
      </c>
    </row>
    <row r="1445" customFormat="false" ht="15" hidden="false" customHeight="false" outlineLevel="0" collapsed="false">
      <c r="A1445" s="2" t="n">
        <v>1443</v>
      </c>
      <c r="B1445" s="2" t="s">
        <v>6298</v>
      </c>
      <c r="C1445" s="2" t="n">
        <v>0</v>
      </c>
      <c r="D1445" s="2" t="n">
        <v>0</v>
      </c>
      <c r="E1445" s="2" t="s">
        <v>11763</v>
      </c>
      <c r="F1445" s="2" t="s">
        <v>11729</v>
      </c>
      <c r="G1445" s="2" t="s">
        <v>4530</v>
      </c>
      <c r="H1445" s="2" t="s">
        <v>66</v>
      </c>
      <c r="I1445" s="2" t="s">
        <v>918</v>
      </c>
      <c r="J1445" s="2" t="s">
        <v>11764</v>
      </c>
      <c r="K1445" s="2" t="s">
        <v>507</v>
      </c>
      <c r="L1445" s="2" t="n">
        <v>0</v>
      </c>
      <c r="M1445" s="2" t="n">
        <v>0.82</v>
      </c>
    </row>
    <row r="1446" customFormat="false" ht="15" hidden="false" customHeight="false" outlineLevel="0" collapsed="false">
      <c r="A1446" s="2" t="n">
        <v>1444</v>
      </c>
      <c r="B1446" s="2" t="s">
        <v>6298</v>
      </c>
      <c r="C1446" s="2" t="n">
        <v>0</v>
      </c>
      <c r="D1446" s="2" t="n">
        <v>0</v>
      </c>
      <c r="E1446" s="2" t="s">
        <v>11765</v>
      </c>
      <c r="F1446" s="2" t="s">
        <v>1351</v>
      </c>
      <c r="G1446" s="2" t="s">
        <v>4540</v>
      </c>
      <c r="H1446" s="2" t="s">
        <v>2214</v>
      </c>
      <c r="I1446" s="2" t="s">
        <v>67</v>
      </c>
      <c r="J1446" s="2" t="s">
        <v>11766</v>
      </c>
      <c r="K1446" s="2" t="s">
        <v>507</v>
      </c>
      <c r="L1446" s="2" t="n">
        <v>0</v>
      </c>
      <c r="M1446" s="2" t="n">
        <v>0.73</v>
      </c>
    </row>
    <row r="1447" customFormat="false" ht="15" hidden="false" customHeight="false" outlineLevel="0" collapsed="false">
      <c r="A1447" s="2" t="n">
        <v>1445</v>
      </c>
      <c r="B1447" s="2" t="s">
        <v>6298</v>
      </c>
      <c r="C1447" s="2" t="n">
        <v>0</v>
      </c>
      <c r="D1447" s="2" t="n">
        <v>0</v>
      </c>
      <c r="E1447" s="2" t="s">
        <v>11767</v>
      </c>
      <c r="F1447" s="2" t="s">
        <v>694</v>
      </c>
      <c r="G1447" s="2" t="s">
        <v>10508</v>
      </c>
      <c r="H1447" s="2" t="s">
        <v>745</v>
      </c>
      <c r="I1447" s="2" t="s">
        <v>132</v>
      </c>
      <c r="J1447" s="2" t="s">
        <v>11768</v>
      </c>
      <c r="K1447" s="2" t="s">
        <v>1588</v>
      </c>
      <c r="L1447" s="2" t="n">
        <v>0.14</v>
      </c>
      <c r="M1447" s="2" t="n">
        <v>0.75</v>
      </c>
    </row>
    <row r="1448" customFormat="false" ht="15" hidden="false" customHeight="false" outlineLevel="0" collapsed="false">
      <c r="A1448" s="2" t="n">
        <v>1446</v>
      </c>
      <c r="B1448" s="2" t="s">
        <v>6298</v>
      </c>
      <c r="C1448" s="2" t="n">
        <v>0</v>
      </c>
      <c r="D1448" s="2" t="n">
        <v>0</v>
      </c>
      <c r="E1448" s="2" t="s">
        <v>11769</v>
      </c>
      <c r="F1448" s="2" t="s">
        <v>4792</v>
      </c>
      <c r="G1448" s="2" t="s">
        <v>10511</v>
      </c>
      <c r="H1448" s="2" t="s">
        <v>4544</v>
      </c>
      <c r="I1448" s="2" t="s">
        <v>98</v>
      </c>
      <c r="J1448" s="2" t="s">
        <v>9401</v>
      </c>
      <c r="K1448" s="2" t="s">
        <v>507</v>
      </c>
      <c r="L1448" s="2" t="n">
        <v>0.1</v>
      </c>
      <c r="M1448" s="2" t="n">
        <v>0.78</v>
      </c>
    </row>
    <row r="1449" customFormat="false" ht="15" hidden="false" customHeight="false" outlineLevel="0" collapsed="false">
      <c r="A1449" s="2" t="n">
        <v>1447</v>
      </c>
      <c r="B1449" s="2" t="s">
        <v>6298</v>
      </c>
      <c r="C1449" s="2" t="n">
        <v>0</v>
      </c>
      <c r="D1449" s="2" t="n">
        <v>0</v>
      </c>
      <c r="E1449" s="2" t="s">
        <v>11770</v>
      </c>
      <c r="F1449" s="2" t="s">
        <v>694</v>
      </c>
      <c r="G1449" s="2" t="s">
        <v>10514</v>
      </c>
      <c r="H1449" s="2" t="s">
        <v>9189</v>
      </c>
      <c r="I1449" s="2" t="s">
        <v>98</v>
      </c>
      <c r="J1449" s="2" t="s">
        <v>11771</v>
      </c>
      <c r="K1449" s="2" t="s">
        <v>507</v>
      </c>
      <c r="L1449" s="2" t="n">
        <v>0</v>
      </c>
      <c r="M1449" s="2" t="n">
        <v>0.56</v>
      </c>
    </row>
    <row r="1450" customFormat="false" ht="15" hidden="false" customHeight="false" outlineLevel="0" collapsed="false">
      <c r="A1450" s="2" t="n">
        <v>1448</v>
      </c>
      <c r="B1450" s="2" t="s">
        <v>6298</v>
      </c>
      <c r="C1450" s="2" t="n">
        <v>0</v>
      </c>
      <c r="D1450" s="2" t="n">
        <v>0</v>
      </c>
      <c r="E1450" s="2" t="s">
        <v>11772</v>
      </c>
      <c r="F1450" s="2" t="s">
        <v>6694</v>
      </c>
      <c r="G1450" s="2" t="s">
        <v>10517</v>
      </c>
      <c r="H1450" s="2" t="s">
        <v>6370</v>
      </c>
      <c r="I1450" s="2" t="s">
        <v>530</v>
      </c>
      <c r="J1450" s="2" t="s">
        <v>11773</v>
      </c>
      <c r="K1450" s="2" t="s">
        <v>507</v>
      </c>
      <c r="L1450" s="2" t="n">
        <v>0</v>
      </c>
      <c r="M1450" s="2" t="n">
        <v>0.89</v>
      </c>
    </row>
    <row r="1451" customFormat="false" ht="15" hidden="false" customHeight="false" outlineLevel="0" collapsed="false">
      <c r="A1451" s="2" t="n">
        <v>1449</v>
      </c>
      <c r="B1451" s="2" t="s">
        <v>6298</v>
      </c>
      <c r="C1451" s="2" t="n">
        <v>0</v>
      </c>
      <c r="D1451" s="2" t="n">
        <v>0</v>
      </c>
      <c r="E1451" s="2" t="s">
        <v>11774</v>
      </c>
      <c r="F1451" s="2" t="s">
        <v>4742</v>
      </c>
      <c r="G1451" s="2" t="s">
        <v>10520</v>
      </c>
      <c r="H1451" s="2" t="s">
        <v>965</v>
      </c>
      <c r="I1451" s="2" t="s">
        <v>421</v>
      </c>
      <c r="J1451" s="2" t="s">
        <v>11775</v>
      </c>
      <c r="K1451" s="2" t="s">
        <v>507</v>
      </c>
      <c r="L1451" s="2" t="n">
        <v>0</v>
      </c>
      <c r="M1451" s="2" t="n">
        <v>0.69</v>
      </c>
    </row>
    <row r="1452" customFormat="false" ht="15" hidden="false" customHeight="false" outlineLevel="0" collapsed="false">
      <c r="A1452" s="2" t="n">
        <v>1450</v>
      </c>
      <c r="B1452" s="2" t="s">
        <v>6298</v>
      </c>
      <c r="C1452" s="2" t="n">
        <v>0</v>
      </c>
      <c r="D1452" s="2" t="n">
        <v>0</v>
      </c>
      <c r="E1452" s="2" t="s">
        <v>11776</v>
      </c>
      <c r="F1452" s="2" t="s">
        <v>95</v>
      </c>
      <c r="G1452" s="2" t="s">
        <v>10523</v>
      </c>
      <c r="H1452" s="2" t="s">
        <v>10524</v>
      </c>
      <c r="I1452" s="2" t="s">
        <v>2675</v>
      </c>
      <c r="J1452" s="2" t="s">
        <v>11777</v>
      </c>
      <c r="K1452" s="2" t="s">
        <v>507</v>
      </c>
      <c r="L1452" s="2" t="n">
        <v>0</v>
      </c>
      <c r="M1452" s="2" t="n">
        <v>0.58</v>
      </c>
    </row>
    <row r="1453" customFormat="false" ht="15" hidden="false" customHeight="false" outlineLevel="0" collapsed="false">
      <c r="A1453" s="2" t="n">
        <v>1451</v>
      </c>
      <c r="B1453" s="2" t="s">
        <v>6298</v>
      </c>
      <c r="C1453" s="2" t="n">
        <v>0</v>
      </c>
      <c r="D1453" s="2" t="n">
        <v>0</v>
      </c>
      <c r="E1453" s="2" t="s">
        <v>11778</v>
      </c>
      <c r="F1453" s="2" t="s">
        <v>4798</v>
      </c>
      <c r="G1453" s="2" t="s">
        <v>10528</v>
      </c>
      <c r="H1453" s="2" t="s">
        <v>1500</v>
      </c>
      <c r="I1453" s="2" t="s">
        <v>1429</v>
      </c>
      <c r="J1453" s="2" t="s">
        <v>11779</v>
      </c>
      <c r="K1453" s="2" t="s">
        <v>507</v>
      </c>
      <c r="L1453" s="2" t="n">
        <v>0</v>
      </c>
      <c r="M1453" s="2" t="n">
        <v>0.75</v>
      </c>
    </row>
    <row r="1454" customFormat="false" ht="15" hidden="false" customHeight="false" outlineLevel="0" collapsed="false">
      <c r="A1454" s="2" t="n">
        <v>1452</v>
      </c>
      <c r="B1454" s="2" t="s">
        <v>6298</v>
      </c>
      <c r="C1454" s="2" t="n">
        <v>0</v>
      </c>
      <c r="D1454" s="2" t="n">
        <v>0</v>
      </c>
      <c r="E1454" s="2" t="s">
        <v>11780</v>
      </c>
      <c r="F1454" s="2" t="s">
        <v>8623</v>
      </c>
      <c r="G1454" s="2" t="s">
        <v>4543</v>
      </c>
      <c r="H1454" s="2" t="s">
        <v>4544</v>
      </c>
      <c r="I1454" s="2" t="s">
        <v>4545</v>
      </c>
      <c r="J1454" s="2" t="s">
        <v>11781</v>
      </c>
      <c r="K1454" s="2" t="s">
        <v>507</v>
      </c>
      <c r="L1454" s="2" t="n">
        <v>0</v>
      </c>
      <c r="M1454" s="2" t="n">
        <v>0.75</v>
      </c>
    </row>
    <row r="1455" customFormat="false" ht="15" hidden="false" customHeight="false" outlineLevel="0" collapsed="false">
      <c r="A1455" s="2" t="n">
        <v>1453</v>
      </c>
      <c r="B1455" s="2" t="s">
        <v>6298</v>
      </c>
      <c r="C1455" s="2" t="n">
        <v>0</v>
      </c>
      <c r="D1455" s="2" t="n">
        <v>0</v>
      </c>
      <c r="E1455" s="2" t="s">
        <v>11782</v>
      </c>
      <c r="F1455" s="2" t="s">
        <v>3318</v>
      </c>
      <c r="G1455" s="2" t="s">
        <v>10532</v>
      </c>
      <c r="H1455" s="2" t="s">
        <v>965</v>
      </c>
      <c r="I1455" s="2" t="s">
        <v>421</v>
      </c>
      <c r="J1455" s="2" t="s">
        <v>11783</v>
      </c>
      <c r="K1455" s="2" t="s">
        <v>507</v>
      </c>
      <c r="L1455" s="2" t="n">
        <v>0</v>
      </c>
      <c r="M1455" s="2" t="n">
        <v>0.62</v>
      </c>
    </row>
    <row r="1456" customFormat="false" ht="15" hidden="false" customHeight="false" outlineLevel="0" collapsed="false">
      <c r="A1456" s="2" t="n">
        <v>1454</v>
      </c>
      <c r="B1456" s="2" t="s">
        <v>6298</v>
      </c>
      <c r="C1456" s="2" t="n">
        <v>0</v>
      </c>
      <c r="D1456" s="2" t="n">
        <v>0</v>
      </c>
      <c r="E1456" s="2" t="s">
        <v>11784</v>
      </c>
      <c r="F1456" s="2" t="s">
        <v>2212</v>
      </c>
      <c r="G1456" s="2" t="s">
        <v>10535</v>
      </c>
      <c r="H1456" s="2" t="s">
        <v>965</v>
      </c>
      <c r="I1456" s="2" t="s">
        <v>262</v>
      </c>
      <c r="J1456" s="2" t="s">
        <v>11785</v>
      </c>
      <c r="K1456" s="2" t="s">
        <v>507</v>
      </c>
      <c r="L1456" s="2" t="n">
        <v>0</v>
      </c>
      <c r="M1456" s="2" t="n">
        <v>0.73</v>
      </c>
    </row>
    <row r="1457" customFormat="false" ht="15" hidden="false" customHeight="false" outlineLevel="0" collapsed="false">
      <c r="A1457" s="2" t="n">
        <v>1455</v>
      </c>
      <c r="B1457" s="2" t="s">
        <v>6298</v>
      </c>
      <c r="C1457" s="2" t="n">
        <v>0</v>
      </c>
      <c r="D1457" s="2" t="n">
        <v>0</v>
      </c>
      <c r="E1457" s="2" t="s">
        <v>11786</v>
      </c>
      <c r="F1457" s="2" t="s">
        <v>11787</v>
      </c>
      <c r="G1457" s="2" t="s">
        <v>10538</v>
      </c>
      <c r="H1457" s="2" t="s">
        <v>745</v>
      </c>
      <c r="I1457" s="2" t="s">
        <v>67</v>
      </c>
      <c r="J1457" s="2" t="s">
        <v>11788</v>
      </c>
      <c r="K1457" s="2" t="s">
        <v>507</v>
      </c>
      <c r="L1457" s="2" t="n">
        <v>0</v>
      </c>
      <c r="M1457" s="2" t="n">
        <v>0.38</v>
      </c>
    </row>
    <row r="1458" customFormat="false" ht="15" hidden="false" customHeight="false" outlineLevel="0" collapsed="false">
      <c r="A1458" s="2" t="n">
        <v>1456</v>
      </c>
      <c r="B1458" s="2" t="s">
        <v>6298</v>
      </c>
      <c r="C1458" s="2" t="n">
        <v>0</v>
      </c>
      <c r="D1458" s="2" t="n">
        <v>0</v>
      </c>
      <c r="E1458" s="2" t="s">
        <v>11789</v>
      </c>
      <c r="F1458" s="2" t="s">
        <v>1498</v>
      </c>
      <c r="G1458" s="2" t="s">
        <v>4554</v>
      </c>
      <c r="H1458" s="2" t="s">
        <v>745</v>
      </c>
      <c r="I1458" s="2" t="s">
        <v>421</v>
      </c>
      <c r="J1458" s="2" t="s">
        <v>11790</v>
      </c>
      <c r="K1458" s="2" t="s">
        <v>507</v>
      </c>
      <c r="L1458" s="2" t="n">
        <v>0</v>
      </c>
      <c r="M1458" s="2" t="n">
        <v>0.56</v>
      </c>
    </row>
    <row r="1459" customFormat="false" ht="15" hidden="false" customHeight="false" outlineLevel="0" collapsed="false">
      <c r="A1459" s="2" t="n">
        <v>1457</v>
      </c>
      <c r="B1459" s="2" t="s">
        <v>6298</v>
      </c>
      <c r="C1459" s="2" t="n">
        <v>2</v>
      </c>
      <c r="D1459" s="2" t="n">
        <v>0</v>
      </c>
      <c r="E1459" s="2" t="s">
        <v>6303</v>
      </c>
      <c r="F1459" s="2" t="s">
        <v>1168</v>
      </c>
      <c r="G1459" s="2" t="s">
        <v>6304</v>
      </c>
      <c r="H1459" s="2" t="s">
        <v>745</v>
      </c>
      <c r="I1459" s="2" t="s">
        <v>159</v>
      </c>
      <c r="J1459" s="2" t="s">
        <v>11791</v>
      </c>
      <c r="K1459" s="2" t="s">
        <v>507</v>
      </c>
      <c r="L1459" s="2" t="n">
        <v>0</v>
      </c>
      <c r="M1459" s="2" t="n">
        <v>1</v>
      </c>
    </row>
    <row r="1460" customFormat="false" ht="15" hidden="false" customHeight="false" outlineLevel="0" collapsed="false">
      <c r="A1460" s="2" t="n">
        <v>1458</v>
      </c>
      <c r="B1460" s="2" t="s">
        <v>6298</v>
      </c>
      <c r="C1460" s="2" t="n">
        <v>2</v>
      </c>
      <c r="D1460" s="2" t="n">
        <v>0</v>
      </c>
      <c r="E1460" s="2" t="s">
        <v>6312</v>
      </c>
      <c r="F1460" s="2" t="s">
        <v>743</v>
      </c>
      <c r="G1460" s="2" t="s">
        <v>6313</v>
      </c>
      <c r="H1460" s="2" t="s">
        <v>420</v>
      </c>
      <c r="I1460" s="2" t="s">
        <v>813</v>
      </c>
      <c r="J1460" s="2" t="s">
        <v>11792</v>
      </c>
      <c r="K1460" s="2" t="s">
        <v>507</v>
      </c>
      <c r="L1460" s="2" t="n">
        <v>0</v>
      </c>
      <c r="M1460" s="2" t="n">
        <v>0.89</v>
      </c>
    </row>
    <row r="1461" customFormat="false" ht="15" hidden="false" customHeight="false" outlineLevel="0" collapsed="false">
      <c r="A1461" s="2" t="n">
        <v>1459</v>
      </c>
      <c r="B1461" s="2" t="s">
        <v>6298</v>
      </c>
      <c r="C1461" s="2" t="n">
        <v>3</v>
      </c>
      <c r="D1461" s="2" t="n">
        <v>0</v>
      </c>
      <c r="E1461" s="2" t="s">
        <v>6322</v>
      </c>
      <c r="F1461" s="2" t="s">
        <v>243</v>
      </c>
      <c r="G1461" s="2" t="s">
        <v>6323</v>
      </c>
      <c r="H1461" s="2" t="s">
        <v>745</v>
      </c>
      <c r="I1461" s="2" t="s">
        <v>813</v>
      </c>
      <c r="J1461" s="2" t="s">
        <v>11793</v>
      </c>
      <c r="K1461" s="2" t="s">
        <v>507</v>
      </c>
      <c r="L1461" s="2" t="n">
        <v>0</v>
      </c>
      <c r="M1461" s="2" t="n">
        <v>0.8</v>
      </c>
    </row>
    <row r="1462" customFormat="false" ht="15" hidden="false" customHeight="false" outlineLevel="0" collapsed="false">
      <c r="A1462" s="2" t="n">
        <v>1460</v>
      </c>
      <c r="B1462" s="2" t="s">
        <v>6298</v>
      </c>
      <c r="C1462" s="2" t="n">
        <v>2</v>
      </c>
      <c r="D1462" s="2" t="n">
        <v>0</v>
      </c>
      <c r="E1462" s="2" t="s">
        <v>6334</v>
      </c>
      <c r="F1462" s="2" t="s">
        <v>187</v>
      </c>
      <c r="G1462" s="2" t="s">
        <v>6335</v>
      </c>
      <c r="H1462" s="2" t="s">
        <v>582</v>
      </c>
      <c r="I1462" s="2" t="s">
        <v>851</v>
      </c>
      <c r="J1462" s="2" t="s">
        <v>11794</v>
      </c>
      <c r="K1462" s="2" t="s">
        <v>507</v>
      </c>
      <c r="L1462" s="2" t="n">
        <v>0</v>
      </c>
      <c r="M1462" s="2" t="n">
        <v>0.46</v>
      </c>
    </row>
    <row r="1463" customFormat="false" ht="15" hidden="false" customHeight="false" outlineLevel="0" collapsed="false">
      <c r="A1463" s="2" t="n">
        <v>1461</v>
      </c>
      <c r="B1463" s="2" t="s">
        <v>6298</v>
      </c>
      <c r="C1463" s="2" t="n">
        <v>3</v>
      </c>
      <c r="D1463" s="2" t="n">
        <v>0</v>
      </c>
      <c r="E1463" s="2" t="s">
        <v>6345</v>
      </c>
      <c r="F1463" s="2" t="s">
        <v>112</v>
      </c>
      <c r="G1463" s="2" t="s">
        <v>6346</v>
      </c>
      <c r="H1463" s="2" t="s">
        <v>6347</v>
      </c>
      <c r="I1463" s="2" t="s">
        <v>495</v>
      </c>
      <c r="J1463" s="2" t="s">
        <v>11795</v>
      </c>
      <c r="K1463" s="2" t="s">
        <v>507</v>
      </c>
      <c r="L1463" s="2" t="n">
        <v>0</v>
      </c>
      <c r="M1463" s="2" t="n">
        <v>1</v>
      </c>
    </row>
    <row r="1464" customFormat="false" ht="15" hidden="false" customHeight="false" outlineLevel="0" collapsed="false">
      <c r="A1464" s="2" t="n">
        <v>1462</v>
      </c>
      <c r="B1464" s="2" t="s">
        <v>6298</v>
      </c>
      <c r="C1464" s="2" t="n">
        <v>3</v>
      </c>
      <c r="D1464" s="2" t="n">
        <v>0</v>
      </c>
      <c r="E1464" s="2" t="s">
        <v>6357</v>
      </c>
      <c r="F1464" s="2" t="s">
        <v>418</v>
      </c>
      <c r="G1464" s="2" t="s">
        <v>6358</v>
      </c>
      <c r="H1464" s="2" t="s">
        <v>745</v>
      </c>
      <c r="I1464" s="2" t="s">
        <v>1964</v>
      </c>
      <c r="J1464" s="2" t="s">
        <v>11796</v>
      </c>
      <c r="K1464" s="2" t="s">
        <v>507</v>
      </c>
      <c r="L1464" s="2" t="n">
        <v>0</v>
      </c>
      <c r="M1464" s="2" t="n">
        <v>0.89</v>
      </c>
    </row>
    <row r="1465" customFormat="false" ht="15" hidden="false" customHeight="false" outlineLevel="0" collapsed="false">
      <c r="A1465" s="2" t="n">
        <v>1463</v>
      </c>
      <c r="B1465" s="2" t="s">
        <v>6298</v>
      </c>
      <c r="C1465" s="2" t="n">
        <v>1</v>
      </c>
      <c r="D1465" s="2" t="n">
        <v>0</v>
      </c>
      <c r="E1465" s="2" t="s">
        <v>6368</v>
      </c>
      <c r="F1465" s="2" t="s">
        <v>187</v>
      </c>
      <c r="G1465" s="2" t="s">
        <v>6369</v>
      </c>
      <c r="H1465" s="2" t="s">
        <v>6370</v>
      </c>
      <c r="I1465" s="2" t="s">
        <v>159</v>
      </c>
      <c r="J1465" s="2" t="s">
        <v>11797</v>
      </c>
      <c r="K1465" s="2" t="s">
        <v>507</v>
      </c>
      <c r="L1465" s="2" t="n">
        <v>0.08</v>
      </c>
      <c r="M1465" s="2" t="n">
        <v>0.36</v>
      </c>
    </row>
    <row r="1466" customFormat="false" ht="15" hidden="false" customHeight="false" outlineLevel="0" collapsed="false">
      <c r="A1466" s="2" t="n">
        <v>1464</v>
      </c>
      <c r="B1466" s="2" t="s">
        <v>6298</v>
      </c>
      <c r="C1466" s="2" t="n">
        <v>3</v>
      </c>
      <c r="D1466" s="2" t="n">
        <v>1</v>
      </c>
      <c r="E1466" s="2" t="s">
        <v>6375</v>
      </c>
      <c r="F1466" s="2" t="s">
        <v>112</v>
      </c>
      <c r="G1466" s="2" t="s">
        <v>6376</v>
      </c>
      <c r="H1466" s="2" t="s">
        <v>6056</v>
      </c>
      <c r="I1466" s="2" t="s">
        <v>3823</v>
      </c>
      <c r="J1466" s="2" t="s">
        <v>11798</v>
      </c>
      <c r="K1466" s="2" t="s">
        <v>507</v>
      </c>
      <c r="L1466" s="2" t="n">
        <v>0.09</v>
      </c>
      <c r="M1466" s="2" t="n">
        <v>1</v>
      </c>
    </row>
    <row r="1467" customFormat="false" ht="15" hidden="false" customHeight="false" outlineLevel="0" collapsed="false">
      <c r="A1467" s="2" t="n">
        <v>1465</v>
      </c>
      <c r="B1467" s="2" t="s">
        <v>6298</v>
      </c>
      <c r="C1467" s="2" t="n">
        <v>3</v>
      </c>
      <c r="D1467" s="2" t="n">
        <v>0</v>
      </c>
      <c r="E1467" s="2" t="s">
        <v>6389</v>
      </c>
      <c r="F1467" s="2" t="s">
        <v>64</v>
      </c>
      <c r="G1467" s="2" t="s">
        <v>6390</v>
      </c>
      <c r="H1467" s="2" t="s">
        <v>4544</v>
      </c>
      <c r="I1467" s="2" t="s">
        <v>360</v>
      </c>
      <c r="J1467" s="2" t="s">
        <v>11799</v>
      </c>
      <c r="K1467" s="2" t="s">
        <v>507</v>
      </c>
      <c r="L1467" s="2" t="n">
        <v>0</v>
      </c>
      <c r="M1467" s="2" t="n">
        <v>0.91</v>
      </c>
    </row>
    <row r="1468" customFormat="false" ht="15" hidden="false" customHeight="false" outlineLevel="0" collapsed="false">
      <c r="A1468" s="2" t="n">
        <v>1466</v>
      </c>
      <c r="B1468" s="2" t="s">
        <v>6298</v>
      </c>
      <c r="C1468" s="2" t="n">
        <v>3</v>
      </c>
      <c r="D1468" s="2" t="n">
        <v>0</v>
      </c>
      <c r="E1468" s="2" t="s">
        <v>6404</v>
      </c>
      <c r="F1468" s="2" t="s">
        <v>187</v>
      </c>
      <c r="G1468" s="2" t="s">
        <v>6405</v>
      </c>
      <c r="H1468" s="2" t="s">
        <v>6406</v>
      </c>
      <c r="I1468" s="2" t="s">
        <v>1654</v>
      </c>
      <c r="J1468" s="2" t="s">
        <v>11800</v>
      </c>
      <c r="K1468" s="2" t="s">
        <v>507</v>
      </c>
      <c r="L1468" s="2" t="n">
        <v>0.1</v>
      </c>
      <c r="M1468" s="2" t="n">
        <v>0.11</v>
      </c>
    </row>
    <row r="1469" customFormat="false" ht="15" hidden="false" customHeight="false" outlineLevel="0" collapsed="false">
      <c r="A1469" s="2" t="n">
        <v>1467</v>
      </c>
      <c r="B1469" s="2" t="s">
        <v>6298</v>
      </c>
      <c r="C1469" s="2" t="n">
        <v>3</v>
      </c>
      <c r="D1469" s="2" t="n">
        <v>0</v>
      </c>
      <c r="E1469" s="2" t="s">
        <v>6419</v>
      </c>
      <c r="F1469" s="2" t="s">
        <v>112</v>
      </c>
      <c r="G1469" s="2" t="s">
        <v>6420</v>
      </c>
      <c r="H1469" s="2" t="s">
        <v>6347</v>
      </c>
      <c r="I1469" s="2" t="s">
        <v>768</v>
      </c>
      <c r="J1469" s="2" t="s">
        <v>11801</v>
      </c>
      <c r="K1469" s="2" t="s">
        <v>507</v>
      </c>
      <c r="L1469" s="2" t="n">
        <v>0</v>
      </c>
      <c r="M1469" s="2" t="n">
        <v>1</v>
      </c>
    </row>
    <row r="1470" customFormat="false" ht="15" hidden="false" customHeight="false" outlineLevel="0" collapsed="false">
      <c r="A1470" s="2" t="n">
        <v>1468</v>
      </c>
      <c r="B1470" s="2" t="s">
        <v>6298</v>
      </c>
      <c r="C1470" s="2" t="n">
        <v>2</v>
      </c>
      <c r="D1470" s="2" t="n">
        <v>0</v>
      </c>
      <c r="E1470" s="2" t="s">
        <v>6430</v>
      </c>
      <c r="F1470" s="2" t="s">
        <v>112</v>
      </c>
      <c r="G1470" s="2" t="s">
        <v>6431</v>
      </c>
      <c r="H1470" s="2" t="s">
        <v>696</v>
      </c>
      <c r="I1470" s="2" t="s">
        <v>795</v>
      </c>
      <c r="J1470" s="2" t="s">
        <v>11802</v>
      </c>
      <c r="K1470" s="2" t="s">
        <v>507</v>
      </c>
      <c r="L1470" s="2" t="n">
        <v>0.11</v>
      </c>
      <c r="M1470" s="2" t="n">
        <v>1</v>
      </c>
    </row>
    <row r="1471" customFormat="false" ht="15" hidden="false" customHeight="false" outlineLevel="0" collapsed="false">
      <c r="A1471" s="2" t="n">
        <v>1469</v>
      </c>
      <c r="B1471" s="2" t="s">
        <v>6298</v>
      </c>
      <c r="C1471" s="2" t="n">
        <v>3</v>
      </c>
      <c r="D1471" s="2" t="n">
        <v>0</v>
      </c>
      <c r="E1471" s="2" t="s">
        <v>6440</v>
      </c>
      <c r="F1471" s="2" t="s">
        <v>1866</v>
      </c>
      <c r="G1471" s="2" t="s">
        <v>6441</v>
      </c>
      <c r="H1471" s="2" t="s">
        <v>4380</v>
      </c>
      <c r="I1471" s="2" t="s">
        <v>795</v>
      </c>
      <c r="J1471" s="2" t="s">
        <v>11803</v>
      </c>
      <c r="K1471" s="2" t="s">
        <v>507</v>
      </c>
      <c r="L1471" s="2" t="n">
        <v>0</v>
      </c>
      <c r="M1471" s="2" t="n">
        <v>0.55</v>
      </c>
    </row>
    <row r="1472" customFormat="false" ht="15" hidden="false" customHeight="false" outlineLevel="0" collapsed="false">
      <c r="A1472" s="2" t="n">
        <v>1470</v>
      </c>
      <c r="B1472" s="2" t="s">
        <v>6450</v>
      </c>
      <c r="C1472" s="2" t="n">
        <v>0</v>
      </c>
      <c r="D1472" s="2" t="n">
        <v>0</v>
      </c>
      <c r="E1472" s="2" t="s">
        <v>11804</v>
      </c>
      <c r="F1472" s="2" t="s">
        <v>1563</v>
      </c>
      <c r="G1472" s="2" t="s">
        <v>11805</v>
      </c>
      <c r="H1472" s="2" t="s">
        <v>1146</v>
      </c>
      <c r="I1472" s="2" t="s">
        <v>795</v>
      </c>
      <c r="J1472" s="2" t="s">
        <v>11806</v>
      </c>
      <c r="K1472" s="2" t="s">
        <v>507</v>
      </c>
      <c r="L1472" s="2" t="n">
        <v>0</v>
      </c>
      <c r="M1472" s="2" t="n">
        <v>1</v>
      </c>
    </row>
    <row r="1473" customFormat="false" ht="15" hidden="false" customHeight="false" outlineLevel="0" collapsed="false">
      <c r="A1473" s="2" t="n">
        <v>1471</v>
      </c>
      <c r="B1473" s="2" t="s">
        <v>6450</v>
      </c>
      <c r="C1473" s="2" t="n">
        <v>1</v>
      </c>
      <c r="D1473" s="2" t="n">
        <v>1</v>
      </c>
      <c r="E1473" s="2" t="s">
        <v>6454</v>
      </c>
      <c r="F1473" s="2" t="s">
        <v>743</v>
      </c>
      <c r="G1473" s="2" t="s">
        <v>6455</v>
      </c>
      <c r="H1473" s="2" t="s">
        <v>3212</v>
      </c>
      <c r="I1473" s="2" t="s">
        <v>795</v>
      </c>
      <c r="J1473" s="2" t="s">
        <v>11807</v>
      </c>
      <c r="K1473" s="2" t="s">
        <v>507</v>
      </c>
      <c r="L1473" s="2" t="n">
        <v>0.09</v>
      </c>
      <c r="M1473" s="2" t="n">
        <v>0.73</v>
      </c>
    </row>
    <row r="1474" customFormat="false" ht="15" hidden="false" customHeight="false" outlineLevel="0" collapsed="false">
      <c r="A1474" s="2" t="n">
        <v>1472</v>
      </c>
      <c r="B1474" s="2" t="s">
        <v>6450</v>
      </c>
      <c r="C1474" s="2" t="n">
        <v>7</v>
      </c>
      <c r="D1474" s="2" t="n">
        <v>0</v>
      </c>
      <c r="E1474" s="2" t="s">
        <v>6458</v>
      </c>
      <c r="F1474" s="2" t="s">
        <v>5387</v>
      </c>
      <c r="G1474" s="2" t="s">
        <v>6459</v>
      </c>
      <c r="H1474" s="2" t="s">
        <v>6347</v>
      </c>
      <c r="I1474" s="2" t="s">
        <v>2594</v>
      </c>
      <c r="J1474" s="2" t="s">
        <v>11808</v>
      </c>
      <c r="K1474" s="2" t="s">
        <v>507</v>
      </c>
      <c r="L1474" s="2" t="n">
        <v>0</v>
      </c>
      <c r="M1474" s="2" t="n">
        <v>0.6</v>
      </c>
    </row>
    <row r="1475" customFormat="false" ht="15" hidden="false" customHeight="false" outlineLevel="0" collapsed="false">
      <c r="A1475" s="2" t="n">
        <v>1473</v>
      </c>
      <c r="B1475" s="2" t="s">
        <v>6450</v>
      </c>
      <c r="C1475" s="2" t="n">
        <v>1</v>
      </c>
      <c r="D1475" s="2" t="n">
        <v>0</v>
      </c>
      <c r="E1475" s="2" t="s">
        <v>6484</v>
      </c>
      <c r="F1475" s="2" t="s">
        <v>4378</v>
      </c>
      <c r="G1475" s="2" t="s">
        <v>6485</v>
      </c>
      <c r="H1475" s="2" t="s">
        <v>2195</v>
      </c>
      <c r="I1475" s="2" t="s">
        <v>5519</v>
      </c>
      <c r="J1475" s="2" t="s">
        <v>11809</v>
      </c>
      <c r="K1475" s="2" t="s">
        <v>507</v>
      </c>
      <c r="L1475" s="2" t="n">
        <v>0</v>
      </c>
      <c r="M1475" s="2" t="n">
        <v>0.89</v>
      </c>
    </row>
    <row r="1476" customFormat="false" ht="15" hidden="false" customHeight="false" outlineLevel="0" collapsed="false">
      <c r="A1476" s="2" t="n">
        <v>1474</v>
      </c>
      <c r="B1476" s="2" t="s">
        <v>6450</v>
      </c>
      <c r="C1476" s="2" t="n">
        <v>0</v>
      </c>
      <c r="D1476" s="2" t="n">
        <v>0</v>
      </c>
      <c r="E1476" s="2" t="s">
        <v>11810</v>
      </c>
      <c r="F1476" s="2" t="s">
        <v>176</v>
      </c>
      <c r="G1476" s="2" t="s">
        <v>11811</v>
      </c>
      <c r="H1476" s="2" t="s">
        <v>6500</v>
      </c>
      <c r="I1476" s="2" t="s">
        <v>5519</v>
      </c>
      <c r="J1476" s="2" t="s">
        <v>11812</v>
      </c>
      <c r="K1476" s="2" t="s">
        <v>507</v>
      </c>
      <c r="L1476" s="2" t="n">
        <v>0</v>
      </c>
      <c r="M1476" s="2" t="n">
        <v>0.75</v>
      </c>
    </row>
    <row r="1477" customFormat="false" ht="15" hidden="false" customHeight="false" outlineLevel="0" collapsed="false">
      <c r="A1477" s="2" t="n">
        <v>1475</v>
      </c>
      <c r="B1477" s="2" t="s">
        <v>6450</v>
      </c>
      <c r="C1477" s="2" t="n">
        <v>4</v>
      </c>
      <c r="D1477" s="2" t="n">
        <v>0</v>
      </c>
      <c r="E1477" s="2" t="s">
        <v>6489</v>
      </c>
      <c r="F1477" s="2" t="s">
        <v>963</v>
      </c>
      <c r="G1477" s="2" t="s">
        <v>6490</v>
      </c>
      <c r="H1477" s="2" t="s">
        <v>745</v>
      </c>
      <c r="I1477" s="2" t="s">
        <v>795</v>
      </c>
      <c r="J1477" s="2" t="s">
        <v>11813</v>
      </c>
      <c r="K1477" s="2" t="s">
        <v>507</v>
      </c>
      <c r="L1477" s="2" t="n">
        <v>0</v>
      </c>
      <c r="M1477" s="2" t="n">
        <v>0.78</v>
      </c>
    </row>
    <row r="1478" customFormat="false" ht="15" hidden="false" customHeight="false" outlineLevel="0" collapsed="false">
      <c r="A1478" s="2" t="n">
        <v>1476</v>
      </c>
      <c r="B1478" s="2" t="s">
        <v>6450</v>
      </c>
      <c r="C1478" s="2" t="n">
        <v>1</v>
      </c>
      <c r="D1478" s="2" t="n">
        <v>0</v>
      </c>
      <c r="E1478" s="2" t="s">
        <v>6499</v>
      </c>
      <c r="F1478" s="2" t="s">
        <v>6500</v>
      </c>
      <c r="G1478" s="2" t="s">
        <v>6501</v>
      </c>
      <c r="H1478" s="2" t="s">
        <v>420</v>
      </c>
      <c r="I1478" s="2" t="s">
        <v>5519</v>
      </c>
      <c r="J1478" s="2" t="s">
        <v>11814</v>
      </c>
      <c r="K1478" s="2" t="s">
        <v>507</v>
      </c>
      <c r="L1478" s="2" t="n">
        <v>0.08</v>
      </c>
      <c r="M1478" s="2" t="n">
        <v>1</v>
      </c>
    </row>
    <row r="1479" customFormat="false" ht="15" hidden="false" customHeight="false" outlineLevel="0" collapsed="false">
      <c r="A1479" s="2" t="n">
        <v>1477</v>
      </c>
      <c r="B1479" s="2" t="s">
        <v>6450</v>
      </c>
      <c r="C1479" s="2" t="n">
        <v>1</v>
      </c>
      <c r="D1479" s="2" t="n">
        <v>1</v>
      </c>
      <c r="E1479" s="2" t="s">
        <v>6505</v>
      </c>
      <c r="F1479" s="2" t="s">
        <v>6506</v>
      </c>
      <c r="G1479" s="2" t="s">
        <v>6507</v>
      </c>
      <c r="H1479" s="2" t="s">
        <v>696</v>
      </c>
      <c r="I1479" s="2" t="s">
        <v>795</v>
      </c>
      <c r="J1479" s="2" t="s">
        <v>11815</v>
      </c>
      <c r="K1479" s="2" t="s">
        <v>507</v>
      </c>
      <c r="L1479" s="2" t="n">
        <v>0</v>
      </c>
      <c r="M1479" s="2" t="n">
        <v>0.64</v>
      </c>
    </row>
    <row r="1480" customFormat="false" ht="15" hidden="false" customHeight="false" outlineLevel="0" collapsed="false">
      <c r="A1480" s="2" t="n">
        <v>1478</v>
      </c>
      <c r="B1480" s="2" t="s">
        <v>6450</v>
      </c>
      <c r="C1480" s="2" t="n">
        <v>1</v>
      </c>
      <c r="D1480" s="2" t="n">
        <v>0</v>
      </c>
      <c r="E1480" s="2" t="s">
        <v>6514</v>
      </c>
      <c r="F1480" s="2" t="s">
        <v>743</v>
      </c>
      <c r="G1480" s="2" t="s">
        <v>6515</v>
      </c>
      <c r="H1480" s="2" t="s">
        <v>696</v>
      </c>
      <c r="I1480" s="2" t="s">
        <v>5519</v>
      </c>
      <c r="J1480" s="2" t="s">
        <v>11816</v>
      </c>
      <c r="K1480" s="2" t="s">
        <v>507</v>
      </c>
      <c r="L1480" s="2" t="n">
        <v>0.12</v>
      </c>
      <c r="M1480" s="2" t="n">
        <v>0.75</v>
      </c>
    </row>
    <row r="1481" customFormat="false" ht="15" hidden="false" customHeight="false" outlineLevel="0" collapsed="false">
      <c r="A1481" s="2" t="n">
        <v>1479</v>
      </c>
      <c r="B1481" s="2" t="s">
        <v>6450</v>
      </c>
      <c r="C1481" s="2" t="n">
        <v>0</v>
      </c>
      <c r="D1481" s="2" t="n">
        <v>0</v>
      </c>
      <c r="E1481" s="2" t="s">
        <v>11817</v>
      </c>
      <c r="F1481" s="2" t="s">
        <v>6521</v>
      </c>
      <c r="G1481" s="2" t="s">
        <v>11818</v>
      </c>
      <c r="H1481" s="2" t="s">
        <v>3315</v>
      </c>
      <c r="I1481" s="2" t="s">
        <v>5519</v>
      </c>
      <c r="J1481" s="2" t="s">
        <v>11819</v>
      </c>
      <c r="K1481" s="2" t="s">
        <v>507</v>
      </c>
      <c r="L1481" s="2" t="n">
        <v>0</v>
      </c>
      <c r="M1481" s="2" t="n">
        <v>0.83</v>
      </c>
    </row>
    <row r="1482" customFormat="false" ht="15" hidden="false" customHeight="false" outlineLevel="0" collapsed="false">
      <c r="A1482" s="2" t="n">
        <v>1480</v>
      </c>
      <c r="B1482" s="2" t="s">
        <v>6450</v>
      </c>
      <c r="C1482" s="2" t="n">
        <v>2</v>
      </c>
      <c r="D1482" s="2" t="n">
        <v>1</v>
      </c>
      <c r="E1482" s="2" t="s">
        <v>6520</v>
      </c>
      <c r="F1482" s="2" t="s">
        <v>6521</v>
      </c>
      <c r="G1482" s="2" t="s">
        <v>6522</v>
      </c>
      <c r="H1482" s="2" t="s">
        <v>6523</v>
      </c>
      <c r="I1482" s="2" t="s">
        <v>1138</v>
      </c>
      <c r="J1482" s="2" t="s">
        <v>11820</v>
      </c>
      <c r="K1482" s="2" t="s">
        <v>507</v>
      </c>
      <c r="L1482" s="2" t="n">
        <v>0.11</v>
      </c>
      <c r="M1482" s="2" t="n">
        <v>0.83</v>
      </c>
    </row>
    <row r="1483" customFormat="false" ht="15" hidden="false" customHeight="false" outlineLevel="0" collapsed="false">
      <c r="A1483" s="2" t="n">
        <v>1481</v>
      </c>
      <c r="B1483" s="2" t="s">
        <v>6450</v>
      </c>
      <c r="C1483" s="2" t="n">
        <v>1</v>
      </c>
      <c r="D1483" s="2" t="n">
        <v>0</v>
      </c>
      <c r="E1483" s="2" t="s">
        <v>6529</v>
      </c>
      <c r="F1483" s="2" t="s">
        <v>743</v>
      </c>
      <c r="G1483" s="2" t="s">
        <v>6530</v>
      </c>
      <c r="H1483" s="2" t="s">
        <v>745</v>
      </c>
      <c r="I1483" s="2" t="s">
        <v>1188</v>
      </c>
      <c r="J1483" s="2" t="s">
        <v>11821</v>
      </c>
      <c r="K1483" s="2" t="s">
        <v>507</v>
      </c>
      <c r="L1483" s="2" t="n">
        <v>0.08</v>
      </c>
      <c r="M1483" s="2" t="n">
        <v>0.5</v>
      </c>
    </row>
    <row r="1484" customFormat="false" ht="15" hidden="false" customHeight="false" outlineLevel="0" collapsed="false">
      <c r="A1484" s="2" t="n">
        <v>1482</v>
      </c>
      <c r="B1484" s="2" t="s">
        <v>6450</v>
      </c>
      <c r="C1484" s="2" t="n">
        <v>3</v>
      </c>
      <c r="D1484" s="2" t="n">
        <v>0</v>
      </c>
      <c r="E1484" s="2" t="s">
        <v>6534</v>
      </c>
      <c r="F1484" s="2" t="s">
        <v>1168</v>
      </c>
      <c r="G1484" s="2" t="s">
        <v>6535</v>
      </c>
      <c r="H1484" s="2" t="s">
        <v>2283</v>
      </c>
      <c r="I1484" s="2" t="s">
        <v>1204</v>
      </c>
      <c r="J1484" s="2" t="s">
        <v>11822</v>
      </c>
      <c r="K1484" s="2" t="s">
        <v>507</v>
      </c>
      <c r="L1484" s="2" t="n">
        <v>0.29</v>
      </c>
      <c r="M1484" s="2" t="n">
        <v>1</v>
      </c>
    </row>
    <row r="1485" customFormat="false" ht="15" hidden="false" customHeight="false" outlineLevel="0" collapsed="false">
      <c r="A1485" s="2" t="n">
        <v>1483</v>
      </c>
      <c r="B1485" s="2" t="s">
        <v>6450</v>
      </c>
      <c r="C1485" s="2" t="n">
        <v>1</v>
      </c>
      <c r="D1485" s="2" t="n">
        <v>1</v>
      </c>
      <c r="E1485" s="2" t="s">
        <v>6546</v>
      </c>
      <c r="F1485" s="2" t="s">
        <v>1498</v>
      </c>
      <c r="G1485" s="2" t="s">
        <v>6547</v>
      </c>
      <c r="H1485" s="2" t="s">
        <v>745</v>
      </c>
      <c r="I1485" s="2" t="s">
        <v>421</v>
      </c>
      <c r="J1485" s="2" t="s">
        <v>11823</v>
      </c>
      <c r="K1485" s="2" t="s">
        <v>507</v>
      </c>
      <c r="L1485" s="2" t="n">
        <v>0</v>
      </c>
      <c r="M1485" s="2" t="n">
        <v>0.8</v>
      </c>
    </row>
    <row r="1486" customFormat="false" ht="15" hidden="false" customHeight="false" outlineLevel="0" collapsed="false">
      <c r="A1486" s="2" t="n">
        <v>1484</v>
      </c>
      <c r="B1486" s="2" t="s">
        <v>6450</v>
      </c>
      <c r="C1486" s="2" t="n">
        <v>1</v>
      </c>
      <c r="D1486" s="2" t="n">
        <v>0</v>
      </c>
      <c r="E1486" s="2" t="s">
        <v>6552</v>
      </c>
      <c r="F1486" s="2" t="s">
        <v>4394</v>
      </c>
      <c r="G1486" s="2" t="s">
        <v>6553</v>
      </c>
      <c r="H1486" s="2" t="s">
        <v>745</v>
      </c>
      <c r="I1486" s="2" t="s">
        <v>421</v>
      </c>
      <c r="J1486" s="2" t="s">
        <v>11824</v>
      </c>
      <c r="K1486" s="2" t="s">
        <v>507</v>
      </c>
      <c r="L1486" s="2" t="n">
        <v>0</v>
      </c>
      <c r="M1486" s="2" t="n">
        <v>0.64</v>
      </c>
    </row>
    <row r="1487" customFormat="false" ht="15" hidden="false" customHeight="false" outlineLevel="0" collapsed="false">
      <c r="A1487" s="2" t="n">
        <v>1485</v>
      </c>
      <c r="B1487" s="2" t="s">
        <v>6450</v>
      </c>
      <c r="C1487" s="2" t="n">
        <v>1</v>
      </c>
      <c r="D1487" s="2" t="n">
        <v>0</v>
      </c>
      <c r="E1487" s="2" t="s">
        <v>6558</v>
      </c>
      <c r="F1487" s="2" t="s">
        <v>6559</v>
      </c>
      <c r="G1487" s="2" t="s">
        <v>6560</v>
      </c>
      <c r="H1487" s="2" t="s">
        <v>97</v>
      </c>
      <c r="I1487" s="2" t="s">
        <v>430</v>
      </c>
      <c r="J1487" s="2" t="s">
        <v>11825</v>
      </c>
      <c r="K1487" s="2" t="s">
        <v>507</v>
      </c>
      <c r="L1487" s="2" t="n">
        <v>0</v>
      </c>
      <c r="M1487" s="2" t="n">
        <v>0.89</v>
      </c>
    </row>
    <row r="1488" customFormat="false" ht="15" hidden="false" customHeight="false" outlineLevel="0" collapsed="false">
      <c r="A1488" s="2" t="n">
        <v>1486</v>
      </c>
      <c r="B1488" s="2" t="s">
        <v>6450</v>
      </c>
      <c r="C1488" s="2" t="n">
        <v>0</v>
      </c>
      <c r="D1488" s="2" t="n">
        <v>0</v>
      </c>
      <c r="E1488" s="2" t="s">
        <v>11826</v>
      </c>
      <c r="F1488" s="2" t="s">
        <v>6500</v>
      </c>
      <c r="G1488" s="2" t="s">
        <v>11827</v>
      </c>
      <c r="H1488" s="2" t="s">
        <v>11828</v>
      </c>
      <c r="I1488" s="2" t="s">
        <v>3169</v>
      </c>
      <c r="J1488" s="2" t="s">
        <v>11829</v>
      </c>
      <c r="K1488" s="2" t="s">
        <v>507</v>
      </c>
      <c r="L1488" s="2" t="n">
        <v>0</v>
      </c>
      <c r="M1488" s="2" t="n">
        <v>1</v>
      </c>
    </row>
    <row r="1489" customFormat="false" ht="15" hidden="false" customHeight="false" outlineLevel="0" collapsed="false">
      <c r="A1489" s="2" t="n">
        <v>1487</v>
      </c>
      <c r="B1489" s="2" t="s">
        <v>6450</v>
      </c>
      <c r="C1489" s="2" t="n">
        <v>0</v>
      </c>
      <c r="D1489" s="2" t="n">
        <v>0</v>
      </c>
      <c r="E1489" s="2" t="s">
        <v>11830</v>
      </c>
      <c r="F1489" s="2" t="s">
        <v>743</v>
      </c>
      <c r="G1489" s="2" t="s">
        <v>11831</v>
      </c>
      <c r="H1489" s="2" t="s">
        <v>9189</v>
      </c>
      <c r="I1489" s="2" t="s">
        <v>2334</v>
      </c>
      <c r="J1489" s="2" t="s">
        <v>11832</v>
      </c>
      <c r="K1489" s="2" t="s">
        <v>507</v>
      </c>
      <c r="L1489" s="2" t="n">
        <v>0</v>
      </c>
      <c r="M1489" s="2" t="n">
        <v>0.42</v>
      </c>
    </row>
    <row r="1490" customFormat="false" ht="15" hidden="false" customHeight="false" outlineLevel="0" collapsed="false">
      <c r="A1490" s="2" t="n">
        <v>1488</v>
      </c>
      <c r="B1490" s="2" t="s">
        <v>6450</v>
      </c>
      <c r="C1490" s="2" t="n">
        <v>0</v>
      </c>
      <c r="D1490" s="2" t="n">
        <v>0</v>
      </c>
      <c r="E1490" s="2" t="s">
        <v>11833</v>
      </c>
      <c r="F1490" s="2" t="s">
        <v>11834</v>
      </c>
      <c r="G1490" s="2" t="s">
        <v>11835</v>
      </c>
      <c r="H1490" s="2" t="s">
        <v>11836</v>
      </c>
      <c r="I1490" s="2" t="s">
        <v>3194</v>
      </c>
      <c r="J1490" s="2" t="s">
        <v>11837</v>
      </c>
      <c r="K1490" s="2" t="s">
        <v>507</v>
      </c>
      <c r="L1490" s="2" t="n">
        <v>0</v>
      </c>
      <c r="M1490" s="2" t="n">
        <v>0.6</v>
      </c>
    </row>
    <row r="1491" customFormat="false" ht="15" hidden="false" customHeight="false" outlineLevel="0" collapsed="false">
      <c r="A1491" s="2" t="n">
        <v>1489</v>
      </c>
      <c r="B1491" s="2" t="s">
        <v>6450</v>
      </c>
      <c r="C1491" s="2" t="n">
        <v>0</v>
      </c>
      <c r="D1491" s="2" t="n">
        <v>0</v>
      </c>
      <c r="E1491" s="2" t="s">
        <v>11838</v>
      </c>
      <c r="F1491" s="2" t="s">
        <v>743</v>
      </c>
      <c r="G1491" s="2" t="s">
        <v>11839</v>
      </c>
      <c r="H1491" s="2" t="s">
        <v>97</v>
      </c>
      <c r="I1491" s="2" t="s">
        <v>4276</v>
      </c>
      <c r="J1491" s="2" t="s">
        <v>11840</v>
      </c>
      <c r="K1491" s="2" t="s">
        <v>507</v>
      </c>
      <c r="L1491" s="2" t="n">
        <v>0</v>
      </c>
      <c r="M1491" s="2" t="n">
        <v>0.85</v>
      </c>
    </row>
    <row r="1492" customFormat="false" ht="15" hidden="false" customHeight="false" outlineLevel="0" collapsed="false">
      <c r="A1492" s="2" t="n">
        <v>1490</v>
      </c>
      <c r="B1492" s="2" t="s">
        <v>6450</v>
      </c>
      <c r="C1492" s="2" t="n">
        <v>0</v>
      </c>
      <c r="D1492" s="2" t="n">
        <v>0</v>
      </c>
      <c r="E1492" s="2" t="s">
        <v>11841</v>
      </c>
      <c r="F1492" s="2" t="s">
        <v>6572</v>
      </c>
      <c r="G1492" s="2" t="s">
        <v>11842</v>
      </c>
      <c r="H1492" s="2" t="s">
        <v>745</v>
      </c>
      <c r="I1492" s="2" t="s">
        <v>430</v>
      </c>
      <c r="J1492" s="2" t="s">
        <v>11843</v>
      </c>
      <c r="K1492" s="2" t="s">
        <v>507</v>
      </c>
      <c r="L1492" s="2" t="n">
        <v>0</v>
      </c>
      <c r="M1492" s="2" t="n">
        <v>0.58</v>
      </c>
    </row>
    <row r="1493" customFormat="false" ht="15" hidden="false" customHeight="false" outlineLevel="0" collapsed="false">
      <c r="A1493" s="2" t="n">
        <v>1491</v>
      </c>
      <c r="B1493" s="2" t="s">
        <v>6450</v>
      </c>
      <c r="C1493" s="2" t="n">
        <v>0</v>
      </c>
      <c r="D1493" s="2" t="n">
        <v>0</v>
      </c>
      <c r="E1493" s="2" t="s">
        <v>11844</v>
      </c>
      <c r="F1493" s="2" t="s">
        <v>6506</v>
      </c>
      <c r="G1493" s="2" t="s">
        <v>11845</v>
      </c>
      <c r="H1493" s="2" t="s">
        <v>97</v>
      </c>
      <c r="I1493" s="2" t="s">
        <v>697</v>
      </c>
      <c r="J1493" s="2" t="s">
        <v>11846</v>
      </c>
      <c r="K1493" s="2" t="s">
        <v>507</v>
      </c>
      <c r="L1493" s="2" t="n">
        <v>0</v>
      </c>
      <c r="M1493" s="2" t="n">
        <v>0.78</v>
      </c>
    </row>
    <row r="1494" customFormat="false" ht="15" hidden="false" customHeight="false" outlineLevel="0" collapsed="false">
      <c r="A1494" s="2" t="n">
        <v>1492</v>
      </c>
      <c r="B1494" s="2" t="s">
        <v>6450</v>
      </c>
      <c r="C1494" s="2" t="n">
        <v>0</v>
      </c>
      <c r="D1494" s="2" t="n">
        <v>0</v>
      </c>
      <c r="E1494" s="2" t="s">
        <v>11847</v>
      </c>
      <c r="F1494" s="2" t="s">
        <v>694</v>
      </c>
      <c r="G1494" s="2" t="s">
        <v>11848</v>
      </c>
      <c r="H1494" s="2" t="s">
        <v>696</v>
      </c>
      <c r="I1494" s="2" t="s">
        <v>2204</v>
      </c>
      <c r="J1494" s="2" t="s">
        <v>11849</v>
      </c>
      <c r="K1494" s="2" t="s">
        <v>507</v>
      </c>
      <c r="L1494" s="2" t="n">
        <v>0</v>
      </c>
      <c r="M1494" s="2" t="n">
        <v>0.71</v>
      </c>
    </row>
    <row r="1495" customFormat="false" ht="15" hidden="false" customHeight="false" outlineLevel="0" collapsed="false">
      <c r="A1495" s="2" t="n">
        <v>1493</v>
      </c>
      <c r="B1495" s="2" t="s">
        <v>6450</v>
      </c>
      <c r="C1495" s="2" t="n">
        <v>0</v>
      </c>
      <c r="D1495" s="2" t="n">
        <v>0</v>
      </c>
      <c r="E1495" s="2" t="s">
        <v>11850</v>
      </c>
      <c r="F1495" s="2" t="s">
        <v>187</v>
      </c>
      <c r="G1495" s="2" t="s">
        <v>11851</v>
      </c>
      <c r="H1495" s="2" t="s">
        <v>965</v>
      </c>
      <c r="I1495" s="2" t="s">
        <v>2037</v>
      </c>
      <c r="J1495" s="2" t="s">
        <v>11852</v>
      </c>
      <c r="K1495" s="2" t="s">
        <v>507</v>
      </c>
      <c r="L1495" s="2" t="n">
        <v>0</v>
      </c>
      <c r="M1495" s="2" t="n">
        <v>0.3</v>
      </c>
    </row>
    <row r="1496" customFormat="false" ht="15" hidden="false" customHeight="false" outlineLevel="0" collapsed="false">
      <c r="A1496" s="2" t="n">
        <v>1494</v>
      </c>
      <c r="B1496" s="2" t="s">
        <v>6450</v>
      </c>
      <c r="C1496" s="2" t="n">
        <v>0</v>
      </c>
      <c r="D1496" s="2" t="n">
        <v>0</v>
      </c>
      <c r="E1496" s="2" t="s">
        <v>11853</v>
      </c>
      <c r="F1496" s="2" t="s">
        <v>6559</v>
      </c>
      <c r="G1496" s="2" t="s">
        <v>11854</v>
      </c>
      <c r="H1496" s="2" t="s">
        <v>6567</v>
      </c>
      <c r="I1496" s="2" t="s">
        <v>7889</v>
      </c>
      <c r="J1496" s="2" t="s">
        <v>11855</v>
      </c>
      <c r="K1496" s="2" t="s">
        <v>507</v>
      </c>
      <c r="L1496" s="2" t="n">
        <v>0.11</v>
      </c>
      <c r="M1496" s="2" t="n">
        <v>0.56</v>
      </c>
    </row>
    <row r="1497" customFormat="false" ht="15" hidden="false" customHeight="false" outlineLevel="0" collapsed="false">
      <c r="A1497" s="2" t="n">
        <v>1495</v>
      </c>
      <c r="B1497" s="2" t="s">
        <v>6450</v>
      </c>
      <c r="C1497" s="2" t="n">
        <v>1</v>
      </c>
      <c r="D1497" s="2" t="n">
        <v>1</v>
      </c>
      <c r="E1497" s="2" t="s">
        <v>6564</v>
      </c>
      <c r="F1497" s="2" t="s">
        <v>6565</v>
      </c>
      <c r="G1497" s="2" t="s">
        <v>6566</v>
      </c>
      <c r="H1497" s="2" t="s">
        <v>6567</v>
      </c>
      <c r="I1497" s="2" t="s">
        <v>1261</v>
      </c>
      <c r="J1497" s="2" t="s">
        <v>11856</v>
      </c>
      <c r="K1497" s="2" t="s">
        <v>507</v>
      </c>
      <c r="L1497" s="2" t="n">
        <v>0</v>
      </c>
      <c r="M1497" s="2" t="n">
        <v>0.82</v>
      </c>
    </row>
    <row r="1498" customFormat="false" ht="15" hidden="false" customHeight="false" outlineLevel="0" collapsed="false">
      <c r="A1498" s="2" t="n">
        <v>1496</v>
      </c>
      <c r="B1498" s="2" t="s">
        <v>6450</v>
      </c>
      <c r="C1498" s="2" t="n">
        <v>1</v>
      </c>
      <c r="D1498" s="2" t="n">
        <v>1</v>
      </c>
      <c r="E1498" s="2" t="s">
        <v>6571</v>
      </c>
      <c r="F1498" s="2" t="s">
        <v>6572</v>
      </c>
      <c r="G1498" s="2" t="s">
        <v>6573</v>
      </c>
      <c r="H1498" s="2" t="s">
        <v>1043</v>
      </c>
      <c r="I1498" s="2" t="s">
        <v>2158</v>
      </c>
      <c r="J1498" s="2" t="s">
        <v>11857</v>
      </c>
      <c r="K1498" s="2" t="s">
        <v>507</v>
      </c>
      <c r="L1498" s="2" t="n">
        <v>0</v>
      </c>
      <c r="M1498" s="2" t="n">
        <v>1</v>
      </c>
    </row>
    <row r="1499" customFormat="false" ht="15" hidden="false" customHeight="false" outlineLevel="0" collapsed="false">
      <c r="A1499" s="2" t="n">
        <v>1497</v>
      </c>
      <c r="B1499" s="2" t="s">
        <v>6450</v>
      </c>
      <c r="C1499" s="2" t="n">
        <v>1</v>
      </c>
      <c r="D1499" s="2" t="n">
        <v>0</v>
      </c>
      <c r="E1499" s="2" t="s">
        <v>6577</v>
      </c>
      <c r="F1499" s="2" t="s">
        <v>176</v>
      </c>
      <c r="G1499" s="2" t="s">
        <v>6578</v>
      </c>
      <c r="H1499" s="2" t="s">
        <v>745</v>
      </c>
      <c r="I1499" s="2" t="s">
        <v>1810</v>
      </c>
      <c r="J1499" s="2" t="s">
        <v>11858</v>
      </c>
      <c r="K1499" s="2" t="s">
        <v>507</v>
      </c>
      <c r="L1499" s="2" t="n">
        <v>0.22</v>
      </c>
      <c r="M1499" s="2" t="n">
        <v>0.55</v>
      </c>
    </row>
    <row r="1500" customFormat="false" ht="15" hidden="false" customHeight="false" outlineLevel="0" collapsed="false">
      <c r="A1500" s="2" t="n">
        <v>1498</v>
      </c>
      <c r="B1500" s="2" t="s">
        <v>6450</v>
      </c>
      <c r="C1500" s="2" t="n">
        <v>1</v>
      </c>
      <c r="D1500" s="2" t="n">
        <v>1</v>
      </c>
      <c r="E1500" s="2" t="s">
        <v>6585</v>
      </c>
      <c r="F1500" s="2" t="s">
        <v>743</v>
      </c>
      <c r="G1500" s="2" t="s">
        <v>6586</v>
      </c>
      <c r="H1500" s="2" t="s">
        <v>6587</v>
      </c>
      <c r="I1500" s="2" t="s">
        <v>1634</v>
      </c>
      <c r="J1500" s="2" t="s">
        <v>11859</v>
      </c>
      <c r="K1500" s="2" t="s">
        <v>507</v>
      </c>
      <c r="L1500" s="2" t="n">
        <v>0</v>
      </c>
      <c r="M1500" s="2" t="n">
        <v>0.75</v>
      </c>
    </row>
    <row r="1501" customFormat="false" ht="15" hidden="false" customHeight="false" outlineLevel="0" collapsed="false">
      <c r="A1501" s="2" t="n">
        <v>1499</v>
      </c>
      <c r="B1501" s="2" t="s">
        <v>6450</v>
      </c>
      <c r="C1501" s="2" t="n">
        <v>0</v>
      </c>
      <c r="D1501" s="2" t="n">
        <v>0</v>
      </c>
      <c r="E1501" s="2" t="s">
        <v>11860</v>
      </c>
      <c r="F1501" s="2" t="s">
        <v>6506</v>
      </c>
      <c r="G1501" s="2" t="s">
        <v>11861</v>
      </c>
      <c r="H1501" s="2" t="s">
        <v>2233</v>
      </c>
      <c r="I1501" s="2" t="s">
        <v>9138</v>
      </c>
      <c r="J1501" s="2" t="s">
        <v>11862</v>
      </c>
      <c r="K1501" s="2" t="s">
        <v>507</v>
      </c>
      <c r="L1501" s="2" t="n">
        <v>0.11</v>
      </c>
      <c r="M1501" s="2" t="n">
        <v>0.45</v>
      </c>
    </row>
    <row r="1502" customFormat="false" ht="15" hidden="false" customHeight="false" outlineLevel="0" collapsed="false">
      <c r="A1502" s="2" t="n">
        <v>1500</v>
      </c>
      <c r="B1502" s="2" t="s">
        <v>6588</v>
      </c>
      <c r="C1502" s="2" t="n">
        <v>0</v>
      </c>
      <c r="D1502" s="2" t="n">
        <v>0</v>
      </c>
      <c r="E1502" s="2" t="s">
        <v>11863</v>
      </c>
      <c r="F1502" s="2" t="s">
        <v>743</v>
      </c>
      <c r="G1502" s="2" t="s">
        <v>11864</v>
      </c>
      <c r="H1502" s="2" t="s">
        <v>11865</v>
      </c>
      <c r="I1502" s="2" t="s">
        <v>1810</v>
      </c>
      <c r="J1502" s="2" t="s">
        <v>11866</v>
      </c>
      <c r="K1502" s="2" t="s">
        <v>507</v>
      </c>
      <c r="L1502" s="2" t="n">
        <v>0</v>
      </c>
      <c r="M1502" s="2" t="n">
        <v>0.4</v>
      </c>
    </row>
    <row r="1503" customFormat="false" ht="15" hidden="false" customHeight="false" outlineLevel="0" collapsed="false">
      <c r="A1503" s="2" t="n">
        <v>1501</v>
      </c>
      <c r="B1503" s="2" t="s">
        <v>6588</v>
      </c>
      <c r="C1503" s="2" t="n">
        <v>1</v>
      </c>
      <c r="D1503" s="2" t="n">
        <v>1</v>
      </c>
      <c r="E1503" s="2" t="s">
        <v>6591</v>
      </c>
      <c r="F1503" s="2" t="s">
        <v>743</v>
      </c>
      <c r="G1503" s="2" t="s">
        <v>6592</v>
      </c>
      <c r="H1503" s="2" t="s">
        <v>6572</v>
      </c>
      <c r="I1503" s="2" t="s">
        <v>283</v>
      </c>
      <c r="J1503" s="2" t="s">
        <v>11867</v>
      </c>
      <c r="K1503" s="2" t="s">
        <v>507</v>
      </c>
      <c r="L1503" s="2" t="n">
        <v>0</v>
      </c>
      <c r="M1503" s="2" t="n">
        <v>0.6</v>
      </c>
    </row>
    <row r="1504" customFormat="false" ht="15" hidden="false" customHeight="false" outlineLevel="0" collapsed="false">
      <c r="A1504" s="2" t="n">
        <v>1502</v>
      </c>
      <c r="B1504" s="2" t="s">
        <v>6588</v>
      </c>
      <c r="C1504" s="2" t="n">
        <v>2</v>
      </c>
      <c r="D1504" s="2" t="n">
        <v>0</v>
      </c>
      <c r="E1504" s="2" t="s">
        <v>6598</v>
      </c>
      <c r="F1504" s="2" t="s">
        <v>6599</v>
      </c>
      <c r="G1504" s="2" t="s">
        <v>6600</v>
      </c>
      <c r="H1504" s="2" t="s">
        <v>603</v>
      </c>
      <c r="I1504" s="2" t="s">
        <v>6601</v>
      </c>
      <c r="J1504" s="2" t="s">
        <v>11868</v>
      </c>
      <c r="K1504" s="2" t="s">
        <v>507</v>
      </c>
      <c r="L1504" s="2" t="n">
        <v>0</v>
      </c>
      <c r="M1504" s="2" t="n">
        <v>0.67</v>
      </c>
    </row>
    <row r="1505" customFormat="false" ht="15" hidden="false" customHeight="false" outlineLevel="0" collapsed="false">
      <c r="A1505" s="2" t="n">
        <v>1503</v>
      </c>
      <c r="B1505" s="2" t="s">
        <v>6588</v>
      </c>
      <c r="C1505" s="2" t="n">
        <v>0</v>
      </c>
      <c r="D1505" s="2" t="n">
        <v>0</v>
      </c>
      <c r="E1505" s="2" t="s">
        <v>11869</v>
      </c>
      <c r="F1505" s="2" t="s">
        <v>4394</v>
      </c>
      <c r="G1505" s="2" t="s">
        <v>11870</v>
      </c>
      <c r="H1505" s="2" t="s">
        <v>1423</v>
      </c>
      <c r="I1505" s="2" t="s">
        <v>1810</v>
      </c>
      <c r="J1505" s="2" t="s">
        <v>11871</v>
      </c>
      <c r="K1505" s="2" t="s">
        <v>507</v>
      </c>
      <c r="L1505" s="2" t="n">
        <v>0</v>
      </c>
      <c r="M1505" s="2" t="n">
        <v>0.6</v>
      </c>
    </row>
    <row r="1506" customFormat="false" ht="15" hidden="false" customHeight="false" outlineLevel="0" collapsed="false">
      <c r="A1506" s="2" t="n">
        <v>1504</v>
      </c>
      <c r="B1506" s="2" t="s">
        <v>6588</v>
      </c>
      <c r="C1506" s="2" t="n">
        <v>0</v>
      </c>
      <c r="D1506" s="2" t="n">
        <v>0</v>
      </c>
      <c r="E1506" s="2" t="s">
        <v>11872</v>
      </c>
      <c r="F1506" s="2" t="s">
        <v>11873</v>
      </c>
      <c r="G1506" s="2" t="s">
        <v>11874</v>
      </c>
      <c r="H1506" s="2" t="s">
        <v>11875</v>
      </c>
      <c r="I1506" s="2" t="s">
        <v>1774</v>
      </c>
      <c r="J1506" s="2" t="s">
        <v>11876</v>
      </c>
      <c r="K1506" s="2" t="s">
        <v>507</v>
      </c>
      <c r="L1506" s="2" t="n">
        <v>0</v>
      </c>
      <c r="M1506" s="2" t="n">
        <v>0.75</v>
      </c>
    </row>
    <row r="1507" customFormat="false" ht="15" hidden="false" customHeight="false" outlineLevel="0" collapsed="false">
      <c r="A1507" s="2" t="n">
        <v>1505</v>
      </c>
      <c r="B1507" s="2" t="s">
        <v>6588</v>
      </c>
      <c r="C1507" s="2" t="n">
        <v>1</v>
      </c>
      <c r="D1507" s="2" t="n">
        <v>1</v>
      </c>
      <c r="E1507" s="2" t="s">
        <v>6611</v>
      </c>
      <c r="F1507" s="2" t="s">
        <v>6572</v>
      </c>
      <c r="G1507" s="2" t="s">
        <v>6612</v>
      </c>
      <c r="H1507" s="2" t="s">
        <v>6500</v>
      </c>
      <c r="I1507" s="2" t="s">
        <v>662</v>
      </c>
      <c r="J1507" s="2" t="s">
        <v>11877</v>
      </c>
      <c r="K1507" s="2" t="s">
        <v>507</v>
      </c>
      <c r="L1507" s="2" t="n">
        <v>0</v>
      </c>
      <c r="M1507" s="2" t="n">
        <v>0.73</v>
      </c>
    </row>
    <row r="1508" customFormat="false" ht="15" hidden="false" customHeight="false" outlineLevel="0" collapsed="false">
      <c r="A1508" s="2" t="n">
        <v>1506</v>
      </c>
      <c r="B1508" s="2" t="s">
        <v>6588</v>
      </c>
      <c r="C1508" s="2" t="n">
        <v>0</v>
      </c>
      <c r="D1508" s="2" t="n">
        <v>0</v>
      </c>
      <c r="E1508" s="2" t="s">
        <v>11878</v>
      </c>
      <c r="F1508" s="2" t="s">
        <v>6599</v>
      </c>
      <c r="G1508" s="2" t="s">
        <v>11879</v>
      </c>
      <c r="H1508" s="2" t="s">
        <v>1423</v>
      </c>
      <c r="I1508" s="2" t="s">
        <v>1634</v>
      </c>
      <c r="J1508" s="2" t="s">
        <v>11880</v>
      </c>
      <c r="K1508" s="2" t="s">
        <v>507</v>
      </c>
      <c r="L1508" s="2" t="n">
        <v>0.11</v>
      </c>
      <c r="M1508" s="2" t="n">
        <v>0.77</v>
      </c>
    </row>
    <row r="1509" customFormat="false" ht="15" hidden="false" customHeight="false" outlineLevel="0" collapsed="false">
      <c r="A1509" s="2" t="n">
        <v>1507</v>
      </c>
      <c r="B1509" s="2" t="s">
        <v>6588</v>
      </c>
      <c r="C1509" s="2" t="n">
        <v>1</v>
      </c>
      <c r="D1509" s="2" t="n">
        <v>0</v>
      </c>
      <c r="E1509" s="2" t="s">
        <v>6617</v>
      </c>
      <c r="F1509" s="2" t="s">
        <v>156</v>
      </c>
      <c r="G1509" s="2" t="s">
        <v>6618</v>
      </c>
      <c r="H1509" s="2" t="s">
        <v>745</v>
      </c>
      <c r="I1509" s="2" t="s">
        <v>4206</v>
      </c>
      <c r="J1509" s="2" t="s">
        <v>11881</v>
      </c>
      <c r="K1509" s="2" t="s">
        <v>507</v>
      </c>
      <c r="L1509" s="2" t="n">
        <v>0</v>
      </c>
      <c r="M1509" s="2" t="n">
        <v>0.8</v>
      </c>
    </row>
    <row r="1510" customFormat="false" ht="15" hidden="false" customHeight="false" outlineLevel="0" collapsed="false">
      <c r="A1510" s="2" t="n">
        <v>1508</v>
      </c>
      <c r="B1510" s="2" t="s">
        <v>6588</v>
      </c>
      <c r="C1510" s="2" t="n">
        <v>1</v>
      </c>
      <c r="D1510" s="2" t="n">
        <v>1</v>
      </c>
      <c r="E1510" s="2" t="s">
        <v>6623</v>
      </c>
      <c r="F1510" s="2" t="s">
        <v>453</v>
      </c>
      <c r="G1510" s="2" t="s">
        <v>6624</v>
      </c>
      <c r="H1510" s="2" t="s">
        <v>745</v>
      </c>
      <c r="I1510" s="2" t="s">
        <v>1614</v>
      </c>
      <c r="J1510" s="2" t="s">
        <v>11882</v>
      </c>
      <c r="K1510" s="2" t="s">
        <v>507</v>
      </c>
      <c r="L1510" s="2" t="n">
        <v>0</v>
      </c>
      <c r="M1510" s="2" t="n">
        <v>0.8</v>
      </c>
    </row>
    <row r="1511" customFormat="false" ht="15" hidden="false" customHeight="false" outlineLevel="0" collapsed="false">
      <c r="A1511" s="2" t="n">
        <v>1509</v>
      </c>
      <c r="B1511" s="2" t="s">
        <v>6588</v>
      </c>
      <c r="C1511" s="2" t="n">
        <v>0</v>
      </c>
      <c r="D1511" s="2" t="n">
        <v>0</v>
      </c>
      <c r="E1511" s="2" t="s">
        <v>11883</v>
      </c>
      <c r="F1511" s="2" t="s">
        <v>176</v>
      </c>
      <c r="G1511" s="2" t="s">
        <v>11884</v>
      </c>
      <c r="H1511" s="2" t="s">
        <v>745</v>
      </c>
      <c r="I1511" s="2" t="s">
        <v>4923</v>
      </c>
      <c r="J1511" s="2" t="s">
        <v>11885</v>
      </c>
      <c r="K1511" s="2" t="s">
        <v>507</v>
      </c>
      <c r="L1511" s="2" t="n">
        <v>0</v>
      </c>
      <c r="M1511" s="2" t="n">
        <v>0.58</v>
      </c>
    </row>
    <row r="1512" customFormat="false" ht="15" hidden="false" customHeight="false" outlineLevel="0" collapsed="false">
      <c r="A1512" s="2" t="n">
        <v>1510</v>
      </c>
      <c r="B1512" s="2" t="s">
        <v>6588</v>
      </c>
      <c r="C1512" s="2" t="n">
        <v>2</v>
      </c>
      <c r="D1512" s="2" t="n">
        <v>0</v>
      </c>
      <c r="E1512" s="2" t="s">
        <v>6628</v>
      </c>
      <c r="F1512" s="2" t="s">
        <v>156</v>
      </c>
      <c r="G1512" s="2" t="s">
        <v>6629</v>
      </c>
      <c r="H1512" s="2" t="s">
        <v>4313</v>
      </c>
      <c r="I1512" s="2" t="s">
        <v>2334</v>
      </c>
      <c r="J1512" s="2" t="s">
        <v>11886</v>
      </c>
      <c r="K1512" s="2" t="s">
        <v>507</v>
      </c>
      <c r="L1512" s="2" t="n">
        <v>0</v>
      </c>
      <c r="M1512" s="2" t="n">
        <v>0.5</v>
      </c>
    </row>
    <row r="1513" customFormat="false" ht="15" hidden="false" customHeight="false" outlineLevel="0" collapsed="false">
      <c r="A1513" s="2" t="n">
        <v>1511</v>
      </c>
      <c r="B1513" s="2" t="s">
        <v>6588</v>
      </c>
      <c r="C1513" s="2" t="n">
        <v>0</v>
      </c>
      <c r="D1513" s="2" t="n">
        <v>0</v>
      </c>
      <c r="E1513" s="2" t="s">
        <v>11887</v>
      </c>
      <c r="F1513" s="2" t="s">
        <v>492</v>
      </c>
      <c r="G1513" s="2" t="s">
        <v>11888</v>
      </c>
      <c r="H1513" s="2" t="s">
        <v>745</v>
      </c>
      <c r="I1513" s="2" t="s">
        <v>813</v>
      </c>
      <c r="J1513" s="2" t="s">
        <v>11889</v>
      </c>
      <c r="K1513" s="2" t="s">
        <v>507</v>
      </c>
      <c r="L1513" s="2" t="n">
        <v>0</v>
      </c>
      <c r="M1513" s="2" t="n">
        <v>0</v>
      </c>
    </row>
    <row r="1514" customFormat="false" ht="15" hidden="false" customHeight="false" outlineLevel="0" collapsed="false">
      <c r="A1514" s="2" t="n">
        <v>1512</v>
      </c>
      <c r="B1514" s="2" t="s">
        <v>6588</v>
      </c>
      <c r="C1514" s="2" t="n">
        <v>1</v>
      </c>
      <c r="D1514" s="2" t="n">
        <v>0</v>
      </c>
      <c r="E1514" s="2" t="s">
        <v>6639</v>
      </c>
      <c r="F1514" s="2" t="s">
        <v>64</v>
      </c>
      <c r="G1514" s="2" t="s">
        <v>6640</v>
      </c>
      <c r="H1514" s="2" t="s">
        <v>6641</v>
      </c>
      <c r="I1514" s="2" t="s">
        <v>2825</v>
      </c>
      <c r="J1514" s="2" t="s">
        <v>11890</v>
      </c>
      <c r="K1514" s="2" t="s">
        <v>507</v>
      </c>
      <c r="L1514" s="2" t="n">
        <v>0.08</v>
      </c>
      <c r="M1514" s="2" t="n">
        <v>1</v>
      </c>
    </row>
    <row r="1515" customFormat="false" ht="15" hidden="false" customHeight="false" outlineLevel="0" collapsed="false">
      <c r="A1515" s="2" t="n">
        <v>1513</v>
      </c>
      <c r="B1515" s="2" t="s">
        <v>6588</v>
      </c>
      <c r="C1515" s="2" t="n">
        <v>1</v>
      </c>
      <c r="D1515" s="2" t="n">
        <v>1</v>
      </c>
      <c r="E1515" s="2" t="s">
        <v>6644</v>
      </c>
      <c r="F1515" s="2" t="s">
        <v>6645</v>
      </c>
      <c r="G1515" s="2" t="s">
        <v>6646</v>
      </c>
      <c r="H1515" s="2" t="s">
        <v>6587</v>
      </c>
      <c r="I1515" s="2" t="s">
        <v>3169</v>
      </c>
      <c r="J1515" s="2" t="s">
        <v>11891</v>
      </c>
      <c r="K1515" s="2" t="s">
        <v>507</v>
      </c>
      <c r="L1515" s="2" t="n">
        <v>0</v>
      </c>
      <c r="M1515" s="2" t="n">
        <v>0.67</v>
      </c>
    </row>
    <row r="1516" customFormat="false" ht="15" hidden="false" customHeight="false" outlineLevel="0" collapsed="false">
      <c r="A1516" s="2" t="n">
        <v>1514</v>
      </c>
      <c r="B1516" s="2" t="s">
        <v>6588</v>
      </c>
      <c r="C1516" s="2" t="n">
        <v>0</v>
      </c>
      <c r="D1516" s="2" t="n">
        <v>0</v>
      </c>
      <c r="E1516" s="2" t="s">
        <v>11892</v>
      </c>
      <c r="F1516" s="2" t="s">
        <v>2212</v>
      </c>
      <c r="G1516" s="2" t="s">
        <v>11893</v>
      </c>
      <c r="H1516" s="2" t="s">
        <v>11894</v>
      </c>
      <c r="I1516" s="2" t="s">
        <v>4923</v>
      </c>
      <c r="J1516" s="2" t="s">
        <v>11895</v>
      </c>
      <c r="K1516" s="2" t="s">
        <v>507</v>
      </c>
      <c r="L1516" s="2" t="n">
        <v>0</v>
      </c>
      <c r="M1516" s="2" t="n">
        <v>0.57</v>
      </c>
    </row>
    <row r="1517" customFormat="false" ht="15" hidden="false" customHeight="false" outlineLevel="0" collapsed="false">
      <c r="A1517" s="2" t="n">
        <v>1515</v>
      </c>
      <c r="B1517" s="2" t="s">
        <v>6588</v>
      </c>
      <c r="C1517" s="2" t="n">
        <v>0</v>
      </c>
      <c r="D1517" s="2" t="n">
        <v>0</v>
      </c>
      <c r="E1517" s="2" t="s">
        <v>11896</v>
      </c>
      <c r="F1517" s="2" t="s">
        <v>176</v>
      </c>
      <c r="G1517" s="2" t="s">
        <v>11897</v>
      </c>
      <c r="H1517" s="2" t="s">
        <v>6718</v>
      </c>
      <c r="I1517" s="2" t="s">
        <v>751</v>
      </c>
      <c r="J1517" s="2" t="s">
        <v>11898</v>
      </c>
      <c r="K1517" s="2" t="s">
        <v>507</v>
      </c>
      <c r="L1517" s="2" t="n">
        <v>0</v>
      </c>
      <c r="M1517" s="2" t="n">
        <v>0.64</v>
      </c>
    </row>
    <row r="1518" customFormat="false" ht="15" hidden="false" customHeight="false" outlineLevel="0" collapsed="false">
      <c r="A1518" s="2" t="n">
        <v>1516</v>
      </c>
      <c r="B1518" s="2" t="s">
        <v>6588</v>
      </c>
      <c r="C1518" s="2" t="n">
        <v>2</v>
      </c>
      <c r="D1518" s="2" t="n">
        <v>0</v>
      </c>
      <c r="E1518" s="2" t="s">
        <v>6652</v>
      </c>
      <c r="F1518" s="2" t="s">
        <v>156</v>
      </c>
      <c r="G1518" s="2" t="s">
        <v>6653</v>
      </c>
      <c r="H1518" s="2" t="s">
        <v>745</v>
      </c>
      <c r="I1518" s="2" t="s">
        <v>1543</v>
      </c>
      <c r="J1518" s="2" t="s">
        <v>11899</v>
      </c>
      <c r="K1518" s="2" t="s">
        <v>507</v>
      </c>
      <c r="L1518" s="2" t="n">
        <v>0.14</v>
      </c>
      <c r="M1518" s="2" t="n">
        <v>0.67</v>
      </c>
    </row>
    <row r="1519" customFormat="false" ht="15" hidden="false" customHeight="false" outlineLevel="0" collapsed="false">
      <c r="A1519" s="2" t="n">
        <v>1517</v>
      </c>
      <c r="B1519" s="2" t="s">
        <v>6588</v>
      </c>
      <c r="C1519" s="2" t="n">
        <v>0</v>
      </c>
      <c r="D1519" s="2" t="n">
        <v>0</v>
      </c>
      <c r="E1519" s="2" t="s">
        <v>11900</v>
      </c>
      <c r="F1519" s="2" t="s">
        <v>176</v>
      </c>
      <c r="G1519" s="2" t="s">
        <v>11901</v>
      </c>
      <c r="H1519" s="2" t="s">
        <v>6641</v>
      </c>
      <c r="I1519" s="2" t="s">
        <v>2489</v>
      </c>
      <c r="J1519" s="2" t="s">
        <v>11902</v>
      </c>
      <c r="K1519" s="2" t="s">
        <v>507</v>
      </c>
      <c r="L1519" s="2" t="n">
        <v>0.11</v>
      </c>
      <c r="M1519" s="2" t="n">
        <v>0.55</v>
      </c>
    </row>
    <row r="1520" customFormat="false" ht="15" hidden="false" customHeight="false" outlineLevel="0" collapsed="false">
      <c r="A1520" s="2" t="n">
        <v>1518</v>
      </c>
      <c r="B1520" s="2" t="s">
        <v>6588</v>
      </c>
      <c r="C1520" s="2" t="n">
        <v>0</v>
      </c>
      <c r="D1520" s="2" t="n">
        <v>0</v>
      </c>
      <c r="E1520" s="2" t="s">
        <v>11903</v>
      </c>
      <c r="F1520" s="2" t="s">
        <v>11904</v>
      </c>
      <c r="G1520" s="2" t="s">
        <v>11905</v>
      </c>
      <c r="H1520" s="2" t="s">
        <v>11906</v>
      </c>
      <c r="I1520" s="2" t="s">
        <v>2852</v>
      </c>
      <c r="J1520" s="2" t="s">
        <v>11907</v>
      </c>
      <c r="K1520" s="2" t="s">
        <v>507</v>
      </c>
      <c r="L1520" s="2" t="n">
        <v>0</v>
      </c>
      <c r="M1520" s="2" t="n">
        <v>1</v>
      </c>
    </row>
    <row r="1521" customFormat="false" ht="15" hidden="false" customHeight="false" outlineLevel="0" collapsed="false">
      <c r="A1521" s="2" t="n">
        <v>1519</v>
      </c>
      <c r="B1521" s="2" t="s">
        <v>6588</v>
      </c>
      <c r="C1521" s="2" t="n">
        <v>3</v>
      </c>
      <c r="D1521" s="2" t="n">
        <v>0</v>
      </c>
      <c r="E1521" s="2" t="s">
        <v>6661</v>
      </c>
      <c r="F1521" s="2" t="s">
        <v>743</v>
      </c>
      <c r="G1521" s="2" t="s">
        <v>6662</v>
      </c>
      <c r="H1521" s="2" t="s">
        <v>745</v>
      </c>
      <c r="I1521" s="2" t="s">
        <v>776</v>
      </c>
      <c r="J1521" s="2" t="s">
        <v>11908</v>
      </c>
      <c r="K1521" s="2" t="s">
        <v>507</v>
      </c>
      <c r="L1521" s="2" t="n">
        <v>0</v>
      </c>
      <c r="M1521" s="2" t="n">
        <v>0.83</v>
      </c>
    </row>
    <row r="1522" customFormat="false" ht="15" hidden="false" customHeight="false" outlineLevel="0" collapsed="false">
      <c r="A1522" s="2" t="n">
        <v>1520</v>
      </c>
      <c r="B1522" s="2" t="s">
        <v>6588</v>
      </c>
      <c r="C1522" s="2" t="n">
        <v>2</v>
      </c>
      <c r="D1522" s="2" t="n">
        <v>0</v>
      </c>
      <c r="E1522" s="2" t="s">
        <v>6674</v>
      </c>
      <c r="F1522" s="2" t="s">
        <v>6675</v>
      </c>
      <c r="G1522" s="2" t="s">
        <v>6676</v>
      </c>
      <c r="H1522" s="2" t="s">
        <v>745</v>
      </c>
      <c r="I1522" s="2" t="s">
        <v>1306</v>
      </c>
      <c r="J1522" s="2" t="s">
        <v>11909</v>
      </c>
      <c r="K1522" s="2" t="s">
        <v>507</v>
      </c>
      <c r="L1522" s="2" t="n">
        <v>0</v>
      </c>
      <c r="M1522" s="2" t="n">
        <v>0.83</v>
      </c>
    </row>
    <row r="1523" customFormat="false" ht="15" hidden="false" customHeight="false" outlineLevel="0" collapsed="false">
      <c r="A1523" s="2" t="n">
        <v>1521</v>
      </c>
      <c r="B1523" s="2" t="s">
        <v>6588</v>
      </c>
      <c r="C1523" s="2" t="n">
        <v>1</v>
      </c>
      <c r="D1523" s="2" t="n">
        <v>1</v>
      </c>
      <c r="E1523" s="2" t="s">
        <v>6687</v>
      </c>
      <c r="F1523" s="2" t="s">
        <v>6688</v>
      </c>
      <c r="G1523" s="2" t="s">
        <v>6689</v>
      </c>
      <c r="H1523" s="2" t="s">
        <v>745</v>
      </c>
      <c r="I1523" s="2" t="s">
        <v>3506</v>
      </c>
      <c r="J1523" s="2" t="s">
        <v>11910</v>
      </c>
      <c r="K1523" s="2" t="s">
        <v>507</v>
      </c>
      <c r="L1523" s="2" t="n">
        <v>0</v>
      </c>
      <c r="M1523" s="2" t="n">
        <v>0.56</v>
      </c>
    </row>
    <row r="1524" customFormat="false" ht="15" hidden="false" customHeight="false" outlineLevel="0" collapsed="false">
      <c r="A1524" s="2" t="n">
        <v>1522</v>
      </c>
      <c r="B1524" s="2" t="s">
        <v>6588</v>
      </c>
      <c r="C1524" s="2" t="n">
        <v>0</v>
      </c>
      <c r="D1524" s="2" t="n">
        <v>0</v>
      </c>
      <c r="E1524" s="2" t="s">
        <v>11911</v>
      </c>
      <c r="F1524" s="2" t="s">
        <v>11904</v>
      </c>
      <c r="G1524" s="2" t="s">
        <v>11912</v>
      </c>
      <c r="H1524" s="2" t="s">
        <v>745</v>
      </c>
      <c r="I1524" s="2" t="s">
        <v>1543</v>
      </c>
      <c r="J1524" s="2" t="s">
        <v>11913</v>
      </c>
      <c r="K1524" s="2" t="s">
        <v>507</v>
      </c>
      <c r="L1524" s="2" t="n">
        <v>0</v>
      </c>
      <c r="M1524" s="2" t="n">
        <v>0.2</v>
      </c>
    </row>
    <row r="1525" customFormat="false" ht="15" hidden="false" customHeight="false" outlineLevel="0" collapsed="false">
      <c r="A1525" s="2" t="n">
        <v>1523</v>
      </c>
      <c r="B1525" s="2" t="s">
        <v>6588</v>
      </c>
      <c r="C1525" s="2" t="n">
        <v>1</v>
      </c>
      <c r="D1525" s="2" t="n">
        <v>0</v>
      </c>
      <c r="E1525" s="2" t="s">
        <v>6693</v>
      </c>
      <c r="F1525" s="2" t="s">
        <v>6694</v>
      </c>
      <c r="G1525" s="2" t="s">
        <v>6695</v>
      </c>
      <c r="H1525" s="2" t="s">
        <v>4313</v>
      </c>
      <c r="I1525" s="2" t="s">
        <v>1574</v>
      </c>
      <c r="J1525" s="2" t="s">
        <v>11914</v>
      </c>
      <c r="K1525" s="2" t="s">
        <v>507</v>
      </c>
      <c r="L1525" s="2" t="n">
        <v>0</v>
      </c>
      <c r="M1525" s="2" t="n">
        <v>0.17</v>
      </c>
    </row>
    <row r="1526" customFormat="false" ht="15" hidden="false" customHeight="false" outlineLevel="0" collapsed="false">
      <c r="A1526" s="2" t="n">
        <v>1524</v>
      </c>
      <c r="B1526" s="2" t="s">
        <v>6588</v>
      </c>
      <c r="C1526" s="2" t="n">
        <v>4</v>
      </c>
      <c r="D1526" s="2" t="n">
        <v>0</v>
      </c>
      <c r="E1526" s="2" t="s">
        <v>6700</v>
      </c>
      <c r="F1526" s="2" t="s">
        <v>3799</v>
      </c>
      <c r="G1526" s="2" t="s">
        <v>6701</v>
      </c>
      <c r="H1526" s="2" t="s">
        <v>6702</v>
      </c>
      <c r="I1526" s="2" t="s">
        <v>4096</v>
      </c>
      <c r="J1526" s="2" t="s">
        <v>11915</v>
      </c>
      <c r="K1526" s="2" t="s">
        <v>507</v>
      </c>
      <c r="L1526" s="2" t="n">
        <v>0</v>
      </c>
      <c r="M1526" s="2" t="n">
        <v>1</v>
      </c>
    </row>
    <row r="1527" customFormat="false" ht="15" hidden="false" customHeight="false" outlineLevel="0" collapsed="false">
      <c r="A1527" s="2" t="n">
        <v>1525</v>
      </c>
      <c r="B1527" s="2" t="s">
        <v>6588</v>
      </c>
      <c r="C1527" s="2" t="n">
        <v>1</v>
      </c>
      <c r="D1527" s="2" t="n">
        <v>0</v>
      </c>
      <c r="E1527" s="2" t="s">
        <v>6716</v>
      </c>
      <c r="F1527" s="2" t="s">
        <v>1168</v>
      </c>
      <c r="G1527" s="2" t="s">
        <v>6717</v>
      </c>
      <c r="H1527" s="2" t="s">
        <v>6718</v>
      </c>
      <c r="I1527" s="2" t="s">
        <v>2013</v>
      </c>
      <c r="J1527" s="2" t="s">
        <v>11916</v>
      </c>
      <c r="K1527" s="2" t="s">
        <v>507</v>
      </c>
      <c r="L1527" s="2" t="n">
        <v>0</v>
      </c>
      <c r="M1527" s="2" t="n">
        <v>0.88</v>
      </c>
    </row>
    <row r="1528" customFormat="false" ht="15" hidden="false" customHeight="false" outlineLevel="0" collapsed="false">
      <c r="A1528" s="2" t="n">
        <v>1526</v>
      </c>
      <c r="B1528" s="2" t="s">
        <v>6588</v>
      </c>
      <c r="C1528" s="2" t="n">
        <v>0</v>
      </c>
      <c r="D1528" s="2" t="n">
        <v>0</v>
      </c>
      <c r="E1528" s="2" t="s">
        <v>11917</v>
      </c>
      <c r="F1528" s="2" t="s">
        <v>176</v>
      </c>
      <c r="G1528" s="2" t="s">
        <v>11918</v>
      </c>
      <c r="H1528" s="2" t="s">
        <v>745</v>
      </c>
      <c r="I1528" s="2" t="s">
        <v>795</v>
      </c>
      <c r="J1528" s="2" t="s">
        <v>11885</v>
      </c>
      <c r="K1528" s="2" t="s">
        <v>507</v>
      </c>
      <c r="L1528" s="2" t="n">
        <v>0</v>
      </c>
      <c r="M1528" s="2" t="n">
        <v>0.58</v>
      </c>
    </row>
    <row r="1529" customFormat="false" ht="15" hidden="false" customHeight="false" outlineLevel="0" collapsed="false">
      <c r="A1529" s="2" t="n">
        <v>1527</v>
      </c>
      <c r="B1529" s="2" t="s">
        <v>6588</v>
      </c>
      <c r="C1529" s="2" t="n">
        <v>0</v>
      </c>
      <c r="D1529" s="2" t="n">
        <v>0</v>
      </c>
      <c r="E1529" s="2" t="s">
        <v>11919</v>
      </c>
      <c r="F1529" s="2" t="s">
        <v>743</v>
      </c>
      <c r="G1529" s="2" t="s">
        <v>11920</v>
      </c>
      <c r="H1529" s="2" t="s">
        <v>745</v>
      </c>
      <c r="I1529" s="2" t="s">
        <v>5744</v>
      </c>
      <c r="J1529" s="2" t="s">
        <v>11921</v>
      </c>
      <c r="K1529" s="2" t="s">
        <v>507</v>
      </c>
      <c r="L1529" s="2" t="n">
        <v>0</v>
      </c>
      <c r="M1529" s="2" t="n">
        <v>0.57</v>
      </c>
    </row>
    <row r="1530" customFormat="false" ht="15" hidden="false" customHeight="false" outlineLevel="0" collapsed="false">
      <c r="A1530" s="2" t="n">
        <v>1528</v>
      </c>
      <c r="B1530" s="2" t="s">
        <v>6588</v>
      </c>
      <c r="C1530" s="2" t="n">
        <v>0</v>
      </c>
      <c r="D1530" s="2" t="n">
        <v>0</v>
      </c>
      <c r="E1530" s="2" t="s">
        <v>11922</v>
      </c>
      <c r="F1530" s="2" t="s">
        <v>580</v>
      </c>
      <c r="G1530" s="2" t="s">
        <v>11923</v>
      </c>
      <c r="H1530" s="2" t="s">
        <v>745</v>
      </c>
      <c r="I1530" s="2" t="s">
        <v>2204</v>
      </c>
      <c r="J1530" s="2" t="s">
        <v>11924</v>
      </c>
      <c r="K1530" s="2" t="s">
        <v>507</v>
      </c>
      <c r="L1530" s="2" t="n">
        <v>0</v>
      </c>
      <c r="M1530" s="2" t="n">
        <v>0.25</v>
      </c>
    </row>
    <row r="1531" customFormat="false" ht="15" hidden="false" customHeight="false" outlineLevel="0" collapsed="false">
      <c r="A1531" s="2" t="n">
        <v>1529</v>
      </c>
      <c r="B1531" s="2" t="s">
        <v>6588</v>
      </c>
      <c r="C1531" s="2" t="n">
        <v>2</v>
      </c>
      <c r="D1531" s="2" t="n">
        <v>0</v>
      </c>
      <c r="E1531" s="2" t="s">
        <v>6721</v>
      </c>
      <c r="F1531" s="2" t="s">
        <v>156</v>
      </c>
      <c r="G1531" s="2" t="s">
        <v>6722</v>
      </c>
      <c r="H1531" s="2" t="s">
        <v>420</v>
      </c>
      <c r="I1531" s="2" t="s">
        <v>2196</v>
      </c>
      <c r="J1531" s="2" t="s">
        <v>11925</v>
      </c>
      <c r="K1531" s="2" t="s">
        <v>507</v>
      </c>
      <c r="L1531" s="2" t="n">
        <v>0</v>
      </c>
      <c r="M1531" s="2" t="n">
        <v>1</v>
      </c>
    </row>
    <row r="1532" customFormat="false" ht="15" hidden="false" customHeight="false" outlineLevel="0" collapsed="false">
      <c r="A1532" s="2" t="n">
        <v>1530</v>
      </c>
      <c r="B1532" s="2" t="s">
        <v>6726</v>
      </c>
      <c r="C1532" s="2" t="n">
        <v>1</v>
      </c>
      <c r="D1532" s="2" t="n">
        <v>1</v>
      </c>
      <c r="E1532" s="2" t="s">
        <v>6732</v>
      </c>
      <c r="F1532" s="2" t="s">
        <v>95</v>
      </c>
      <c r="G1532" s="2" t="s">
        <v>6733</v>
      </c>
      <c r="H1532" s="2" t="s">
        <v>6734</v>
      </c>
      <c r="I1532" s="2" t="s">
        <v>487</v>
      </c>
      <c r="J1532" s="2" t="s">
        <v>11926</v>
      </c>
      <c r="K1532" s="2" t="s">
        <v>507</v>
      </c>
      <c r="L1532" s="2" t="n">
        <v>0</v>
      </c>
      <c r="M1532" s="2" t="n">
        <v>0.8</v>
      </c>
    </row>
    <row r="1533" customFormat="false" ht="15" hidden="false" customHeight="false" outlineLevel="0" collapsed="false">
      <c r="A1533" s="2" t="n">
        <v>1531</v>
      </c>
      <c r="B1533" s="2" t="s">
        <v>6726</v>
      </c>
      <c r="C1533" s="2" t="n">
        <v>1</v>
      </c>
      <c r="D1533" s="2" t="n">
        <v>1</v>
      </c>
      <c r="E1533" s="2" t="s">
        <v>6738</v>
      </c>
      <c r="F1533" s="2" t="s">
        <v>6645</v>
      </c>
      <c r="G1533" s="2" t="s">
        <v>6739</v>
      </c>
      <c r="H1533" s="2" t="s">
        <v>3315</v>
      </c>
      <c r="I1533" s="2" t="s">
        <v>231</v>
      </c>
      <c r="J1533" s="2" t="s">
        <v>11927</v>
      </c>
      <c r="K1533" s="2" t="s">
        <v>507</v>
      </c>
      <c r="L1533" s="2" t="n">
        <v>0</v>
      </c>
      <c r="M1533" s="2" t="n">
        <v>0.57</v>
      </c>
    </row>
    <row r="1534" customFormat="false" ht="15" hidden="false" customHeight="false" outlineLevel="0" collapsed="false">
      <c r="A1534" s="2" t="n">
        <v>1532</v>
      </c>
      <c r="B1534" s="2" t="s">
        <v>6726</v>
      </c>
      <c r="C1534" s="2" t="n">
        <v>2</v>
      </c>
      <c r="D1534" s="2" t="n">
        <v>2</v>
      </c>
      <c r="E1534" s="2" t="s">
        <v>6741</v>
      </c>
      <c r="F1534" s="2" t="s">
        <v>6645</v>
      </c>
      <c r="G1534" s="2" t="s">
        <v>6742</v>
      </c>
      <c r="H1534" s="2" t="s">
        <v>97</v>
      </c>
      <c r="I1534" s="2" t="s">
        <v>1078</v>
      </c>
      <c r="J1534" s="2" t="s">
        <v>11928</v>
      </c>
      <c r="K1534" s="2" t="s">
        <v>507</v>
      </c>
      <c r="L1534" s="2" t="n">
        <v>0.11</v>
      </c>
      <c r="M1534" s="2" t="n">
        <v>0.57</v>
      </c>
    </row>
    <row r="1535" customFormat="false" ht="15" hidden="false" customHeight="false" outlineLevel="0" collapsed="false">
      <c r="A1535" s="2" t="n">
        <v>1533</v>
      </c>
      <c r="B1535" s="2" t="s">
        <v>6726</v>
      </c>
      <c r="C1535" s="2" t="n">
        <v>2</v>
      </c>
      <c r="D1535" s="2" t="n">
        <v>0</v>
      </c>
      <c r="E1535" s="2" t="s">
        <v>6748</v>
      </c>
      <c r="F1535" s="2" t="s">
        <v>112</v>
      </c>
      <c r="G1535" s="2" t="s">
        <v>6749</v>
      </c>
      <c r="H1535" s="2" t="s">
        <v>4380</v>
      </c>
      <c r="I1535" s="2" t="s">
        <v>2196</v>
      </c>
      <c r="J1535" s="2" t="s">
        <v>11929</v>
      </c>
      <c r="K1535" s="2" t="s">
        <v>507</v>
      </c>
      <c r="L1535" s="2" t="n">
        <v>0</v>
      </c>
      <c r="M1535" s="2" t="n">
        <v>1</v>
      </c>
    </row>
    <row r="1536" customFormat="false" ht="15" hidden="false" customHeight="false" outlineLevel="0" collapsed="false">
      <c r="A1536" s="2" t="n">
        <v>1534</v>
      </c>
      <c r="B1536" s="2" t="s">
        <v>6726</v>
      </c>
      <c r="C1536" s="2" t="n">
        <v>3</v>
      </c>
      <c r="D1536" s="2" t="n">
        <v>1</v>
      </c>
      <c r="E1536" s="2" t="s">
        <v>6753</v>
      </c>
      <c r="F1536" s="2" t="s">
        <v>156</v>
      </c>
      <c r="G1536" s="2" t="s">
        <v>6754</v>
      </c>
      <c r="H1536" s="2" t="s">
        <v>582</v>
      </c>
      <c r="I1536" s="2" t="s">
        <v>1045</v>
      </c>
      <c r="J1536" s="2" t="s">
        <v>11930</v>
      </c>
      <c r="K1536" s="2" t="s">
        <v>507</v>
      </c>
      <c r="L1536" s="2" t="n">
        <v>0</v>
      </c>
      <c r="M1536" s="2" t="n">
        <v>1</v>
      </c>
    </row>
    <row r="1537" customFormat="false" ht="15" hidden="false" customHeight="false" outlineLevel="0" collapsed="false">
      <c r="A1537" s="2" t="n">
        <v>1535</v>
      </c>
      <c r="B1537" s="2" t="s">
        <v>6726</v>
      </c>
      <c r="C1537" s="2" t="n">
        <v>1</v>
      </c>
      <c r="D1537" s="2" t="n">
        <v>1</v>
      </c>
      <c r="E1537" s="2" t="s">
        <v>6763</v>
      </c>
      <c r="F1537" s="2" t="s">
        <v>176</v>
      </c>
      <c r="G1537" s="2" t="s">
        <v>6764</v>
      </c>
      <c r="H1537" s="2" t="s">
        <v>97</v>
      </c>
      <c r="I1537" s="2" t="s">
        <v>512</v>
      </c>
      <c r="J1537" s="2" t="s">
        <v>11931</v>
      </c>
      <c r="K1537" s="2" t="s">
        <v>507</v>
      </c>
      <c r="L1537" s="2" t="n">
        <v>0.12</v>
      </c>
      <c r="M1537" s="2" t="n">
        <v>1</v>
      </c>
    </row>
    <row r="1538" customFormat="false" ht="15" hidden="false" customHeight="false" outlineLevel="0" collapsed="false">
      <c r="A1538" s="2" t="n">
        <v>1536</v>
      </c>
      <c r="B1538" s="2" t="s">
        <v>6726</v>
      </c>
      <c r="C1538" s="2" t="n">
        <v>1</v>
      </c>
      <c r="D1538" s="2" t="n">
        <v>1</v>
      </c>
      <c r="E1538" s="2" t="s">
        <v>6769</v>
      </c>
      <c r="F1538" s="2" t="s">
        <v>694</v>
      </c>
      <c r="G1538" s="2" t="s">
        <v>6770</v>
      </c>
      <c r="H1538" s="2" t="s">
        <v>3315</v>
      </c>
      <c r="I1538" s="2" t="s">
        <v>3469</v>
      </c>
      <c r="J1538" s="2" t="s">
        <v>11932</v>
      </c>
      <c r="K1538" s="2" t="s">
        <v>507</v>
      </c>
      <c r="L1538" s="2" t="n">
        <v>0</v>
      </c>
      <c r="M1538" s="2" t="n">
        <v>0.78</v>
      </c>
    </row>
    <row r="1539" customFormat="false" ht="15" hidden="false" customHeight="false" outlineLevel="0" collapsed="false">
      <c r="A1539" s="2" t="n">
        <v>1537</v>
      </c>
      <c r="B1539" s="2" t="s">
        <v>6726</v>
      </c>
      <c r="C1539" s="2" t="n">
        <v>1</v>
      </c>
      <c r="D1539" s="2" t="n">
        <v>0</v>
      </c>
      <c r="E1539" s="2" t="s">
        <v>6777</v>
      </c>
      <c r="F1539" s="2" t="s">
        <v>865</v>
      </c>
      <c r="G1539" s="2" t="s">
        <v>6778</v>
      </c>
      <c r="H1539" s="2" t="s">
        <v>965</v>
      </c>
      <c r="I1539" s="2" t="s">
        <v>1627</v>
      </c>
      <c r="J1539" s="2" t="s">
        <v>11933</v>
      </c>
      <c r="K1539" s="2" t="s">
        <v>507</v>
      </c>
      <c r="L1539" s="2" t="n">
        <v>0</v>
      </c>
      <c r="M1539" s="2" t="n">
        <v>0.82</v>
      </c>
    </row>
    <row r="1540" customFormat="false" ht="15" hidden="false" customHeight="false" outlineLevel="0" collapsed="false">
      <c r="A1540" s="2" t="n">
        <v>1538</v>
      </c>
      <c r="B1540" s="2" t="s">
        <v>6726</v>
      </c>
      <c r="C1540" s="2" t="n">
        <v>5</v>
      </c>
      <c r="D1540" s="2" t="n">
        <v>0</v>
      </c>
      <c r="E1540" s="2" t="s">
        <v>6781</v>
      </c>
      <c r="F1540" s="2" t="s">
        <v>1168</v>
      </c>
      <c r="G1540" s="2" t="s">
        <v>6782</v>
      </c>
      <c r="H1540" s="2" t="s">
        <v>582</v>
      </c>
      <c r="I1540" s="2" t="s">
        <v>1332</v>
      </c>
      <c r="J1540" s="2" t="s">
        <v>11934</v>
      </c>
      <c r="K1540" s="2" t="s">
        <v>507</v>
      </c>
      <c r="L1540" s="2" t="n">
        <v>0</v>
      </c>
      <c r="M1540" s="2" t="n">
        <v>0.83</v>
      </c>
    </row>
    <row r="1541" customFormat="false" ht="15" hidden="false" customHeight="false" outlineLevel="0" collapsed="false">
      <c r="A1541" s="2" t="n">
        <v>1539</v>
      </c>
      <c r="B1541" s="2" t="s">
        <v>6726</v>
      </c>
      <c r="C1541" s="2" t="n">
        <v>2</v>
      </c>
      <c r="D1541" s="2" t="n">
        <v>0</v>
      </c>
      <c r="E1541" s="2" t="s">
        <v>6792</v>
      </c>
      <c r="F1541" s="2" t="s">
        <v>243</v>
      </c>
      <c r="G1541" s="2" t="s">
        <v>6793</v>
      </c>
      <c r="H1541" s="2" t="s">
        <v>582</v>
      </c>
      <c r="I1541" s="2" t="s">
        <v>1587</v>
      </c>
      <c r="J1541" s="2" t="s">
        <v>11935</v>
      </c>
      <c r="K1541" s="2" t="s">
        <v>507</v>
      </c>
      <c r="L1541" s="2" t="n">
        <v>0.11</v>
      </c>
      <c r="M1541" s="2" t="n">
        <v>0.83</v>
      </c>
    </row>
    <row r="1542" customFormat="false" ht="15" hidden="false" customHeight="false" outlineLevel="0" collapsed="false">
      <c r="A1542" s="2" t="n">
        <v>1540</v>
      </c>
      <c r="B1542" s="2" t="s">
        <v>6726</v>
      </c>
      <c r="C1542" s="2" t="n">
        <v>2</v>
      </c>
      <c r="D1542" s="2" t="n">
        <v>0</v>
      </c>
      <c r="E1542" s="2" t="s">
        <v>6800</v>
      </c>
      <c r="F1542" s="2" t="s">
        <v>112</v>
      </c>
      <c r="G1542" s="2" t="s">
        <v>6801</v>
      </c>
      <c r="H1542" s="2" t="s">
        <v>6802</v>
      </c>
      <c r="I1542" s="2" t="s">
        <v>6803</v>
      </c>
      <c r="J1542" s="2" t="s">
        <v>11936</v>
      </c>
      <c r="K1542" s="2" t="s">
        <v>507</v>
      </c>
      <c r="L1542" s="2" t="n">
        <v>0</v>
      </c>
      <c r="M1542" s="2" t="n">
        <v>1</v>
      </c>
    </row>
    <row r="1543" customFormat="false" ht="15" hidden="false" customHeight="false" outlineLevel="0" collapsed="false">
      <c r="A1543" s="2" t="n">
        <v>1541</v>
      </c>
      <c r="B1543" s="2" t="s">
        <v>6726</v>
      </c>
      <c r="C1543" s="2" t="n">
        <v>1</v>
      </c>
      <c r="D1543" s="2" t="n">
        <v>0</v>
      </c>
      <c r="E1543" s="2" t="s">
        <v>6808</v>
      </c>
      <c r="F1543" s="2" t="s">
        <v>176</v>
      </c>
      <c r="G1543" s="2" t="s">
        <v>6809</v>
      </c>
      <c r="H1543" s="2" t="s">
        <v>6347</v>
      </c>
      <c r="I1543" s="2" t="s">
        <v>67</v>
      </c>
      <c r="J1543" s="2" t="s">
        <v>11937</v>
      </c>
      <c r="K1543" s="2" t="s">
        <v>507</v>
      </c>
      <c r="L1543" s="2" t="n">
        <v>0</v>
      </c>
      <c r="M1543" s="2" t="n">
        <v>0.92</v>
      </c>
    </row>
    <row r="1544" customFormat="false" ht="15" hidden="false" customHeight="false" outlineLevel="0" collapsed="false">
      <c r="A1544" s="2" t="n">
        <v>1542</v>
      </c>
      <c r="B1544" s="2" t="s">
        <v>6726</v>
      </c>
      <c r="C1544" s="2" t="n">
        <v>1</v>
      </c>
      <c r="D1544" s="2" t="n">
        <v>0</v>
      </c>
      <c r="E1544" s="2" t="s">
        <v>6814</v>
      </c>
      <c r="F1544" s="2" t="s">
        <v>1882</v>
      </c>
      <c r="G1544" s="2" t="s">
        <v>6815</v>
      </c>
      <c r="H1544" s="2" t="s">
        <v>6816</v>
      </c>
      <c r="I1544" s="2" t="s">
        <v>4276</v>
      </c>
      <c r="J1544" s="2" t="s">
        <v>11938</v>
      </c>
      <c r="K1544" s="2" t="s">
        <v>507</v>
      </c>
      <c r="L1544" s="2" t="n">
        <v>0</v>
      </c>
      <c r="M1544" s="2" t="n">
        <v>0.5</v>
      </c>
    </row>
    <row r="1545" customFormat="false" ht="15" hidden="false" customHeight="false" outlineLevel="0" collapsed="false">
      <c r="A1545" s="2" t="n">
        <v>1543</v>
      </c>
      <c r="B1545" s="2" t="s">
        <v>6726</v>
      </c>
      <c r="C1545" s="2" t="n">
        <v>1</v>
      </c>
      <c r="D1545" s="2" t="n">
        <v>1</v>
      </c>
      <c r="E1545" s="2" t="s">
        <v>6819</v>
      </c>
      <c r="F1545" s="2" t="s">
        <v>95</v>
      </c>
      <c r="G1545" s="2" t="s">
        <v>6820</v>
      </c>
      <c r="H1545" s="2" t="s">
        <v>4022</v>
      </c>
      <c r="I1545" s="2" t="s">
        <v>1266</v>
      </c>
      <c r="J1545" s="2" t="s">
        <v>11939</v>
      </c>
      <c r="K1545" s="2" t="s">
        <v>507</v>
      </c>
      <c r="L1545" s="2" t="n">
        <v>0.08</v>
      </c>
      <c r="M1545" s="2" t="n">
        <v>0.67</v>
      </c>
    </row>
    <row r="1546" customFormat="false" ht="15" hidden="false" customHeight="false" outlineLevel="0" collapsed="false">
      <c r="A1546" s="2" t="n">
        <v>1544</v>
      </c>
      <c r="B1546" s="2" t="s">
        <v>6726</v>
      </c>
      <c r="C1546" s="2" t="n">
        <v>3</v>
      </c>
      <c r="D1546" s="2" t="n">
        <v>0</v>
      </c>
      <c r="E1546" s="2" t="s">
        <v>6825</v>
      </c>
      <c r="F1546" s="2" t="s">
        <v>1882</v>
      </c>
      <c r="G1546" s="2" t="s">
        <v>6826</v>
      </c>
      <c r="H1546" s="2" t="s">
        <v>97</v>
      </c>
      <c r="I1546" s="2" t="s">
        <v>3469</v>
      </c>
      <c r="J1546" s="2" t="s">
        <v>11940</v>
      </c>
      <c r="K1546" s="2" t="s">
        <v>507</v>
      </c>
      <c r="L1546" s="2" t="n">
        <v>0.1</v>
      </c>
      <c r="M1546" s="2" t="n">
        <v>0.36</v>
      </c>
    </row>
    <row r="1547" customFormat="false" ht="15" hidden="false" customHeight="false" outlineLevel="0" collapsed="false">
      <c r="A1547" s="2" t="n">
        <v>1545</v>
      </c>
      <c r="B1547" s="2" t="s">
        <v>6726</v>
      </c>
      <c r="C1547" s="2" t="n">
        <v>2</v>
      </c>
      <c r="D1547" s="2" t="n">
        <v>0</v>
      </c>
      <c r="E1547" s="2" t="s">
        <v>6838</v>
      </c>
      <c r="F1547" s="2" t="s">
        <v>1882</v>
      </c>
      <c r="G1547" s="2" t="s">
        <v>6839</v>
      </c>
      <c r="H1547" s="2" t="s">
        <v>6840</v>
      </c>
      <c r="I1547" s="2" t="s">
        <v>2204</v>
      </c>
      <c r="J1547" s="2" t="s">
        <v>11941</v>
      </c>
      <c r="K1547" s="2" t="s">
        <v>507</v>
      </c>
      <c r="L1547" s="2" t="n">
        <v>0</v>
      </c>
      <c r="M1547" s="2" t="n">
        <v>0.5</v>
      </c>
    </row>
    <row r="1548" customFormat="false" ht="15" hidden="false" customHeight="false" outlineLevel="0" collapsed="false">
      <c r="A1548" s="2" t="n">
        <v>1546</v>
      </c>
      <c r="B1548" s="2" t="s">
        <v>6726</v>
      </c>
      <c r="C1548" s="2" t="n">
        <v>1</v>
      </c>
      <c r="D1548" s="2" t="n">
        <v>0</v>
      </c>
      <c r="E1548" s="2" t="s">
        <v>6847</v>
      </c>
      <c r="F1548" s="2" t="s">
        <v>1882</v>
      </c>
      <c r="G1548" s="2" t="s">
        <v>6848</v>
      </c>
      <c r="H1548" s="2" t="s">
        <v>1077</v>
      </c>
      <c r="I1548" s="2" t="s">
        <v>1332</v>
      </c>
      <c r="J1548" s="2" t="s">
        <v>11942</v>
      </c>
      <c r="K1548" s="2" t="s">
        <v>507</v>
      </c>
      <c r="L1548" s="2" t="n">
        <v>0.04</v>
      </c>
      <c r="M1548" s="2" t="n">
        <v>0.46</v>
      </c>
    </row>
    <row r="1549" customFormat="false" ht="15" hidden="false" customHeight="false" outlineLevel="0" collapsed="false">
      <c r="A1549" s="2" t="n">
        <v>1547</v>
      </c>
      <c r="B1549" s="2" t="s">
        <v>6726</v>
      </c>
      <c r="C1549" s="2" t="n">
        <v>3</v>
      </c>
      <c r="D1549" s="2" t="n">
        <v>1</v>
      </c>
      <c r="E1549" s="2" t="s">
        <v>6853</v>
      </c>
      <c r="F1549" s="2" t="s">
        <v>6854</v>
      </c>
      <c r="G1549" s="2" t="s">
        <v>6855</v>
      </c>
      <c r="H1549" s="2" t="s">
        <v>745</v>
      </c>
      <c r="I1549" s="2" t="s">
        <v>1069</v>
      </c>
      <c r="J1549" s="2" t="s">
        <v>11943</v>
      </c>
      <c r="K1549" s="2" t="s">
        <v>507</v>
      </c>
      <c r="L1549" s="2" t="n">
        <v>0</v>
      </c>
      <c r="M1549" s="2" t="n">
        <v>0.78</v>
      </c>
    </row>
    <row r="1550" customFormat="false" ht="15" hidden="false" customHeight="false" outlineLevel="0" collapsed="false">
      <c r="A1550" s="2" t="n">
        <v>1548</v>
      </c>
      <c r="B1550" s="2" t="s">
        <v>6726</v>
      </c>
      <c r="C1550" s="2" t="n">
        <v>1</v>
      </c>
      <c r="D1550" s="2" t="n">
        <v>0</v>
      </c>
      <c r="E1550" s="2" t="s">
        <v>6868</v>
      </c>
      <c r="F1550" s="2" t="s">
        <v>6869</v>
      </c>
      <c r="G1550" s="2" t="s">
        <v>6870</v>
      </c>
      <c r="H1550" s="2" t="s">
        <v>745</v>
      </c>
      <c r="I1550" s="2" t="s">
        <v>2379</v>
      </c>
      <c r="J1550" s="2" t="s">
        <v>11944</v>
      </c>
      <c r="K1550" s="2" t="s">
        <v>507</v>
      </c>
      <c r="L1550" s="2" t="n">
        <v>0</v>
      </c>
      <c r="M1550" s="2" t="n">
        <v>0.73</v>
      </c>
    </row>
    <row r="1551" customFormat="false" ht="15" hidden="false" customHeight="false" outlineLevel="0" collapsed="false">
      <c r="A1551" s="2" t="n">
        <v>1549</v>
      </c>
      <c r="B1551" s="2" t="s">
        <v>6726</v>
      </c>
      <c r="C1551" s="2" t="n">
        <v>0</v>
      </c>
      <c r="D1551" s="2" t="n">
        <v>0</v>
      </c>
      <c r="E1551" s="2" t="s">
        <v>11945</v>
      </c>
      <c r="F1551" s="2" t="s">
        <v>9628</v>
      </c>
      <c r="G1551" s="2" t="s">
        <v>11946</v>
      </c>
      <c r="H1551" s="2" t="s">
        <v>745</v>
      </c>
      <c r="I1551" s="2" t="s">
        <v>851</v>
      </c>
      <c r="J1551" s="2" t="s">
        <v>11947</v>
      </c>
      <c r="K1551" s="2" t="s">
        <v>507</v>
      </c>
      <c r="L1551" s="2" t="n">
        <v>0</v>
      </c>
      <c r="M1551" s="2" t="n">
        <v>0</v>
      </c>
    </row>
    <row r="1552" customFormat="false" ht="15" hidden="false" customHeight="false" outlineLevel="0" collapsed="false">
      <c r="A1552" s="2" t="n">
        <v>1550</v>
      </c>
      <c r="B1552" s="2" t="s">
        <v>6726</v>
      </c>
      <c r="C1552" s="2" t="n">
        <v>1</v>
      </c>
      <c r="D1552" s="2" t="n">
        <v>1</v>
      </c>
      <c r="E1552" s="2" t="s">
        <v>6875</v>
      </c>
      <c r="F1552" s="2" t="s">
        <v>6876</v>
      </c>
      <c r="G1552" s="2" t="s">
        <v>6877</v>
      </c>
      <c r="H1552" s="2" t="s">
        <v>6878</v>
      </c>
      <c r="I1552" s="2" t="s">
        <v>430</v>
      </c>
      <c r="J1552" s="2" t="s">
        <v>11948</v>
      </c>
      <c r="K1552" s="2" t="s">
        <v>507</v>
      </c>
      <c r="L1552" s="2" t="n">
        <v>0.15</v>
      </c>
      <c r="M1552" s="2" t="n">
        <v>0.62</v>
      </c>
    </row>
    <row r="1553" customFormat="false" ht="15" hidden="false" customHeight="false" outlineLevel="0" collapsed="false">
      <c r="A1553" s="2" t="n">
        <v>1551</v>
      </c>
      <c r="B1553" s="2" t="s">
        <v>6726</v>
      </c>
      <c r="C1553" s="2" t="n">
        <v>0</v>
      </c>
      <c r="D1553" s="2" t="n">
        <v>0</v>
      </c>
      <c r="E1553" s="2" t="s">
        <v>11949</v>
      </c>
      <c r="F1553" s="2" t="s">
        <v>10100</v>
      </c>
      <c r="G1553" s="2" t="s">
        <v>11950</v>
      </c>
      <c r="H1553" s="2" t="s">
        <v>4313</v>
      </c>
      <c r="I1553" s="2" t="s">
        <v>2852</v>
      </c>
      <c r="J1553" s="2" t="s">
        <v>11951</v>
      </c>
      <c r="K1553" s="2" t="s">
        <v>507</v>
      </c>
      <c r="L1553" s="2" t="n">
        <v>0</v>
      </c>
      <c r="M1553" s="2" t="n">
        <v>0.73</v>
      </c>
    </row>
    <row r="1554" customFormat="false" ht="15" hidden="false" customHeight="false" outlineLevel="0" collapsed="false">
      <c r="A1554" s="2" t="n">
        <v>1552</v>
      </c>
      <c r="B1554" s="2" t="s">
        <v>6726</v>
      </c>
      <c r="C1554" s="2" t="n">
        <v>1</v>
      </c>
      <c r="D1554" s="2" t="n">
        <v>0</v>
      </c>
      <c r="E1554" s="2" t="s">
        <v>6883</v>
      </c>
      <c r="F1554" s="2" t="s">
        <v>390</v>
      </c>
      <c r="G1554" s="2" t="s">
        <v>6884</v>
      </c>
      <c r="H1554" s="2" t="s">
        <v>3330</v>
      </c>
      <c r="I1554" s="2" t="s">
        <v>4290</v>
      </c>
      <c r="J1554" s="2" t="s">
        <v>11952</v>
      </c>
      <c r="K1554" s="2" t="s">
        <v>507</v>
      </c>
      <c r="L1554" s="2" t="n">
        <v>0</v>
      </c>
      <c r="M1554" s="2" t="n">
        <v>0.64</v>
      </c>
    </row>
    <row r="1555" customFormat="false" ht="15" hidden="false" customHeight="false" outlineLevel="0" collapsed="false">
      <c r="A1555" s="2" t="n">
        <v>1553</v>
      </c>
      <c r="B1555" s="2" t="s">
        <v>6726</v>
      </c>
      <c r="C1555" s="2" t="n">
        <v>0</v>
      </c>
      <c r="D1555" s="2" t="n">
        <v>0</v>
      </c>
      <c r="E1555" s="2" t="s">
        <v>11953</v>
      </c>
      <c r="F1555" s="2" t="s">
        <v>1075</v>
      </c>
      <c r="G1555" s="2" t="s">
        <v>11954</v>
      </c>
      <c r="H1555" s="2" t="s">
        <v>4022</v>
      </c>
      <c r="I1555" s="2" t="s">
        <v>9596</v>
      </c>
      <c r="J1555" s="4" t="s">
        <v>11955</v>
      </c>
      <c r="K1555" s="2" t="s">
        <v>507</v>
      </c>
      <c r="L1555" s="2" t="n">
        <v>0</v>
      </c>
      <c r="M1555" s="2" t="n">
        <v>0.75</v>
      </c>
    </row>
    <row r="1556" customFormat="false" ht="15" hidden="false" customHeight="false" outlineLevel="0" collapsed="false">
      <c r="A1556" s="2" t="n">
        <v>1554</v>
      </c>
      <c r="B1556" s="2" t="s">
        <v>6726</v>
      </c>
      <c r="C1556" s="2" t="n">
        <v>0</v>
      </c>
      <c r="D1556" s="2" t="n">
        <v>0</v>
      </c>
      <c r="E1556" s="2" t="s">
        <v>11956</v>
      </c>
      <c r="F1556" s="2" t="s">
        <v>2040</v>
      </c>
      <c r="G1556" s="2" t="s">
        <v>11957</v>
      </c>
      <c r="H1556" s="2" t="s">
        <v>2233</v>
      </c>
      <c r="I1556" s="2" t="s">
        <v>5570</v>
      </c>
      <c r="J1556" s="2" t="s">
        <v>11958</v>
      </c>
      <c r="K1556" s="2" t="s">
        <v>507</v>
      </c>
      <c r="L1556" s="2" t="n">
        <v>0.2</v>
      </c>
      <c r="M1556" s="2" t="n">
        <v>0.67</v>
      </c>
    </row>
    <row r="1557" customFormat="false" ht="15" hidden="false" customHeight="false" outlineLevel="0" collapsed="false">
      <c r="A1557" s="2" t="n">
        <v>1555</v>
      </c>
      <c r="B1557" s="2" t="s">
        <v>6726</v>
      </c>
      <c r="C1557" s="2" t="n">
        <v>0</v>
      </c>
      <c r="D1557" s="2" t="n">
        <v>0</v>
      </c>
      <c r="E1557" s="2" t="s">
        <v>11959</v>
      </c>
      <c r="F1557" s="2" t="s">
        <v>11960</v>
      </c>
      <c r="G1557" s="2" t="s">
        <v>11961</v>
      </c>
      <c r="H1557" s="2" t="s">
        <v>745</v>
      </c>
      <c r="I1557" s="2" t="s">
        <v>3506</v>
      </c>
      <c r="J1557" s="2" t="s">
        <v>11962</v>
      </c>
      <c r="K1557" s="2" t="s">
        <v>507</v>
      </c>
      <c r="L1557" s="2" t="n">
        <v>0</v>
      </c>
      <c r="M1557" s="2" t="n">
        <v>0.67</v>
      </c>
    </row>
    <row r="1558" customFormat="false" ht="15" hidden="false" customHeight="false" outlineLevel="0" collapsed="false">
      <c r="A1558" s="2" t="n">
        <v>1556</v>
      </c>
      <c r="B1558" s="2" t="s">
        <v>6726</v>
      </c>
      <c r="C1558" s="2" t="n">
        <v>0</v>
      </c>
      <c r="D1558" s="2" t="n">
        <v>0</v>
      </c>
      <c r="E1558" s="2" t="s">
        <v>11963</v>
      </c>
      <c r="F1558" s="2" t="s">
        <v>11964</v>
      </c>
      <c r="G1558" s="2" t="s">
        <v>11965</v>
      </c>
      <c r="H1558" s="2" t="s">
        <v>3343</v>
      </c>
      <c r="I1558" s="2" t="s">
        <v>4843</v>
      </c>
      <c r="J1558" s="2" t="s">
        <v>11966</v>
      </c>
      <c r="K1558" s="2" t="s">
        <v>507</v>
      </c>
      <c r="L1558" s="2" t="n">
        <v>0</v>
      </c>
      <c r="M1558" s="2" t="n">
        <v>0.75</v>
      </c>
    </row>
    <row r="1559" customFormat="false" ht="15" hidden="false" customHeight="false" outlineLevel="0" collapsed="false">
      <c r="A1559" s="2" t="n">
        <v>1557</v>
      </c>
      <c r="B1559" s="2" t="s">
        <v>6726</v>
      </c>
      <c r="C1559" s="2" t="n">
        <v>0</v>
      </c>
      <c r="D1559" s="2" t="n">
        <v>0</v>
      </c>
      <c r="E1559" s="2" t="s">
        <v>11967</v>
      </c>
      <c r="F1559" s="2" t="s">
        <v>390</v>
      </c>
      <c r="G1559" s="2" t="s">
        <v>11968</v>
      </c>
      <c r="H1559" s="2" t="s">
        <v>696</v>
      </c>
      <c r="I1559" s="2" t="s">
        <v>231</v>
      </c>
      <c r="J1559" s="2" t="s">
        <v>11969</v>
      </c>
      <c r="K1559" s="2" t="s">
        <v>507</v>
      </c>
      <c r="L1559" s="2" t="n">
        <v>0</v>
      </c>
      <c r="M1559" s="2" t="n">
        <v>0.56</v>
      </c>
    </row>
    <row r="1560" customFormat="false" ht="15" hidden="false" customHeight="false" outlineLevel="0" collapsed="false">
      <c r="A1560" s="2" t="n">
        <v>1558</v>
      </c>
      <c r="B1560" s="2" t="s">
        <v>6726</v>
      </c>
      <c r="C1560" s="2" t="n">
        <v>0</v>
      </c>
      <c r="D1560" s="2" t="n">
        <v>0</v>
      </c>
      <c r="E1560" s="2" t="s">
        <v>11970</v>
      </c>
      <c r="F1560" s="2" t="s">
        <v>2040</v>
      </c>
      <c r="G1560" s="2" t="s">
        <v>11971</v>
      </c>
      <c r="H1560" s="2" t="s">
        <v>2214</v>
      </c>
      <c r="I1560" s="2" t="s">
        <v>1069</v>
      </c>
      <c r="J1560" s="2" t="s">
        <v>11972</v>
      </c>
      <c r="K1560" s="2" t="s">
        <v>507</v>
      </c>
      <c r="L1560" s="2" t="n">
        <v>0.22</v>
      </c>
      <c r="M1560" s="2" t="n">
        <v>0.5</v>
      </c>
    </row>
    <row r="1561" customFormat="false" ht="15" hidden="false" customHeight="false" outlineLevel="0" collapsed="false">
      <c r="A1561" s="2" t="n">
        <v>1559</v>
      </c>
      <c r="B1561" s="2" t="s">
        <v>6726</v>
      </c>
      <c r="C1561" s="2" t="n">
        <v>0</v>
      </c>
      <c r="D1561" s="2" t="n">
        <v>0</v>
      </c>
      <c r="E1561" s="2" t="s">
        <v>11973</v>
      </c>
      <c r="F1561" s="2" t="s">
        <v>743</v>
      </c>
      <c r="G1561" s="2" t="s">
        <v>11974</v>
      </c>
      <c r="H1561" s="2" t="s">
        <v>4764</v>
      </c>
      <c r="I1561" s="2" t="s">
        <v>2613</v>
      </c>
      <c r="J1561" s="2" t="s">
        <v>11975</v>
      </c>
      <c r="K1561" s="2" t="s">
        <v>507</v>
      </c>
      <c r="L1561" s="2" t="n">
        <v>0</v>
      </c>
      <c r="M1561" s="2" t="n">
        <v>0.88</v>
      </c>
    </row>
    <row r="1562" customFormat="false" ht="15" hidden="false" customHeight="false" outlineLevel="0" collapsed="false">
      <c r="A1562" s="2" t="n">
        <v>1560</v>
      </c>
      <c r="B1562" s="2" t="s">
        <v>6885</v>
      </c>
      <c r="C1562" s="2" t="n">
        <v>0</v>
      </c>
      <c r="D1562" s="2" t="n">
        <v>0</v>
      </c>
      <c r="E1562" s="2" t="s">
        <v>11976</v>
      </c>
      <c r="F1562" s="2" t="s">
        <v>2924</v>
      </c>
      <c r="G1562" s="2" t="s">
        <v>11977</v>
      </c>
      <c r="H1562" s="2" t="s">
        <v>420</v>
      </c>
      <c r="I1562" s="2" t="s">
        <v>647</v>
      </c>
      <c r="J1562" s="2" t="s">
        <v>11978</v>
      </c>
      <c r="K1562" s="2" t="s">
        <v>507</v>
      </c>
      <c r="L1562" s="2" t="n">
        <v>0</v>
      </c>
      <c r="M1562" s="2" t="n">
        <v>0.64</v>
      </c>
    </row>
    <row r="1563" customFormat="false" ht="15" hidden="false" customHeight="false" outlineLevel="0" collapsed="false">
      <c r="A1563" s="2" t="n">
        <v>1561</v>
      </c>
      <c r="B1563" s="2" t="s">
        <v>6885</v>
      </c>
      <c r="C1563" s="2" t="n">
        <v>0</v>
      </c>
      <c r="D1563" s="2" t="n">
        <v>0</v>
      </c>
      <c r="E1563" s="2" t="s">
        <v>11979</v>
      </c>
      <c r="F1563" s="2" t="s">
        <v>2040</v>
      </c>
      <c r="G1563" s="2" t="s">
        <v>11980</v>
      </c>
      <c r="H1563" s="2" t="s">
        <v>420</v>
      </c>
      <c r="I1563" s="2" t="s">
        <v>1735</v>
      </c>
      <c r="J1563" s="2" t="s">
        <v>11981</v>
      </c>
      <c r="K1563" s="2" t="s">
        <v>507</v>
      </c>
      <c r="L1563" s="2" t="n">
        <v>0</v>
      </c>
      <c r="M1563" s="2" t="n">
        <v>0.78</v>
      </c>
    </row>
    <row r="1564" customFormat="false" ht="15" hidden="false" customHeight="false" outlineLevel="0" collapsed="false">
      <c r="A1564" s="2" t="n">
        <v>1562</v>
      </c>
      <c r="B1564" s="2" t="s">
        <v>6885</v>
      </c>
      <c r="C1564" s="2" t="n">
        <v>0</v>
      </c>
      <c r="D1564" s="2" t="n">
        <v>0</v>
      </c>
      <c r="E1564" s="2" t="s">
        <v>11982</v>
      </c>
      <c r="F1564" s="2" t="s">
        <v>2021</v>
      </c>
      <c r="G1564" s="2" t="s">
        <v>11983</v>
      </c>
      <c r="H1564" s="2" t="s">
        <v>696</v>
      </c>
      <c r="I1564" s="2" t="s">
        <v>4206</v>
      </c>
      <c r="J1564" s="2" t="s">
        <v>11984</v>
      </c>
      <c r="K1564" s="2" t="s">
        <v>507</v>
      </c>
      <c r="L1564" s="2" t="n">
        <v>0</v>
      </c>
      <c r="M1564" s="2" t="n">
        <v>0.82</v>
      </c>
    </row>
    <row r="1565" customFormat="false" ht="15" hidden="false" customHeight="false" outlineLevel="0" collapsed="false">
      <c r="A1565" s="2" t="n">
        <v>1563</v>
      </c>
      <c r="B1565" s="2" t="s">
        <v>6885</v>
      </c>
      <c r="C1565" s="2" t="n">
        <v>0</v>
      </c>
      <c r="D1565" s="2" t="n">
        <v>0</v>
      </c>
      <c r="E1565" s="2" t="s">
        <v>11985</v>
      </c>
      <c r="F1565" s="2" t="s">
        <v>9628</v>
      </c>
      <c r="G1565" s="2" t="s">
        <v>11986</v>
      </c>
      <c r="H1565" s="2" t="s">
        <v>420</v>
      </c>
      <c r="I1565" s="2" t="s">
        <v>487</v>
      </c>
      <c r="J1565" s="2" t="s">
        <v>11987</v>
      </c>
      <c r="K1565" s="2" t="s">
        <v>507</v>
      </c>
      <c r="L1565" s="2" t="n">
        <v>0</v>
      </c>
      <c r="M1565" s="2" t="n">
        <v>0.83</v>
      </c>
    </row>
    <row r="1566" customFormat="false" ht="15" hidden="false" customHeight="false" outlineLevel="0" collapsed="false">
      <c r="A1566" s="2" t="n">
        <v>1564</v>
      </c>
      <c r="B1566" s="2" t="s">
        <v>6885</v>
      </c>
      <c r="C1566" s="2" t="n">
        <v>0</v>
      </c>
      <c r="D1566" s="2" t="n">
        <v>0</v>
      </c>
      <c r="E1566" s="2" t="s">
        <v>11988</v>
      </c>
      <c r="F1566" s="2" t="s">
        <v>1075</v>
      </c>
      <c r="G1566" s="2" t="s">
        <v>11989</v>
      </c>
      <c r="H1566" s="2" t="s">
        <v>1170</v>
      </c>
      <c r="I1566" s="2" t="s">
        <v>1429</v>
      </c>
      <c r="J1566" s="2" t="s">
        <v>11990</v>
      </c>
      <c r="K1566" s="2" t="s">
        <v>507</v>
      </c>
      <c r="L1566" s="2" t="n">
        <v>0</v>
      </c>
      <c r="M1566" s="2" t="n">
        <v>0.77</v>
      </c>
    </row>
    <row r="1567" customFormat="false" ht="15" hidden="false" customHeight="false" outlineLevel="0" collapsed="false">
      <c r="A1567" s="2" t="n">
        <v>1565</v>
      </c>
      <c r="B1567" s="2" t="s">
        <v>6885</v>
      </c>
      <c r="C1567" s="2" t="n">
        <v>0</v>
      </c>
      <c r="D1567" s="2" t="n">
        <v>0</v>
      </c>
      <c r="E1567" s="2" t="s">
        <v>11991</v>
      </c>
      <c r="F1567" s="2" t="s">
        <v>743</v>
      </c>
      <c r="G1567" s="2" t="s">
        <v>11992</v>
      </c>
      <c r="H1567" s="2" t="s">
        <v>11993</v>
      </c>
      <c r="I1567" s="2" t="s">
        <v>2162</v>
      </c>
      <c r="J1567" s="2" t="s">
        <v>11994</v>
      </c>
      <c r="K1567" s="2" t="s">
        <v>507</v>
      </c>
      <c r="L1567" s="2" t="n">
        <v>0</v>
      </c>
      <c r="M1567" s="2" t="n">
        <v>0.5</v>
      </c>
    </row>
    <row r="1568" customFormat="false" ht="15" hidden="false" customHeight="false" outlineLevel="0" collapsed="false">
      <c r="A1568" s="2" t="n">
        <v>1566</v>
      </c>
      <c r="B1568" s="2" t="s">
        <v>6885</v>
      </c>
      <c r="C1568" s="2" t="n">
        <v>0</v>
      </c>
      <c r="D1568" s="2" t="n">
        <v>0</v>
      </c>
      <c r="E1568" s="2" t="s">
        <v>11995</v>
      </c>
      <c r="F1568" s="2" t="s">
        <v>2040</v>
      </c>
      <c r="G1568" s="2" t="s">
        <v>11996</v>
      </c>
      <c r="H1568" s="2" t="s">
        <v>11993</v>
      </c>
      <c r="I1568" s="2" t="s">
        <v>2149</v>
      </c>
      <c r="J1568" s="2" t="s">
        <v>11997</v>
      </c>
      <c r="K1568" s="2" t="s">
        <v>507</v>
      </c>
      <c r="L1568" s="2" t="n">
        <v>0</v>
      </c>
      <c r="M1568" s="2" t="n">
        <v>0.62</v>
      </c>
    </row>
    <row r="1569" customFormat="false" ht="15" hidden="false" customHeight="false" outlineLevel="0" collapsed="false">
      <c r="A1569" s="2" t="n">
        <v>1567</v>
      </c>
      <c r="B1569" s="2" t="s">
        <v>6885</v>
      </c>
      <c r="C1569" s="2" t="n">
        <v>0</v>
      </c>
      <c r="D1569" s="2" t="n">
        <v>0</v>
      </c>
      <c r="E1569" s="2" t="s">
        <v>11998</v>
      </c>
      <c r="F1569" s="2" t="s">
        <v>2040</v>
      </c>
      <c r="G1569" s="2" t="s">
        <v>11999</v>
      </c>
      <c r="H1569" s="2" t="s">
        <v>745</v>
      </c>
      <c r="I1569" s="2" t="s">
        <v>2334</v>
      </c>
      <c r="J1569" s="2" t="s">
        <v>12000</v>
      </c>
      <c r="K1569" s="2" t="s">
        <v>507</v>
      </c>
      <c r="L1569" s="2" t="n">
        <v>0</v>
      </c>
      <c r="M1569" s="2" t="n">
        <v>0.78</v>
      </c>
    </row>
    <row r="1570" customFormat="false" ht="15" hidden="false" customHeight="false" outlineLevel="0" collapsed="false">
      <c r="A1570" s="2" t="n">
        <v>1568</v>
      </c>
      <c r="B1570" s="2" t="s">
        <v>6885</v>
      </c>
      <c r="C1570" s="2" t="n">
        <v>0</v>
      </c>
      <c r="D1570" s="2" t="n">
        <v>0</v>
      </c>
      <c r="E1570" s="2" t="s">
        <v>12001</v>
      </c>
      <c r="F1570" s="2" t="s">
        <v>2040</v>
      </c>
      <c r="G1570" s="2" t="s">
        <v>12002</v>
      </c>
      <c r="H1570" s="2" t="s">
        <v>745</v>
      </c>
      <c r="I1570" s="2" t="s">
        <v>4096</v>
      </c>
      <c r="J1570" s="2" t="s">
        <v>12003</v>
      </c>
      <c r="K1570" s="2" t="s">
        <v>507</v>
      </c>
      <c r="L1570" s="2" t="n">
        <v>0</v>
      </c>
      <c r="M1570" s="2" t="n">
        <v>0.7</v>
      </c>
    </row>
    <row r="1571" customFormat="false" ht="15" hidden="false" customHeight="false" outlineLevel="0" collapsed="false">
      <c r="A1571" s="2" t="n">
        <v>1569</v>
      </c>
      <c r="B1571" s="2" t="s">
        <v>6885</v>
      </c>
      <c r="C1571" s="2" t="n">
        <v>0</v>
      </c>
      <c r="D1571" s="2" t="n">
        <v>0</v>
      </c>
      <c r="E1571" s="2" t="s">
        <v>12004</v>
      </c>
      <c r="F1571" s="2" t="s">
        <v>2040</v>
      </c>
      <c r="G1571" s="2" t="s">
        <v>12005</v>
      </c>
      <c r="H1571" s="2" t="s">
        <v>12006</v>
      </c>
      <c r="I1571" s="2" t="s">
        <v>5557</v>
      </c>
      <c r="J1571" s="2" t="s">
        <v>12007</v>
      </c>
      <c r="K1571" s="2" t="s">
        <v>507</v>
      </c>
      <c r="L1571" s="2" t="n">
        <v>0</v>
      </c>
      <c r="M1571" s="2" t="n">
        <v>0.58</v>
      </c>
    </row>
    <row r="1572" customFormat="false" ht="15" hidden="false" customHeight="false" outlineLevel="0" collapsed="false">
      <c r="A1572" s="2" t="n">
        <v>1570</v>
      </c>
      <c r="B1572" s="2" t="s">
        <v>6885</v>
      </c>
      <c r="C1572" s="2" t="n">
        <v>0</v>
      </c>
      <c r="D1572" s="2" t="n">
        <v>0</v>
      </c>
      <c r="E1572" s="2" t="s">
        <v>12008</v>
      </c>
      <c r="F1572" s="2" t="s">
        <v>2040</v>
      </c>
      <c r="G1572" s="2" t="s">
        <v>12009</v>
      </c>
      <c r="H1572" s="2" t="s">
        <v>11993</v>
      </c>
      <c r="I1572" s="2" t="s">
        <v>1614</v>
      </c>
      <c r="J1572" s="2" t="s">
        <v>12010</v>
      </c>
      <c r="K1572" s="2" t="s">
        <v>507</v>
      </c>
      <c r="L1572" s="2" t="n">
        <v>0</v>
      </c>
      <c r="M1572" s="2" t="n">
        <v>0.8</v>
      </c>
    </row>
    <row r="1573" customFormat="false" ht="15" hidden="false" customHeight="false" outlineLevel="0" collapsed="false">
      <c r="A1573" s="2" t="n">
        <v>1571</v>
      </c>
      <c r="B1573" s="2" t="s">
        <v>6885</v>
      </c>
      <c r="C1573" s="2" t="n">
        <v>0</v>
      </c>
      <c r="D1573" s="2" t="n">
        <v>0</v>
      </c>
      <c r="E1573" s="2" t="s">
        <v>12011</v>
      </c>
      <c r="F1573" s="2" t="s">
        <v>2040</v>
      </c>
      <c r="G1573" s="2" t="s">
        <v>12012</v>
      </c>
      <c r="H1573" s="2" t="s">
        <v>12013</v>
      </c>
      <c r="I1573" s="2" t="s">
        <v>1648</v>
      </c>
      <c r="J1573" s="2" t="s">
        <v>12014</v>
      </c>
      <c r="K1573" s="2" t="s">
        <v>507</v>
      </c>
      <c r="L1573" s="2" t="n">
        <v>0</v>
      </c>
      <c r="M1573" s="2" t="n">
        <v>1</v>
      </c>
    </row>
    <row r="1574" customFormat="false" ht="15" hidden="false" customHeight="false" outlineLevel="0" collapsed="false">
      <c r="A1574" s="2" t="n">
        <v>1572</v>
      </c>
      <c r="B1574" s="2" t="s">
        <v>6885</v>
      </c>
      <c r="C1574" s="2" t="n">
        <v>0</v>
      </c>
      <c r="D1574" s="2" t="n">
        <v>0</v>
      </c>
      <c r="E1574" s="2" t="s">
        <v>12015</v>
      </c>
      <c r="F1574" s="2" t="s">
        <v>2040</v>
      </c>
      <c r="G1574" s="2" t="s">
        <v>12016</v>
      </c>
      <c r="H1574" s="2" t="s">
        <v>5681</v>
      </c>
      <c r="I1574" s="2" t="s">
        <v>3169</v>
      </c>
      <c r="J1574" s="2" t="s">
        <v>12017</v>
      </c>
      <c r="K1574" s="2" t="s">
        <v>507</v>
      </c>
      <c r="L1574" s="2" t="n">
        <v>0.06</v>
      </c>
      <c r="M1574" s="2" t="n">
        <v>0.78</v>
      </c>
    </row>
    <row r="1575" customFormat="false" ht="15" hidden="false" customHeight="false" outlineLevel="0" collapsed="false">
      <c r="A1575" s="2" t="n">
        <v>1573</v>
      </c>
      <c r="B1575" s="2" t="s">
        <v>6885</v>
      </c>
      <c r="C1575" s="2" t="n">
        <v>0</v>
      </c>
      <c r="D1575" s="2" t="n">
        <v>0</v>
      </c>
      <c r="E1575" s="2" t="s">
        <v>12018</v>
      </c>
      <c r="F1575" s="2" t="s">
        <v>2040</v>
      </c>
      <c r="G1575" s="2" t="s">
        <v>12019</v>
      </c>
      <c r="H1575" s="2" t="s">
        <v>12013</v>
      </c>
      <c r="I1575" s="2" t="s">
        <v>1735</v>
      </c>
      <c r="J1575" s="2" t="s">
        <v>12020</v>
      </c>
      <c r="K1575" s="2" t="s">
        <v>507</v>
      </c>
      <c r="L1575" s="2" t="n">
        <v>0</v>
      </c>
      <c r="M1575" s="2" t="n">
        <v>0.92</v>
      </c>
    </row>
    <row r="1576" customFormat="false" ht="15" hidden="false" customHeight="false" outlineLevel="0" collapsed="false">
      <c r="A1576" s="2" t="n">
        <v>1574</v>
      </c>
      <c r="B1576" s="2" t="s">
        <v>6885</v>
      </c>
      <c r="C1576" s="2" t="n">
        <v>0</v>
      </c>
      <c r="D1576" s="2" t="n">
        <v>0</v>
      </c>
      <c r="E1576" s="2" t="s">
        <v>12021</v>
      </c>
      <c r="F1576" s="2" t="s">
        <v>2040</v>
      </c>
      <c r="G1576" s="2" t="s">
        <v>12022</v>
      </c>
      <c r="H1576" s="2" t="s">
        <v>12013</v>
      </c>
      <c r="I1576" s="2" t="s">
        <v>697</v>
      </c>
      <c r="J1576" s="2" t="s">
        <v>12023</v>
      </c>
      <c r="K1576" s="2" t="s">
        <v>507</v>
      </c>
      <c r="L1576" s="2" t="n">
        <v>0</v>
      </c>
      <c r="M1576" s="2" t="n">
        <v>0.9</v>
      </c>
    </row>
    <row r="1577" customFormat="false" ht="15" hidden="false" customHeight="false" outlineLevel="0" collapsed="false">
      <c r="A1577" s="2" t="n">
        <v>1575</v>
      </c>
      <c r="B1577" s="2" t="s">
        <v>6885</v>
      </c>
      <c r="C1577" s="2" t="n">
        <v>0</v>
      </c>
      <c r="D1577" s="2" t="n">
        <v>0</v>
      </c>
      <c r="E1577" s="2" t="s">
        <v>12024</v>
      </c>
      <c r="F1577" s="2" t="s">
        <v>2040</v>
      </c>
      <c r="G1577" s="2" t="s">
        <v>12025</v>
      </c>
      <c r="H1577" s="2" t="s">
        <v>12013</v>
      </c>
      <c r="I1577" s="2" t="s">
        <v>2241</v>
      </c>
      <c r="J1577" s="2" t="s">
        <v>12026</v>
      </c>
      <c r="K1577" s="2" t="s">
        <v>507</v>
      </c>
      <c r="L1577" s="2" t="n">
        <v>0</v>
      </c>
      <c r="M1577" s="2" t="n">
        <v>0.89</v>
      </c>
    </row>
    <row r="1578" customFormat="false" ht="15" hidden="false" customHeight="false" outlineLevel="0" collapsed="false">
      <c r="A1578" s="2" t="n">
        <v>1576</v>
      </c>
      <c r="B1578" s="2" t="s">
        <v>6885</v>
      </c>
      <c r="C1578" s="2" t="n">
        <v>0</v>
      </c>
      <c r="D1578" s="2" t="n">
        <v>0</v>
      </c>
      <c r="E1578" s="2" t="s">
        <v>12027</v>
      </c>
      <c r="F1578" s="2" t="s">
        <v>12028</v>
      </c>
      <c r="G1578" s="2" t="s">
        <v>12029</v>
      </c>
      <c r="H1578" s="2" t="s">
        <v>2233</v>
      </c>
      <c r="I1578" s="2" t="s">
        <v>7581</v>
      </c>
      <c r="J1578" s="2" t="s">
        <v>12030</v>
      </c>
      <c r="K1578" s="2" t="s">
        <v>507</v>
      </c>
      <c r="L1578" s="2" t="n">
        <v>0</v>
      </c>
      <c r="M1578" s="2" t="n">
        <v>0.54</v>
      </c>
    </row>
    <row r="1579" customFormat="false" ht="15" hidden="false" customHeight="false" outlineLevel="0" collapsed="false">
      <c r="A1579" s="2" t="n">
        <v>1577</v>
      </c>
      <c r="B1579" s="2" t="s">
        <v>6885</v>
      </c>
      <c r="C1579" s="2" t="n">
        <v>0</v>
      </c>
      <c r="D1579" s="2" t="n">
        <v>0</v>
      </c>
      <c r="E1579" s="2" t="s">
        <v>12031</v>
      </c>
      <c r="F1579" s="2" t="s">
        <v>1075</v>
      </c>
      <c r="G1579" s="2" t="s">
        <v>12032</v>
      </c>
      <c r="H1579" s="2" t="s">
        <v>745</v>
      </c>
      <c r="I1579" s="2" t="s">
        <v>2825</v>
      </c>
      <c r="J1579" s="2" t="s">
        <v>12033</v>
      </c>
      <c r="K1579" s="2" t="s">
        <v>507</v>
      </c>
      <c r="L1579" s="2" t="n">
        <v>0</v>
      </c>
      <c r="M1579" s="2" t="n">
        <v>0.83</v>
      </c>
    </row>
    <row r="1580" customFormat="false" ht="15" hidden="false" customHeight="false" outlineLevel="0" collapsed="false">
      <c r="A1580" s="2" t="n">
        <v>1578</v>
      </c>
      <c r="B1580" s="2" t="s">
        <v>6885</v>
      </c>
      <c r="C1580" s="2" t="n">
        <v>0</v>
      </c>
      <c r="D1580" s="2" t="n">
        <v>0</v>
      </c>
      <c r="E1580" s="2" t="s">
        <v>12034</v>
      </c>
      <c r="F1580" s="2" t="s">
        <v>1075</v>
      </c>
      <c r="G1580" s="2" t="s">
        <v>12035</v>
      </c>
      <c r="H1580" s="2" t="s">
        <v>6928</v>
      </c>
      <c r="I1580" s="2" t="s">
        <v>2204</v>
      </c>
      <c r="J1580" s="2" t="s">
        <v>12036</v>
      </c>
      <c r="K1580" s="2" t="s">
        <v>507</v>
      </c>
      <c r="L1580" s="2" t="n">
        <v>0</v>
      </c>
      <c r="M1580" s="2" t="n">
        <v>0.8</v>
      </c>
    </row>
    <row r="1581" customFormat="false" ht="15" hidden="false" customHeight="false" outlineLevel="0" collapsed="false">
      <c r="A1581" s="2" t="n">
        <v>1579</v>
      </c>
      <c r="B1581" s="2" t="s">
        <v>6885</v>
      </c>
      <c r="C1581" s="2" t="n">
        <v>0</v>
      </c>
      <c r="D1581" s="2" t="n">
        <v>0</v>
      </c>
      <c r="E1581" s="2" t="s">
        <v>12037</v>
      </c>
      <c r="F1581" s="2" t="s">
        <v>743</v>
      </c>
      <c r="G1581" s="2" t="s">
        <v>12038</v>
      </c>
      <c r="H1581" s="2" t="s">
        <v>745</v>
      </c>
      <c r="I1581" s="2" t="s">
        <v>495</v>
      </c>
      <c r="J1581" s="2" t="s">
        <v>12039</v>
      </c>
      <c r="K1581" s="2" t="s">
        <v>507</v>
      </c>
      <c r="L1581" s="2" t="n">
        <v>0.2</v>
      </c>
      <c r="M1581" s="2" t="n">
        <v>0.58</v>
      </c>
    </row>
    <row r="1582" customFormat="false" ht="15" hidden="false" customHeight="false" outlineLevel="0" collapsed="false">
      <c r="A1582" s="2" t="n">
        <v>1580</v>
      </c>
      <c r="B1582" s="2" t="s">
        <v>6885</v>
      </c>
      <c r="C1582" s="2" t="n">
        <v>3</v>
      </c>
      <c r="D1582" s="2" t="n">
        <v>0</v>
      </c>
      <c r="E1582" s="2" t="s">
        <v>6890</v>
      </c>
      <c r="F1582" s="2" t="s">
        <v>95</v>
      </c>
      <c r="G1582" s="2" t="s">
        <v>6891</v>
      </c>
      <c r="H1582" s="2" t="s">
        <v>6892</v>
      </c>
      <c r="I1582" s="2" t="s">
        <v>2204</v>
      </c>
      <c r="J1582" s="2" t="s">
        <v>12040</v>
      </c>
      <c r="K1582" s="2" t="s">
        <v>507</v>
      </c>
      <c r="L1582" s="2" t="n">
        <v>0</v>
      </c>
      <c r="M1582" s="2" t="n">
        <v>0.33</v>
      </c>
    </row>
    <row r="1583" customFormat="false" ht="15" hidden="false" customHeight="false" outlineLevel="0" collapsed="false">
      <c r="A1583" s="2" t="n">
        <v>1581</v>
      </c>
      <c r="B1583" s="2" t="s">
        <v>6885</v>
      </c>
      <c r="C1583" s="2" t="n">
        <v>1</v>
      </c>
      <c r="D1583" s="2" t="n">
        <v>1</v>
      </c>
      <c r="E1583" s="2" t="s">
        <v>6902</v>
      </c>
      <c r="F1583" s="2" t="s">
        <v>1003</v>
      </c>
      <c r="G1583" s="2" t="s">
        <v>6903</v>
      </c>
      <c r="H1583" s="2" t="s">
        <v>6904</v>
      </c>
      <c r="I1583" s="2" t="s">
        <v>159</v>
      </c>
      <c r="J1583" s="2" t="s">
        <v>9278</v>
      </c>
      <c r="K1583" s="2" t="s">
        <v>507</v>
      </c>
      <c r="L1583" s="2" t="n">
        <v>0</v>
      </c>
      <c r="M1583" s="2" t="n">
        <v>0.89</v>
      </c>
    </row>
    <row r="1584" customFormat="false" ht="15" hidden="false" customHeight="false" outlineLevel="0" collapsed="false">
      <c r="A1584" s="2" t="n">
        <v>1582</v>
      </c>
      <c r="B1584" s="2" t="s">
        <v>6885</v>
      </c>
      <c r="C1584" s="2" t="n">
        <v>1</v>
      </c>
      <c r="D1584" s="2" t="n">
        <v>1</v>
      </c>
      <c r="E1584" s="2" t="s">
        <v>6909</v>
      </c>
      <c r="F1584" s="2" t="s">
        <v>6910</v>
      </c>
      <c r="G1584" s="2" t="s">
        <v>6911</v>
      </c>
      <c r="H1584" s="2" t="s">
        <v>97</v>
      </c>
      <c r="I1584" s="2" t="s">
        <v>3506</v>
      </c>
      <c r="J1584" s="2" t="s">
        <v>12041</v>
      </c>
      <c r="K1584" s="2" t="s">
        <v>507</v>
      </c>
      <c r="L1584" s="2" t="n">
        <v>0</v>
      </c>
      <c r="M1584" s="2"/>
    </row>
    <row r="1585" customFormat="false" ht="15" hidden="false" customHeight="false" outlineLevel="0" collapsed="false">
      <c r="A1585" s="2" t="n">
        <v>1583</v>
      </c>
      <c r="B1585" s="2" t="s">
        <v>6885</v>
      </c>
      <c r="C1585" s="2" t="n">
        <v>1</v>
      </c>
      <c r="D1585" s="2" t="n">
        <v>0</v>
      </c>
      <c r="E1585" s="2" t="s">
        <v>6916</v>
      </c>
      <c r="F1585" s="2" t="s">
        <v>6917</v>
      </c>
      <c r="G1585" s="2" t="s">
        <v>6918</v>
      </c>
      <c r="H1585" s="2" t="s">
        <v>6919</v>
      </c>
      <c r="I1585" s="2" t="s">
        <v>1627</v>
      </c>
      <c r="J1585" s="2" t="s">
        <v>12042</v>
      </c>
      <c r="K1585" s="2" t="s">
        <v>507</v>
      </c>
      <c r="L1585" s="2" t="n">
        <v>0</v>
      </c>
      <c r="M1585" s="2" t="n">
        <v>0.9</v>
      </c>
    </row>
    <row r="1586" customFormat="false" ht="15" hidden="false" customHeight="false" outlineLevel="0" collapsed="false">
      <c r="A1586" s="2" t="n">
        <v>1584</v>
      </c>
      <c r="B1586" s="2" t="s">
        <v>6885</v>
      </c>
      <c r="C1586" s="2" t="n">
        <v>0</v>
      </c>
      <c r="D1586" s="2" t="n">
        <v>0</v>
      </c>
      <c r="E1586" s="2" t="s">
        <v>12043</v>
      </c>
      <c r="F1586" s="2" t="s">
        <v>6970</v>
      </c>
      <c r="G1586" s="2" t="s">
        <v>12044</v>
      </c>
      <c r="H1586" s="2" t="s">
        <v>12045</v>
      </c>
      <c r="I1586" s="2" t="s">
        <v>4314</v>
      </c>
      <c r="J1586" s="2" t="s">
        <v>12046</v>
      </c>
      <c r="K1586" s="2" t="s">
        <v>507</v>
      </c>
      <c r="L1586" s="2" t="n">
        <v>0.14</v>
      </c>
      <c r="M1586" s="2" t="n">
        <v>0.78</v>
      </c>
    </row>
    <row r="1587" customFormat="false" ht="15" hidden="false" customHeight="false" outlineLevel="0" collapsed="false">
      <c r="A1587" s="2" t="n">
        <v>1585</v>
      </c>
      <c r="B1587" s="2" t="s">
        <v>6885</v>
      </c>
      <c r="C1587" s="2" t="n">
        <v>1</v>
      </c>
      <c r="D1587" s="2" t="n">
        <v>1</v>
      </c>
      <c r="E1587" s="2" t="s">
        <v>6923</v>
      </c>
      <c r="F1587" s="2" t="s">
        <v>4133</v>
      </c>
      <c r="G1587" s="2" t="s">
        <v>6924</v>
      </c>
      <c r="H1587" s="2" t="s">
        <v>6892</v>
      </c>
      <c r="I1587" s="2" t="s">
        <v>828</v>
      </c>
      <c r="J1587" s="2" t="s">
        <v>12047</v>
      </c>
      <c r="K1587" s="2" t="s">
        <v>507</v>
      </c>
      <c r="L1587" s="2" t="n">
        <v>0</v>
      </c>
      <c r="M1587" s="2" t="n">
        <v>0.55</v>
      </c>
    </row>
    <row r="1588" customFormat="false" ht="15" hidden="false" customHeight="false" outlineLevel="0" collapsed="false">
      <c r="A1588" s="2" t="n">
        <v>1586</v>
      </c>
      <c r="B1588" s="2" t="s">
        <v>6885</v>
      </c>
      <c r="C1588" s="2" t="n">
        <v>1</v>
      </c>
      <c r="D1588" s="2" t="n">
        <v>0</v>
      </c>
      <c r="E1588" s="2" t="s">
        <v>6926</v>
      </c>
      <c r="F1588" s="2" t="s">
        <v>3917</v>
      </c>
      <c r="G1588" s="2" t="s">
        <v>6927</v>
      </c>
      <c r="H1588" s="2" t="s">
        <v>6928</v>
      </c>
      <c r="I1588" s="2" t="s">
        <v>2852</v>
      </c>
      <c r="J1588" s="2" t="s">
        <v>12048</v>
      </c>
      <c r="K1588" s="2" t="s">
        <v>507</v>
      </c>
      <c r="L1588" s="2" t="n">
        <v>0</v>
      </c>
      <c r="M1588" s="2" t="n">
        <v>0.62</v>
      </c>
    </row>
    <row r="1589" customFormat="false" ht="15" hidden="false" customHeight="false" outlineLevel="0" collapsed="false">
      <c r="A1589" s="2" t="n">
        <v>1587</v>
      </c>
      <c r="B1589" s="2" t="s">
        <v>6885</v>
      </c>
      <c r="C1589" s="2" t="n">
        <v>0</v>
      </c>
      <c r="D1589" s="2" t="n">
        <v>0</v>
      </c>
      <c r="E1589" s="2" t="s">
        <v>12049</v>
      </c>
      <c r="F1589" s="2" t="s">
        <v>4152</v>
      </c>
      <c r="G1589" s="2" t="s">
        <v>12050</v>
      </c>
      <c r="H1589" s="2" t="s">
        <v>6996</v>
      </c>
      <c r="I1589" s="2" t="s">
        <v>828</v>
      </c>
      <c r="J1589" s="2" t="s">
        <v>12051</v>
      </c>
      <c r="K1589" s="2" t="s">
        <v>507</v>
      </c>
      <c r="L1589" s="2" t="n">
        <v>0</v>
      </c>
      <c r="M1589" s="2" t="n">
        <v>0.62</v>
      </c>
    </row>
    <row r="1590" customFormat="false" ht="15" hidden="false" customHeight="false" outlineLevel="0" collapsed="false">
      <c r="A1590" s="2" t="n">
        <v>1588</v>
      </c>
      <c r="B1590" s="2" t="s">
        <v>6885</v>
      </c>
      <c r="C1590" s="2" t="n">
        <v>1</v>
      </c>
      <c r="D1590" s="2" t="n">
        <v>0</v>
      </c>
      <c r="E1590" s="2" t="s">
        <v>6932</v>
      </c>
      <c r="F1590" s="2" t="s">
        <v>4166</v>
      </c>
      <c r="G1590" s="2" t="s">
        <v>6933</v>
      </c>
      <c r="H1590" s="2" t="s">
        <v>3544</v>
      </c>
      <c r="I1590" s="2" t="s">
        <v>4923</v>
      </c>
      <c r="J1590" s="2" t="s">
        <v>12052</v>
      </c>
      <c r="K1590" s="2" t="s">
        <v>507</v>
      </c>
      <c r="L1590" s="2" t="n">
        <v>0.09</v>
      </c>
      <c r="M1590" s="2" t="n">
        <v>0.69</v>
      </c>
    </row>
    <row r="1591" customFormat="false" ht="15" hidden="false" customHeight="false" outlineLevel="0" collapsed="false">
      <c r="A1591" s="2" t="n">
        <v>1589</v>
      </c>
      <c r="B1591" s="2" t="s">
        <v>6885</v>
      </c>
      <c r="C1591" s="2" t="n">
        <v>0</v>
      </c>
      <c r="D1591" s="2" t="n">
        <v>0</v>
      </c>
      <c r="E1591" s="2" t="s">
        <v>12053</v>
      </c>
      <c r="F1591" s="2" t="s">
        <v>7016</v>
      </c>
      <c r="G1591" s="2" t="s">
        <v>12054</v>
      </c>
      <c r="H1591" s="2" t="s">
        <v>745</v>
      </c>
      <c r="I1591" s="2" t="s">
        <v>1261</v>
      </c>
      <c r="J1591" s="2" t="s">
        <v>12055</v>
      </c>
      <c r="K1591" s="2" t="s">
        <v>507</v>
      </c>
      <c r="L1591" s="2" t="n">
        <v>0</v>
      </c>
      <c r="M1591" s="2" t="n">
        <v>0.45</v>
      </c>
    </row>
    <row r="1592" customFormat="false" ht="15" hidden="false" customHeight="false" outlineLevel="0" collapsed="false">
      <c r="A1592" s="2" t="n">
        <v>1590</v>
      </c>
      <c r="B1592" s="2" t="s">
        <v>6934</v>
      </c>
      <c r="C1592" s="2" t="n">
        <v>2</v>
      </c>
      <c r="D1592" s="2" t="n">
        <v>0</v>
      </c>
      <c r="E1592" s="2" t="s">
        <v>6939</v>
      </c>
      <c r="F1592" s="2" t="s">
        <v>4133</v>
      </c>
      <c r="G1592" s="2" t="s">
        <v>6940</v>
      </c>
      <c r="H1592" s="2" t="s">
        <v>6941</v>
      </c>
      <c r="I1592" s="2" t="s">
        <v>98</v>
      </c>
      <c r="J1592" s="2" t="s">
        <v>12056</v>
      </c>
      <c r="K1592" s="2" t="s">
        <v>507</v>
      </c>
      <c r="L1592" s="2" t="n">
        <v>0</v>
      </c>
      <c r="M1592" s="2" t="n">
        <v>0.38</v>
      </c>
    </row>
    <row r="1593" customFormat="false" ht="15" hidden="false" customHeight="false" outlineLevel="0" collapsed="false">
      <c r="A1593" s="2" t="n">
        <v>1591</v>
      </c>
      <c r="B1593" s="2" t="s">
        <v>6934</v>
      </c>
      <c r="C1593" s="2" t="n">
        <v>1</v>
      </c>
      <c r="D1593" s="2" t="n">
        <v>1</v>
      </c>
      <c r="E1593" s="2" t="s">
        <v>6948</v>
      </c>
      <c r="F1593" s="2" t="s">
        <v>95</v>
      </c>
      <c r="G1593" s="2" t="s">
        <v>6949</v>
      </c>
      <c r="H1593" s="2" t="s">
        <v>3517</v>
      </c>
      <c r="I1593" s="2" t="s">
        <v>908</v>
      </c>
      <c r="J1593" s="2" t="s">
        <v>12057</v>
      </c>
      <c r="K1593" s="2" t="s">
        <v>507</v>
      </c>
      <c r="L1593" s="2" t="n">
        <v>0.08</v>
      </c>
      <c r="M1593" s="2" t="n">
        <v>0.7</v>
      </c>
    </row>
    <row r="1594" customFormat="false" ht="15" hidden="false" customHeight="false" outlineLevel="0" collapsed="false">
      <c r="A1594" s="2" t="n">
        <v>1592</v>
      </c>
      <c r="B1594" s="2" t="s">
        <v>6934</v>
      </c>
      <c r="C1594" s="2" t="n">
        <v>0</v>
      </c>
      <c r="D1594" s="2" t="n">
        <v>0</v>
      </c>
      <c r="E1594" s="2" t="s">
        <v>12058</v>
      </c>
      <c r="F1594" s="2" t="s">
        <v>176</v>
      </c>
      <c r="G1594" s="2" t="s">
        <v>12059</v>
      </c>
      <c r="H1594" s="2" t="s">
        <v>10826</v>
      </c>
      <c r="I1594" s="2" t="s">
        <v>604</v>
      </c>
      <c r="J1594" s="2" t="s">
        <v>12060</v>
      </c>
      <c r="K1594" s="2" t="s">
        <v>507</v>
      </c>
      <c r="L1594" s="2" t="n">
        <v>0.2</v>
      </c>
      <c r="M1594" s="2" t="n">
        <v>0.31</v>
      </c>
    </row>
    <row r="1595" customFormat="false" ht="15" hidden="false" customHeight="false" outlineLevel="0" collapsed="false">
      <c r="A1595" s="2" t="n">
        <v>1593</v>
      </c>
      <c r="B1595" s="2" t="s">
        <v>6934</v>
      </c>
      <c r="C1595" s="2" t="n">
        <v>1</v>
      </c>
      <c r="D1595" s="2" t="n">
        <v>0</v>
      </c>
      <c r="E1595" s="2" t="s">
        <v>6955</v>
      </c>
      <c r="F1595" s="2" t="s">
        <v>6956</v>
      </c>
      <c r="G1595" s="2" t="s">
        <v>6957</v>
      </c>
      <c r="H1595" s="2" t="s">
        <v>6958</v>
      </c>
      <c r="I1595" s="2" t="s">
        <v>2196</v>
      </c>
      <c r="J1595" s="2" t="s">
        <v>12061</v>
      </c>
      <c r="K1595" s="2" t="s">
        <v>507</v>
      </c>
      <c r="L1595" s="2" t="n">
        <v>0</v>
      </c>
      <c r="M1595" s="2"/>
    </row>
    <row r="1596" customFormat="false" ht="15" hidden="false" customHeight="false" outlineLevel="0" collapsed="false">
      <c r="A1596" s="2" t="n">
        <v>1594</v>
      </c>
      <c r="B1596" s="2" t="s">
        <v>6934</v>
      </c>
      <c r="C1596" s="2" t="n">
        <v>0</v>
      </c>
      <c r="D1596" s="2" t="n">
        <v>0</v>
      </c>
      <c r="E1596" s="2" t="s">
        <v>12062</v>
      </c>
      <c r="F1596" s="2" t="s">
        <v>95</v>
      </c>
      <c r="G1596" s="2" t="s">
        <v>12063</v>
      </c>
      <c r="H1596" s="2" t="s">
        <v>12064</v>
      </c>
      <c r="I1596" s="2" t="s">
        <v>2379</v>
      </c>
      <c r="J1596" s="2" t="s">
        <v>12065</v>
      </c>
      <c r="K1596" s="2" t="s">
        <v>507</v>
      </c>
      <c r="L1596" s="2" t="n">
        <v>0</v>
      </c>
      <c r="M1596" s="2" t="n">
        <v>0.67</v>
      </c>
    </row>
    <row r="1597" customFormat="false" ht="15" hidden="false" customHeight="false" outlineLevel="0" collapsed="false">
      <c r="A1597" s="2" t="n">
        <v>1595</v>
      </c>
      <c r="B1597" s="2" t="s">
        <v>6934</v>
      </c>
      <c r="C1597" s="2" t="n">
        <v>1</v>
      </c>
      <c r="D1597" s="2" t="n">
        <v>0</v>
      </c>
      <c r="E1597" s="2" t="s">
        <v>6965</v>
      </c>
      <c r="F1597" s="2" t="s">
        <v>6066</v>
      </c>
      <c r="G1597" s="2" t="s">
        <v>6966</v>
      </c>
      <c r="H1597" s="2" t="s">
        <v>6967</v>
      </c>
      <c r="I1597" s="2" t="s">
        <v>1654</v>
      </c>
      <c r="J1597" s="2" t="s">
        <v>12066</v>
      </c>
      <c r="K1597" s="2" t="s">
        <v>507</v>
      </c>
      <c r="L1597" s="2" t="n">
        <v>0</v>
      </c>
      <c r="M1597" s="2" t="n">
        <v>0.46</v>
      </c>
    </row>
    <row r="1598" customFormat="false" ht="15" hidden="false" customHeight="false" outlineLevel="0" collapsed="false">
      <c r="A1598" s="2" t="n">
        <v>1596</v>
      </c>
      <c r="B1598" s="2" t="s">
        <v>6934</v>
      </c>
      <c r="C1598" s="2" t="n">
        <v>1</v>
      </c>
      <c r="D1598" s="2" t="n">
        <v>0</v>
      </c>
      <c r="E1598" s="2" t="s">
        <v>6969</v>
      </c>
      <c r="F1598" s="2" t="s">
        <v>6970</v>
      </c>
      <c r="G1598" s="2" t="s">
        <v>6971</v>
      </c>
      <c r="H1598" s="2" t="s">
        <v>3212</v>
      </c>
      <c r="I1598" s="2" t="s">
        <v>1574</v>
      </c>
      <c r="J1598" s="2" t="s">
        <v>12067</v>
      </c>
      <c r="K1598" s="2" t="s">
        <v>507</v>
      </c>
      <c r="L1598" s="2" t="n">
        <v>0</v>
      </c>
      <c r="M1598" s="2" t="n">
        <v>0.82</v>
      </c>
    </row>
    <row r="1599" customFormat="false" ht="15" hidden="false" customHeight="false" outlineLevel="0" collapsed="false">
      <c r="A1599" s="2" t="n">
        <v>1597</v>
      </c>
      <c r="B1599" s="2" t="s">
        <v>6934</v>
      </c>
      <c r="C1599" s="2" t="n">
        <v>1</v>
      </c>
      <c r="D1599" s="2" t="n">
        <v>0</v>
      </c>
      <c r="E1599" s="2" t="s">
        <v>6973</v>
      </c>
      <c r="F1599" s="2" t="s">
        <v>6974</v>
      </c>
      <c r="G1599" s="2" t="s">
        <v>6975</v>
      </c>
      <c r="H1599" s="2" t="s">
        <v>6976</v>
      </c>
      <c r="I1599" s="2" t="s">
        <v>262</v>
      </c>
      <c r="J1599" s="2" t="s">
        <v>12068</v>
      </c>
      <c r="K1599" s="2" t="s">
        <v>507</v>
      </c>
      <c r="L1599" s="2" t="n">
        <v>0</v>
      </c>
      <c r="M1599" s="2" t="n">
        <v>0.54</v>
      </c>
    </row>
    <row r="1600" customFormat="false" ht="15" hidden="false" customHeight="false" outlineLevel="0" collapsed="false">
      <c r="A1600" s="2" t="n">
        <v>1598</v>
      </c>
      <c r="B1600" s="2" t="s">
        <v>6934</v>
      </c>
      <c r="C1600" s="2" t="n">
        <v>1</v>
      </c>
      <c r="D1600" s="2" t="n">
        <v>0</v>
      </c>
      <c r="E1600" s="2" t="s">
        <v>6979</v>
      </c>
      <c r="F1600" s="2" t="s">
        <v>6980</v>
      </c>
      <c r="G1600" s="2" t="s">
        <v>6981</v>
      </c>
      <c r="H1600" s="2" t="s">
        <v>745</v>
      </c>
      <c r="I1600" s="2" t="s">
        <v>1147</v>
      </c>
      <c r="J1600" s="2" t="s">
        <v>12069</v>
      </c>
      <c r="K1600" s="2" t="s">
        <v>507</v>
      </c>
      <c r="L1600" s="2" t="n">
        <v>0</v>
      </c>
      <c r="M1600" s="2" t="n">
        <v>0.47</v>
      </c>
    </row>
    <row r="1601" customFormat="false" ht="15" hidden="false" customHeight="false" outlineLevel="0" collapsed="false">
      <c r="A1601" s="2" t="n">
        <v>1599</v>
      </c>
      <c r="B1601" s="2" t="s">
        <v>6934</v>
      </c>
      <c r="C1601" s="2" t="n">
        <v>0</v>
      </c>
      <c r="D1601" s="2" t="n">
        <v>0</v>
      </c>
      <c r="E1601" s="2" t="s">
        <v>12070</v>
      </c>
      <c r="F1601" s="2" t="s">
        <v>12071</v>
      </c>
      <c r="G1601" s="2" t="s">
        <v>12072</v>
      </c>
      <c r="H1601" s="2" t="s">
        <v>745</v>
      </c>
      <c r="I1601" s="2" t="s">
        <v>1735</v>
      </c>
      <c r="J1601" s="4" t="s">
        <v>12073</v>
      </c>
      <c r="K1601" s="2" t="s">
        <v>507</v>
      </c>
      <c r="L1601" s="2" t="n">
        <v>0</v>
      </c>
      <c r="M1601" s="2" t="n">
        <v>0.38</v>
      </c>
    </row>
    <row r="1602" customFormat="false" ht="15" hidden="false" customHeight="false" outlineLevel="0" collapsed="false">
      <c r="A1602" s="2" t="n">
        <v>1600</v>
      </c>
      <c r="B1602" s="2" t="s">
        <v>6934</v>
      </c>
      <c r="C1602" s="2" t="n">
        <v>1</v>
      </c>
      <c r="D1602" s="2" t="n">
        <v>0</v>
      </c>
      <c r="E1602" s="2" t="s">
        <v>6983</v>
      </c>
      <c r="F1602" s="2" t="s">
        <v>6984</v>
      </c>
      <c r="G1602" s="2" t="s">
        <v>6985</v>
      </c>
      <c r="H1602" s="2" t="s">
        <v>6986</v>
      </c>
      <c r="I1602" s="2" t="s">
        <v>98</v>
      </c>
      <c r="J1602" s="2" t="s">
        <v>12074</v>
      </c>
      <c r="K1602" s="2" t="s">
        <v>507</v>
      </c>
      <c r="L1602" s="2" t="n">
        <v>0</v>
      </c>
      <c r="M1602" s="2" t="n">
        <v>1</v>
      </c>
    </row>
    <row r="1603" customFormat="false" ht="15" hidden="false" customHeight="false" outlineLevel="0" collapsed="false">
      <c r="A1603" s="2" t="n">
        <v>1601</v>
      </c>
      <c r="B1603" s="2" t="s">
        <v>6934</v>
      </c>
      <c r="C1603" s="2" t="n">
        <v>0</v>
      </c>
      <c r="D1603" s="2" t="n">
        <v>0</v>
      </c>
      <c r="E1603" s="2" t="s">
        <v>12075</v>
      </c>
      <c r="F1603" s="2" t="s">
        <v>4938</v>
      </c>
      <c r="G1603" s="2" t="s">
        <v>12076</v>
      </c>
      <c r="H1603" s="2" t="s">
        <v>4022</v>
      </c>
      <c r="I1603" s="2" t="s">
        <v>1266</v>
      </c>
      <c r="J1603" s="2" t="s">
        <v>12077</v>
      </c>
      <c r="K1603" s="2" t="s">
        <v>507</v>
      </c>
      <c r="L1603" s="2" t="n">
        <v>0.11</v>
      </c>
      <c r="M1603" s="2" t="n">
        <v>1</v>
      </c>
    </row>
    <row r="1604" customFormat="false" ht="15" hidden="false" customHeight="false" outlineLevel="0" collapsed="false">
      <c r="A1604" s="2" t="n">
        <v>1602</v>
      </c>
      <c r="B1604" s="2" t="s">
        <v>6934</v>
      </c>
      <c r="C1604" s="2" t="n">
        <v>0</v>
      </c>
      <c r="D1604" s="2" t="n">
        <v>0</v>
      </c>
      <c r="E1604" s="2" t="s">
        <v>12078</v>
      </c>
      <c r="F1604" s="2" t="s">
        <v>10283</v>
      </c>
      <c r="G1604" s="2" t="s">
        <v>12079</v>
      </c>
      <c r="H1604" s="2" t="s">
        <v>9196</v>
      </c>
      <c r="I1604" s="2" t="s">
        <v>3239</v>
      </c>
      <c r="J1604" s="2" t="s">
        <v>12080</v>
      </c>
      <c r="K1604" s="2" t="s">
        <v>507</v>
      </c>
      <c r="L1604" s="2" t="n">
        <v>0</v>
      </c>
      <c r="M1604" s="2" t="n">
        <v>1</v>
      </c>
    </row>
    <row r="1605" customFormat="false" ht="15" hidden="false" customHeight="false" outlineLevel="0" collapsed="false">
      <c r="A1605" s="2" t="n">
        <v>1603</v>
      </c>
      <c r="B1605" s="2" t="s">
        <v>6934</v>
      </c>
      <c r="C1605" s="2" t="n">
        <v>0</v>
      </c>
      <c r="D1605" s="2" t="n">
        <v>0</v>
      </c>
      <c r="E1605" s="2" t="s">
        <v>12081</v>
      </c>
      <c r="F1605" s="2" t="s">
        <v>12071</v>
      </c>
      <c r="G1605" s="2" t="s">
        <v>7097</v>
      </c>
      <c r="H1605" s="2" t="s">
        <v>6996</v>
      </c>
      <c r="I1605" s="2" t="s">
        <v>1574</v>
      </c>
      <c r="J1605" s="4" t="s">
        <v>12082</v>
      </c>
      <c r="K1605" s="2" t="s">
        <v>507</v>
      </c>
      <c r="L1605" s="2" t="n">
        <v>0</v>
      </c>
      <c r="M1605" s="2" t="n">
        <v>0.25</v>
      </c>
    </row>
    <row r="1606" customFormat="false" ht="15" hidden="false" customHeight="false" outlineLevel="0" collapsed="false">
      <c r="A1606" s="2" t="n">
        <v>1604</v>
      </c>
      <c r="B1606" s="2" t="s">
        <v>6934</v>
      </c>
      <c r="C1606" s="2" t="n">
        <v>0</v>
      </c>
      <c r="D1606" s="2" t="n">
        <v>0</v>
      </c>
      <c r="E1606" s="2" t="s">
        <v>12083</v>
      </c>
      <c r="F1606" s="2" t="s">
        <v>743</v>
      </c>
      <c r="G1606" s="2" t="s">
        <v>6995</v>
      </c>
      <c r="H1606" s="2" t="s">
        <v>6996</v>
      </c>
      <c r="I1606" s="2" t="s">
        <v>795</v>
      </c>
      <c r="J1606" s="2" t="s">
        <v>12084</v>
      </c>
      <c r="K1606" s="2" t="s">
        <v>507</v>
      </c>
      <c r="L1606" s="2" t="n">
        <v>0</v>
      </c>
      <c r="M1606" s="2" t="n">
        <v>0.88</v>
      </c>
    </row>
    <row r="1607" customFormat="false" ht="15" hidden="false" customHeight="false" outlineLevel="0" collapsed="false">
      <c r="A1607" s="2" t="n">
        <v>1605</v>
      </c>
      <c r="B1607" s="2" t="s">
        <v>6934</v>
      </c>
      <c r="C1607" s="2" t="n">
        <v>2</v>
      </c>
      <c r="D1607" s="2" t="n">
        <v>2</v>
      </c>
      <c r="E1607" s="2" t="s">
        <v>6993</v>
      </c>
      <c r="F1607" s="2" t="s">
        <v>6994</v>
      </c>
      <c r="G1607" s="2" t="s">
        <v>6995</v>
      </c>
      <c r="H1607" s="2" t="s">
        <v>6996</v>
      </c>
      <c r="I1607" s="2" t="s">
        <v>795</v>
      </c>
      <c r="J1607" s="2" t="s">
        <v>12085</v>
      </c>
      <c r="K1607" s="2" t="s">
        <v>507</v>
      </c>
      <c r="L1607" s="2" t="n">
        <v>0</v>
      </c>
      <c r="M1607" s="2" t="n">
        <v>0.83</v>
      </c>
    </row>
    <row r="1608" customFormat="false" ht="15" hidden="false" customHeight="false" outlineLevel="0" collapsed="false">
      <c r="A1608" s="2" t="n">
        <v>1606</v>
      </c>
      <c r="B1608" s="2" t="s">
        <v>6934</v>
      </c>
      <c r="C1608" s="2" t="n">
        <v>0</v>
      </c>
      <c r="D1608" s="2" t="n">
        <v>0</v>
      </c>
      <c r="E1608" s="2" t="s">
        <v>12086</v>
      </c>
      <c r="F1608" s="2" t="s">
        <v>176</v>
      </c>
      <c r="G1608" s="2" t="s">
        <v>12087</v>
      </c>
      <c r="H1608" s="2" t="s">
        <v>1170</v>
      </c>
      <c r="I1608" s="2" t="s">
        <v>98</v>
      </c>
      <c r="J1608" s="2" t="s">
        <v>12088</v>
      </c>
      <c r="K1608" s="2" t="s">
        <v>507</v>
      </c>
      <c r="L1608" s="2" t="n">
        <v>0.14</v>
      </c>
      <c r="M1608" s="2" t="n">
        <v>0.78</v>
      </c>
    </row>
    <row r="1609" customFormat="false" ht="15" hidden="false" customHeight="false" outlineLevel="0" collapsed="false">
      <c r="A1609" s="2" t="n">
        <v>1607</v>
      </c>
      <c r="B1609" s="2" t="s">
        <v>6934</v>
      </c>
      <c r="C1609" s="2" t="n">
        <v>0</v>
      </c>
      <c r="D1609" s="2" t="n">
        <v>0</v>
      </c>
      <c r="E1609" s="2" t="s">
        <v>12089</v>
      </c>
      <c r="F1609" s="2" t="s">
        <v>4152</v>
      </c>
      <c r="G1609" s="2" t="s">
        <v>12090</v>
      </c>
      <c r="H1609" s="2" t="s">
        <v>12091</v>
      </c>
      <c r="I1609" s="2" t="s">
        <v>4606</v>
      </c>
      <c r="J1609" s="2" t="s">
        <v>12092</v>
      </c>
      <c r="K1609" s="2" t="s">
        <v>507</v>
      </c>
      <c r="L1609" s="2" t="n">
        <v>0</v>
      </c>
      <c r="M1609" s="2" t="n">
        <v>0.88</v>
      </c>
    </row>
    <row r="1610" customFormat="false" ht="15" hidden="false" customHeight="false" outlineLevel="0" collapsed="false">
      <c r="A1610" s="2" t="n">
        <v>1608</v>
      </c>
      <c r="B1610" s="2" t="s">
        <v>6934</v>
      </c>
      <c r="C1610" s="2" t="n">
        <v>0</v>
      </c>
      <c r="D1610" s="2" t="n">
        <v>0</v>
      </c>
      <c r="E1610" s="2" t="s">
        <v>12093</v>
      </c>
      <c r="F1610" s="2" t="s">
        <v>4051</v>
      </c>
      <c r="G1610" s="2" t="s">
        <v>12094</v>
      </c>
      <c r="H1610" s="2" t="s">
        <v>2926</v>
      </c>
      <c r="I1610" s="2" t="s">
        <v>132</v>
      </c>
      <c r="J1610" s="2" t="s">
        <v>12095</v>
      </c>
      <c r="K1610" s="2" t="s">
        <v>507</v>
      </c>
      <c r="L1610" s="2" t="n">
        <v>0.18</v>
      </c>
      <c r="M1610" s="2" t="n">
        <v>0.78</v>
      </c>
    </row>
    <row r="1611" customFormat="false" ht="15" hidden="false" customHeight="false" outlineLevel="0" collapsed="false">
      <c r="A1611" s="2" t="n">
        <v>1609</v>
      </c>
      <c r="B1611" s="2" t="s">
        <v>6934</v>
      </c>
      <c r="C1611" s="2" t="n">
        <v>0</v>
      </c>
      <c r="D1611" s="2" t="n">
        <v>0</v>
      </c>
      <c r="E1611" s="2" t="s">
        <v>12096</v>
      </c>
      <c r="F1611" s="2" t="s">
        <v>743</v>
      </c>
      <c r="G1611" s="2" t="s">
        <v>12097</v>
      </c>
      <c r="H1611" s="2" t="s">
        <v>12098</v>
      </c>
      <c r="I1611" s="2" t="s">
        <v>2846</v>
      </c>
      <c r="J1611" s="2" t="s">
        <v>12099</v>
      </c>
      <c r="K1611" s="2" t="s">
        <v>507</v>
      </c>
      <c r="L1611" s="2" t="n">
        <v>0</v>
      </c>
      <c r="M1611" s="2" t="n">
        <v>0.8</v>
      </c>
    </row>
    <row r="1612" customFormat="false" ht="15" hidden="false" customHeight="false" outlineLevel="0" collapsed="false">
      <c r="A1612" s="2" t="n">
        <v>1610</v>
      </c>
      <c r="B1612" s="2" t="s">
        <v>6934</v>
      </c>
      <c r="C1612" s="2" t="n">
        <v>1</v>
      </c>
      <c r="D1612" s="2" t="n">
        <v>0</v>
      </c>
      <c r="E1612" s="2" t="s">
        <v>7007</v>
      </c>
      <c r="F1612" s="2" t="s">
        <v>95</v>
      </c>
      <c r="G1612" s="2" t="s">
        <v>7008</v>
      </c>
      <c r="H1612" s="2" t="s">
        <v>7009</v>
      </c>
      <c r="I1612" s="2" t="s">
        <v>283</v>
      </c>
      <c r="J1612" s="2" t="s">
        <v>12100</v>
      </c>
      <c r="K1612" s="2" t="s">
        <v>507</v>
      </c>
      <c r="L1612" s="2" t="n">
        <v>0</v>
      </c>
      <c r="M1612" s="2" t="n">
        <v>1</v>
      </c>
    </row>
    <row r="1613" customFormat="false" ht="15" hidden="false" customHeight="false" outlineLevel="0" collapsed="false">
      <c r="A1613" s="2" t="n">
        <v>1611</v>
      </c>
      <c r="B1613" s="2" t="s">
        <v>6934</v>
      </c>
      <c r="C1613" s="2" t="n">
        <v>1</v>
      </c>
      <c r="D1613" s="2" t="n">
        <v>0</v>
      </c>
      <c r="E1613" s="2" t="s">
        <v>7015</v>
      </c>
      <c r="F1613" s="2" t="s">
        <v>7016</v>
      </c>
      <c r="G1613" s="2" t="s">
        <v>7017</v>
      </c>
      <c r="H1613" s="2" t="s">
        <v>7018</v>
      </c>
      <c r="I1613" s="2" t="s">
        <v>1045</v>
      </c>
      <c r="J1613" s="2" t="s">
        <v>12101</v>
      </c>
      <c r="K1613" s="2" t="s">
        <v>507</v>
      </c>
      <c r="L1613" s="2" t="n">
        <v>0</v>
      </c>
      <c r="M1613" s="2" t="n">
        <v>0.41</v>
      </c>
    </row>
    <row r="1614" customFormat="false" ht="15" hidden="false" customHeight="false" outlineLevel="0" collapsed="false">
      <c r="A1614" s="2" t="n">
        <v>1612</v>
      </c>
      <c r="B1614" s="2" t="s">
        <v>6934</v>
      </c>
      <c r="C1614" s="2" t="n">
        <v>0</v>
      </c>
      <c r="D1614" s="2" t="n">
        <v>0</v>
      </c>
      <c r="E1614" s="2" t="s">
        <v>12102</v>
      </c>
      <c r="F1614" s="2" t="s">
        <v>12103</v>
      </c>
      <c r="G1614" s="2" t="s">
        <v>12104</v>
      </c>
      <c r="H1614" s="2" t="s">
        <v>696</v>
      </c>
      <c r="I1614" s="2" t="s">
        <v>2506</v>
      </c>
      <c r="J1614" s="2" t="s">
        <v>12105</v>
      </c>
      <c r="K1614" s="2" t="s">
        <v>507</v>
      </c>
      <c r="L1614" s="2" t="n">
        <v>0</v>
      </c>
      <c r="M1614" s="2" t="n">
        <v>0.44</v>
      </c>
    </row>
    <row r="1615" customFormat="false" ht="15" hidden="false" customHeight="false" outlineLevel="0" collapsed="false">
      <c r="A1615" s="2" t="n">
        <v>1613</v>
      </c>
      <c r="B1615" s="2" t="s">
        <v>6934</v>
      </c>
      <c r="C1615" s="2" t="n">
        <v>0</v>
      </c>
      <c r="D1615" s="2" t="n">
        <v>0</v>
      </c>
      <c r="E1615" s="2" t="s">
        <v>12106</v>
      </c>
      <c r="F1615" s="2" t="s">
        <v>176</v>
      </c>
      <c r="G1615" s="2" t="s">
        <v>12107</v>
      </c>
      <c r="H1615" s="2" t="s">
        <v>97</v>
      </c>
      <c r="I1615" s="2" t="s">
        <v>262</v>
      </c>
      <c r="J1615" s="2" t="s">
        <v>12108</v>
      </c>
      <c r="K1615" s="2" t="s">
        <v>507</v>
      </c>
      <c r="L1615" s="2" t="n">
        <v>0</v>
      </c>
      <c r="M1615" s="2" t="n">
        <v>0.77</v>
      </c>
    </row>
    <row r="1616" customFormat="false" ht="15" hidden="false" customHeight="false" outlineLevel="0" collapsed="false">
      <c r="A1616" s="2" t="n">
        <v>1614</v>
      </c>
      <c r="B1616" s="2" t="s">
        <v>6934</v>
      </c>
      <c r="C1616" s="2" t="n">
        <v>0</v>
      </c>
      <c r="D1616" s="2" t="n">
        <v>0</v>
      </c>
      <c r="E1616" s="2" t="s">
        <v>12109</v>
      </c>
      <c r="F1616" s="2" t="s">
        <v>9701</v>
      </c>
      <c r="G1616" s="2" t="s">
        <v>12110</v>
      </c>
      <c r="H1616" s="2" t="s">
        <v>3416</v>
      </c>
      <c r="I1616" s="2" t="s">
        <v>813</v>
      </c>
      <c r="J1616" s="2" t="s">
        <v>12111</v>
      </c>
      <c r="K1616" s="2" t="s">
        <v>507</v>
      </c>
      <c r="L1616" s="2" t="n">
        <v>0</v>
      </c>
      <c r="M1616" s="2" t="n">
        <v>0.75</v>
      </c>
    </row>
    <row r="1617" customFormat="false" ht="15" hidden="false" customHeight="false" outlineLevel="0" collapsed="false">
      <c r="A1617" s="2" t="n">
        <v>1615</v>
      </c>
      <c r="B1617" s="2" t="s">
        <v>6934</v>
      </c>
      <c r="C1617" s="2" t="n">
        <v>0</v>
      </c>
      <c r="D1617" s="2" t="n">
        <v>0</v>
      </c>
      <c r="E1617" s="2" t="s">
        <v>12112</v>
      </c>
      <c r="F1617" s="2" t="s">
        <v>176</v>
      </c>
      <c r="G1617" s="2" t="s">
        <v>12113</v>
      </c>
      <c r="H1617" s="2" t="s">
        <v>3416</v>
      </c>
      <c r="I1617" s="2" t="s">
        <v>813</v>
      </c>
      <c r="J1617" s="2" t="s">
        <v>12114</v>
      </c>
      <c r="K1617" s="2" t="s">
        <v>507</v>
      </c>
      <c r="L1617" s="2" t="n">
        <v>0.12</v>
      </c>
      <c r="M1617" s="2" t="n">
        <v>0.6</v>
      </c>
    </row>
    <row r="1618" customFormat="false" ht="15" hidden="false" customHeight="false" outlineLevel="0" collapsed="false">
      <c r="A1618" s="2" t="n">
        <v>1616</v>
      </c>
      <c r="B1618" s="2" t="s">
        <v>6934</v>
      </c>
      <c r="C1618" s="2" t="n">
        <v>2</v>
      </c>
      <c r="D1618" s="2" t="n">
        <v>0</v>
      </c>
      <c r="E1618" s="2" t="s">
        <v>7021</v>
      </c>
      <c r="F1618" s="2" t="s">
        <v>243</v>
      </c>
      <c r="G1618" s="2" t="s">
        <v>7022</v>
      </c>
      <c r="H1618" s="2" t="s">
        <v>7023</v>
      </c>
      <c r="I1618" s="2" t="s">
        <v>421</v>
      </c>
      <c r="J1618" s="2" t="s">
        <v>12115</v>
      </c>
      <c r="K1618" s="2" t="s">
        <v>507</v>
      </c>
      <c r="L1618" s="2" t="n">
        <v>0</v>
      </c>
      <c r="M1618" s="2" t="n">
        <v>0.75</v>
      </c>
    </row>
    <row r="1619" customFormat="false" ht="15" hidden="false" customHeight="false" outlineLevel="0" collapsed="false">
      <c r="A1619" s="2" t="n">
        <v>1617</v>
      </c>
      <c r="B1619" s="2" t="s">
        <v>6934</v>
      </c>
      <c r="C1619" s="2" t="n">
        <v>2</v>
      </c>
      <c r="D1619" s="2" t="n">
        <v>0</v>
      </c>
      <c r="E1619" s="2" t="s">
        <v>7030</v>
      </c>
      <c r="F1619" s="2" t="s">
        <v>418</v>
      </c>
      <c r="G1619" s="2" t="s">
        <v>7031</v>
      </c>
      <c r="H1619" s="2" t="s">
        <v>745</v>
      </c>
      <c r="I1619" s="2" t="s">
        <v>2594</v>
      </c>
      <c r="J1619" s="2" t="s">
        <v>12116</v>
      </c>
      <c r="K1619" s="2" t="s">
        <v>507</v>
      </c>
      <c r="L1619" s="2" t="n">
        <v>0.25</v>
      </c>
      <c r="M1619" s="2" t="n">
        <v>0.88</v>
      </c>
    </row>
    <row r="1620" customFormat="false" ht="15" hidden="false" customHeight="false" outlineLevel="0" collapsed="false">
      <c r="A1620" s="2" t="n">
        <v>1618</v>
      </c>
      <c r="B1620" s="2" t="s">
        <v>6934</v>
      </c>
      <c r="C1620" s="2" t="n">
        <v>1</v>
      </c>
      <c r="D1620" s="2" t="n">
        <v>0</v>
      </c>
      <c r="E1620" s="2" t="s">
        <v>7040</v>
      </c>
      <c r="F1620" s="2" t="s">
        <v>64</v>
      </c>
      <c r="G1620" s="2" t="s">
        <v>7041</v>
      </c>
      <c r="H1620" s="2" t="s">
        <v>696</v>
      </c>
      <c r="I1620" s="2" t="s">
        <v>2149</v>
      </c>
      <c r="J1620" s="2" t="s">
        <v>12117</v>
      </c>
      <c r="K1620" s="2" t="s">
        <v>507</v>
      </c>
      <c r="L1620" s="2" t="n">
        <v>0</v>
      </c>
      <c r="M1620" s="2" t="n">
        <v>0.82</v>
      </c>
    </row>
    <row r="1621" customFormat="false" ht="15" hidden="false" customHeight="false" outlineLevel="0" collapsed="false">
      <c r="A1621" s="2" t="n">
        <v>1619</v>
      </c>
      <c r="B1621" s="2" t="s">
        <v>6934</v>
      </c>
      <c r="C1621" s="2" t="n">
        <v>1</v>
      </c>
      <c r="D1621" s="2" t="n">
        <v>0</v>
      </c>
      <c r="E1621" s="2" t="s">
        <v>7044</v>
      </c>
      <c r="F1621" s="2" t="s">
        <v>176</v>
      </c>
      <c r="G1621" s="2" t="s">
        <v>7045</v>
      </c>
      <c r="H1621" s="2" t="s">
        <v>6996</v>
      </c>
      <c r="I1621" s="2" t="s">
        <v>262</v>
      </c>
      <c r="J1621" s="2" t="s">
        <v>12118</v>
      </c>
      <c r="K1621" s="2" t="s">
        <v>507</v>
      </c>
      <c r="L1621" s="2" t="n">
        <v>0.2</v>
      </c>
      <c r="M1621" s="2" t="n">
        <v>0.71</v>
      </c>
    </row>
    <row r="1622" customFormat="false" ht="15" hidden="false" customHeight="false" outlineLevel="0" collapsed="false">
      <c r="A1622" s="2" t="n">
        <v>1620</v>
      </c>
      <c r="B1622" s="2" t="s">
        <v>7046</v>
      </c>
      <c r="C1622" s="2" t="n">
        <v>1</v>
      </c>
      <c r="D1622" s="2" t="n">
        <v>0</v>
      </c>
      <c r="E1622" s="2" t="s">
        <v>7051</v>
      </c>
      <c r="F1622" s="2" t="s">
        <v>7052</v>
      </c>
      <c r="G1622" s="2" t="s">
        <v>7053</v>
      </c>
      <c r="H1622" s="2" t="s">
        <v>7054</v>
      </c>
      <c r="I1622" s="2" t="s">
        <v>231</v>
      </c>
      <c r="J1622" s="2" t="s">
        <v>12119</v>
      </c>
      <c r="K1622" s="2" t="s">
        <v>507</v>
      </c>
      <c r="L1622" s="2" t="n">
        <v>0</v>
      </c>
      <c r="M1622" s="2" t="n">
        <v>0.67</v>
      </c>
    </row>
    <row r="1623" customFormat="false" ht="15" hidden="false" customHeight="false" outlineLevel="0" collapsed="false">
      <c r="A1623" s="2" t="n">
        <v>1621</v>
      </c>
      <c r="B1623" s="2" t="s">
        <v>7046</v>
      </c>
      <c r="C1623" s="2" t="n">
        <v>0</v>
      </c>
      <c r="D1623" s="2" t="n">
        <v>0</v>
      </c>
      <c r="E1623" s="2" t="s">
        <v>12120</v>
      </c>
      <c r="F1623" s="2" t="s">
        <v>580</v>
      </c>
      <c r="G1623" s="2" t="s">
        <v>12121</v>
      </c>
      <c r="H1623" s="2" t="s">
        <v>178</v>
      </c>
      <c r="I1623" s="2" t="s">
        <v>1972</v>
      </c>
      <c r="J1623" s="2" t="s">
        <v>12122</v>
      </c>
      <c r="K1623" s="2" t="s">
        <v>507</v>
      </c>
      <c r="L1623" s="2" t="n">
        <v>0</v>
      </c>
      <c r="M1623" s="2" t="n">
        <v>0.44</v>
      </c>
    </row>
    <row r="1624" customFormat="false" ht="15" hidden="false" customHeight="false" outlineLevel="0" collapsed="false">
      <c r="A1624" s="2" t="n">
        <v>1622</v>
      </c>
      <c r="B1624" s="2" t="s">
        <v>7046</v>
      </c>
      <c r="C1624" s="2" t="n">
        <v>5</v>
      </c>
      <c r="D1624" s="2" t="n">
        <v>1</v>
      </c>
      <c r="E1624" s="2" t="s">
        <v>7056</v>
      </c>
      <c r="F1624" s="2" t="s">
        <v>95</v>
      </c>
      <c r="G1624" s="2" t="s">
        <v>7057</v>
      </c>
      <c r="H1624" s="2" t="s">
        <v>4299</v>
      </c>
      <c r="I1624" s="2" t="s">
        <v>1750</v>
      </c>
      <c r="J1624" s="2" t="s">
        <v>12123</v>
      </c>
      <c r="K1624" s="2" t="s">
        <v>507</v>
      </c>
      <c r="L1624" s="2" t="n">
        <v>0.11</v>
      </c>
      <c r="M1624" s="2" t="n">
        <v>0.71</v>
      </c>
    </row>
    <row r="1625" customFormat="false" ht="15" hidden="false" customHeight="false" outlineLevel="0" collapsed="false">
      <c r="A1625" s="2" t="n">
        <v>1623</v>
      </c>
      <c r="B1625" s="2" t="s">
        <v>7046</v>
      </c>
      <c r="C1625" s="2" t="n">
        <v>3</v>
      </c>
      <c r="D1625" s="2" t="n">
        <v>0</v>
      </c>
      <c r="E1625" s="2" t="s">
        <v>7075</v>
      </c>
      <c r="F1625" s="2" t="s">
        <v>492</v>
      </c>
      <c r="G1625" s="2" t="s">
        <v>7076</v>
      </c>
      <c r="H1625" s="2" t="s">
        <v>7054</v>
      </c>
      <c r="I1625" s="2" t="s">
        <v>2168</v>
      </c>
      <c r="J1625" s="2" t="s">
        <v>12124</v>
      </c>
      <c r="K1625" s="2" t="s">
        <v>507</v>
      </c>
      <c r="L1625" s="2" t="n">
        <v>0.12</v>
      </c>
      <c r="M1625" s="2" t="n">
        <v>1</v>
      </c>
    </row>
    <row r="1626" customFormat="false" ht="15" hidden="false" customHeight="false" outlineLevel="0" collapsed="false">
      <c r="A1626" s="2" t="n">
        <v>1624</v>
      </c>
      <c r="B1626" s="2" t="s">
        <v>7046</v>
      </c>
      <c r="C1626" s="2" t="n">
        <v>0</v>
      </c>
      <c r="D1626" s="2" t="n">
        <v>0</v>
      </c>
      <c r="E1626" s="2" t="s">
        <v>12125</v>
      </c>
      <c r="F1626" s="2" t="s">
        <v>12126</v>
      </c>
      <c r="G1626" s="2" t="s">
        <v>12127</v>
      </c>
      <c r="H1626" s="2" t="s">
        <v>6996</v>
      </c>
      <c r="I1626" s="2" t="s">
        <v>4606</v>
      </c>
      <c r="J1626" s="2" t="s">
        <v>12128</v>
      </c>
      <c r="K1626" s="2" t="s">
        <v>507</v>
      </c>
      <c r="L1626" s="2" t="n">
        <v>0.11</v>
      </c>
      <c r="M1626" s="2" t="n">
        <v>0.62</v>
      </c>
    </row>
    <row r="1627" customFormat="false" ht="15" hidden="false" customHeight="false" outlineLevel="0" collapsed="false">
      <c r="A1627" s="2" t="n">
        <v>1625</v>
      </c>
      <c r="B1627" s="2" t="s">
        <v>7046</v>
      </c>
      <c r="C1627" s="2" t="n">
        <v>1</v>
      </c>
      <c r="D1627" s="2" t="n">
        <v>0</v>
      </c>
      <c r="E1627" s="2" t="s">
        <v>7089</v>
      </c>
      <c r="F1627" s="2" t="s">
        <v>7090</v>
      </c>
      <c r="G1627" s="2" t="s">
        <v>7091</v>
      </c>
      <c r="H1627" s="2" t="s">
        <v>6996</v>
      </c>
      <c r="I1627" s="2" t="s">
        <v>495</v>
      </c>
      <c r="J1627" s="2" t="s">
        <v>12129</v>
      </c>
      <c r="K1627" s="2" t="s">
        <v>507</v>
      </c>
      <c r="L1627" s="2" t="n">
        <v>0</v>
      </c>
      <c r="M1627" s="2" t="n">
        <v>0.36</v>
      </c>
    </row>
    <row r="1628" customFormat="false" ht="15" hidden="false" customHeight="false" outlineLevel="0" collapsed="false">
      <c r="A1628" s="2" t="n">
        <v>1626</v>
      </c>
      <c r="B1628" s="2" t="s">
        <v>7046</v>
      </c>
      <c r="C1628" s="2" t="n">
        <v>3</v>
      </c>
      <c r="D1628" s="2" t="n">
        <v>0</v>
      </c>
      <c r="E1628" s="2" t="s">
        <v>7096</v>
      </c>
      <c r="F1628" s="2" t="s">
        <v>1168</v>
      </c>
      <c r="G1628" s="2" t="s">
        <v>7097</v>
      </c>
      <c r="H1628" s="2" t="s">
        <v>6996</v>
      </c>
      <c r="I1628" s="2" t="s">
        <v>1574</v>
      </c>
      <c r="J1628" s="2" t="s">
        <v>12130</v>
      </c>
      <c r="K1628" s="2" t="s">
        <v>68</v>
      </c>
      <c r="L1628" s="2" t="n">
        <v>0.64</v>
      </c>
      <c r="M1628" s="2" t="n">
        <v>0.9</v>
      </c>
    </row>
    <row r="1629" customFormat="false" ht="15" hidden="false" customHeight="false" outlineLevel="0" collapsed="false">
      <c r="A1629" s="2" t="n">
        <v>1627</v>
      </c>
      <c r="B1629" s="2" t="s">
        <v>7046</v>
      </c>
      <c r="C1629" s="2" t="n">
        <v>4</v>
      </c>
      <c r="D1629" s="2" t="n">
        <v>0</v>
      </c>
      <c r="E1629" s="2" t="s">
        <v>7108</v>
      </c>
      <c r="F1629" s="2" t="s">
        <v>1236</v>
      </c>
      <c r="G1629" s="2" t="s">
        <v>7109</v>
      </c>
      <c r="H1629" s="2" t="s">
        <v>6996</v>
      </c>
      <c r="I1629" s="2" t="s">
        <v>1358</v>
      </c>
      <c r="J1629" s="2" t="s">
        <v>12131</v>
      </c>
      <c r="K1629" s="2" t="s">
        <v>507</v>
      </c>
      <c r="L1629" s="2" t="n">
        <v>0.09</v>
      </c>
      <c r="M1629" s="2" t="n">
        <v>0.86</v>
      </c>
    </row>
    <row r="1630" customFormat="false" ht="15" hidden="false" customHeight="false" outlineLevel="0" collapsed="false">
      <c r="A1630" s="2" t="n">
        <v>1628</v>
      </c>
      <c r="B1630" s="2" t="s">
        <v>7046</v>
      </c>
      <c r="C1630" s="2" t="n">
        <v>0</v>
      </c>
      <c r="D1630" s="2" t="n">
        <v>0</v>
      </c>
      <c r="E1630" s="2" t="s">
        <v>12132</v>
      </c>
      <c r="F1630" s="2" t="s">
        <v>7090</v>
      </c>
      <c r="G1630" s="2" t="s">
        <v>12133</v>
      </c>
      <c r="H1630" s="2" t="s">
        <v>6996</v>
      </c>
      <c r="I1630" s="2" t="s">
        <v>908</v>
      </c>
      <c r="J1630" s="2" t="s">
        <v>12134</v>
      </c>
      <c r="K1630" s="2" t="s">
        <v>507</v>
      </c>
      <c r="L1630" s="2" t="n">
        <v>0</v>
      </c>
      <c r="M1630" s="2" t="n">
        <v>0.83</v>
      </c>
    </row>
    <row r="1631" customFormat="false" ht="15" hidden="false" customHeight="false" outlineLevel="0" collapsed="false">
      <c r="A1631" s="2" t="n">
        <v>1629</v>
      </c>
      <c r="B1631" s="2" t="s">
        <v>7046</v>
      </c>
      <c r="C1631" s="2" t="n">
        <v>0</v>
      </c>
      <c r="D1631" s="2" t="n">
        <v>0</v>
      </c>
      <c r="E1631" s="2" t="s">
        <v>12135</v>
      </c>
      <c r="F1631" s="2" t="s">
        <v>176</v>
      </c>
      <c r="G1631" s="2" t="s">
        <v>12136</v>
      </c>
      <c r="H1631" s="2" t="s">
        <v>6941</v>
      </c>
      <c r="I1631" s="2" t="s">
        <v>1972</v>
      </c>
      <c r="J1631" s="2" t="s">
        <v>12137</v>
      </c>
      <c r="K1631" s="2" t="s">
        <v>507</v>
      </c>
      <c r="L1631" s="2" t="n">
        <v>0.09</v>
      </c>
      <c r="M1631" s="2" t="n">
        <v>0.71</v>
      </c>
    </row>
    <row r="1632" customFormat="false" ht="15" hidden="false" customHeight="false" outlineLevel="0" collapsed="false">
      <c r="A1632" s="2" t="n">
        <v>1630</v>
      </c>
      <c r="B1632" s="2" t="s">
        <v>7046</v>
      </c>
      <c r="C1632" s="2" t="n">
        <v>0</v>
      </c>
      <c r="D1632" s="2" t="n">
        <v>0</v>
      </c>
      <c r="E1632" s="2" t="s">
        <v>12138</v>
      </c>
      <c r="F1632" s="2" t="s">
        <v>7090</v>
      </c>
      <c r="G1632" s="2" t="s">
        <v>12139</v>
      </c>
      <c r="H1632" s="2" t="s">
        <v>97</v>
      </c>
      <c r="I1632" s="2" t="s">
        <v>3023</v>
      </c>
      <c r="J1632" s="2" t="s">
        <v>12140</v>
      </c>
      <c r="K1632" s="2" t="s">
        <v>507</v>
      </c>
      <c r="L1632" s="2" t="n">
        <v>0.29</v>
      </c>
      <c r="M1632" s="2" t="n">
        <v>0.5</v>
      </c>
    </row>
    <row r="1633" customFormat="false" ht="15" hidden="false" customHeight="false" outlineLevel="0" collapsed="false">
      <c r="A1633" s="2" t="n">
        <v>1631</v>
      </c>
      <c r="B1633" s="2" t="s">
        <v>7046</v>
      </c>
      <c r="C1633" s="2" t="n">
        <v>5</v>
      </c>
      <c r="D1633" s="2" t="n">
        <v>0</v>
      </c>
      <c r="E1633" s="2" t="s">
        <v>7120</v>
      </c>
      <c r="F1633" s="2" t="s">
        <v>963</v>
      </c>
      <c r="G1633" s="2" t="s">
        <v>7121</v>
      </c>
      <c r="H1633" s="2" t="s">
        <v>7122</v>
      </c>
      <c r="I1633" s="2" t="s">
        <v>1147</v>
      </c>
      <c r="J1633" s="2" t="s">
        <v>12141</v>
      </c>
      <c r="K1633" s="2" t="s">
        <v>507</v>
      </c>
      <c r="L1633" s="2" t="n">
        <v>0.2</v>
      </c>
      <c r="M1633" s="2" t="n">
        <v>0.89</v>
      </c>
    </row>
    <row r="1634" customFormat="false" ht="15" hidden="false" customHeight="false" outlineLevel="0" collapsed="false">
      <c r="A1634" s="2" t="n">
        <v>1632</v>
      </c>
      <c r="B1634" s="2" t="s">
        <v>7046</v>
      </c>
      <c r="C1634" s="2" t="n">
        <v>1</v>
      </c>
      <c r="D1634" s="2" t="n">
        <v>0</v>
      </c>
      <c r="E1634" s="2" t="s">
        <v>7139</v>
      </c>
      <c r="F1634" s="2" t="s">
        <v>7140</v>
      </c>
      <c r="G1634" s="2" t="s">
        <v>7141</v>
      </c>
      <c r="H1634" s="2" t="s">
        <v>745</v>
      </c>
      <c r="I1634" s="2" t="s">
        <v>1482</v>
      </c>
      <c r="J1634" s="2" t="s">
        <v>12142</v>
      </c>
      <c r="K1634" s="2" t="s">
        <v>507</v>
      </c>
      <c r="L1634" s="2" t="n">
        <v>0.11</v>
      </c>
      <c r="M1634" s="2" t="n">
        <v>1</v>
      </c>
    </row>
    <row r="1635" customFormat="false" ht="15" hidden="false" customHeight="false" outlineLevel="0" collapsed="false">
      <c r="A1635" s="2" t="n">
        <v>1633</v>
      </c>
      <c r="B1635" s="2" t="s">
        <v>7046</v>
      </c>
      <c r="C1635" s="2" t="n">
        <v>1</v>
      </c>
      <c r="D1635" s="2" t="n">
        <v>0</v>
      </c>
      <c r="E1635" s="2" t="s">
        <v>7146</v>
      </c>
      <c r="F1635" s="2" t="s">
        <v>7147</v>
      </c>
      <c r="G1635" s="2" t="s">
        <v>7148</v>
      </c>
      <c r="H1635" s="2" t="s">
        <v>6941</v>
      </c>
      <c r="I1635" s="2" t="s">
        <v>1700</v>
      </c>
      <c r="J1635" s="2" t="s">
        <v>12143</v>
      </c>
      <c r="K1635" s="2" t="s">
        <v>507</v>
      </c>
      <c r="L1635" s="2" t="n">
        <v>0.1</v>
      </c>
      <c r="M1635" s="2" t="n">
        <v>0.78</v>
      </c>
    </row>
    <row r="1636" customFormat="false" ht="15" hidden="false" customHeight="false" outlineLevel="0" collapsed="false">
      <c r="A1636" s="2" t="n">
        <v>1634</v>
      </c>
      <c r="B1636" s="2" t="s">
        <v>7046</v>
      </c>
      <c r="C1636" s="2" t="n">
        <v>1</v>
      </c>
      <c r="D1636" s="2" t="n">
        <v>0</v>
      </c>
      <c r="E1636" s="2" t="s">
        <v>7150</v>
      </c>
      <c r="F1636" s="2" t="s">
        <v>803</v>
      </c>
      <c r="G1636" s="2" t="s">
        <v>7151</v>
      </c>
      <c r="H1636" s="2" t="s">
        <v>745</v>
      </c>
      <c r="I1636" s="2" t="s">
        <v>3435</v>
      </c>
      <c r="J1636" s="2" t="s">
        <v>12144</v>
      </c>
      <c r="K1636" s="2" t="s">
        <v>507</v>
      </c>
      <c r="L1636" s="2" t="n">
        <v>0</v>
      </c>
      <c r="M1636" s="2" t="n">
        <v>1</v>
      </c>
    </row>
    <row r="1637" customFormat="false" ht="15" hidden="false" customHeight="false" outlineLevel="0" collapsed="false">
      <c r="A1637" s="2" t="n">
        <v>1635</v>
      </c>
      <c r="B1637" s="2" t="s">
        <v>7046</v>
      </c>
      <c r="C1637" s="2" t="n">
        <v>1</v>
      </c>
      <c r="D1637" s="2" t="n">
        <v>0</v>
      </c>
      <c r="E1637" s="2" t="s">
        <v>7153</v>
      </c>
      <c r="F1637" s="2" t="s">
        <v>803</v>
      </c>
      <c r="G1637" s="2" t="s">
        <v>7154</v>
      </c>
      <c r="H1637" s="2" t="s">
        <v>745</v>
      </c>
      <c r="I1637" s="2" t="s">
        <v>3088</v>
      </c>
      <c r="J1637" s="2" t="s">
        <v>12145</v>
      </c>
      <c r="K1637" s="2" t="s">
        <v>507</v>
      </c>
      <c r="L1637" s="2" t="n">
        <v>0</v>
      </c>
      <c r="M1637" s="2" t="n">
        <v>1</v>
      </c>
    </row>
    <row r="1638" customFormat="false" ht="15" hidden="false" customHeight="false" outlineLevel="0" collapsed="false">
      <c r="A1638" s="2" t="n">
        <v>1636</v>
      </c>
      <c r="B1638" s="2" t="s">
        <v>7046</v>
      </c>
      <c r="C1638" s="2" t="n">
        <v>1</v>
      </c>
      <c r="D1638" s="2" t="n">
        <v>1</v>
      </c>
      <c r="E1638" s="2" t="s">
        <v>7157</v>
      </c>
      <c r="F1638" s="2" t="s">
        <v>7158</v>
      </c>
      <c r="G1638" s="2" t="s">
        <v>7159</v>
      </c>
      <c r="H1638" s="2" t="s">
        <v>7160</v>
      </c>
      <c r="I1638" s="2" t="s">
        <v>1204</v>
      </c>
      <c r="J1638" s="2" t="s">
        <v>12146</v>
      </c>
      <c r="K1638" s="2" t="s">
        <v>507</v>
      </c>
      <c r="L1638" s="2" t="n">
        <v>0.22</v>
      </c>
      <c r="M1638" s="2" t="n">
        <v>0.67</v>
      </c>
    </row>
    <row r="1639" customFormat="false" ht="15" hidden="false" customHeight="false" outlineLevel="0" collapsed="false">
      <c r="A1639" s="2" t="n">
        <v>1637</v>
      </c>
      <c r="B1639" s="2" t="s">
        <v>7046</v>
      </c>
      <c r="C1639" s="2" t="n">
        <v>1</v>
      </c>
      <c r="D1639" s="2" t="n">
        <v>1</v>
      </c>
      <c r="E1639" s="2" t="s">
        <v>7163</v>
      </c>
      <c r="F1639" s="2" t="s">
        <v>7147</v>
      </c>
      <c r="G1639" s="2" t="s">
        <v>7164</v>
      </c>
      <c r="H1639" s="2" t="s">
        <v>7054</v>
      </c>
      <c r="I1639" s="2" t="s">
        <v>1648</v>
      </c>
      <c r="J1639" s="2" t="s">
        <v>12147</v>
      </c>
      <c r="K1639" s="2" t="s">
        <v>507</v>
      </c>
      <c r="L1639" s="2" t="n">
        <v>0</v>
      </c>
      <c r="M1639" s="2" t="n">
        <v>0.62</v>
      </c>
    </row>
    <row r="1640" customFormat="false" ht="15" hidden="false" customHeight="false" outlineLevel="0" collapsed="false">
      <c r="A1640" s="2" t="n">
        <v>1638</v>
      </c>
      <c r="B1640" s="2" t="s">
        <v>7046</v>
      </c>
      <c r="C1640" s="2" t="n">
        <v>1</v>
      </c>
      <c r="D1640" s="2" t="n">
        <v>0</v>
      </c>
      <c r="E1640" s="2" t="s">
        <v>7167</v>
      </c>
      <c r="F1640" s="2" t="s">
        <v>1168</v>
      </c>
      <c r="G1640" s="2" t="s">
        <v>7168</v>
      </c>
      <c r="H1640" s="2" t="s">
        <v>7169</v>
      </c>
      <c r="I1640" s="2" t="s">
        <v>1424</v>
      </c>
      <c r="J1640" s="2" t="s">
        <v>12148</v>
      </c>
      <c r="K1640" s="2" t="s">
        <v>507</v>
      </c>
      <c r="L1640" s="2" t="n">
        <v>0.07</v>
      </c>
      <c r="M1640" s="2" t="n">
        <v>0.75</v>
      </c>
    </row>
    <row r="1641" customFormat="false" ht="15" hidden="false" customHeight="false" outlineLevel="0" collapsed="false">
      <c r="A1641" s="2" t="n">
        <v>1639</v>
      </c>
      <c r="B1641" s="2" t="s">
        <v>7046</v>
      </c>
      <c r="C1641" s="2" t="n">
        <v>1</v>
      </c>
      <c r="D1641" s="2" t="n">
        <v>1</v>
      </c>
      <c r="E1641" s="2" t="s">
        <v>7171</v>
      </c>
      <c r="F1641" s="2" t="s">
        <v>7172</v>
      </c>
      <c r="G1641" s="2" t="s">
        <v>7173</v>
      </c>
      <c r="H1641" s="2" t="s">
        <v>6734</v>
      </c>
      <c r="I1641" s="2" t="s">
        <v>662</v>
      </c>
      <c r="J1641" s="2" t="s">
        <v>12149</v>
      </c>
      <c r="K1641" s="2" t="s">
        <v>507</v>
      </c>
      <c r="L1641" s="2" t="n">
        <v>0</v>
      </c>
      <c r="M1641" s="2" t="n">
        <v>0.57</v>
      </c>
    </row>
    <row r="1642" customFormat="false" ht="15" hidden="false" customHeight="false" outlineLevel="0" collapsed="false">
      <c r="A1642" s="2" t="n">
        <v>1640</v>
      </c>
      <c r="B1642" s="2" t="s">
        <v>7046</v>
      </c>
      <c r="C1642" s="2" t="n">
        <v>1</v>
      </c>
      <c r="D1642" s="2" t="n">
        <v>1</v>
      </c>
      <c r="E1642" s="2" t="s">
        <v>7175</v>
      </c>
      <c r="F1642" s="2" t="s">
        <v>7176</v>
      </c>
      <c r="G1642" s="2" t="s">
        <v>7177</v>
      </c>
      <c r="H1642" s="2" t="s">
        <v>7178</v>
      </c>
      <c r="I1642" s="2" t="s">
        <v>2846</v>
      </c>
      <c r="J1642" s="2" t="s">
        <v>12150</v>
      </c>
      <c r="K1642" s="2" t="s">
        <v>507</v>
      </c>
      <c r="L1642" s="2" t="n">
        <v>0.2</v>
      </c>
      <c r="M1642" s="2" t="n">
        <v>0.55</v>
      </c>
    </row>
    <row r="1643" customFormat="false" ht="15" hidden="false" customHeight="false" outlineLevel="0" collapsed="false">
      <c r="A1643" s="2" t="n">
        <v>1641</v>
      </c>
      <c r="B1643" s="2" t="s">
        <v>7046</v>
      </c>
      <c r="C1643" s="2" t="n">
        <v>1</v>
      </c>
      <c r="D1643" s="2" t="n">
        <v>1</v>
      </c>
      <c r="E1643" s="2" t="s">
        <v>7180</v>
      </c>
      <c r="F1643" s="2" t="s">
        <v>3858</v>
      </c>
      <c r="G1643" s="2" t="s">
        <v>7181</v>
      </c>
      <c r="H1643" s="2" t="s">
        <v>420</v>
      </c>
      <c r="I1643" s="2" t="s">
        <v>686</v>
      </c>
      <c r="J1643" s="2" t="s">
        <v>12151</v>
      </c>
      <c r="K1643" s="2" t="s">
        <v>160</v>
      </c>
      <c r="L1643" s="2" t="n">
        <v>0.33</v>
      </c>
      <c r="M1643" s="2" t="n">
        <v>0.69</v>
      </c>
    </row>
    <row r="1644" customFormat="false" ht="15" hidden="false" customHeight="false" outlineLevel="0" collapsed="false">
      <c r="A1644" s="2" t="n">
        <v>1642</v>
      </c>
      <c r="B1644" s="2" t="s">
        <v>7046</v>
      </c>
      <c r="C1644" s="2" t="n">
        <v>0</v>
      </c>
      <c r="D1644" s="2" t="n">
        <v>0</v>
      </c>
      <c r="E1644" s="2" t="s">
        <v>12152</v>
      </c>
      <c r="F1644" s="2" t="s">
        <v>5045</v>
      </c>
      <c r="G1644" s="2" t="s">
        <v>12153</v>
      </c>
      <c r="H1644" s="2" t="s">
        <v>7054</v>
      </c>
      <c r="I1644" s="2" t="s">
        <v>9596</v>
      </c>
      <c r="J1644" s="2" t="s">
        <v>12154</v>
      </c>
      <c r="K1644" s="2" t="s">
        <v>507</v>
      </c>
      <c r="L1644" s="2" t="n">
        <v>0.14</v>
      </c>
      <c r="M1644" s="2" t="n">
        <v>0.67</v>
      </c>
    </row>
    <row r="1645" customFormat="false" ht="15" hidden="false" customHeight="false" outlineLevel="0" collapsed="false">
      <c r="A1645" s="2" t="n">
        <v>1643</v>
      </c>
      <c r="B1645" s="2" t="s">
        <v>7046</v>
      </c>
      <c r="C1645" s="2" t="n">
        <v>1</v>
      </c>
      <c r="D1645" s="2" t="n">
        <v>1</v>
      </c>
      <c r="E1645" s="2" t="s">
        <v>7183</v>
      </c>
      <c r="F1645" s="2" t="s">
        <v>7184</v>
      </c>
      <c r="G1645" s="2" t="s">
        <v>7185</v>
      </c>
      <c r="H1645" s="2" t="s">
        <v>7186</v>
      </c>
      <c r="I1645" s="2" t="s">
        <v>2825</v>
      </c>
      <c r="J1645" s="2" t="s">
        <v>12155</v>
      </c>
      <c r="K1645" s="2" t="s">
        <v>507</v>
      </c>
      <c r="L1645" s="2" t="n">
        <v>0.1</v>
      </c>
      <c r="M1645" s="2" t="n">
        <v>0.88</v>
      </c>
    </row>
    <row r="1646" customFormat="false" ht="15" hidden="false" customHeight="false" outlineLevel="0" collapsed="false">
      <c r="A1646" s="2" t="n">
        <v>1644</v>
      </c>
      <c r="B1646" s="2" t="s">
        <v>7046</v>
      </c>
      <c r="C1646" s="2" t="n">
        <v>1</v>
      </c>
      <c r="D1646" s="2" t="n">
        <v>1</v>
      </c>
      <c r="E1646" s="2" t="s">
        <v>7188</v>
      </c>
      <c r="F1646" s="2" t="s">
        <v>7189</v>
      </c>
      <c r="G1646" s="2" t="s">
        <v>7190</v>
      </c>
      <c r="H1646" s="2" t="s">
        <v>7191</v>
      </c>
      <c r="I1646" s="2" t="s">
        <v>204</v>
      </c>
      <c r="J1646" s="2" t="s">
        <v>12156</v>
      </c>
      <c r="K1646" s="2" t="s">
        <v>507</v>
      </c>
      <c r="L1646" s="2" t="n">
        <v>0.12</v>
      </c>
      <c r="M1646" s="2" t="n">
        <v>0.67</v>
      </c>
    </row>
    <row r="1647" customFormat="false" ht="15" hidden="false" customHeight="false" outlineLevel="0" collapsed="false">
      <c r="A1647" s="2" t="n">
        <v>1645</v>
      </c>
      <c r="B1647" s="2" t="s">
        <v>7046</v>
      </c>
      <c r="C1647" s="2" t="n">
        <v>1</v>
      </c>
      <c r="D1647" s="2" t="n">
        <v>1</v>
      </c>
      <c r="E1647" s="2" t="s">
        <v>7194</v>
      </c>
      <c r="F1647" s="2" t="s">
        <v>7195</v>
      </c>
      <c r="G1647" s="2" t="s">
        <v>7196</v>
      </c>
      <c r="H1647" s="2" t="s">
        <v>745</v>
      </c>
      <c r="I1647" s="2" t="s">
        <v>4314</v>
      </c>
      <c r="J1647" s="2" t="s">
        <v>12157</v>
      </c>
      <c r="K1647" s="2" t="s">
        <v>507</v>
      </c>
      <c r="L1647" s="2" t="n">
        <v>0.2</v>
      </c>
      <c r="M1647" s="2" t="n">
        <v>0.62</v>
      </c>
    </row>
    <row r="1648" customFormat="false" ht="15" hidden="false" customHeight="false" outlineLevel="0" collapsed="false">
      <c r="A1648" s="2" t="n">
        <v>1646</v>
      </c>
      <c r="B1648" s="2" t="s">
        <v>7046</v>
      </c>
      <c r="C1648" s="2" t="n">
        <v>1</v>
      </c>
      <c r="D1648" s="2" t="n">
        <v>1</v>
      </c>
      <c r="E1648" s="2" t="s">
        <v>7198</v>
      </c>
      <c r="F1648" s="2" t="s">
        <v>3858</v>
      </c>
      <c r="G1648" s="2" t="s">
        <v>7199</v>
      </c>
      <c r="H1648" s="2" t="s">
        <v>7200</v>
      </c>
      <c r="I1648" s="2" t="s">
        <v>2162</v>
      </c>
      <c r="J1648" s="2" t="s">
        <v>12158</v>
      </c>
      <c r="K1648" s="2" t="s">
        <v>507</v>
      </c>
      <c r="L1648" s="2" t="n">
        <v>0</v>
      </c>
      <c r="M1648" s="2" t="n">
        <v>0.83</v>
      </c>
    </row>
    <row r="1649" customFormat="false" ht="15" hidden="false" customHeight="false" outlineLevel="0" collapsed="false">
      <c r="A1649" s="2" t="n">
        <v>1647</v>
      </c>
      <c r="B1649" s="2" t="s">
        <v>7046</v>
      </c>
      <c r="C1649" s="2" t="n">
        <v>1</v>
      </c>
      <c r="D1649" s="2" t="n">
        <v>1</v>
      </c>
      <c r="E1649" s="2" t="s">
        <v>7202</v>
      </c>
      <c r="F1649" s="2" t="s">
        <v>7147</v>
      </c>
      <c r="G1649" s="2" t="s">
        <v>7203</v>
      </c>
      <c r="H1649" s="2" t="s">
        <v>420</v>
      </c>
      <c r="I1649" s="2" t="s">
        <v>1358</v>
      </c>
      <c r="J1649" s="2" t="s">
        <v>12159</v>
      </c>
      <c r="K1649" s="2" t="s">
        <v>507</v>
      </c>
      <c r="L1649" s="2" t="n">
        <v>0.09</v>
      </c>
      <c r="M1649" s="2" t="n">
        <v>0.8</v>
      </c>
    </row>
    <row r="1650" customFormat="false" ht="15" hidden="false" customHeight="false" outlineLevel="0" collapsed="false">
      <c r="A1650" s="2" t="n">
        <v>1648</v>
      </c>
      <c r="B1650" s="2" t="s">
        <v>7046</v>
      </c>
      <c r="C1650" s="2" t="n">
        <v>0</v>
      </c>
      <c r="D1650" s="2" t="n">
        <v>0</v>
      </c>
      <c r="E1650" s="2" t="s">
        <v>12160</v>
      </c>
      <c r="F1650" s="2" t="s">
        <v>3917</v>
      </c>
      <c r="G1650" s="2" t="s">
        <v>12161</v>
      </c>
      <c r="H1650" s="2" t="s">
        <v>12162</v>
      </c>
      <c r="I1650" s="2" t="s">
        <v>3646</v>
      </c>
      <c r="J1650" s="2" t="s">
        <v>12163</v>
      </c>
      <c r="K1650" s="2" t="s">
        <v>507</v>
      </c>
      <c r="L1650" s="2" t="n">
        <v>0.29</v>
      </c>
      <c r="M1650" s="2" t="n">
        <v>0.67</v>
      </c>
    </row>
    <row r="1651" customFormat="false" ht="15" hidden="false" customHeight="false" outlineLevel="0" collapsed="false">
      <c r="A1651" s="2" t="n">
        <v>1649</v>
      </c>
      <c r="B1651" s="2" t="s">
        <v>7046</v>
      </c>
      <c r="C1651" s="2" t="n">
        <v>1</v>
      </c>
      <c r="D1651" s="2" t="n">
        <v>1</v>
      </c>
      <c r="E1651" s="2" t="s">
        <v>7207</v>
      </c>
      <c r="F1651" s="2" t="s">
        <v>803</v>
      </c>
      <c r="G1651" s="2" t="s">
        <v>7208</v>
      </c>
      <c r="H1651" s="2" t="s">
        <v>7186</v>
      </c>
      <c r="I1651" s="2" t="s">
        <v>2370</v>
      </c>
      <c r="J1651" s="2" t="s">
        <v>12164</v>
      </c>
      <c r="K1651" s="2" t="s">
        <v>507</v>
      </c>
      <c r="L1651" s="2" t="n">
        <v>0</v>
      </c>
      <c r="M1651" s="2" t="n">
        <v>1</v>
      </c>
    </row>
    <row r="1652" customFormat="false" ht="15" hidden="false" customHeight="false" outlineLevel="0" collapsed="false">
      <c r="A1652" s="2" t="n">
        <v>1650</v>
      </c>
      <c r="B1652" s="2" t="s">
        <v>7209</v>
      </c>
      <c r="C1652" s="2" t="n">
        <v>0</v>
      </c>
      <c r="D1652" s="2" t="n">
        <v>0</v>
      </c>
      <c r="E1652" s="2" t="s">
        <v>12165</v>
      </c>
      <c r="F1652" s="2" t="s">
        <v>7176</v>
      </c>
      <c r="G1652" s="2" t="s">
        <v>12166</v>
      </c>
      <c r="H1652" s="2" t="s">
        <v>97</v>
      </c>
      <c r="I1652" s="2" t="s">
        <v>604</v>
      </c>
      <c r="J1652" s="2" t="s">
        <v>12167</v>
      </c>
      <c r="K1652" s="2" t="s">
        <v>507</v>
      </c>
      <c r="L1652" s="2" t="n">
        <v>0.17</v>
      </c>
      <c r="M1652" s="2" t="n">
        <v>0.73</v>
      </c>
    </row>
    <row r="1653" customFormat="false" ht="15" hidden="false" customHeight="false" outlineLevel="0" collapsed="false">
      <c r="A1653" s="2" t="n">
        <v>1651</v>
      </c>
      <c r="B1653" s="2" t="s">
        <v>7209</v>
      </c>
      <c r="C1653" s="2" t="n">
        <v>2</v>
      </c>
      <c r="D1653" s="2" t="n">
        <v>0</v>
      </c>
      <c r="E1653" s="2" t="s">
        <v>7212</v>
      </c>
      <c r="F1653" s="2" t="s">
        <v>743</v>
      </c>
      <c r="G1653" s="2" t="s">
        <v>7213</v>
      </c>
      <c r="H1653" s="2" t="s">
        <v>420</v>
      </c>
      <c r="I1653" s="2" t="s">
        <v>4606</v>
      </c>
      <c r="J1653" s="2" t="s">
        <v>12168</v>
      </c>
      <c r="K1653" s="2" t="s">
        <v>507</v>
      </c>
      <c r="L1653" s="2" t="n">
        <v>0</v>
      </c>
      <c r="M1653" s="2" t="n">
        <v>0.7</v>
      </c>
    </row>
    <row r="1654" customFormat="false" ht="15" hidden="false" customHeight="false" outlineLevel="0" collapsed="false">
      <c r="A1654" s="2" t="n">
        <v>1652</v>
      </c>
      <c r="B1654" s="2" t="s">
        <v>7209</v>
      </c>
      <c r="C1654" s="2" t="n">
        <v>1</v>
      </c>
      <c r="D1654" s="2" t="n">
        <v>1</v>
      </c>
      <c r="E1654" s="2" t="s">
        <v>7218</v>
      </c>
      <c r="F1654" s="2" t="s">
        <v>7219</v>
      </c>
      <c r="G1654" s="2" t="s">
        <v>7220</v>
      </c>
      <c r="H1654" s="2" t="s">
        <v>7221</v>
      </c>
      <c r="I1654" s="2" t="s">
        <v>421</v>
      </c>
      <c r="J1654" s="2" t="s">
        <v>12169</v>
      </c>
      <c r="K1654" s="2" t="s">
        <v>507</v>
      </c>
      <c r="L1654" s="2" t="n">
        <v>0</v>
      </c>
      <c r="M1654" s="2" t="n">
        <v>0.44</v>
      </c>
    </row>
    <row r="1655" customFormat="false" ht="15" hidden="false" customHeight="false" outlineLevel="0" collapsed="false">
      <c r="A1655" s="2" t="n">
        <v>1653</v>
      </c>
      <c r="B1655" s="2" t="s">
        <v>7209</v>
      </c>
      <c r="C1655" s="2" t="n">
        <v>0</v>
      </c>
      <c r="D1655" s="2" t="n">
        <v>0</v>
      </c>
      <c r="E1655" s="2" t="s">
        <v>12170</v>
      </c>
      <c r="F1655" s="2" t="s">
        <v>12171</v>
      </c>
      <c r="G1655" s="2" t="s">
        <v>12172</v>
      </c>
      <c r="H1655" s="2" t="s">
        <v>4299</v>
      </c>
      <c r="I1655" s="2" t="s">
        <v>132</v>
      </c>
      <c r="J1655" s="2" t="s">
        <v>12173</v>
      </c>
      <c r="K1655" s="2" t="s">
        <v>507</v>
      </c>
      <c r="L1655" s="2" t="n">
        <v>0.27</v>
      </c>
      <c r="M1655" s="2" t="n">
        <v>0.09</v>
      </c>
    </row>
    <row r="1656" customFormat="false" ht="15" hidden="false" customHeight="false" outlineLevel="0" collapsed="false">
      <c r="A1656" s="2" t="n">
        <v>1654</v>
      </c>
      <c r="B1656" s="2" t="s">
        <v>7209</v>
      </c>
      <c r="C1656" s="2" t="n">
        <v>0</v>
      </c>
      <c r="D1656" s="2" t="n">
        <v>0</v>
      </c>
      <c r="E1656" s="2" t="s">
        <v>12174</v>
      </c>
      <c r="F1656" s="2" t="s">
        <v>95</v>
      </c>
      <c r="G1656" s="2" t="s">
        <v>12175</v>
      </c>
      <c r="H1656" s="2" t="s">
        <v>10949</v>
      </c>
      <c r="I1656" s="2" t="s">
        <v>751</v>
      </c>
      <c r="J1656" s="2" t="s">
        <v>12176</v>
      </c>
      <c r="K1656" s="2" t="s">
        <v>507</v>
      </c>
      <c r="L1656" s="2" t="n">
        <v>0</v>
      </c>
      <c r="M1656" s="2" t="n">
        <v>0.67</v>
      </c>
    </row>
    <row r="1657" customFormat="false" ht="15" hidden="false" customHeight="false" outlineLevel="0" collapsed="false">
      <c r="A1657" s="2" t="n">
        <v>1655</v>
      </c>
      <c r="B1657" s="2" t="s">
        <v>7209</v>
      </c>
      <c r="C1657" s="2" t="n">
        <v>0</v>
      </c>
      <c r="D1657" s="2" t="n">
        <v>0</v>
      </c>
      <c r="E1657" s="2" t="s">
        <v>12177</v>
      </c>
      <c r="F1657" s="2" t="s">
        <v>12178</v>
      </c>
      <c r="G1657" s="2" t="s">
        <v>12179</v>
      </c>
      <c r="H1657" s="2" t="s">
        <v>12180</v>
      </c>
      <c r="I1657" s="2" t="s">
        <v>3023</v>
      </c>
      <c r="J1657" s="2" t="s">
        <v>12181</v>
      </c>
      <c r="K1657" s="2" t="s">
        <v>507</v>
      </c>
      <c r="L1657" s="2" t="n">
        <v>0</v>
      </c>
      <c r="M1657" s="2" t="n">
        <v>1</v>
      </c>
    </row>
    <row r="1658" customFormat="false" ht="15" hidden="false" customHeight="false" outlineLevel="0" collapsed="false">
      <c r="A1658" s="2" t="n">
        <v>1656</v>
      </c>
      <c r="B1658" s="2" t="s">
        <v>7209</v>
      </c>
      <c r="C1658" s="2" t="n">
        <v>0</v>
      </c>
      <c r="D1658" s="2" t="n">
        <v>0</v>
      </c>
      <c r="E1658" s="2" t="s">
        <v>12182</v>
      </c>
      <c r="F1658" s="2" t="s">
        <v>12183</v>
      </c>
      <c r="G1658" s="2" t="s">
        <v>12184</v>
      </c>
      <c r="H1658" s="2" t="s">
        <v>12185</v>
      </c>
      <c r="I1658" s="2" t="s">
        <v>1735</v>
      </c>
      <c r="J1658" s="2" t="s">
        <v>12186</v>
      </c>
      <c r="K1658" s="2" t="s">
        <v>507</v>
      </c>
      <c r="L1658" s="2" t="n">
        <v>0.08</v>
      </c>
      <c r="M1658" s="2" t="n">
        <v>0.78</v>
      </c>
    </row>
    <row r="1659" customFormat="false" ht="15" hidden="false" customHeight="false" outlineLevel="0" collapsed="false">
      <c r="A1659" s="2" t="n">
        <v>1657</v>
      </c>
      <c r="B1659" s="2" t="s">
        <v>7209</v>
      </c>
      <c r="C1659" s="2" t="n">
        <v>0</v>
      </c>
      <c r="D1659" s="2" t="n">
        <v>0</v>
      </c>
      <c r="E1659" s="2" t="s">
        <v>12187</v>
      </c>
      <c r="F1659" s="2" t="s">
        <v>803</v>
      </c>
      <c r="G1659" s="2" t="s">
        <v>12127</v>
      </c>
      <c r="H1659" s="2" t="s">
        <v>6996</v>
      </c>
      <c r="I1659" s="2" t="s">
        <v>4606</v>
      </c>
      <c r="J1659" s="2" t="s">
        <v>12188</v>
      </c>
      <c r="K1659" s="2" t="s">
        <v>507</v>
      </c>
      <c r="L1659" s="2" t="n">
        <v>0</v>
      </c>
      <c r="M1659" s="2" t="n">
        <v>1</v>
      </c>
    </row>
    <row r="1660" customFormat="false" ht="15" hidden="false" customHeight="false" outlineLevel="0" collapsed="false">
      <c r="A1660" s="2" t="n">
        <v>1658</v>
      </c>
      <c r="B1660" s="2" t="s">
        <v>7209</v>
      </c>
      <c r="C1660" s="2" t="n">
        <v>0</v>
      </c>
      <c r="D1660" s="2" t="n">
        <v>0</v>
      </c>
      <c r="E1660" s="2" t="s">
        <v>12189</v>
      </c>
      <c r="F1660" s="2" t="s">
        <v>803</v>
      </c>
      <c r="G1660" s="2" t="s">
        <v>12190</v>
      </c>
      <c r="H1660" s="2" t="s">
        <v>8453</v>
      </c>
      <c r="I1660" s="2" t="s">
        <v>1614</v>
      </c>
      <c r="J1660" s="2" t="s">
        <v>9382</v>
      </c>
      <c r="K1660" s="2" t="s">
        <v>507</v>
      </c>
      <c r="L1660" s="2" t="n">
        <v>0</v>
      </c>
      <c r="M1660" s="2" t="n">
        <v>0</v>
      </c>
    </row>
    <row r="1661" customFormat="false" ht="15" hidden="false" customHeight="false" outlineLevel="0" collapsed="false">
      <c r="A1661" s="2" t="n">
        <v>1659</v>
      </c>
      <c r="B1661" s="2" t="s">
        <v>7209</v>
      </c>
      <c r="C1661" s="2" t="n">
        <v>0</v>
      </c>
      <c r="D1661" s="2" t="n">
        <v>0</v>
      </c>
      <c r="E1661" s="2" t="s">
        <v>12191</v>
      </c>
      <c r="F1661" s="2" t="s">
        <v>803</v>
      </c>
      <c r="G1661" s="2" t="s">
        <v>12192</v>
      </c>
      <c r="H1661" s="2" t="s">
        <v>745</v>
      </c>
      <c r="I1661" s="2" t="s">
        <v>945</v>
      </c>
      <c r="J1661" s="2" t="s">
        <v>12193</v>
      </c>
      <c r="K1661" s="2" t="s">
        <v>507</v>
      </c>
      <c r="L1661" s="2" t="n">
        <v>0.12</v>
      </c>
      <c r="M1661" s="2" t="n">
        <v>1</v>
      </c>
    </row>
    <row r="1662" customFormat="false" ht="15" hidden="false" customHeight="false" outlineLevel="0" collapsed="false">
      <c r="A1662" s="2" t="n">
        <v>1660</v>
      </c>
      <c r="B1662" s="2" t="s">
        <v>7209</v>
      </c>
      <c r="C1662" s="2" t="n">
        <v>1</v>
      </c>
      <c r="D1662" s="2" t="n">
        <v>0</v>
      </c>
      <c r="E1662" s="2" t="s">
        <v>7225</v>
      </c>
      <c r="F1662" s="2" t="s">
        <v>7052</v>
      </c>
      <c r="G1662" s="2" t="s">
        <v>7226</v>
      </c>
      <c r="H1662" s="2" t="s">
        <v>745</v>
      </c>
      <c r="I1662" s="2" t="s">
        <v>1627</v>
      </c>
      <c r="J1662" s="2" t="s">
        <v>12194</v>
      </c>
      <c r="K1662" s="2" t="s">
        <v>507</v>
      </c>
      <c r="L1662" s="2" t="n">
        <v>0</v>
      </c>
      <c r="M1662" s="2" t="n">
        <v>0.82</v>
      </c>
    </row>
    <row r="1663" customFormat="false" ht="15" hidden="false" customHeight="false" outlineLevel="0" collapsed="false">
      <c r="A1663" s="2" t="n">
        <v>1661</v>
      </c>
      <c r="B1663" s="2" t="s">
        <v>7209</v>
      </c>
      <c r="C1663" s="2" t="n">
        <v>1</v>
      </c>
      <c r="D1663" s="2" t="n">
        <v>0</v>
      </c>
      <c r="E1663" s="2" t="s">
        <v>7230</v>
      </c>
      <c r="F1663" s="2" t="s">
        <v>1563</v>
      </c>
      <c r="G1663" s="2" t="s">
        <v>7231</v>
      </c>
      <c r="H1663" s="2" t="s">
        <v>745</v>
      </c>
      <c r="I1663" s="2" t="s">
        <v>2613</v>
      </c>
      <c r="J1663" s="2" t="s">
        <v>12195</v>
      </c>
      <c r="K1663" s="2" t="s">
        <v>507</v>
      </c>
      <c r="L1663" s="2" t="n">
        <v>0.11</v>
      </c>
      <c r="M1663" s="2" t="n">
        <v>1</v>
      </c>
    </row>
    <row r="1664" customFormat="false" ht="15" hidden="false" customHeight="false" outlineLevel="0" collapsed="false">
      <c r="A1664" s="2" t="n">
        <v>1662</v>
      </c>
      <c r="B1664" s="2" t="s">
        <v>7209</v>
      </c>
      <c r="C1664" s="2" t="n">
        <v>2</v>
      </c>
      <c r="D1664" s="2" t="n">
        <v>0</v>
      </c>
      <c r="E1664" s="2" t="s">
        <v>7237</v>
      </c>
      <c r="F1664" s="2" t="s">
        <v>3858</v>
      </c>
      <c r="G1664" s="2" t="s">
        <v>7238</v>
      </c>
      <c r="H1664" s="2" t="s">
        <v>420</v>
      </c>
      <c r="I1664" s="2" t="s">
        <v>190</v>
      </c>
      <c r="J1664" s="2" t="s">
        <v>12196</v>
      </c>
      <c r="K1664" s="2" t="s">
        <v>507</v>
      </c>
      <c r="L1664" s="2" t="n">
        <v>0</v>
      </c>
      <c r="M1664" s="2" t="n">
        <v>0.55</v>
      </c>
    </row>
    <row r="1665" customFormat="false" ht="15" hidden="false" customHeight="false" outlineLevel="0" collapsed="false">
      <c r="A1665" s="2" t="n">
        <v>1663</v>
      </c>
      <c r="B1665" s="2" t="s">
        <v>7209</v>
      </c>
      <c r="C1665" s="2" t="n">
        <v>4</v>
      </c>
      <c r="D1665" s="2" t="n">
        <v>0</v>
      </c>
      <c r="E1665" s="2" t="s">
        <v>7246</v>
      </c>
      <c r="F1665" s="2" t="s">
        <v>7247</v>
      </c>
      <c r="G1665" s="2" t="s">
        <v>7248</v>
      </c>
      <c r="H1665" s="2" t="s">
        <v>5030</v>
      </c>
      <c r="I1665" s="2" t="s">
        <v>5802</v>
      </c>
      <c r="J1665" s="2" t="s">
        <v>12197</v>
      </c>
      <c r="K1665" s="2" t="s">
        <v>507</v>
      </c>
      <c r="L1665" s="2" t="n">
        <v>0</v>
      </c>
      <c r="M1665" s="2" t="n">
        <v>0.7</v>
      </c>
    </row>
    <row r="1666" customFormat="false" ht="15" hidden="false" customHeight="false" outlineLevel="0" collapsed="false">
      <c r="A1666" s="2" t="n">
        <v>1664</v>
      </c>
      <c r="B1666" s="2" t="s">
        <v>7209</v>
      </c>
      <c r="C1666" s="2" t="n">
        <v>1</v>
      </c>
      <c r="D1666" s="2" t="n">
        <v>0</v>
      </c>
      <c r="E1666" s="2" t="s">
        <v>7268</v>
      </c>
      <c r="F1666" s="2" t="s">
        <v>5400</v>
      </c>
      <c r="G1666" s="2" t="s">
        <v>7269</v>
      </c>
      <c r="H1666" s="2" t="s">
        <v>7270</v>
      </c>
      <c r="I1666" s="2" t="s">
        <v>1045</v>
      </c>
      <c r="J1666" s="2" t="s">
        <v>12198</v>
      </c>
      <c r="K1666" s="2" t="s">
        <v>507</v>
      </c>
      <c r="L1666" s="2" t="n">
        <v>0</v>
      </c>
      <c r="M1666" s="2" t="n">
        <v>1</v>
      </c>
    </row>
    <row r="1667" customFormat="false" ht="15" hidden="false" customHeight="false" outlineLevel="0" collapsed="false">
      <c r="A1667" s="2" t="n">
        <v>1665</v>
      </c>
      <c r="B1667" s="2" t="s">
        <v>7209</v>
      </c>
      <c r="C1667" s="2" t="n">
        <v>1</v>
      </c>
      <c r="D1667" s="2" t="n">
        <v>0</v>
      </c>
      <c r="E1667" s="2" t="s">
        <v>7276</v>
      </c>
      <c r="F1667" s="2" t="s">
        <v>5387</v>
      </c>
      <c r="G1667" s="2" t="s">
        <v>7277</v>
      </c>
      <c r="H1667" s="2" t="s">
        <v>7278</v>
      </c>
      <c r="I1667" s="2" t="s">
        <v>3169</v>
      </c>
      <c r="J1667" s="2" t="s">
        <v>12199</v>
      </c>
      <c r="K1667" s="2" t="s">
        <v>507</v>
      </c>
      <c r="L1667" s="2" t="n">
        <v>0.1</v>
      </c>
      <c r="M1667" s="2" t="n">
        <v>0.67</v>
      </c>
    </row>
    <row r="1668" customFormat="false" ht="15" hidden="false" customHeight="false" outlineLevel="0" collapsed="false">
      <c r="A1668" s="2" t="n">
        <v>1666</v>
      </c>
      <c r="B1668" s="2" t="s">
        <v>7209</v>
      </c>
      <c r="C1668" s="2" t="n">
        <v>1</v>
      </c>
      <c r="D1668" s="2" t="n">
        <v>1</v>
      </c>
      <c r="E1668" s="2" t="s">
        <v>7283</v>
      </c>
      <c r="F1668" s="2" t="s">
        <v>7284</v>
      </c>
      <c r="G1668" s="2" t="s">
        <v>7285</v>
      </c>
      <c r="H1668" s="2" t="s">
        <v>5030</v>
      </c>
      <c r="I1668" s="2" t="s">
        <v>3398</v>
      </c>
      <c r="J1668" s="2" t="s">
        <v>12200</v>
      </c>
      <c r="K1668" s="2" t="s">
        <v>507</v>
      </c>
      <c r="L1668" s="2" t="n">
        <v>0</v>
      </c>
      <c r="M1668" s="2" t="n">
        <v>0.73</v>
      </c>
    </row>
    <row r="1669" customFormat="false" ht="15" hidden="false" customHeight="false" outlineLevel="0" collapsed="false">
      <c r="A1669" s="2" t="n">
        <v>1667</v>
      </c>
      <c r="B1669" s="2" t="s">
        <v>7209</v>
      </c>
      <c r="C1669" s="2" t="n">
        <v>1</v>
      </c>
      <c r="D1669" s="2" t="n">
        <v>0</v>
      </c>
      <c r="E1669" s="2" t="s">
        <v>7289</v>
      </c>
      <c r="F1669" s="2" t="s">
        <v>7290</v>
      </c>
      <c r="G1669" s="2" t="s">
        <v>7291</v>
      </c>
      <c r="H1669" s="2" t="s">
        <v>5030</v>
      </c>
      <c r="I1669" s="2" t="s">
        <v>1758</v>
      </c>
      <c r="J1669" s="2" t="s">
        <v>12201</v>
      </c>
      <c r="K1669" s="2" t="s">
        <v>507</v>
      </c>
      <c r="L1669" s="2" t="n">
        <v>0</v>
      </c>
      <c r="M1669" s="2" t="n">
        <v>0.89</v>
      </c>
    </row>
    <row r="1670" customFormat="false" ht="15" hidden="false" customHeight="false" outlineLevel="0" collapsed="false">
      <c r="A1670" s="2" t="n">
        <v>1668</v>
      </c>
      <c r="B1670" s="2" t="s">
        <v>7209</v>
      </c>
      <c r="C1670" s="2" t="n">
        <v>0</v>
      </c>
      <c r="D1670" s="2" t="n">
        <v>0</v>
      </c>
      <c r="E1670" s="2" t="s">
        <v>12202</v>
      </c>
      <c r="F1670" s="2" t="s">
        <v>11090</v>
      </c>
      <c r="G1670" s="2" t="s">
        <v>12203</v>
      </c>
      <c r="H1670" s="2" t="s">
        <v>12204</v>
      </c>
      <c r="I1670" s="2" t="s">
        <v>2489</v>
      </c>
      <c r="J1670" s="2" t="s">
        <v>12205</v>
      </c>
      <c r="K1670" s="2" t="s">
        <v>507</v>
      </c>
      <c r="L1670" s="2" t="n">
        <v>0</v>
      </c>
      <c r="M1670" s="2" t="n">
        <v>0.62</v>
      </c>
    </row>
    <row r="1671" customFormat="false" ht="15" hidden="false" customHeight="false" outlineLevel="0" collapsed="false">
      <c r="A1671" s="2" t="n">
        <v>1669</v>
      </c>
      <c r="B1671" s="2" t="s">
        <v>7209</v>
      </c>
      <c r="C1671" s="2" t="n">
        <v>7</v>
      </c>
      <c r="D1671" s="2" t="n">
        <v>0</v>
      </c>
      <c r="E1671" s="2" t="s">
        <v>7296</v>
      </c>
      <c r="F1671" s="2" t="s">
        <v>7297</v>
      </c>
      <c r="G1671" s="2" t="s">
        <v>7298</v>
      </c>
      <c r="H1671" s="2" t="s">
        <v>420</v>
      </c>
      <c r="I1671" s="2" t="s">
        <v>5557</v>
      </c>
      <c r="J1671" s="2" t="s">
        <v>12206</v>
      </c>
      <c r="K1671" s="2" t="s">
        <v>507</v>
      </c>
      <c r="L1671" s="2" t="n">
        <v>0</v>
      </c>
      <c r="M1671" s="2" t="n">
        <v>1</v>
      </c>
    </row>
    <row r="1672" customFormat="false" ht="15" hidden="false" customHeight="false" outlineLevel="0" collapsed="false">
      <c r="A1672" s="2" t="n">
        <v>1670</v>
      </c>
      <c r="B1672" s="2" t="s">
        <v>7209</v>
      </c>
      <c r="C1672" s="2" t="n">
        <v>0</v>
      </c>
      <c r="D1672" s="2" t="n">
        <v>0</v>
      </c>
      <c r="E1672" s="2" t="s">
        <v>12207</v>
      </c>
      <c r="F1672" s="2" t="s">
        <v>12208</v>
      </c>
      <c r="G1672" s="2" t="s">
        <v>12209</v>
      </c>
      <c r="H1672" s="2" t="s">
        <v>12210</v>
      </c>
      <c r="I1672" s="2" t="s">
        <v>3744</v>
      </c>
      <c r="J1672" s="2" t="s">
        <v>12211</v>
      </c>
      <c r="K1672" s="2" t="s">
        <v>507</v>
      </c>
      <c r="L1672" s="2" t="n">
        <v>0</v>
      </c>
      <c r="M1672" s="2" t="n">
        <v>0.69</v>
      </c>
    </row>
    <row r="1673" customFormat="false" ht="15" hidden="false" customHeight="false" outlineLevel="0" collapsed="false">
      <c r="A1673" s="2" t="n">
        <v>1671</v>
      </c>
      <c r="B1673" s="2" t="s">
        <v>7209</v>
      </c>
      <c r="C1673" s="2" t="n">
        <v>1</v>
      </c>
      <c r="D1673" s="2" t="n">
        <v>0</v>
      </c>
      <c r="E1673" s="2" t="s">
        <v>7320</v>
      </c>
      <c r="F1673" s="2" t="s">
        <v>5381</v>
      </c>
      <c r="G1673" s="2" t="s">
        <v>7321</v>
      </c>
      <c r="H1673" s="2" t="s">
        <v>5487</v>
      </c>
      <c r="I1673" s="2" t="s">
        <v>4923</v>
      </c>
      <c r="J1673" s="2" t="s">
        <v>12212</v>
      </c>
      <c r="K1673" s="2" t="s">
        <v>507</v>
      </c>
      <c r="L1673" s="2" t="n">
        <v>0</v>
      </c>
      <c r="M1673" s="2" t="n">
        <v>0.67</v>
      </c>
    </row>
    <row r="1674" customFormat="false" ht="15" hidden="false" customHeight="false" outlineLevel="0" collapsed="false">
      <c r="A1674" s="2" t="n">
        <v>1672</v>
      </c>
      <c r="B1674" s="2" t="s">
        <v>7209</v>
      </c>
      <c r="C1674" s="2" t="n">
        <v>1</v>
      </c>
      <c r="D1674" s="2" t="n">
        <v>0</v>
      </c>
      <c r="E1674" s="2" t="s">
        <v>7325</v>
      </c>
      <c r="F1674" s="2" t="s">
        <v>580</v>
      </c>
      <c r="G1674" s="2" t="s">
        <v>7326</v>
      </c>
      <c r="H1674" s="2" t="s">
        <v>7327</v>
      </c>
      <c r="I1674" s="2" t="s">
        <v>1306</v>
      </c>
      <c r="J1674" s="2" t="s">
        <v>12213</v>
      </c>
      <c r="K1674" s="2" t="s">
        <v>507</v>
      </c>
      <c r="L1674" s="2" t="n">
        <v>0</v>
      </c>
      <c r="M1674" s="2" t="n">
        <v>0.4</v>
      </c>
    </row>
    <row r="1675" customFormat="false" ht="15" hidden="false" customHeight="false" outlineLevel="0" collapsed="false">
      <c r="A1675" s="2" t="n">
        <v>1673</v>
      </c>
      <c r="B1675" s="2" t="s">
        <v>7209</v>
      </c>
      <c r="C1675" s="2" t="n">
        <v>0</v>
      </c>
      <c r="D1675" s="2" t="n">
        <v>0</v>
      </c>
      <c r="E1675" s="2" t="s">
        <v>12214</v>
      </c>
      <c r="F1675" s="2" t="s">
        <v>95</v>
      </c>
      <c r="G1675" s="2" t="s">
        <v>12215</v>
      </c>
      <c r="H1675" s="2" t="s">
        <v>5487</v>
      </c>
      <c r="I1675" s="2" t="s">
        <v>7581</v>
      </c>
      <c r="J1675" s="2" t="s">
        <v>12216</v>
      </c>
      <c r="K1675" s="2" t="s">
        <v>507</v>
      </c>
      <c r="L1675" s="2" t="n">
        <v>0</v>
      </c>
      <c r="M1675" s="2" t="n">
        <v>0.7</v>
      </c>
    </row>
    <row r="1676" customFormat="false" ht="15" hidden="false" customHeight="false" outlineLevel="0" collapsed="false">
      <c r="A1676" s="2" t="n">
        <v>1674</v>
      </c>
      <c r="B1676" s="2" t="s">
        <v>7209</v>
      </c>
      <c r="C1676" s="2" t="n">
        <v>1</v>
      </c>
      <c r="D1676" s="2" t="n">
        <v>0</v>
      </c>
      <c r="E1676" s="2" t="s">
        <v>7331</v>
      </c>
      <c r="F1676" s="2" t="s">
        <v>580</v>
      </c>
      <c r="G1676" s="2" t="s">
        <v>7332</v>
      </c>
      <c r="H1676" s="2" t="s">
        <v>7333</v>
      </c>
      <c r="I1676" s="2" t="s">
        <v>3646</v>
      </c>
      <c r="J1676" s="2" t="s">
        <v>12217</v>
      </c>
      <c r="K1676" s="2" t="s">
        <v>507</v>
      </c>
      <c r="L1676" s="2" t="n">
        <v>0</v>
      </c>
      <c r="M1676" s="2" t="n">
        <v>0.5</v>
      </c>
    </row>
    <row r="1677" customFormat="false" ht="15" hidden="false" customHeight="false" outlineLevel="0" collapsed="false">
      <c r="A1677" s="2" t="n">
        <v>1675</v>
      </c>
      <c r="B1677" s="2" t="s">
        <v>7209</v>
      </c>
      <c r="C1677" s="2" t="n">
        <v>1</v>
      </c>
      <c r="D1677" s="2" t="n">
        <v>0</v>
      </c>
      <c r="E1677" s="2" t="s">
        <v>7338</v>
      </c>
      <c r="F1677" s="2" t="s">
        <v>963</v>
      </c>
      <c r="G1677" s="2" t="s">
        <v>7339</v>
      </c>
      <c r="H1677" s="2" t="s">
        <v>7340</v>
      </c>
      <c r="I1677" s="2" t="s">
        <v>6803</v>
      </c>
      <c r="J1677" s="2" t="s">
        <v>12218</v>
      </c>
      <c r="K1677" s="2" t="s">
        <v>507</v>
      </c>
      <c r="L1677" s="2" t="n">
        <v>0.09</v>
      </c>
      <c r="M1677" s="2" t="n">
        <v>0.69</v>
      </c>
    </row>
    <row r="1678" customFormat="false" ht="15" hidden="false" customHeight="false" outlineLevel="0" collapsed="false">
      <c r="A1678" s="2" t="n">
        <v>1676</v>
      </c>
      <c r="B1678" s="2" t="s">
        <v>7209</v>
      </c>
      <c r="C1678" s="2" t="n">
        <v>0</v>
      </c>
      <c r="D1678" s="2" t="n">
        <v>0</v>
      </c>
      <c r="E1678" s="2" t="s">
        <v>12219</v>
      </c>
      <c r="F1678" s="2" t="s">
        <v>1312</v>
      </c>
      <c r="G1678" s="2" t="s">
        <v>12220</v>
      </c>
      <c r="H1678" s="2" t="s">
        <v>696</v>
      </c>
      <c r="I1678" s="2" t="s">
        <v>3469</v>
      </c>
      <c r="J1678" s="2" t="s">
        <v>12221</v>
      </c>
      <c r="K1678" s="2" t="s">
        <v>507</v>
      </c>
      <c r="L1678" s="2" t="n">
        <v>0</v>
      </c>
      <c r="M1678" s="2" t="n">
        <v>0.8</v>
      </c>
    </row>
    <row r="1679" customFormat="false" ht="15" hidden="false" customHeight="false" outlineLevel="0" collapsed="false">
      <c r="A1679" s="2" t="n">
        <v>1677</v>
      </c>
      <c r="B1679" s="2" t="s">
        <v>7209</v>
      </c>
      <c r="C1679" s="2" t="n">
        <v>1</v>
      </c>
      <c r="D1679" s="2" t="n">
        <v>0</v>
      </c>
      <c r="E1679" s="2" t="s">
        <v>7344</v>
      </c>
      <c r="F1679" s="2" t="s">
        <v>7345</v>
      </c>
      <c r="G1679" s="2" t="s">
        <v>7346</v>
      </c>
      <c r="H1679" s="2" t="s">
        <v>696</v>
      </c>
      <c r="I1679" s="2" t="s">
        <v>2158</v>
      </c>
      <c r="J1679" s="2" t="s">
        <v>12222</v>
      </c>
      <c r="K1679" s="2" t="s">
        <v>507</v>
      </c>
      <c r="L1679" s="2" t="n">
        <v>0.25</v>
      </c>
      <c r="M1679" s="2" t="n">
        <v>0.89</v>
      </c>
    </row>
    <row r="1680" customFormat="false" ht="15" hidden="false" customHeight="false" outlineLevel="0" collapsed="false">
      <c r="A1680" s="2" t="n">
        <v>1678</v>
      </c>
      <c r="B1680" s="2" t="s">
        <v>7209</v>
      </c>
      <c r="C1680" s="2" t="n">
        <v>0</v>
      </c>
      <c r="D1680" s="2" t="n">
        <v>0</v>
      </c>
      <c r="E1680" s="2" t="s">
        <v>12223</v>
      </c>
      <c r="F1680" s="2" t="s">
        <v>95</v>
      </c>
      <c r="G1680" s="2" t="s">
        <v>12224</v>
      </c>
      <c r="H1680" s="2" t="s">
        <v>5681</v>
      </c>
      <c r="I1680" s="2" t="s">
        <v>115</v>
      </c>
      <c r="J1680" s="2" t="s">
        <v>12225</v>
      </c>
      <c r="K1680" s="2" t="s">
        <v>507</v>
      </c>
      <c r="L1680" s="2" t="n">
        <v>0.06</v>
      </c>
      <c r="M1680" s="2" t="n">
        <v>0.45</v>
      </c>
    </row>
    <row r="1681" customFormat="false" ht="15" hidden="false" customHeight="false" outlineLevel="0" collapsed="false">
      <c r="A1681" s="2" t="n">
        <v>1679</v>
      </c>
      <c r="B1681" s="2" t="s">
        <v>7209</v>
      </c>
      <c r="C1681" s="2" t="n">
        <v>1</v>
      </c>
      <c r="D1681" s="2" t="n">
        <v>1</v>
      </c>
      <c r="E1681" s="2" t="s">
        <v>7352</v>
      </c>
      <c r="F1681" s="2" t="s">
        <v>95</v>
      </c>
      <c r="G1681" s="2" t="s">
        <v>7353</v>
      </c>
      <c r="H1681" s="2" t="s">
        <v>7354</v>
      </c>
      <c r="I1681" s="2" t="s">
        <v>1365</v>
      </c>
      <c r="J1681" s="2" t="s">
        <v>12226</v>
      </c>
      <c r="K1681" s="2" t="s">
        <v>507</v>
      </c>
      <c r="L1681" s="2" t="n">
        <v>0.08</v>
      </c>
      <c r="M1681" s="2" t="n">
        <v>0.78</v>
      </c>
    </row>
    <row r="1682" customFormat="false" ht="15" hidden="false" customHeight="false" outlineLevel="0" collapsed="false">
      <c r="A1682" s="2" t="n">
        <v>1680</v>
      </c>
      <c r="B1682" s="2" t="s">
        <v>7355</v>
      </c>
      <c r="C1682" s="2" t="n">
        <v>0</v>
      </c>
      <c r="D1682" s="2" t="n">
        <v>0</v>
      </c>
      <c r="E1682" s="2" t="s">
        <v>12227</v>
      </c>
      <c r="F1682" s="2" t="s">
        <v>12228</v>
      </c>
      <c r="G1682" s="2" t="s">
        <v>12229</v>
      </c>
      <c r="H1682" s="2" t="s">
        <v>7354</v>
      </c>
      <c r="I1682" s="2" t="s">
        <v>1365</v>
      </c>
      <c r="J1682" s="2" t="s">
        <v>12230</v>
      </c>
      <c r="K1682" s="2" t="s">
        <v>507</v>
      </c>
      <c r="L1682" s="2" t="n">
        <v>0</v>
      </c>
      <c r="M1682" s="2" t="n">
        <v>0.7</v>
      </c>
    </row>
    <row r="1683" customFormat="false" ht="15" hidden="false" customHeight="false" outlineLevel="0" collapsed="false">
      <c r="A1683" s="2" t="n">
        <v>1681</v>
      </c>
      <c r="B1683" s="2" t="s">
        <v>7355</v>
      </c>
      <c r="C1683" s="2" t="n">
        <v>0</v>
      </c>
      <c r="D1683" s="2" t="n">
        <v>0</v>
      </c>
      <c r="E1683" s="2" t="s">
        <v>12231</v>
      </c>
      <c r="F1683" s="2" t="s">
        <v>5074</v>
      </c>
      <c r="G1683" s="2" t="s">
        <v>12232</v>
      </c>
      <c r="H1683" s="2" t="s">
        <v>745</v>
      </c>
      <c r="I1683" s="2" t="s">
        <v>1627</v>
      </c>
      <c r="J1683" s="2" t="s">
        <v>12233</v>
      </c>
      <c r="K1683" s="2" t="s">
        <v>507</v>
      </c>
      <c r="L1683" s="2" t="n">
        <v>0</v>
      </c>
      <c r="M1683" s="2" t="n">
        <v>0.5</v>
      </c>
    </row>
    <row r="1684" customFormat="false" ht="15" hidden="false" customHeight="false" outlineLevel="0" collapsed="false">
      <c r="A1684" s="2" t="n">
        <v>1682</v>
      </c>
      <c r="B1684" s="2" t="s">
        <v>7355</v>
      </c>
      <c r="C1684" s="2" t="n">
        <v>0</v>
      </c>
      <c r="D1684" s="2" t="n">
        <v>0</v>
      </c>
      <c r="E1684" s="2" t="s">
        <v>12234</v>
      </c>
      <c r="F1684" s="2" t="s">
        <v>5115</v>
      </c>
      <c r="G1684" s="2" t="s">
        <v>12235</v>
      </c>
      <c r="H1684" s="2" t="s">
        <v>12236</v>
      </c>
      <c r="I1684" s="2" t="s">
        <v>966</v>
      </c>
      <c r="J1684" s="2" t="s">
        <v>12237</v>
      </c>
      <c r="K1684" s="2" t="s">
        <v>507</v>
      </c>
      <c r="L1684" s="2" t="n">
        <v>0.17</v>
      </c>
      <c r="M1684" s="2" t="n">
        <v>1</v>
      </c>
    </row>
    <row r="1685" customFormat="false" ht="15" hidden="false" customHeight="false" outlineLevel="0" collapsed="false">
      <c r="A1685" s="2" t="n">
        <v>1683</v>
      </c>
      <c r="B1685" s="2" t="s">
        <v>7355</v>
      </c>
      <c r="C1685" s="2" t="n">
        <v>0</v>
      </c>
      <c r="D1685" s="2" t="n">
        <v>0</v>
      </c>
      <c r="E1685" s="2" t="s">
        <v>12238</v>
      </c>
      <c r="F1685" s="2" t="s">
        <v>743</v>
      </c>
      <c r="G1685" s="2" t="s">
        <v>12239</v>
      </c>
      <c r="H1685" s="2" t="s">
        <v>7591</v>
      </c>
      <c r="I1685" s="2" t="s">
        <v>98</v>
      </c>
      <c r="J1685" s="2" t="s">
        <v>12240</v>
      </c>
      <c r="K1685" s="2" t="s">
        <v>507</v>
      </c>
      <c r="L1685" s="2" t="n">
        <v>0.07</v>
      </c>
      <c r="M1685" s="2" t="n">
        <v>0.5</v>
      </c>
    </row>
    <row r="1686" customFormat="false" ht="15" hidden="false" customHeight="false" outlineLevel="0" collapsed="false">
      <c r="A1686" s="2" t="n">
        <v>1684</v>
      </c>
      <c r="B1686" s="2" t="s">
        <v>7355</v>
      </c>
      <c r="C1686" s="2" t="n">
        <v>0</v>
      </c>
      <c r="D1686" s="2" t="n">
        <v>0</v>
      </c>
      <c r="E1686" s="2" t="s">
        <v>12241</v>
      </c>
      <c r="F1686" s="2" t="s">
        <v>743</v>
      </c>
      <c r="G1686" s="2" t="s">
        <v>12242</v>
      </c>
      <c r="H1686" s="2" t="s">
        <v>3212</v>
      </c>
      <c r="I1686" s="2" t="s">
        <v>231</v>
      </c>
      <c r="J1686" s="2" t="s">
        <v>12243</v>
      </c>
      <c r="K1686" s="2" t="s">
        <v>507</v>
      </c>
      <c r="L1686" s="2" t="n">
        <v>0</v>
      </c>
      <c r="M1686" s="2" t="n">
        <v>0.82</v>
      </c>
    </row>
    <row r="1687" customFormat="false" ht="15" hidden="false" customHeight="false" outlineLevel="0" collapsed="false">
      <c r="A1687" s="2" t="n">
        <v>1685</v>
      </c>
      <c r="B1687" s="2" t="s">
        <v>7355</v>
      </c>
      <c r="C1687" s="2" t="n">
        <v>1</v>
      </c>
      <c r="D1687" s="2" t="n">
        <v>0</v>
      </c>
      <c r="E1687" s="2" t="s">
        <v>7360</v>
      </c>
      <c r="F1687" s="2" t="s">
        <v>7361</v>
      </c>
      <c r="G1687" s="2" t="s">
        <v>7362</v>
      </c>
      <c r="H1687" s="2" t="s">
        <v>7354</v>
      </c>
      <c r="I1687" s="2" t="s">
        <v>2723</v>
      </c>
      <c r="J1687" s="2" t="s">
        <v>12244</v>
      </c>
      <c r="K1687" s="2" t="s">
        <v>507</v>
      </c>
      <c r="L1687" s="2" t="n">
        <v>0</v>
      </c>
      <c r="M1687" s="2" t="n">
        <v>0.92</v>
      </c>
    </row>
    <row r="1688" customFormat="false" ht="15" hidden="false" customHeight="false" outlineLevel="0" collapsed="false">
      <c r="A1688" s="2" t="n">
        <v>1686</v>
      </c>
      <c r="B1688" s="2" t="s">
        <v>7355</v>
      </c>
      <c r="C1688" s="2" t="n">
        <v>0</v>
      </c>
      <c r="D1688" s="2" t="n">
        <v>0</v>
      </c>
      <c r="E1688" s="2" t="s">
        <v>12245</v>
      </c>
      <c r="F1688" s="2" t="s">
        <v>2748</v>
      </c>
      <c r="G1688" s="2" t="s">
        <v>12246</v>
      </c>
      <c r="H1688" s="2" t="s">
        <v>7354</v>
      </c>
      <c r="I1688" s="2" t="s">
        <v>3017</v>
      </c>
      <c r="J1688" s="2" t="s">
        <v>12247</v>
      </c>
      <c r="K1688" s="2" t="s">
        <v>507</v>
      </c>
      <c r="L1688" s="2" t="n">
        <v>0</v>
      </c>
      <c r="M1688" s="2" t="n">
        <v>0.8</v>
      </c>
    </row>
    <row r="1689" customFormat="false" ht="15" hidden="false" customHeight="false" outlineLevel="0" collapsed="false">
      <c r="A1689" s="2" t="n">
        <v>1687</v>
      </c>
      <c r="B1689" s="2" t="s">
        <v>7355</v>
      </c>
      <c r="C1689" s="2" t="n">
        <v>1</v>
      </c>
      <c r="D1689" s="2" t="n">
        <v>1</v>
      </c>
      <c r="E1689" s="2" t="s">
        <v>7367</v>
      </c>
      <c r="F1689" s="2" t="s">
        <v>95</v>
      </c>
      <c r="G1689" s="2" t="s">
        <v>7368</v>
      </c>
      <c r="H1689" s="2" t="s">
        <v>7333</v>
      </c>
      <c r="I1689" s="2" t="s">
        <v>2594</v>
      </c>
      <c r="J1689" s="2" t="s">
        <v>12248</v>
      </c>
      <c r="K1689" s="2" t="s">
        <v>507</v>
      </c>
      <c r="L1689" s="2" t="n">
        <v>0</v>
      </c>
      <c r="M1689" s="2" t="n">
        <v>0.78</v>
      </c>
    </row>
    <row r="1690" customFormat="false" ht="15" hidden="false" customHeight="false" outlineLevel="0" collapsed="false">
      <c r="A1690" s="2" t="n">
        <v>1688</v>
      </c>
      <c r="B1690" s="2" t="s">
        <v>7355</v>
      </c>
      <c r="C1690" s="2" t="n">
        <v>1</v>
      </c>
      <c r="D1690" s="2" t="n">
        <v>1</v>
      </c>
      <c r="E1690" s="2" t="s">
        <v>7371</v>
      </c>
      <c r="F1690" s="2" t="s">
        <v>1351</v>
      </c>
      <c r="G1690" s="2" t="s">
        <v>7372</v>
      </c>
      <c r="H1690" s="2" t="s">
        <v>7373</v>
      </c>
      <c r="I1690" s="2" t="s">
        <v>2939</v>
      </c>
      <c r="J1690" s="2" t="s">
        <v>12249</v>
      </c>
      <c r="K1690" s="2" t="s">
        <v>507</v>
      </c>
      <c r="L1690" s="2" t="n">
        <v>0</v>
      </c>
      <c r="M1690" s="2" t="n">
        <v>1</v>
      </c>
    </row>
    <row r="1691" customFormat="false" ht="15" hidden="false" customHeight="false" outlineLevel="0" collapsed="false">
      <c r="A1691" s="2" t="n">
        <v>1689</v>
      </c>
      <c r="B1691" s="2" t="s">
        <v>7355</v>
      </c>
      <c r="C1691" s="2" t="n">
        <v>1</v>
      </c>
      <c r="D1691" s="2" t="n">
        <v>0</v>
      </c>
      <c r="E1691" s="2" t="s">
        <v>7377</v>
      </c>
      <c r="F1691" s="2" t="s">
        <v>5637</v>
      </c>
      <c r="G1691" s="2" t="s">
        <v>7378</v>
      </c>
      <c r="H1691" s="2" t="s">
        <v>420</v>
      </c>
      <c r="I1691" s="2" t="s">
        <v>783</v>
      </c>
      <c r="J1691" s="2" t="s">
        <v>12250</v>
      </c>
      <c r="K1691" s="2" t="s">
        <v>507</v>
      </c>
      <c r="L1691" s="2" t="n">
        <v>0</v>
      </c>
      <c r="M1691" s="2" t="n">
        <v>1</v>
      </c>
    </row>
    <row r="1692" customFormat="false" ht="15" hidden="false" customHeight="false" outlineLevel="0" collapsed="false">
      <c r="A1692" s="2" t="n">
        <v>1690</v>
      </c>
      <c r="B1692" s="2" t="s">
        <v>7355</v>
      </c>
      <c r="C1692" s="2" t="n">
        <v>1</v>
      </c>
      <c r="D1692" s="2" t="n">
        <v>1</v>
      </c>
      <c r="E1692" s="2" t="s">
        <v>7380</v>
      </c>
      <c r="F1692" s="2" t="s">
        <v>95</v>
      </c>
      <c r="G1692" s="2" t="s">
        <v>7381</v>
      </c>
      <c r="H1692" s="2" t="s">
        <v>4380</v>
      </c>
      <c r="I1692" s="2" t="s">
        <v>3469</v>
      </c>
      <c r="J1692" s="2" t="s">
        <v>12251</v>
      </c>
      <c r="K1692" s="2" t="s">
        <v>507</v>
      </c>
      <c r="L1692" s="2" t="n">
        <v>0.1</v>
      </c>
      <c r="M1692" s="2" t="n">
        <v>1</v>
      </c>
    </row>
    <row r="1693" customFormat="false" ht="15" hidden="false" customHeight="false" outlineLevel="0" collapsed="false">
      <c r="A1693" s="2" t="n">
        <v>1691</v>
      </c>
      <c r="B1693" s="2" t="s">
        <v>7355</v>
      </c>
      <c r="C1693" s="2" t="n">
        <v>4</v>
      </c>
      <c r="D1693" s="2" t="n">
        <v>0</v>
      </c>
      <c r="E1693" s="2" t="s">
        <v>7383</v>
      </c>
      <c r="F1693" s="2" t="s">
        <v>2748</v>
      </c>
      <c r="G1693" s="2" t="s">
        <v>7384</v>
      </c>
      <c r="H1693" s="2" t="s">
        <v>7385</v>
      </c>
      <c r="I1693" s="2" t="s">
        <v>3206</v>
      </c>
      <c r="J1693" s="2" t="s">
        <v>12252</v>
      </c>
      <c r="K1693" s="2" t="s">
        <v>507</v>
      </c>
      <c r="L1693" s="2" t="n">
        <v>0</v>
      </c>
      <c r="M1693" s="2" t="n">
        <v>0.5</v>
      </c>
    </row>
    <row r="1694" customFormat="false" ht="15" hidden="false" customHeight="false" outlineLevel="0" collapsed="false">
      <c r="A1694" s="2" t="n">
        <v>1692</v>
      </c>
      <c r="B1694" s="2" t="s">
        <v>7355</v>
      </c>
      <c r="C1694" s="2" t="n">
        <v>0</v>
      </c>
      <c r="D1694" s="2" t="n">
        <v>0</v>
      </c>
      <c r="E1694" s="2" t="s">
        <v>12253</v>
      </c>
      <c r="F1694" s="2" t="s">
        <v>2830</v>
      </c>
      <c r="G1694" s="2" t="s">
        <v>12254</v>
      </c>
      <c r="H1694" s="2" t="s">
        <v>420</v>
      </c>
      <c r="I1694" s="2" t="s">
        <v>1055</v>
      </c>
      <c r="J1694" s="2" t="s">
        <v>12255</v>
      </c>
      <c r="K1694" s="2" t="s">
        <v>507</v>
      </c>
      <c r="L1694" s="2" t="n">
        <v>0</v>
      </c>
      <c r="M1694" s="2" t="n">
        <v>0.8</v>
      </c>
    </row>
    <row r="1695" customFormat="false" ht="15" hidden="false" customHeight="false" outlineLevel="0" collapsed="false">
      <c r="A1695" s="2" t="n">
        <v>1693</v>
      </c>
      <c r="B1695" s="2" t="s">
        <v>7355</v>
      </c>
      <c r="C1695" s="2" t="n">
        <v>2</v>
      </c>
      <c r="D1695" s="2" t="n">
        <v>0</v>
      </c>
      <c r="E1695" s="2" t="s">
        <v>7400</v>
      </c>
      <c r="F1695" s="2" t="s">
        <v>743</v>
      </c>
      <c r="G1695" s="2" t="s">
        <v>7401</v>
      </c>
      <c r="H1695" s="2" t="s">
        <v>3517</v>
      </c>
      <c r="I1695" s="2" t="s">
        <v>3888</v>
      </c>
      <c r="J1695" s="2" t="s">
        <v>12256</v>
      </c>
      <c r="K1695" s="2" t="s">
        <v>507</v>
      </c>
      <c r="L1695" s="2" t="n">
        <v>0.1</v>
      </c>
      <c r="M1695" s="2" t="n">
        <v>0.56</v>
      </c>
    </row>
    <row r="1696" customFormat="false" ht="15" hidden="false" customHeight="false" outlineLevel="0" collapsed="false">
      <c r="A1696" s="2" t="n">
        <v>1694</v>
      </c>
      <c r="B1696" s="2" t="s">
        <v>7355</v>
      </c>
      <c r="C1696" s="2" t="n">
        <v>2</v>
      </c>
      <c r="D1696" s="2" t="n">
        <v>0</v>
      </c>
      <c r="E1696" s="2" t="s">
        <v>7410</v>
      </c>
      <c r="F1696" s="2" t="s">
        <v>176</v>
      </c>
      <c r="G1696" s="2" t="s">
        <v>7411</v>
      </c>
      <c r="H1696" s="2" t="s">
        <v>2926</v>
      </c>
      <c r="I1696" s="2" t="s">
        <v>686</v>
      </c>
      <c r="J1696" s="2" t="s">
        <v>12257</v>
      </c>
      <c r="K1696" s="2" t="s">
        <v>507</v>
      </c>
      <c r="L1696" s="2" t="n">
        <v>0</v>
      </c>
      <c r="M1696" s="2" t="n">
        <v>0.45</v>
      </c>
    </row>
    <row r="1697" customFormat="false" ht="15" hidden="false" customHeight="false" outlineLevel="0" collapsed="false">
      <c r="A1697" s="2" t="n">
        <v>1695</v>
      </c>
      <c r="B1697" s="2" t="s">
        <v>7355</v>
      </c>
      <c r="C1697" s="2" t="n">
        <v>0</v>
      </c>
      <c r="D1697" s="2" t="n">
        <v>0</v>
      </c>
      <c r="E1697" s="2" t="s">
        <v>12258</v>
      </c>
      <c r="F1697" s="2" t="s">
        <v>176</v>
      </c>
      <c r="G1697" s="2" t="s">
        <v>12259</v>
      </c>
      <c r="H1697" s="2" t="s">
        <v>97</v>
      </c>
      <c r="I1697" s="2" t="s">
        <v>1758</v>
      </c>
      <c r="J1697" s="2" t="s">
        <v>12260</v>
      </c>
      <c r="K1697" s="2" t="s">
        <v>507</v>
      </c>
      <c r="L1697" s="2" t="n">
        <v>0</v>
      </c>
      <c r="M1697" s="2" t="n">
        <v>0.43</v>
      </c>
    </row>
    <row r="1698" customFormat="false" ht="15" hidden="false" customHeight="false" outlineLevel="0" collapsed="false">
      <c r="A1698" s="2" t="n">
        <v>1696</v>
      </c>
      <c r="B1698" s="2" t="s">
        <v>7355</v>
      </c>
      <c r="C1698" s="2" t="n">
        <v>1</v>
      </c>
      <c r="D1698" s="2" t="n">
        <v>0</v>
      </c>
      <c r="E1698" s="2" t="s">
        <v>7418</v>
      </c>
      <c r="F1698" s="2" t="s">
        <v>95</v>
      </c>
      <c r="G1698" s="2" t="s">
        <v>7419</v>
      </c>
      <c r="H1698" s="2" t="s">
        <v>7420</v>
      </c>
      <c r="I1698" s="2" t="s">
        <v>2825</v>
      </c>
      <c r="J1698" s="2" t="s">
        <v>12261</v>
      </c>
      <c r="K1698" s="2" t="s">
        <v>507</v>
      </c>
      <c r="L1698" s="2" t="n">
        <v>0.08</v>
      </c>
      <c r="M1698" s="2" t="n">
        <v>0.7</v>
      </c>
    </row>
    <row r="1699" customFormat="false" ht="15" hidden="false" customHeight="false" outlineLevel="0" collapsed="false">
      <c r="A1699" s="2" t="n">
        <v>1697</v>
      </c>
      <c r="B1699" s="2" t="s">
        <v>7355</v>
      </c>
      <c r="C1699" s="2" t="n">
        <v>0</v>
      </c>
      <c r="D1699" s="2" t="n">
        <v>0</v>
      </c>
      <c r="E1699" s="2" t="s">
        <v>12262</v>
      </c>
      <c r="F1699" s="2" t="s">
        <v>580</v>
      </c>
      <c r="G1699" s="2" t="s">
        <v>12263</v>
      </c>
      <c r="H1699" s="2" t="s">
        <v>12264</v>
      </c>
      <c r="I1699" s="2" t="s">
        <v>851</v>
      </c>
      <c r="J1699" s="2" t="s">
        <v>12265</v>
      </c>
      <c r="K1699" s="2" t="s">
        <v>507</v>
      </c>
      <c r="L1699" s="2" t="n">
        <v>0.25</v>
      </c>
      <c r="M1699" s="2" t="n">
        <v>0.56</v>
      </c>
    </row>
    <row r="1700" customFormat="false" ht="15" hidden="false" customHeight="false" outlineLevel="0" collapsed="false">
      <c r="A1700" s="2" t="n">
        <v>1698</v>
      </c>
      <c r="B1700" s="2" t="s">
        <v>7355</v>
      </c>
      <c r="C1700" s="2" t="n">
        <v>1</v>
      </c>
      <c r="D1700" s="2" t="n">
        <v>1</v>
      </c>
      <c r="E1700" s="2" t="s">
        <v>7425</v>
      </c>
      <c r="F1700" s="2" t="s">
        <v>95</v>
      </c>
      <c r="G1700" s="2" t="s">
        <v>7426</v>
      </c>
      <c r="H1700" s="2" t="s">
        <v>3238</v>
      </c>
      <c r="I1700" s="2" t="s">
        <v>2399</v>
      </c>
      <c r="J1700" s="2" t="s">
        <v>12266</v>
      </c>
      <c r="K1700" s="2" t="s">
        <v>507</v>
      </c>
      <c r="L1700" s="2" t="n">
        <v>0.11</v>
      </c>
      <c r="M1700" s="2" t="n">
        <v>0.71</v>
      </c>
    </row>
    <row r="1701" customFormat="false" ht="15" hidden="false" customHeight="false" outlineLevel="0" collapsed="false">
      <c r="A1701" s="2" t="n">
        <v>1699</v>
      </c>
      <c r="B1701" s="2" t="s">
        <v>7355</v>
      </c>
      <c r="C1701" s="2" t="n">
        <v>0</v>
      </c>
      <c r="D1701" s="2" t="n">
        <v>0</v>
      </c>
      <c r="E1701" s="2" t="s">
        <v>12267</v>
      </c>
      <c r="F1701" s="2" t="s">
        <v>95</v>
      </c>
      <c r="G1701" s="2" t="s">
        <v>12268</v>
      </c>
      <c r="H1701" s="2" t="s">
        <v>178</v>
      </c>
      <c r="I1701" s="2" t="s">
        <v>2999</v>
      </c>
      <c r="J1701" s="2" t="s">
        <v>12269</v>
      </c>
      <c r="K1701" s="2" t="s">
        <v>507</v>
      </c>
      <c r="L1701" s="2" t="n">
        <v>0</v>
      </c>
      <c r="M1701" s="2" t="n">
        <v>0.67</v>
      </c>
    </row>
    <row r="1702" customFormat="false" ht="15" hidden="false" customHeight="false" outlineLevel="0" collapsed="false">
      <c r="A1702" s="2" t="n">
        <v>1700</v>
      </c>
      <c r="B1702" s="2" t="s">
        <v>7355</v>
      </c>
      <c r="C1702" s="2" t="n">
        <v>3</v>
      </c>
      <c r="D1702" s="2" t="n">
        <v>0</v>
      </c>
      <c r="E1702" s="2" t="s">
        <v>7429</v>
      </c>
      <c r="F1702" s="2" t="s">
        <v>2766</v>
      </c>
      <c r="G1702" s="2" t="s">
        <v>7430</v>
      </c>
      <c r="H1702" s="2" t="s">
        <v>7431</v>
      </c>
      <c r="I1702" s="2" t="s">
        <v>1750</v>
      </c>
      <c r="J1702" s="2" t="s">
        <v>12270</v>
      </c>
      <c r="K1702" s="2" t="s">
        <v>507</v>
      </c>
      <c r="L1702" s="2" t="n">
        <v>0</v>
      </c>
      <c r="M1702" s="2" t="n">
        <v>0.91</v>
      </c>
    </row>
    <row r="1703" customFormat="false" ht="15" hidden="false" customHeight="false" outlineLevel="0" collapsed="false">
      <c r="A1703" s="2" t="n">
        <v>1701</v>
      </c>
      <c r="B1703" s="2" t="s">
        <v>7355</v>
      </c>
      <c r="C1703" s="2" t="n">
        <v>1</v>
      </c>
      <c r="D1703" s="2" t="n">
        <v>0</v>
      </c>
      <c r="E1703" s="2" t="s">
        <v>7435</v>
      </c>
      <c r="F1703" s="2" t="s">
        <v>2748</v>
      </c>
      <c r="G1703" s="2" t="s">
        <v>7436</v>
      </c>
      <c r="H1703" s="2" t="s">
        <v>7437</v>
      </c>
      <c r="I1703" s="2" t="s">
        <v>132</v>
      </c>
      <c r="J1703" s="2" t="s">
        <v>12271</v>
      </c>
      <c r="K1703" s="2" t="s">
        <v>507</v>
      </c>
      <c r="L1703" s="2" t="n">
        <v>0.1</v>
      </c>
      <c r="M1703" s="2" t="n">
        <v>0.83</v>
      </c>
    </row>
    <row r="1704" customFormat="false" ht="15" hidden="false" customHeight="false" outlineLevel="0" collapsed="false">
      <c r="A1704" s="2" t="n">
        <v>1702</v>
      </c>
      <c r="B1704" s="2" t="s">
        <v>7355</v>
      </c>
      <c r="C1704" s="2" t="n">
        <v>0</v>
      </c>
      <c r="D1704" s="2" t="n">
        <v>0</v>
      </c>
      <c r="E1704" s="2" t="s">
        <v>12272</v>
      </c>
      <c r="F1704" s="2" t="s">
        <v>2924</v>
      </c>
      <c r="G1704" s="2" t="s">
        <v>12273</v>
      </c>
      <c r="H1704" s="2" t="s">
        <v>7838</v>
      </c>
      <c r="I1704" s="2" t="s">
        <v>3435</v>
      </c>
      <c r="J1704" s="2" t="s">
        <v>12274</v>
      </c>
      <c r="K1704" s="2" t="s">
        <v>507</v>
      </c>
      <c r="L1704" s="2" t="n">
        <v>0</v>
      </c>
      <c r="M1704" s="2" t="n">
        <v>0.56</v>
      </c>
    </row>
    <row r="1705" customFormat="false" ht="15" hidden="false" customHeight="false" outlineLevel="0" collapsed="false">
      <c r="A1705" s="2" t="n">
        <v>1703</v>
      </c>
      <c r="B1705" s="2" t="s">
        <v>7355</v>
      </c>
      <c r="C1705" s="2" t="n">
        <v>0</v>
      </c>
      <c r="D1705" s="2" t="n">
        <v>0</v>
      </c>
      <c r="E1705" s="2" t="s">
        <v>12275</v>
      </c>
      <c r="F1705" s="2" t="s">
        <v>2748</v>
      </c>
      <c r="G1705" s="2" t="s">
        <v>12276</v>
      </c>
      <c r="H1705" s="2" t="s">
        <v>12277</v>
      </c>
      <c r="I1705" s="2" t="s">
        <v>1482</v>
      </c>
      <c r="J1705" s="2" t="s">
        <v>12278</v>
      </c>
      <c r="K1705" s="2" t="s">
        <v>507</v>
      </c>
      <c r="L1705" s="2" t="n">
        <v>0.15</v>
      </c>
      <c r="M1705" s="2" t="n">
        <v>0.73</v>
      </c>
    </row>
    <row r="1706" customFormat="false" ht="15" hidden="false" customHeight="false" outlineLevel="0" collapsed="false">
      <c r="A1706" s="2" t="n">
        <v>1704</v>
      </c>
      <c r="B1706" s="2" t="s">
        <v>7355</v>
      </c>
      <c r="C1706" s="2" t="n">
        <v>0</v>
      </c>
      <c r="D1706" s="2" t="n">
        <v>0</v>
      </c>
      <c r="E1706" s="2" t="s">
        <v>12279</v>
      </c>
      <c r="F1706" s="2" t="s">
        <v>2748</v>
      </c>
      <c r="G1706" s="2" t="s">
        <v>12280</v>
      </c>
      <c r="H1706" s="2" t="s">
        <v>12281</v>
      </c>
      <c r="I1706" s="2" t="s">
        <v>2313</v>
      </c>
      <c r="J1706" s="2" t="s">
        <v>12282</v>
      </c>
      <c r="K1706" s="2" t="s">
        <v>507</v>
      </c>
      <c r="L1706" s="2" t="n">
        <v>0.11</v>
      </c>
      <c r="M1706" s="2" t="n">
        <v>0.67</v>
      </c>
    </row>
    <row r="1707" customFormat="false" ht="15" hidden="false" customHeight="false" outlineLevel="0" collapsed="false">
      <c r="A1707" s="2" t="n">
        <v>1705</v>
      </c>
      <c r="B1707" s="2" t="s">
        <v>7355</v>
      </c>
      <c r="C1707" s="2" t="n">
        <v>0</v>
      </c>
      <c r="D1707" s="2" t="n">
        <v>0</v>
      </c>
      <c r="E1707" s="2" t="s">
        <v>12283</v>
      </c>
      <c r="F1707" s="2" t="s">
        <v>2766</v>
      </c>
      <c r="G1707" s="2" t="s">
        <v>12284</v>
      </c>
      <c r="H1707" s="2" t="s">
        <v>12285</v>
      </c>
      <c r="I1707" s="2" t="s">
        <v>1239</v>
      </c>
      <c r="J1707" s="2" t="s">
        <v>12286</v>
      </c>
      <c r="K1707" s="2" t="s">
        <v>507</v>
      </c>
      <c r="L1707" s="2" t="n">
        <v>0</v>
      </c>
      <c r="M1707" s="2" t="n">
        <v>0.82</v>
      </c>
    </row>
    <row r="1708" customFormat="false" ht="15" hidden="false" customHeight="false" outlineLevel="0" collapsed="false">
      <c r="A1708" s="2" t="n">
        <v>1706</v>
      </c>
      <c r="B1708" s="2" t="s">
        <v>7355</v>
      </c>
      <c r="C1708" s="2" t="n">
        <v>0</v>
      </c>
      <c r="D1708" s="2" t="n">
        <v>0</v>
      </c>
      <c r="E1708" s="2" t="s">
        <v>12287</v>
      </c>
      <c r="F1708" s="2" t="s">
        <v>10826</v>
      </c>
      <c r="G1708" s="2" t="s">
        <v>12288</v>
      </c>
      <c r="H1708" s="2" t="s">
        <v>7488</v>
      </c>
      <c r="I1708" s="2" t="s">
        <v>2149</v>
      </c>
      <c r="J1708" s="2" t="s">
        <v>12289</v>
      </c>
      <c r="K1708" s="2" t="s">
        <v>507</v>
      </c>
      <c r="L1708" s="2" t="n">
        <v>0.1</v>
      </c>
      <c r="M1708" s="2" t="n">
        <v>0.58</v>
      </c>
    </row>
    <row r="1709" customFormat="false" ht="15" hidden="false" customHeight="false" outlineLevel="0" collapsed="false">
      <c r="A1709" s="2" t="n">
        <v>1707</v>
      </c>
      <c r="B1709" s="2" t="s">
        <v>7355</v>
      </c>
      <c r="C1709" s="2" t="n">
        <v>1</v>
      </c>
      <c r="D1709" s="2" t="n">
        <v>0</v>
      </c>
      <c r="E1709" s="2" t="s">
        <v>7441</v>
      </c>
      <c r="F1709" s="2" t="s">
        <v>7442</v>
      </c>
      <c r="G1709" s="2" t="s">
        <v>7443</v>
      </c>
      <c r="H1709" s="2" t="s">
        <v>7444</v>
      </c>
      <c r="I1709" s="2" t="s">
        <v>1735</v>
      </c>
      <c r="J1709" s="2" t="s">
        <v>12290</v>
      </c>
      <c r="K1709" s="2" t="s">
        <v>507</v>
      </c>
      <c r="L1709" s="2" t="n">
        <v>0.09</v>
      </c>
      <c r="M1709" s="2" t="n">
        <v>0.77</v>
      </c>
    </row>
    <row r="1710" customFormat="false" ht="15" hidden="false" customHeight="false" outlineLevel="0" collapsed="false">
      <c r="A1710" s="2" t="n">
        <v>1708</v>
      </c>
      <c r="B1710" s="2" t="s">
        <v>7355</v>
      </c>
      <c r="C1710" s="2" t="n">
        <v>0</v>
      </c>
      <c r="D1710" s="2" t="n">
        <v>0</v>
      </c>
      <c r="E1710" s="2" t="s">
        <v>12291</v>
      </c>
      <c r="F1710" s="2" t="s">
        <v>10826</v>
      </c>
      <c r="G1710" s="2" t="s">
        <v>12292</v>
      </c>
      <c r="H1710" s="2" t="s">
        <v>131</v>
      </c>
      <c r="I1710" s="2" t="s">
        <v>1092</v>
      </c>
      <c r="J1710" s="2" t="s">
        <v>12293</v>
      </c>
      <c r="K1710" s="2" t="s">
        <v>507</v>
      </c>
      <c r="L1710" s="2" t="n">
        <v>0</v>
      </c>
      <c r="M1710" s="2" t="n">
        <v>0.67</v>
      </c>
    </row>
    <row r="1711" customFormat="false" ht="15" hidden="false" customHeight="false" outlineLevel="0" collapsed="false">
      <c r="A1711" s="2" t="n">
        <v>1709</v>
      </c>
      <c r="B1711" s="2" t="s">
        <v>7355</v>
      </c>
      <c r="C1711" s="2" t="n">
        <v>0</v>
      </c>
      <c r="D1711" s="2" t="n">
        <v>0</v>
      </c>
      <c r="E1711" s="2" t="s">
        <v>12294</v>
      </c>
      <c r="F1711" s="2" t="s">
        <v>12295</v>
      </c>
      <c r="G1711" s="2" t="s">
        <v>12296</v>
      </c>
      <c r="H1711" s="2" t="s">
        <v>97</v>
      </c>
      <c r="I1711" s="2" t="s">
        <v>2613</v>
      </c>
      <c r="J1711" s="2" t="s">
        <v>12297</v>
      </c>
      <c r="K1711" s="2" t="s">
        <v>507</v>
      </c>
      <c r="L1711" s="2" t="n">
        <v>0</v>
      </c>
      <c r="M1711" s="2" t="n">
        <v>0.33</v>
      </c>
    </row>
    <row r="1712" customFormat="false" ht="15" hidden="false" customHeight="false" outlineLevel="0" collapsed="false">
      <c r="A1712" s="2" t="n">
        <v>1710</v>
      </c>
      <c r="B1712" s="2" t="s">
        <v>7445</v>
      </c>
      <c r="C1712" s="2" t="n">
        <v>1</v>
      </c>
      <c r="D1712" s="2" t="n">
        <v>1</v>
      </c>
      <c r="E1712" s="2" t="s">
        <v>7450</v>
      </c>
      <c r="F1712" s="2" t="s">
        <v>2830</v>
      </c>
      <c r="G1712" s="2" t="s">
        <v>7451</v>
      </c>
      <c r="H1712" s="2" t="s">
        <v>7452</v>
      </c>
      <c r="I1712" s="2" t="s">
        <v>487</v>
      </c>
      <c r="J1712" s="2" t="s">
        <v>12298</v>
      </c>
      <c r="K1712" s="2" t="s">
        <v>507</v>
      </c>
      <c r="L1712" s="2" t="n">
        <v>0</v>
      </c>
      <c r="M1712" s="2" t="n">
        <v>0.73</v>
      </c>
    </row>
    <row r="1713" customFormat="false" ht="15" hidden="false" customHeight="false" outlineLevel="0" collapsed="false">
      <c r="A1713" s="2" t="n">
        <v>1711</v>
      </c>
      <c r="B1713" s="2" t="s">
        <v>7445</v>
      </c>
      <c r="C1713" s="2" t="n">
        <v>0</v>
      </c>
      <c r="D1713" s="2" t="n">
        <v>0</v>
      </c>
      <c r="E1713" s="2" t="s">
        <v>12299</v>
      </c>
      <c r="F1713" s="2" t="s">
        <v>1866</v>
      </c>
      <c r="G1713" s="2" t="s">
        <v>12300</v>
      </c>
      <c r="H1713" s="2" t="s">
        <v>7452</v>
      </c>
      <c r="I1713" s="2" t="s">
        <v>159</v>
      </c>
      <c r="J1713" s="2" t="s">
        <v>12301</v>
      </c>
      <c r="K1713" s="2" t="s">
        <v>507</v>
      </c>
      <c r="L1713" s="2" t="n">
        <v>0.07</v>
      </c>
      <c r="M1713" s="2" t="n">
        <v>0.42</v>
      </c>
    </row>
    <row r="1714" customFormat="false" ht="15" hidden="false" customHeight="false" outlineLevel="0" collapsed="false">
      <c r="A1714" s="2" t="n">
        <v>1712</v>
      </c>
      <c r="B1714" s="2" t="s">
        <v>7445</v>
      </c>
      <c r="C1714" s="2" t="n">
        <v>0</v>
      </c>
      <c r="D1714" s="2" t="n">
        <v>0</v>
      </c>
      <c r="E1714" s="2" t="s">
        <v>12302</v>
      </c>
      <c r="F1714" s="2" t="s">
        <v>2830</v>
      </c>
      <c r="G1714" s="2" t="s">
        <v>12303</v>
      </c>
      <c r="H1714" s="2" t="s">
        <v>5201</v>
      </c>
      <c r="I1714" s="2" t="s">
        <v>2313</v>
      </c>
      <c r="J1714" s="2" t="s">
        <v>12304</v>
      </c>
      <c r="K1714" s="2" t="s">
        <v>507</v>
      </c>
      <c r="L1714" s="2" t="n">
        <v>0</v>
      </c>
      <c r="M1714" s="2" t="n">
        <v>0.67</v>
      </c>
    </row>
    <row r="1715" customFormat="false" ht="15" hidden="false" customHeight="false" outlineLevel="0" collapsed="false">
      <c r="A1715" s="2" t="n">
        <v>1713</v>
      </c>
      <c r="B1715" s="2" t="s">
        <v>7445</v>
      </c>
      <c r="C1715" s="2" t="n">
        <v>0</v>
      </c>
      <c r="D1715" s="2" t="n">
        <v>0</v>
      </c>
      <c r="E1715" s="2" t="s">
        <v>12305</v>
      </c>
      <c r="F1715" s="2" t="s">
        <v>2748</v>
      </c>
      <c r="G1715" s="2" t="s">
        <v>12306</v>
      </c>
      <c r="H1715" s="2" t="s">
        <v>7457</v>
      </c>
      <c r="I1715" s="2" t="s">
        <v>2431</v>
      </c>
      <c r="J1715" s="2" t="s">
        <v>12307</v>
      </c>
      <c r="K1715" s="2" t="s">
        <v>507</v>
      </c>
      <c r="L1715" s="2" t="n">
        <v>0</v>
      </c>
      <c r="M1715" s="2" t="n">
        <v>0.69</v>
      </c>
    </row>
    <row r="1716" customFormat="false" ht="15" hidden="false" customHeight="false" outlineLevel="0" collapsed="false">
      <c r="A1716" s="2" t="n">
        <v>1714</v>
      </c>
      <c r="B1716" s="2" t="s">
        <v>7445</v>
      </c>
      <c r="C1716" s="2" t="n">
        <v>0</v>
      </c>
      <c r="D1716" s="2" t="n">
        <v>0</v>
      </c>
      <c r="E1716" s="2" t="s">
        <v>12308</v>
      </c>
      <c r="F1716" s="2" t="s">
        <v>12309</v>
      </c>
      <c r="G1716" s="2" t="s">
        <v>12310</v>
      </c>
      <c r="H1716" s="2" t="s">
        <v>12311</v>
      </c>
      <c r="I1716" s="2" t="s">
        <v>1424</v>
      </c>
      <c r="J1716" s="2" t="s">
        <v>12312</v>
      </c>
      <c r="K1716" s="2" t="s">
        <v>507</v>
      </c>
      <c r="L1716" s="2" t="n">
        <v>0</v>
      </c>
      <c r="M1716" s="2" t="n">
        <v>0.77</v>
      </c>
    </row>
    <row r="1717" customFormat="false" ht="15" hidden="false" customHeight="false" outlineLevel="0" collapsed="false">
      <c r="A1717" s="2" t="n">
        <v>1715</v>
      </c>
      <c r="B1717" s="2" t="s">
        <v>7445</v>
      </c>
      <c r="C1717" s="2" t="n">
        <v>0</v>
      </c>
      <c r="D1717" s="2" t="n">
        <v>0</v>
      </c>
      <c r="E1717" s="2" t="s">
        <v>12313</v>
      </c>
      <c r="F1717" s="2" t="s">
        <v>12314</v>
      </c>
      <c r="G1717" s="2" t="s">
        <v>12315</v>
      </c>
      <c r="H1717" s="2" t="s">
        <v>12316</v>
      </c>
      <c r="I1717" s="2" t="s">
        <v>2241</v>
      </c>
      <c r="J1717" s="2" t="s">
        <v>12317</v>
      </c>
      <c r="K1717" s="2" t="s">
        <v>507</v>
      </c>
      <c r="L1717" s="2" t="n">
        <v>0.07</v>
      </c>
      <c r="M1717" s="2" t="n">
        <v>0.2</v>
      </c>
    </row>
    <row r="1718" customFormat="false" ht="15" hidden="false" customHeight="false" outlineLevel="0" collapsed="false">
      <c r="A1718" s="2" t="n">
        <v>1716</v>
      </c>
      <c r="B1718" s="2" t="s">
        <v>7445</v>
      </c>
      <c r="C1718" s="2" t="n">
        <v>1</v>
      </c>
      <c r="D1718" s="2" t="n">
        <v>1</v>
      </c>
      <c r="E1718" s="2" t="s">
        <v>7455</v>
      </c>
      <c r="F1718" s="2" t="s">
        <v>95</v>
      </c>
      <c r="G1718" s="2" t="s">
        <v>7456</v>
      </c>
      <c r="H1718" s="2" t="s">
        <v>7457</v>
      </c>
      <c r="I1718" s="2" t="s">
        <v>5557</v>
      </c>
      <c r="J1718" s="2" t="s">
        <v>12318</v>
      </c>
      <c r="K1718" s="2" t="s">
        <v>507</v>
      </c>
      <c r="L1718" s="2" t="n">
        <v>0</v>
      </c>
      <c r="M1718" s="2" t="n">
        <v>0.78</v>
      </c>
    </row>
    <row r="1719" customFormat="false" ht="15" hidden="false" customHeight="false" outlineLevel="0" collapsed="false">
      <c r="A1719" s="2" t="n">
        <v>1717</v>
      </c>
      <c r="B1719" s="2" t="s">
        <v>7445</v>
      </c>
      <c r="C1719" s="2" t="n">
        <v>0</v>
      </c>
      <c r="D1719" s="2" t="n">
        <v>0</v>
      </c>
      <c r="E1719" s="2" t="s">
        <v>12319</v>
      </c>
      <c r="F1719" s="2" t="s">
        <v>12320</v>
      </c>
      <c r="G1719" s="2" t="s">
        <v>12321</v>
      </c>
      <c r="H1719" s="2" t="s">
        <v>7461</v>
      </c>
      <c r="I1719" s="2" t="s">
        <v>2370</v>
      </c>
      <c r="J1719" s="2" t="s">
        <v>12322</v>
      </c>
      <c r="K1719" s="2" t="s">
        <v>507</v>
      </c>
      <c r="L1719" s="2" t="n">
        <v>0.11</v>
      </c>
      <c r="M1719" s="2" t="n">
        <v>0.85</v>
      </c>
    </row>
    <row r="1720" customFormat="false" ht="15" hidden="false" customHeight="false" outlineLevel="0" collapsed="false">
      <c r="A1720" s="2" t="n">
        <v>1718</v>
      </c>
      <c r="B1720" s="2" t="s">
        <v>7445</v>
      </c>
      <c r="C1720" s="2" t="n">
        <v>1</v>
      </c>
      <c r="D1720" s="2" t="n">
        <v>0</v>
      </c>
      <c r="E1720" s="2" t="s">
        <v>7459</v>
      </c>
      <c r="F1720" s="2" t="s">
        <v>2766</v>
      </c>
      <c r="G1720" s="2" t="s">
        <v>7460</v>
      </c>
      <c r="H1720" s="2" t="s">
        <v>7461</v>
      </c>
      <c r="I1720" s="2" t="s">
        <v>370</v>
      </c>
      <c r="J1720" s="2" t="s">
        <v>12323</v>
      </c>
      <c r="K1720" s="2" t="s">
        <v>507</v>
      </c>
      <c r="L1720" s="2" t="n">
        <v>0.22</v>
      </c>
      <c r="M1720" s="2" t="n">
        <v>0.88</v>
      </c>
    </row>
    <row r="1721" customFormat="false" ht="15" hidden="false" customHeight="false" outlineLevel="0" collapsed="false">
      <c r="A1721" s="2" t="n">
        <v>1719</v>
      </c>
      <c r="B1721" s="2" t="s">
        <v>7445</v>
      </c>
      <c r="C1721" s="2" t="n">
        <v>5</v>
      </c>
      <c r="D1721" s="2" t="n">
        <v>0</v>
      </c>
      <c r="E1721" s="2" t="s">
        <v>7466</v>
      </c>
      <c r="F1721" s="2" t="s">
        <v>64</v>
      </c>
      <c r="G1721" s="2" t="s">
        <v>7467</v>
      </c>
      <c r="H1721" s="2" t="s">
        <v>7457</v>
      </c>
      <c r="I1721" s="2" t="s">
        <v>2431</v>
      </c>
      <c r="J1721" s="2" t="s">
        <v>12324</v>
      </c>
      <c r="K1721" s="2" t="s">
        <v>507</v>
      </c>
      <c r="L1721" s="2" t="n">
        <v>0</v>
      </c>
      <c r="M1721" s="2" t="n">
        <v>0.7</v>
      </c>
    </row>
    <row r="1722" customFormat="false" ht="15" hidden="false" customHeight="false" outlineLevel="0" collapsed="false">
      <c r="A1722" s="2" t="n">
        <v>1720</v>
      </c>
      <c r="B1722" s="2" t="s">
        <v>7445</v>
      </c>
      <c r="C1722" s="2" t="n">
        <v>0</v>
      </c>
      <c r="D1722" s="2" t="n">
        <v>0</v>
      </c>
      <c r="E1722" s="2" t="s">
        <v>12325</v>
      </c>
      <c r="F1722" s="2" t="s">
        <v>95</v>
      </c>
      <c r="G1722" s="2" t="s">
        <v>12326</v>
      </c>
      <c r="H1722" s="2" t="s">
        <v>7494</v>
      </c>
      <c r="I1722" s="2" t="s">
        <v>805</v>
      </c>
      <c r="J1722" s="2" t="s">
        <v>12327</v>
      </c>
      <c r="K1722" s="2" t="s">
        <v>507</v>
      </c>
      <c r="L1722" s="2" t="n">
        <v>0.17</v>
      </c>
      <c r="M1722" s="2" t="n">
        <v>1</v>
      </c>
    </row>
    <row r="1723" customFormat="false" ht="15" hidden="false" customHeight="false" outlineLevel="0" collapsed="false">
      <c r="A1723" s="2" t="n">
        <v>1721</v>
      </c>
      <c r="B1723" s="2" t="s">
        <v>7445</v>
      </c>
      <c r="C1723" s="2" t="n">
        <v>1</v>
      </c>
      <c r="D1723" s="2" t="n">
        <v>0</v>
      </c>
      <c r="E1723" s="2" t="s">
        <v>7486</v>
      </c>
      <c r="F1723" s="2" t="s">
        <v>176</v>
      </c>
      <c r="G1723" s="2" t="s">
        <v>7487</v>
      </c>
      <c r="H1723" s="2" t="s">
        <v>7488</v>
      </c>
      <c r="I1723" s="2" t="s">
        <v>2158</v>
      </c>
      <c r="J1723" s="2" t="s">
        <v>12328</v>
      </c>
      <c r="K1723" s="2" t="s">
        <v>507</v>
      </c>
      <c r="L1723" s="2" t="n">
        <v>0</v>
      </c>
      <c r="M1723" s="2" t="n">
        <v>0.54</v>
      </c>
    </row>
    <row r="1724" customFormat="false" ht="15" hidden="false" customHeight="false" outlineLevel="0" collapsed="false">
      <c r="A1724" s="2" t="n">
        <v>1722</v>
      </c>
      <c r="B1724" s="2" t="s">
        <v>7445</v>
      </c>
      <c r="C1724" s="2" t="n">
        <v>1</v>
      </c>
      <c r="D1724" s="2" t="n">
        <v>1</v>
      </c>
      <c r="E1724" s="2" t="s">
        <v>7492</v>
      </c>
      <c r="F1724" s="2" t="s">
        <v>64</v>
      </c>
      <c r="G1724" s="2" t="s">
        <v>7493</v>
      </c>
      <c r="H1724" s="2" t="s">
        <v>7494</v>
      </c>
      <c r="I1724" s="2" t="s">
        <v>2149</v>
      </c>
      <c r="J1724" s="2" t="s">
        <v>12329</v>
      </c>
      <c r="K1724" s="2" t="s">
        <v>507</v>
      </c>
      <c r="L1724" s="2" t="n">
        <v>0</v>
      </c>
      <c r="M1724" s="2" t="n">
        <v>0.6</v>
      </c>
    </row>
    <row r="1725" customFormat="false" ht="15" hidden="false" customHeight="false" outlineLevel="0" collapsed="false">
      <c r="A1725" s="2" t="n">
        <v>1723</v>
      </c>
      <c r="B1725" s="2" t="s">
        <v>7445</v>
      </c>
      <c r="C1725" s="2" t="n">
        <v>3</v>
      </c>
      <c r="D1725" s="2" t="n">
        <v>0</v>
      </c>
      <c r="E1725" s="2" t="s">
        <v>7500</v>
      </c>
      <c r="F1725" s="2" t="s">
        <v>7501</v>
      </c>
      <c r="G1725" s="2" t="s">
        <v>7502</v>
      </c>
      <c r="H1725" s="2" t="s">
        <v>582</v>
      </c>
      <c r="I1725" s="2" t="s">
        <v>5570</v>
      </c>
      <c r="J1725" s="2" t="s">
        <v>12330</v>
      </c>
      <c r="K1725" s="2" t="s">
        <v>507</v>
      </c>
      <c r="L1725" s="2" t="n">
        <v>0</v>
      </c>
      <c r="M1725" s="2" t="n">
        <v>0.7</v>
      </c>
    </row>
    <row r="1726" customFormat="false" ht="15" hidden="false" customHeight="false" outlineLevel="0" collapsed="false">
      <c r="A1726" s="2" t="n">
        <v>1724</v>
      </c>
      <c r="B1726" s="2" t="s">
        <v>7445</v>
      </c>
      <c r="C1726" s="2" t="n">
        <v>1</v>
      </c>
      <c r="D1726" s="2" t="n">
        <v>1</v>
      </c>
      <c r="E1726" s="2" t="s">
        <v>7513</v>
      </c>
      <c r="F1726" s="2" t="s">
        <v>915</v>
      </c>
      <c r="G1726" s="2" t="s">
        <v>7514</v>
      </c>
      <c r="H1726" s="2" t="s">
        <v>7515</v>
      </c>
      <c r="I1726" s="2" t="s">
        <v>604</v>
      </c>
      <c r="J1726" s="2" t="s">
        <v>12331</v>
      </c>
      <c r="K1726" s="2" t="s">
        <v>507</v>
      </c>
      <c r="L1726" s="2" t="n">
        <v>0.25</v>
      </c>
      <c r="M1726" s="2" t="n">
        <v>1</v>
      </c>
    </row>
    <row r="1727" customFormat="false" ht="15" hidden="false" customHeight="false" outlineLevel="0" collapsed="false">
      <c r="A1727" s="2" t="n">
        <v>1725</v>
      </c>
      <c r="B1727" s="2" t="s">
        <v>7445</v>
      </c>
      <c r="C1727" s="2" t="n">
        <v>0</v>
      </c>
      <c r="D1727" s="2" t="n">
        <v>0</v>
      </c>
      <c r="E1727" s="2" t="s">
        <v>12332</v>
      </c>
      <c r="F1727" s="2" t="s">
        <v>7501</v>
      </c>
      <c r="G1727" s="2" t="s">
        <v>12333</v>
      </c>
      <c r="H1727" s="2" t="s">
        <v>97</v>
      </c>
      <c r="I1727" s="2" t="s">
        <v>1758</v>
      </c>
      <c r="J1727" s="2" t="s">
        <v>12334</v>
      </c>
      <c r="K1727" s="2" t="s">
        <v>507</v>
      </c>
      <c r="L1727" s="2" t="n">
        <v>0.14</v>
      </c>
      <c r="M1727" s="2" t="n">
        <v>0.64</v>
      </c>
    </row>
    <row r="1728" customFormat="false" ht="15" hidden="false" customHeight="false" outlineLevel="0" collapsed="false">
      <c r="A1728" s="2" t="n">
        <v>1726</v>
      </c>
      <c r="B1728" s="2" t="s">
        <v>7445</v>
      </c>
      <c r="C1728" s="2" t="n">
        <v>3</v>
      </c>
      <c r="D1728" s="2" t="n">
        <v>0</v>
      </c>
      <c r="E1728" s="2" t="s">
        <v>7518</v>
      </c>
      <c r="F1728" s="2" t="s">
        <v>7501</v>
      </c>
      <c r="G1728" s="2" t="s">
        <v>7519</v>
      </c>
      <c r="H1728" s="2" t="s">
        <v>97</v>
      </c>
      <c r="I1728" s="2" t="s">
        <v>115</v>
      </c>
      <c r="J1728" s="2" t="s">
        <v>12335</v>
      </c>
      <c r="K1728" s="2" t="s">
        <v>507</v>
      </c>
      <c r="L1728" s="2" t="n">
        <v>0.14</v>
      </c>
      <c r="M1728" s="2" t="n">
        <v>0.54</v>
      </c>
    </row>
    <row r="1729" customFormat="false" ht="15" hidden="false" customHeight="false" outlineLevel="0" collapsed="false">
      <c r="A1729" s="2" t="n">
        <v>1727</v>
      </c>
      <c r="B1729" s="2" t="s">
        <v>7445</v>
      </c>
      <c r="C1729" s="2" t="n">
        <v>0</v>
      </c>
      <c r="D1729" s="2" t="n">
        <v>0</v>
      </c>
      <c r="E1729" s="2" t="s">
        <v>12336</v>
      </c>
      <c r="F1729" s="2" t="s">
        <v>7501</v>
      </c>
      <c r="G1729" s="2" t="s">
        <v>12337</v>
      </c>
      <c r="H1729" s="2" t="s">
        <v>97</v>
      </c>
      <c r="I1729" s="2" t="s">
        <v>3398</v>
      </c>
      <c r="J1729" s="2" t="s">
        <v>12338</v>
      </c>
      <c r="K1729" s="2" t="s">
        <v>507</v>
      </c>
      <c r="L1729" s="2" t="n">
        <v>0</v>
      </c>
      <c r="M1729" s="2" t="n">
        <v>0.8</v>
      </c>
    </row>
    <row r="1730" customFormat="false" ht="15" hidden="false" customHeight="false" outlineLevel="0" collapsed="false">
      <c r="A1730" s="2" t="n">
        <v>1728</v>
      </c>
      <c r="B1730" s="2" t="s">
        <v>7445</v>
      </c>
      <c r="C1730" s="2" t="n">
        <v>0</v>
      </c>
      <c r="D1730" s="2" t="n">
        <v>0</v>
      </c>
      <c r="E1730" s="2" t="s">
        <v>12339</v>
      </c>
      <c r="F1730" s="2" t="s">
        <v>7501</v>
      </c>
      <c r="G1730" s="2" t="s">
        <v>12340</v>
      </c>
      <c r="H1730" s="2" t="s">
        <v>1054</v>
      </c>
      <c r="I1730" s="2" t="s">
        <v>795</v>
      </c>
      <c r="J1730" s="2" t="s">
        <v>12341</v>
      </c>
      <c r="K1730" s="2" t="s">
        <v>507</v>
      </c>
      <c r="L1730" s="2" t="n">
        <v>0</v>
      </c>
      <c r="M1730" s="2" t="n">
        <v>0.62</v>
      </c>
    </row>
    <row r="1731" customFormat="false" ht="15" hidden="false" customHeight="false" outlineLevel="0" collapsed="false">
      <c r="A1731" s="2" t="n">
        <v>1729</v>
      </c>
      <c r="B1731" s="2" t="s">
        <v>7445</v>
      </c>
      <c r="C1731" s="2" t="n">
        <v>0</v>
      </c>
      <c r="D1731" s="2" t="n">
        <v>0</v>
      </c>
      <c r="E1731" s="2" t="s">
        <v>12342</v>
      </c>
      <c r="F1731" s="2" t="s">
        <v>694</v>
      </c>
      <c r="G1731" s="2" t="s">
        <v>12343</v>
      </c>
      <c r="H1731" s="2" t="s">
        <v>7178</v>
      </c>
      <c r="I1731" s="2" t="s">
        <v>2149</v>
      </c>
      <c r="J1731" s="2" t="s">
        <v>12344</v>
      </c>
      <c r="K1731" s="2" t="s">
        <v>507</v>
      </c>
      <c r="L1731" s="2" t="n">
        <v>0.09</v>
      </c>
      <c r="M1731" s="2" t="n">
        <v>0.78</v>
      </c>
    </row>
    <row r="1732" customFormat="false" ht="15" hidden="false" customHeight="false" outlineLevel="0" collapsed="false">
      <c r="A1732" s="2" t="n">
        <v>1730</v>
      </c>
      <c r="B1732" s="2" t="s">
        <v>7445</v>
      </c>
      <c r="C1732" s="2" t="n">
        <v>0</v>
      </c>
      <c r="D1732" s="2" t="n">
        <v>0</v>
      </c>
      <c r="E1732" s="2" t="s">
        <v>12345</v>
      </c>
      <c r="F1732" s="2" t="s">
        <v>12346</v>
      </c>
      <c r="G1732" s="2" t="s">
        <v>12347</v>
      </c>
      <c r="H1732" s="2" t="s">
        <v>4022</v>
      </c>
      <c r="I1732" s="2" t="s">
        <v>2999</v>
      </c>
      <c r="J1732" s="2" t="s">
        <v>12348</v>
      </c>
      <c r="K1732" s="2" t="s">
        <v>507</v>
      </c>
      <c r="L1732" s="2" t="n">
        <v>0.12</v>
      </c>
      <c r="M1732" s="2" t="n">
        <v>0.67</v>
      </c>
    </row>
    <row r="1733" customFormat="false" ht="15" hidden="false" customHeight="false" outlineLevel="0" collapsed="false">
      <c r="A1733" s="2" t="n">
        <v>1731</v>
      </c>
      <c r="B1733" s="2" t="s">
        <v>7445</v>
      </c>
      <c r="C1733" s="2" t="n">
        <v>0</v>
      </c>
      <c r="D1733" s="2" t="n">
        <v>0</v>
      </c>
      <c r="E1733" s="2" t="s">
        <v>12349</v>
      </c>
      <c r="F1733" s="2" t="s">
        <v>6994</v>
      </c>
      <c r="G1733" s="2" t="s">
        <v>12350</v>
      </c>
      <c r="H1733" s="2" t="s">
        <v>12351</v>
      </c>
      <c r="I1733" s="2" t="s">
        <v>204</v>
      </c>
      <c r="J1733" s="2" t="s">
        <v>12352</v>
      </c>
      <c r="K1733" s="2" t="s">
        <v>507</v>
      </c>
      <c r="L1733" s="2" t="n">
        <v>0</v>
      </c>
      <c r="M1733" s="2" t="n">
        <v>0.9</v>
      </c>
    </row>
    <row r="1734" customFormat="false" ht="15" hidden="false" customHeight="false" outlineLevel="0" collapsed="false">
      <c r="A1734" s="2" t="n">
        <v>1732</v>
      </c>
      <c r="B1734" s="2" t="s">
        <v>7445</v>
      </c>
      <c r="C1734" s="2" t="n">
        <v>0</v>
      </c>
      <c r="D1734" s="2" t="n">
        <v>0</v>
      </c>
      <c r="E1734" s="2" t="s">
        <v>12353</v>
      </c>
      <c r="F1734" s="2" t="s">
        <v>6026</v>
      </c>
      <c r="G1734" s="2" t="s">
        <v>12354</v>
      </c>
      <c r="H1734" s="2" t="s">
        <v>7533</v>
      </c>
      <c r="I1734" s="2" t="s">
        <v>686</v>
      </c>
      <c r="J1734" s="2" t="s">
        <v>12355</v>
      </c>
      <c r="K1734" s="2" t="s">
        <v>507</v>
      </c>
      <c r="L1734" s="2" t="n">
        <v>0</v>
      </c>
      <c r="M1734" s="2" t="n">
        <v>0.71</v>
      </c>
    </row>
    <row r="1735" customFormat="false" ht="15" hidden="false" customHeight="false" outlineLevel="0" collapsed="false">
      <c r="A1735" s="2" t="n">
        <v>1733</v>
      </c>
      <c r="B1735" s="2" t="s">
        <v>7445</v>
      </c>
      <c r="C1735" s="2" t="n">
        <v>0</v>
      </c>
      <c r="D1735" s="2" t="n">
        <v>0</v>
      </c>
      <c r="E1735" s="2" t="s">
        <v>12356</v>
      </c>
      <c r="F1735" s="2" t="s">
        <v>3313</v>
      </c>
      <c r="G1735" s="2" t="s">
        <v>12357</v>
      </c>
      <c r="H1735" s="2" t="s">
        <v>7178</v>
      </c>
      <c r="I1735" s="2" t="s">
        <v>3435</v>
      </c>
      <c r="J1735" s="2" t="s">
        <v>12358</v>
      </c>
      <c r="K1735" s="2" t="s">
        <v>507</v>
      </c>
      <c r="L1735" s="2" t="n">
        <v>0</v>
      </c>
      <c r="M1735" s="2" t="n">
        <v>1</v>
      </c>
    </row>
    <row r="1736" customFormat="false" ht="15" hidden="false" customHeight="false" outlineLevel="0" collapsed="false">
      <c r="A1736" s="2" t="n">
        <v>1734</v>
      </c>
      <c r="B1736" s="2" t="s">
        <v>7445</v>
      </c>
      <c r="C1736" s="2" t="n">
        <v>2</v>
      </c>
      <c r="D1736" s="2" t="n">
        <v>2</v>
      </c>
      <c r="E1736" s="2" t="s">
        <v>7531</v>
      </c>
      <c r="F1736" s="2" t="s">
        <v>492</v>
      </c>
      <c r="G1736" s="2" t="s">
        <v>7532</v>
      </c>
      <c r="H1736" s="2" t="s">
        <v>7533</v>
      </c>
      <c r="I1736" s="2" t="s">
        <v>5519</v>
      </c>
      <c r="J1736" s="2" t="s">
        <v>12359</v>
      </c>
      <c r="K1736" s="2" t="s">
        <v>507</v>
      </c>
      <c r="L1736" s="2" t="n">
        <v>0</v>
      </c>
      <c r="M1736" s="2" t="n">
        <v>1</v>
      </c>
    </row>
    <row r="1737" customFormat="false" ht="15" hidden="false" customHeight="false" outlineLevel="0" collapsed="false">
      <c r="A1737" s="2" t="n">
        <v>1735</v>
      </c>
      <c r="B1737" s="2" t="s">
        <v>7445</v>
      </c>
      <c r="C1737" s="2" t="n">
        <v>1</v>
      </c>
      <c r="D1737" s="2" t="n">
        <v>0</v>
      </c>
      <c r="E1737" s="2" t="s">
        <v>7540</v>
      </c>
      <c r="F1737" s="2" t="s">
        <v>64</v>
      </c>
      <c r="G1737" s="2" t="s">
        <v>7541</v>
      </c>
      <c r="H1737" s="2" t="s">
        <v>420</v>
      </c>
      <c r="I1737" s="2" t="s">
        <v>1204</v>
      </c>
      <c r="J1737" s="2" t="s">
        <v>12360</v>
      </c>
      <c r="K1737" s="2" t="s">
        <v>507</v>
      </c>
      <c r="L1737" s="2" t="n">
        <v>0</v>
      </c>
      <c r="M1737" s="2" t="n">
        <v>0.62</v>
      </c>
    </row>
    <row r="1738" customFormat="false" ht="15" hidden="false" customHeight="false" outlineLevel="0" collapsed="false">
      <c r="A1738" s="2" t="n">
        <v>1736</v>
      </c>
      <c r="B1738" s="2" t="s">
        <v>7445</v>
      </c>
      <c r="C1738" s="2" t="n">
        <v>1</v>
      </c>
      <c r="D1738" s="2" t="n">
        <v>0</v>
      </c>
      <c r="E1738" s="2" t="s">
        <v>7547</v>
      </c>
      <c r="F1738" s="2" t="s">
        <v>64</v>
      </c>
      <c r="G1738" s="2" t="s">
        <v>7548</v>
      </c>
      <c r="H1738" s="2" t="s">
        <v>7549</v>
      </c>
      <c r="I1738" s="2" t="s">
        <v>3506</v>
      </c>
      <c r="J1738" s="2" t="s">
        <v>12361</v>
      </c>
      <c r="K1738" s="2" t="s">
        <v>507</v>
      </c>
      <c r="L1738" s="2" t="n">
        <v>0</v>
      </c>
      <c r="M1738" s="2" t="n">
        <v>0.88</v>
      </c>
    </row>
    <row r="1739" customFormat="false" ht="15" hidden="false" customHeight="false" outlineLevel="0" collapsed="false">
      <c r="A1739" s="2" t="n">
        <v>1737</v>
      </c>
      <c r="B1739" s="2" t="s">
        <v>7445</v>
      </c>
      <c r="C1739" s="2" t="n">
        <v>3</v>
      </c>
      <c r="D1739" s="2" t="n">
        <v>0</v>
      </c>
      <c r="E1739" s="2" t="s">
        <v>7555</v>
      </c>
      <c r="F1739" s="2" t="s">
        <v>112</v>
      </c>
      <c r="G1739" s="2" t="s">
        <v>7556</v>
      </c>
      <c r="H1739" s="2" t="s">
        <v>3517</v>
      </c>
      <c r="I1739" s="2" t="s">
        <v>132</v>
      </c>
      <c r="J1739" s="2" t="s">
        <v>12362</v>
      </c>
      <c r="K1739" s="2" t="s">
        <v>507</v>
      </c>
      <c r="L1739" s="2" t="n">
        <v>0</v>
      </c>
      <c r="M1739" s="2" t="n">
        <v>1</v>
      </c>
    </row>
    <row r="1740" customFormat="false" ht="15" hidden="false" customHeight="false" outlineLevel="0" collapsed="false">
      <c r="A1740" s="2" t="n">
        <v>1738</v>
      </c>
      <c r="B1740" s="2" t="s">
        <v>7445</v>
      </c>
      <c r="C1740" s="2" t="n">
        <v>0</v>
      </c>
      <c r="D1740" s="2" t="n">
        <v>0</v>
      </c>
      <c r="E1740" s="2" t="s">
        <v>12363</v>
      </c>
      <c r="F1740" s="2" t="s">
        <v>64</v>
      </c>
      <c r="G1740" s="2" t="s">
        <v>12364</v>
      </c>
      <c r="H1740" s="2" t="s">
        <v>3517</v>
      </c>
      <c r="I1740" s="2" t="s">
        <v>506</v>
      </c>
      <c r="J1740" s="2" t="s">
        <v>12365</v>
      </c>
      <c r="K1740" s="2" t="s">
        <v>507</v>
      </c>
      <c r="L1740" s="2" t="n">
        <v>0.09</v>
      </c>
      <c r="M1740" s="2" t="n">
        <v>0.78</v>
      </c>
    </row>
    <row r="1741" customFormat="false" ht="15" hidden="false" customHeight="false" outlineLevel="0" collapsed="false">
      <c r="A1741" s="2" t="n">
        <v>1739</v>
      </c>
      <c r="B1741" s="2" t="s">
        <v>7445</v>
      </c>
      <c r="C1741" s="2" t="n">
        <v>3</v>
      </c>
      <c r="D1741" s="2" t="n">
        <v>0</v>
      </c>
      <c r="E1741" s="2" t="s">
        <v>7567</v>
      </c>
      <c r="F1741" s="2" t="s">
        <v>64</v>
      </c>
      <c r="G1741" s="2" t="s">
        <v>7568</v>
      </c>
      <c r="H1741" s="2" t="s">
        <v>3517</v>
      </c>
      <c r="I1741" s="2" t="s">
        <v>2313</v>
      </c>
      <c r="J1741" s="2" t="s">
        <v>12366</v>
      </c>
      <c r="K1741" s="2" t="s">
        <v>507</v>
      </c>
      <c r="L1741" s="2" t="n">
        <v>0.08</v>
      </c>
      <c r="M1741" s="2" t="n">
        <v>0.5</v>
      </c>
    </row>
    <row r="1742" customFormat="false" ht="15" hidden="false" customHeight="false" outlineLevel="0" collapsed="false">
      <c r="A1742" s="2" t="n">
        <v>1740</v>
      </c>
      <c r="B1742" s="2" t="s">
        <v>7574</v>
      </c>
      <c r="C1742" s="2" t="n">
        <v>1</v>
      </c>
      <c r="D1742" s="2" t="n">
        <v>0</v>
      </c>
      <c r="E1742" s="2" t="s">
        <v>7578</v>
      </c>
      <c r="F1742" s="2" t="s">
        <v>64</v>
      </c>
      <c r="G1742" s="2" t="s">
        <v>7579</v>
      </c>
      <c r="H1742" s="2" t="s">
        <v>7580</v>
      </c>
      <c r="I1742" s="2" t="s">
        <v>7581</v>
      </c>
      <c r="J1742" s="2" t="s">
        <v>12367</v>
      </c>
      <c r="K1742" s="2" t="s">
        <v>507</v>
      </c>
      <c r="L1742" s="2" t="n">
        <v>0.2</v>
      </c>
      <c r="M1742" s="2" t="n">
        <v>0.8</v>
      </c>
    </row>
    <row r="1743" customFormat="false" ht="15" hidden="false" customHeight="false" outlineLevel="0" collapsed="false">
      <c r="A1743" s="2" t="n">
        <v>1741</v>
      </c>
      <c r="B1743" s="2" t="s">
        <v>7574</v>
      </c>
      <c r="C1743" s="2" t="n">
        <v>0</v>
      </c>
      <c r="D1743" s="2" t="n">
        <v>0</v>
      </c>
      <c r="E1743" s="2" t="s">
        <v>12368</v>
      </c>
      <c r="F1743" s="2" t="s">
        <v>694</v>
      </c>
      <c r="G1743" s="2" t="s">
        <v>12369</v>
      </c>
      <c r="H1743" s="2" t="s">
        <v>745</v>
      </c>
      <c r="I1743" s="2" t="s">
        <v>2692</v>
      </c>
      <c r="J1743" s="2" t="s">
        <v>12370</v>
      </c>
      <c r="K1743" s="2" t="s">
        <v>507</v>
      </c>
      <c r="L1743" s="2" t="n">
        <v>0.2</v>
      </c>
      <c r="M1743" s="2" t="n">
        <v>0.71</v>
      </c>
    </row>
    <row r="1744" customFormat="false" ht="15" hidden="false" customHeight="false" outlineLevel="0" collapsed="false">
      <c r="A1744" s="2" t="n">
        <v>1742</v>
      </c>
      <c r="B1744" s="2" t="s">
        <v>7574</v>
      </c>
      <c r="C1744" s="2" t="n">
        <v>0</v>
      </c>
      <c r="D1744" s="2" t="n">
        <v>0</v>
      </c>
      <c r="E1744" s="2" t="s">
        <v>12371</v>
      </c>
      <c r="F1744" s="2" t="s">
        <v>7589</v>
      </c>
      <c r="G1744" s="2" t="s">
        <v>12372</v>
      </c>
      <c r="H1744" s="2" t="s">
        <v>12373</v>
      </c>
      <c r="I1744" s="2" t="s">
        <v>530</v>
      </c>
      <c r="J1744" s="2" t="s">
        <v>12374</v>
      </c>
      <c r="K1744" s="2" t="s">
        <v>507</v>
      </c>
      <c r="L1744" s="2" t="n">
        <v>0</v>
      </c>
      <c r="M1744" s="2" t="n">
        <v>0.62</v>
      </c>
    </row>
    <row r="1745" customFormat="false" ht="15" hidden="false" customHeight="false" outlineLevel="0" collapsed="false">
      <c r="A1745" s="2" t="n">
        <v>1743</v>
      </c>
      <c r="B1745" s="2" t="s">
        <v>7574</v>
      </c>
      <c r="C1745" s="2" t="n">
        <v>1</v>
      </c>
      <c r="D1745" s="2" t="n">
        <v>0</v>
      </c>
      <c r="E1745" s="2" t="s">
        <v>7588</v>
      </c>
      <c r="F1745" s="2" t="s">
        <v>7589</v>
      </c>
      <c r="G1745" s="2" t="s">
        <v>7590</v>
      </c>
      <c r="H1745" s="2" t="s">
        <v>7591</v>
      </c>
      <c r="I1745" s="2" t="s">
        <v>98</v>
      </c>
      <c r="J1745" s="2" t="s">
        <v>12375</v>
      </c>
      <c r="K1745" s="2" t="s">
        <v>507</v>
      </c>
      <c r="L1745" s="2" t="n">
        <v>0.07</v>
      </c>
      <c r="M1745" s="2" t="n">
        <v>0.92</v>
      </c>
    </row>
    <row r="1746" customFormat="false" ht="15" hidden="false" customHeight="false" outlineLevel="0" collapsed="false">
      <c r="A1746" s="2" t="n">
        <v>1744</v>
      </c>
      <c r="B1746" s="2" t="s">
        <v>7574</v>
      </c>
      <c r="C1746" s="2" t="n">
        <v>0</v>
      </c>
      <c r="D1746" s="2" t="n">
        <v>0</v>
      </c>
      <c r="E1746" s="2" t="s">
        <v>12376</v>
      </c>
      <c r="F1746" s="2" t="s">
        <v>694</v>
      </c>
      <c r="G1746" s="2" t="s">
        <v>12377</v>
      </c>
      <c r="H1746" s="2" t="s">
        <v>7591</v>
      </c>
      <c r="I1746" s="2" t="s">
        <v>159</v>
      </c>
      <c r="J1746" s="2" t="s">
        <v>12378</v>
      </c>
      <c r="K1746" s="2" t="s">
        <v>507</v>
      </c>
      <c r="L1746" s="2" t="n">
        <v>0.07</v>
      </c>
      <c r="M1746" s="2" t="n">
        <v>0.8</v>
      </c>
    </row>
    <row r="1747" customFormat="false" ht="15" hidden="false" customHeight="false" outlineLevel="0" collapsed="false">
      <c r="A1747" s="2" t="n">
        <v>1745</v>
      </c>
      <c r="B1747" s="2" t="s">
        <v>7574</v>
      </c>
      <c r="C1747" s="2" t="n">
        <v>0</v>
      </c>
      <c r="D1747" s="2" t="n">
        <v>0</v>
      </c>
      <c r="E1747" s="2" t="s">
        <v>12379</v>
      </c>
      <c r="F1747" s="2" t="s">
        <v>694</v>
      </c>
      <c r="G1747" s="2" t="s">
        <v>12380</v>
      </c>
      <c r="H1747" s="2" t="s">
        <v>745</v>
      </c>
      <c r="I1747" s="2" t="s">
        <v>3888</v>
      </c>
      <c r="J1747" s="2" t="s">
        <v>12381</v>
      </c>
      <c r="K1747" s="2" t="s">
        <v>507</v>
      </c>
      <c r="L1747" s="2" t="n">
        <v>0.1</v>
      </c>
      <c r="M1747" s="2" t="n">
        <v>0.88</v>
      </c>
    </row>
    <row r="1748" customFormat="false" ht="15" hidden="false" customHeight="false" outlineLevel="0" collapsed="false">
      <c r="A1748" s="2" t="n">
        <v>1746</v>
      </c>
      <c r="B1748" s="2" t="s">
        <v>7574</v>
      </c>
      <c r="C1748" s="2" t="n">
        <v>0</v>
      </c>
      <c r="D1748" s="2" t="n">
        <v>0</v>
      </c>
      <c r="E1748" s="2" t="s">
        <v>12382</v>
      </c>
      <c r="F1748" s="2" t="s">
        <v>176</v>
      </c>
      <c r="G1748" s="2" t="s">
        <v>12383</v>
      </c>
      <c r="H1748" s="2" t="s">
        <v>420</v>
      </c>
      <c r="I1748" s="2" t="s">
        <v>190</v>
      </c>
      <c r="J1748" s="2" t="s">
        <v>12384</v>
      </c>
      <c r="K1748" s="2" t="s">
        <v>507</v>
      </c>
      <c r="L1748" s="2" t="n">
        <v>0.12</v>
      </c>
      <c r="M1748" s="2" t="n">
        <v>0.31</v>
      </c>
    </row>
    <row r="1749" customFormat="false" ht="15" hidden="false" customHeight="false" outlineLevel="0" collapsed="false">
      <c r="A1749" s="2" t="n">
        <v>1747</v>
      </c>
      <c r="B1749" s="2" t="s">
        <v>7574</v>
      </c>
      <c r="C1749" s="2" t="n">
        <v>0</v>
      </c>
      <c r="D1749" s="2" t="n">
        <v>0</v>
      </c>
      <c r="E1749" s="2" t="s">
        <v>12385</v>
      </c>
      <c r="F1749" s="2" t="s">
        <v>694</v>
      </c>
      <c r="G1749" s="2" t="s">
        <v>12386</v>
      </c>
      <c r="H1749" s="2" t="s">
        <v>12351</v>
      </c>
      <c r="I1749" s="2" t="s">
        <v>1972</v>
      </c>
      <c r="J1749" s="2" t="s">
        <v>12387</v>
      </c>
      <c r="K1749" s="2" t="s">
        <v>507</v>
      </c>
      <c r="L1749" s="2" t="n">
        <v>0</v>
      </c>
      <c r="M1749" s="2" t="n">
        <v>0.88</v>
      </c>
    </row>
    <row r="1750" customFormat="false" ht="15" hidden="false" customHeight="false" outlineLevel="0" collapsed="false">
      <c r="A1750" s="2" t="n">
        <v>1748</v>
      </c>
      <c r="B1750" s="2" t="s">
        <v>7574</v>
      </c>
      <c r="C1750" s="2" t="n">
        <v>0</v>
      </c>
      <c r="D1750" s="2" t="n">
        <v>0</v>
      </c>
      <c r="E1750" s="2" t="s">
        <v>12388</v>
      </c>
      <c r="F1750" s="2" t="s">
        <v>694</v>
      </c>
      <c r="G1750" s="2" t="s">
        <v>12389</v>
      </c>
      <c r="H1750" s="2" t="s">
        <v>3517</v>
      </c>
      <c r="I1750" s="2" t="s">
        <v>262</v>
      </c>
      <c r="J1750" s="2" t="s">
        <v>12390</v>
      </c>
      <c r="K1750" s="2" t="s">
        <v>507</v>
      </c>
      <c r="L1750" s="2" t="n">
        <v>0</v>
      </c>
      <c r="M1750" s="2" t="n">
        <v>0.86</v>
      </c>
    </row>
    <row r="1751" customFormat="false" ht="15" hidden="false" customHeight="false" outlineLevel="0" collapsed="false">
      <c r="A1751" s="2" t="n">
        <v>1749</v>
      </c>
      <c r="B1751" s="2" t="s">
        <v>7574</v>
      </c>
      <c r="C1751" s="2" t="n">
        <v>0</v>
      </c>
      <c r="D1751" s="2" t="n">
        <v>0</v>
      </c>
      <c r="E1751" s="2" t="s">
        <v>12391</v>
      </c>
      <c r="F1751" s="2" t="s">
        <v>694</v>
      </c>
      <c r="G1751" s="2" t="s">
        <v>12392</v>
      </c>
      <c r="H1751" s="2" t="s">
        <v>12393</v>
      </c>
      <c r="I1751" s="2" t="s">
        <v>344</v>
      </c>
      <c r="J1751" s="2" t="s">
        <v>12394</v>
      </c>
      <c r="K1751" s="2" t="s">
        <v>507</v>
      </c>
      <c r="L1751" s="2" t="n">
        <v>0</v>
      </c>
      <c r="M1751" s="2" t="n">
        <v>0.75</v>
      </c>
    </row>
    <row r="1752" customFormat="false" ht="15" hidden="false" customHeight="false" outlineLevel="0" collapsed="false">
      <c r="A1752" s="2" t="n">
        <v>1750</v>
      </c>
      <c r="B1752" s="2" t="s">
        <v>7574</v>
      </c>
      <c r="C1752" s="2" t="n">
        <v>0</v>
      </c>
      <c r="D1752" s="2" t="n">
        <v>0</v>
      </c>
      <c r="E1752" s="2" t="s">
        <v>12395</v>
      </c>
      <c r="F1752" s="2" t="s">
        <v>11904</v>
      </c>
      <c r="G1752" s="2" t="s">
        <v>12396</v>
      </c>
      <c r="H1752" s="2" t="s">
        <v>12397</v>
      </c>
      <c r="I1752" s="2" t="s">
        <v>3506</v>
      </c>
      <c r="J1752" s="2" t="s">
        <v>12398</v>
      </c>
      <c r="K1752" s="2" t="s">
        <v>507</v>
      </c>
      <c r="L1752" s="2" t="n">
        <v>0</v>
      </c>
      <c r="M1752" s="2" t="n">
        <v>0.46</v>
      </c>
    </row>
    <row r="1753" customFormat="false" ht="15" hidden="false" customHeight="false" outlineLevel="0" collapsed="false">
      <c r="A1753" s="2" t="n">
        <v>1751</v>
      </c>
      <c r="B1753" s="2" t="s">
        <v>7574</v>
      </c>
      <c r="C1753" s="2" t="n">
        <v>3</v>
      </c>
      <c r="D1753" s="2" t="n">
        <v>1</v>
      </c>
      <c r="E1753" s="2" t="s">
        <v>7596</v>
      </c>
      <c r="F1753" s="2" t="s">
        <v>112</v>
      </c>
      <c r="G1753" s="2" t="s">
        <v>7597</v>
      </c>
      <c r="H1753" s="2" t="s">
        <v>5487</v>
      </c>
      <c r="I1753" s="2" t="s">
        <v>795</v>
      </c>
      <c r="J1753" s="2" t="s">
        <v>12399</v>
      </c>
      <c r="K1753" s="2" t="s">
        <v>507</v>
      </c>
      <c r="L1753" s="2" t="n">
        <v>0.09</v>
      </c>
      <c r="M1753" s="2" t="n">
        <v>1</v>
      </c>
    </row>
    <row r="1754" customFormat="false" ht="15" hidden="false" customHeight="false" outlineLevel="0" collapsed="false">
      <c r="A1754" s="2" t="n">
        <v>1752</v>
      </c>
      <c r="B1754" s="2" t="s">
        <v>7574</v>
      </c>
      <c r="C1754" s="2" t="n">
        <v>0</v>
      </c>
      <c r="D1754" s="2" t="n">
        <v>0</v>
      </c>
      <c r="E1754" s="2" t="s">
        <v>12400</v>
      </c>
      <c r="F1754" s="2" t="s">
        <v>1421</v>
      </c>
      <c r="G1754" s="2" t="s">
        <v>12401</v>
      </c>
      <c r="H1754" s="2" t="s">
        <v>12402</v>
      </c>
      <c r="I1754" s="2" t="s">
        <v>283</v>
      </c>
      <c r="J1754" s="2" t="s">
        <v>12403</v>
      </c>
      <c r="K1754" s="2" t="s">
        <v>507</v>
      </c>
      <c r="L1754" s="2" t="n">
        <v>0.06</v>
      </c>
      <c r="M1754" s="2" t="n">
        <v>1</v>
      </c>
    </row>
    <row r="1755" customFormat="false" ht="15" hidden="false" customHeight="false" outlineLevel="0" collapsed="false">
      <c r="A1755" s="2" t="n">
        <v>1753</v>
      </c>
      <c r="B1755" s="2" t="s">
        <v>7574</v>
      </c>
      <c r="C1755" s="2" t="n">
        <v>0</v>
      </c>
      <c r="D1755" s="2" t="n">
        <v>0</v>
      </c>
      <c r="E1755" s="2" t="s">
        <v>12404</v>
      </c>
      <c r="F1755" s="2" t="s">
        <v>4322</v>
      </c>
      <c r="G1755" s="2" t="s">
        <v>12405</v>
      </c>
      <c r="H1755" s="2" t="s">
        <v>12373</v>
      </c>
      <c r="I1755" s="2" t="s">
        <v>3186</v>
      </c>
      <c r="J1755" s="2" t="s">
        <v>12406</v>
      </c>
      <c r="K1755" s="2" t="s">
        <v>507</v>
      </c>
      <c r="L1755" s="2" t="n">
        <v>0</v>
      </c>
      <c r="M1755" s="2" t="n">
        <v>0</v>
      </c>
    </row>
    <row r="1756" customFormat="false" ht="15" hidden="false" customHeight="false" outlineLevel="0" collapsed="false">
      <c r="A1756" s="2" t="n">
        <v>1754</v>
      </c>
      <c r="B1756" s="2" t="s">
        <v>7574</v>
      </c>
      <c r="C1756" s="2" t="n">
        <v>0</v>
      </c>
      <c r="D1756" s="2" t="n">
        <v>0</v>
      </c>
      <c r="E1756" s="2" t="s">
        <v>12407</v>
      </c>
      <c r="F1756" s="2" t="s">
        <v>64</v>
      </c>
      <c r="G1756" s="2" t="s">
        <v>12408</v>
      </c>
      <c r="H1756" s="2" t="s">
        <v>12393</v>
      </c>
      <c r="I1756" s="2" t="s">
        <v>1509</v>
      </c>
      <c r="J1756" s="2" t="s">
        <v>12409</v>
      </c>
      <c r="K1756" s="2" t="s">
        <v>507</v>
      </c>
      <c r="L1756" s="2" t="n">
        <v>0.12</v>
      </c>
      <c r="M1756" s="2" t="n">
        <v>0.7</v>
      </c>
    </row>
    <row r="1757" customFormat="false" ht="15" hidden="false" customHeight="false" outlineLevel="0" collapsed="false">
      <c r="A1757" s="2" t="n">
        <v>1755</v>
      </c>
      <c r="B1757" s="2" t="s">
        <v>7574</v>
      </c>
      <c r="C1757" s="2" t="n">
        <v>0</v>
      </c>
      <c r="D1757" s="2" t="n">
        <v>0</v>
      </c>
      <c r="E1757" s="2" t="s">
        <v>12410</v>
      </c>
      <c r="F1757" s="2" t="s">
        <v>3313</v>
      </c>
      <c r="G1757" s="2" t="s">
        <v>12411</v>
      </c>
      <c r="H1757" s="2" t="s">
        <v>8455</v>
      </c>
      <c r="I1757" s="2" t="s">
        <v>1365</v>
      </c>
      <c r="J1757" s="2" t="s">
        <v>12412</v>
      </c>
      <c r="K1757" s="2" t="s">
        <v>507</v>
      </c>
      <c r="L1757" s="2" t="n">
        <v>0.17</v>
      </c>
      <c r="M1757" s="2" t="n">
        <v>1</v>
      </c>
    </row>
    <row r="1758" customFormat="false" ht="15" hidden="false" customHeight="false" outlineLevel="0" collapsed="false">
      <c r="A1758" s="2" t="n">
        <v>1756</v>
      </c>
      <c r="B1758" s="2" t="s">
        <v>7574</v>
      </c>
      <c r="C1758" s="2" t="n">
        <v>1</v>
      </c>
      <c r="D1758" s="2" t="n">
        <v>0</v>
      </c>
      <c r="E1758" s="2" t="s">
        <v>7608</v>
      </c>
      <c r="F1758" s="2" t="s">
        <v>7609</v>
      </c>
      <c r="G1758" s="2" t="s">
        <v>7610</v>
      </c>
      <c r="H1758" s="2" t="s">
        <v>6996</v>
      </c>
      <c r="I1758" s="2" t="s">
        <v>5744</v>
      </c>
      <c r="J1758" s="2" t="s">
        <v>12413</v>
      </c>
      <c r="K1758" s="2" t="s">
        <v>507</v>
      </c>
      <c r="L1758" s="2" t="n">
        <v>0</v>
      </c>
      <c r="M1758" s="2" t="n">
        <v>1</v>
      </c>
    </row>
    <row r="1759" customFormat="false" ht="15" hidden="false" customHeight="false" outlineLevel="0" collapsed="false">
      <c r="A1759" s="2" t="n">
        <v>1757</v>
      </c>
      <c r="B1759" s="2" t="s">
        <v>7574</v>
      </c>
      <c r="C1759" s="2" t="n">
        <v>1</v>
      </c>
      <c r="D1759" s="2" t="n">
        <v>0</v>
      </c>
      <c r="E1759" s="2" t="s">
        <v>7613</v>
      </c>
      <c r="F1759" s="2" t="s">
        <v>7614</v>
      </c>
      <c r="G1759" s="2" t="s">
        <v>7615</v>
      </c>
      <c r="H1759" s="2" t="s">
        <v>7333</v>
      </c>
      <c r="I1759" s="2" t="s">
        <v>945</v>
      </c>
      <c r="J1759" s="2" t="s">
        <v>12414</v>
      </c>
      <c r="K1759" s="2" t="s">
        <v>507</v>
      </c>
      <c r="L1759" s="2" t="n">
        <v>0</v>
      </c>
      <c r="M1759" s="2" t="n">
        <v>1</v>
      </c>
    </row>
    <row r="1760" customFormat="false" ht="15" hidden="false" customHeight="false" outlineLevel="0" collapsed="false">
      <c r="A1760" s="2" t="n">
        <v>1758</v>
      </c>
      <c r="B1760" s="2" t="s">
        <v>7574</v>
      </c>
      <c r="C1760" s="2" t="n">
        <v>1</v>
      </c>
      <c r="D1760" s="2" t="n">
        <v>0</v>
      </c>
      <c r="E1760" s="2" t="s">
        <v>7621</v>
      </c>
      <c r="F1760" s="2" t="s">
        <v>710</v>
      </c>
      <c r="G1760" s="2" t="s">
        <v>7622</v>
      </c>
      <c r="H1760" s="2" t="s">
        <v>696</v>
      </c>
      <c r="I1760" s="2" t="s">
        <v>115</v>
      </c>
      <c r="J1760" s="2" t="s">
        <v>12415</v>
      </c>
      <c r="K1760" s="2" t="s">
        <v>507</v>
      </c>
      <c r="L1760" s="2" t="n">
        <v>0</v>
      </c>
      <c r="M1760" s="2" t="n">
        <v>0.71</v>
      </c>
    </row>
    <row r="1761" customFormat="false" ht="15" hidden="false" customHeight="false" outlineLevel="0" collapsed="false">
      <c r="A1761" s="2" t="n">
        <v>1759</v>
      </c>
      <c r="B1761" s="2" t="s">
        <v>7574</v>
      </c>
      <c r="C1761" s="2" t="n">
        <v>2</v>
      </c>
      <c r="D1761" s="2" t="n">
        <v>0</v>
      </c>
      <c r="E1761" s="2" t="s">
        <v>7625</v>
      </c>
      <c r="F1761" s="2" t="s">
        <v>2212</v>
      </c>
      <c r="G1761" s="2" t="s">
        <v>7626</v>
      </c>
      <c r="H1761" s="2" t="s">
        <v>745</v>
      </c>
      <c r="I1761" s="2" t="s">
        <v>115</v>
      </c>
      <c r="J1761" s="2" t="s">
        <v>12416</v>
      </c>
      <c r="K1761" s="2" t="s">
        <v>507</v>
      </c>
      <c r="L1761" s="2" t="n">
        <v>0.11</v>
      </c>
      <c r="M1761" s="2" t="n">
        <v>0.8</v>
      </c>
    </row>
    <row r="1762" customFormat="false" ht="15" hidden="false" customHeight="false" outlineLevel="0" collapsed="false">
      <c r="A1762" s="2" t="n">
        <v>1760</v>
      </c>
      <c r="B1762" s="2" t="s">
        <v>7574</v>
      </c>
      <c r="C1762" s="2" t="n">
        <v>0</v>
      </c>
      <c r="D1762" s="2" t="n">
        <v>0</v>
      </c>
      <c r="E1762" s="2" t="s">
        <v>12417</v>
      </c>
      <c r="F1762" s="2" t="s">
        <v>743</v>
      </c>
      <c r="G1762" s="2" t="s">
        <v>12418</v>
      </c>
      <c r="H1762" s="2" t="s">
        <v>12419</v>
      </c>
      <c r="I1762" s="2" t="s">
        <v>1354</v>
      </c>
      <c r="J1762" s="2" t="s">
        <v>12420</v>
      </c>
      <c r="K1762" s="2" t="s">
        <v>507</v>
      </c>
      <c r="L1762" s="2" t="n">
        <v>0.07</v>
      </c>
      <c r="M1762" s="2" t="n">
        <v>0.8</v>
      </c>
    </row>
    <row r="1763" customFormat="false" ht="15" hidden="false" customHeight="false" outlineLevel="0" collapsed="false">
      <c r="A1763" s="2" t="n">
        <v>1761</v>
      </c>
      <c r="B1763" s="2" t="s">
        <v>7574</v>
      </c>
      <c r="C1763" s="2" t="n">
        <v>1</v>
      </c>
      <c r="D1763" s="2" t="n">
        <v>0</v>
      </c>
      <c r="E1763" s="2" t="s">
        <v>7632</v>
      </c>
      <c r="F1763" s="2" t="s">
        <v>7633</v>
      </c>
      <c r="G1763" s="2" t="s">
        <v>7634</v>
      </c>
      <c r="H1763" s="2" t="s">
        <v>7591</v>
      </c>
      <c r="I1763" s="2" t="s">
        <v>1923</v>
      </c>
      <c r="J1763" s="2" t="s">
        <v>12421</v>
      </c>
      <c r="K1763" s="2" t="s">
        <v>507</v>
      </c>
      <c r="L1763" s="2" t="n">
        <v>0</v>
      </c>
      <c r="M1763" s="2" t="n">
        <v>0.6</v>
      </c>
    </row>
    <row r="1764" customFormat="false" ht="15" hidden="false" customHeight="false" outlineLevel="0" collapsed="false">
      <c r="A1764" s="2" t="n">
        <v>1762</v>
      </c>
      <c r="B1764" s="2" t="s">
        <v>7574</v>
      </c>
      <c r="C1764" s="2" t="n">
        <v>0</v>
      </c>
      <c r="D1764" s="2" t="n">
        <v>0</v>
      </c>
      <c r="E1764" s="2" t="s">
        <v>12422</v>
      </c>
      <c r="F1764" s="2" t="s">
        <v>3313</v>
      </c>
      <c r="G1764" s="2" t="s">
        <v>12423</v>
      </c>
      <c r="H1764" s="2" t="s">
        <v>745</v>
      </c>
      <c r="I1764" s="2" t="s">
        <v>1700</v>
      </c>
      <c r="J1764" s="2" t="s">
        <v>12424</v>
      </c>
      <c r="K1764" s="2" t="s">
        <v>507</v>
      </c>
      <c r="L1764" s="2" t="n">
        <v>0</v>
      </c>
      <c r="M1764" s="2" t="n">
        <v>1</v>
      </c>
    </row>
    <row r="1765" customFormat="false" ht="15" hidden="false" customHeight="false" outlineLevel="0" collapsed="false">
      <c r="A1765" s="2" t="n">
        <v>1763</v>
      </c>
      <c r="B1765" s="2" t="s">
        <v>7574</v>
      </c>
      <c r="C1765" s="2" t="n">
        <v>0</v>
      </c>
      <c r="D1765" s="2" t="n">
        <v>0</v>
      </c>
      <c r="E1765" s="2" t="s">
        <v>12425</v>
      </c>
      <c r="F1765" s="2" t="s">
        <v>3313</v>
      </c>
      <c r="G1765" s="2" t="s">
        <v>12426</v>
      </c>
      <c r="H1765" s="2" t="s">
        <v>2979</v>
      </c>
      <c r="I1765" s="2" t="s">
        <v>360</v>
      </c>
      <c r="J1765" s="2" t="s">
        <v>12427</v>
      </c>
      <c r="K1765" s="2" t="s">
        <v>507</v>
      </c>
      <c r="L1765" s="2" t="n">
        <v>0</v>
      </c>
      <c r="M1765" s="2" t="n">
        <v>1</v>
      </c>
    </row>
    <row r="1766" customFormat="false" ht="15" hidden="false" customHeight="false" outlineLevel="0" collapsed="false">
      <c r="A1766" s="2" t="n">
        <v>1764</v>
      </c>
      <c r="B1766" s="2" t="s">
        <v>7574</v>
      </c>
      <c r="C1766" s="2" t="n">
        <v>3</v>
      </c>
      <c r="D1766" s="2" t="n">
        <v>0</v>
      </c>
      <c r="E1766" s="2" t="s">
        <v>7638</v>
      </c>
      <c r="F1766" s="2" t="s">
        <v>1168</v>
      </c>
      <c r="G1766" s="2" t="s">
        <v>7639</v>
      </c>
      <c r="H1766" s="2" t="s">
        <v>7640</v>
      </c>
      <c r="I1766" s="2" t="s">
        <v>3646</v>
      </c>
      <c r="J1766" s="2" t="s">
        <v>12428</v>
      </c>
      <c r="K1766" s="2" t="s">
        <v>507</v>
      </c>
      <c r="L1766" s="2" t="n">
        <v>0.12</v>
      </c>
      <c r="M1766" s="2" t="n">
        <v>0.82</v>
      </c>
    </row>
    <row r="1767" customFormat="false" ht="15" hidden="false" customHeight="false" outlineLevel="0" collapsed="false">
      <c r="A1767" s="2" t="n">
        <v>1765</v>
      </c>
      <c r="B1767" s="2" t="s">
        <v>7574</v>
      </c>
      <c r="C1767" s="2" t="n">
        <v>0</v>
      </c>
      <c r="D1767" s="2" t="n">
        <v>0</v>
      </c>
      <c r="E1767" s="2" t="s">
        <v>12429</v>
      </c>
      <c r="F1767" s="2" t="s">
        <v>176</v>
      </c>
      <c r="G1767" s="2" t="s">
        <v>12430</v>
      </c>
      <c r="H1767" s="2" t="s">
        <v>745</v>
      </c>
      <c r="I1767" s="2" t="s">
        <v>1810</v>
      </c>
      <c r="J1767" s="2" t="s">
        <v>12431</v>
      </c>
      <c r="K1767" s="2" t="s">
        <v>507</v>
      </c>
      <c r="L1767" s="2" t="n">
        <v>0</v>
      </c>
      <c r="M1767" s="2" t="n">
        <v>0.67</v>
      </c>
    </row>
    <row r="1768" customFormat="false" ht="15" hidden="false" customHeight="false" outlineLevel="0" collapsed="false">
      <c r="A1768" s="2" t="n">
        <v>1766</v>
      </c>
      <c r="B1768" s="2" t="s">
        <v>7574</v>
      </c>
      <c r="C1768" s="2" t="n">
        <v>1</v>
      </c>
      <c r="D1768" s="2" t="n">
        <v>0</v>
      </c>
      <c r="E1768" s="2" t="s">
        <v>7651</v>
      </c>
      <c r="F1768" s="2" t="s">
        <v>7652</v>
      </c>
      <c r="G1768" s="2" t="s">
        <v>7653</v>
      </c>
      <c r="H1768" s="2" t="s">
        <v>745</v>
      </c>
      <c r="I1768" s="2" t="s">
        <v>2431</v>
      </c>
      <c r="J1768" s="2" t="s">
        <v>12432</v>
      </c>
      <c r="K1768" s="2" t="s">
        <v>507</v>
      </c>
      <c r="L1768" s="2" t="n">
        <v>0</v>
      </c>
      <c r="M1768" s="2" t="n">
        <v>0.83</v>
      </c>
    </row>
    <row r="1769" customFormat="false" ht="15" hidden="false" customHeight="false" outlineLevel="0" collapsed="false">
      <c r="A1769" s="2" t="n">
        <v>1767</v>
      </c>
      <c r="B1769" s="2" t="s">
        <v>7574</v>
      </c>
      <c r="C1769" s="2" t="n">
        <v>1</v>
      </c>
      <c r="D1769" s="2" t="n">
        <v>0</v>
      </c>
      <c r="E1769" s="2" t="s">
        <v>7656</v>
      </c>
      <c r="F1769" s="2" t="s">
        <v>963</v>
      </c>
      <c r="G1769" s="2" t="s">
        <v>7657</v>
      </c>
      <c r="H1769" s="2" t="s">
        <v>2979</v>
      </c>
      <c r="I1769" s="2" t="s">
        <v>1482</v>
      </c>
      <c r="J1769" s="2" t="s">
        <v>12433</v>
      </c>
      <c r="K1769" s="2" t="s">
        <v>507</v>
      </c>
      <c r="L1769" s="2" t="n">
        <v>0</v>
      </c>
      <c r="M1769" s="2" t="n">
        <v>0.57</v>
      </c>
    </row>
    <row r="1770" customFormat="false" ht="15" hidden="false" customHeight="false" outlineLevel="0" collapsed="false">
      <c r="A1770" s="2" t="n">
        <v>1768</v>
      </c>
      <c r="B1770" s="2" t="s">
        <v>7574</v>
      </c>
      <c r="C1770" s="2" t="n">
        <v>2</v>
      </c>
      <c r="D1770" s="2" t="n">
        <v>0</v>
      </c>
      <c r="E1770" s="2" t="s">
        <v>7659</v>
      </c>
      <c r="F1770" s="2" t="s">
        <v>176</v>
      </c>
      <c r="G1770" s="2" t="s">
        <v>7660</v>
      </c>
      <c r="H1770" s="2" t="s">
        <v>745</v>
      </c>
      <c r="I1770" s="2" t="s">
        <v>3435</v>
      </c>
      <c r="J1770" s="2" t="s">
        <v>12434</v>
      </c>
      <c r="K1770" s="2" t="s">
        <v>507</v>
      </c>
      <c r="L1770" s="2" t="n">
        <v>0</v>
      </c>
      <c r="M1770" s="2" t="n">
        <v>0.64</v>
      </c>
    </row>
    <row r="1771" customFormat="false" ht="15" hidden="false" customHeight="false" outlineLevel="0" collapsed="false">
      <c r="A1771" s="2" t="n">
        <v>1769</v>
      </c>
      <c r="B1771" s="2" t="s">
        <v>7574</v>
      </c>
      <c r="C1771" s="2" t="n">
        <v>0</v>
      </c>
      <c r="D1771" s="2" t="n">
        <v>0</v>
      </c>
      <c r="E1771" s="2" t="s">
        <v>12435</v>
      </c>
      <c r="F1771" s="2" t="s">
        <v>3347</v>
      </c>
      <c r="G1771" s="2" t="s">
        <v>12436</v>
      </c>
      <c r="H1771" s="2" t="s">
        <v>4313</v>
      </c>
      <c r="I1771" s="2" t="s">
        <v>1261</v>
      </c>
      <c r="J1771" s="2" t="s">
        <v>12437</v>
      </c>
      <c r="K1771" s="2" t="s">
        <v>507</v>
      </c>
      <c r="L1771" s="2" t="n">
        <v>0</v>
      </c>
      <c r="M1771" s="2" t="n">
        <v>0.69</v>
      </c>
    </row>
    <row r="1772" customFormat="false" ht="15" hidden="false" customHeight="false" outlineLevel="0" collapsed="false">
      <c r="A1772" s="2" t="n">
        <v>1770</v>
      </c>
      <c r="B1772" s="2" t="s">
        <v>7664</v>
      </c>
      <c r="C1772" s="2" t="n">
        <v>0</v>
      </c>
      <c r="D1772" s="2" t="n">
        <v>0</v>
      </c>
      <c r="E1772" s="2" t="s">
        <v>12438</v>
      </c>
      <c r="F1772" s="2" t="s">
        <v>3347</v>
      </c>
      <c r="G1772" s="2" t="s">
        <v>12439</v>
      </c>
      <c r="H1772" s="2" t="s">
        <v>12440</v>
      </c>
      <c r="I1772" s="2" t="s">
        <v>1509</v>
      </c>
      <c r="J1772" s="2" t="s">
        <v>12441</v>
      </c>
      <c r="K1772" s="2" t="s">
        <v>507</v>
      </c>
      <c r="L1772" s="2" t="n">
        <v>0</v>
      </c>
      <c r="M1772" s="2" t="n">
        <v>0.75</v>
      </c>
    </row>
    <row r="1773" customFormat="false" ht="15" hidden="false" customHeight="false" outlineLevel="0" collapsed="false">
      <c r="A1773" s="2" t="n">
        <v>1771</v>
      </c>
      <c r="B1773" s="2" t="s">
        <v>7664</v>
      </c>
      <c r="C1773" s="2" t="n">
        <v>0</v>
      </c>
      <c r="D1773" s="2" t="n">
        <v>0</v>
      </c>
      <c r="E1773" s="2" t="s">
        <v>12442</v>
      </c>
      <c r="F1773" s="2" t="s">
        <v>6026</v>
      </c>
      <c r="G1773" s="2" t="s">
        <v>12443</v>
      </c>
      <c r="H1773" s="2" t="s">
        <v>7640</v>
      </c>
      <c r="I1773" s="2" t="s">
        <v>1810</v>
      </c>
      <c r="J1773" s="2" t="s">
        <v>12444</v>
      </c>
      <c r="K1773" s="2" t="s">
        <v>507</v>
      </c>
      <c r="L1773" s="2" t="n">
        <v>0</v>
      </c>
      <c r="M1773" s="2" t="n">
        <v>0.8</v>
      </c>
    </row>
    <row r="1774" customFormat="false" ht="15" hidden="false" customHeight="false" outlineLevel="0" collapsed="false">
      <c r="A1774" s="2" t="n">
        <v>1772</v>
      </c>
      <c r="B1774" s="2" t="s">
        <v>7664</v>
      </c>
      <c r="C1774" s="2" t="n">
        <v>1</v>
      </c>
      <c r="D1774" s="2" t="n">
        <v>1</v>
      </c>
      <c r="E1774" s="2" t="s">
        <v>7670</v>
      </c>
      <c r="F1774" s="2" t="s">
        <v>3479</v>
      </c>
      <c r="G1774" s="2" t="s">
        <v>7671</v>
      </c>
      <c r="H1774" s="2" t="s">
        <v>4313</v>
      </c>
      <c r="I1774" s="2" t="s">
        <v>512</v>
      </c>
      <c r="J1774" s="2" t="s">
        <v>12445</v>
      </c>
      <c r="K1774" s="2" t="s">
        <v>507</v>
      </c>
      <c r="L1774" s="2" t="n">
        <v>0</v>
      </c>
      <c r="M1774" s="2" t="n">
        <v>1</v>
      </c>
    </row>
    <row r="1775" customFormat="false" ht="15" hidden="false" customHeight="false" outlineLevel="0" collapsed="false">
      <c r="A1775" s="2" t="n">
        <v>1773</v>
      </c>
      <c r="B1775" s="2" t="s">
        <v>7664</v>
      </c>
      <c r="C1775" s="2" t="n">
        <v>0</v>
      </c>
      <c r="D1775" s="2" t="n">
        <v>0</v>
      </c>
      <c r="E1775" s="2" t="s">
        <v>12446</v>
      </c>
      <c r="F1775" s="2" t="s">
        <v>8623</v>
      </c>
      <c r="G1775" s="2" t="s">
        <v>12447</v>
      </c>
      <c r="H1775" s="2" t="s">
        <v>745</v>
      </c>
      <c r="I1775" s="2" t="s">
        <v>2162</v>
      </c>
      <c r="J1775" s="2" t="s">
        <v>12448</v>
      </c>
      <c r="K1775" s="2" t="s">
        <v>507</v>
      </c>
      <c r="L1775" s="2" t="n">
        <v>0</v>
      </c>
      <c r="M1775" s="2" t="n">
        <v>0.91</v>
      </c>
    </row>
    <row r="1776" customFormat="false" ht="15" hidden="false" customHeight="false" outlineLevel="0" collapsed="false">
      <c r="A1776" s="2" t="n">
        <v>1774</v>
      </c>
      <c r="B1776" s="2" t="s">
        <v>7664</v>
      </c>
      <c r="C1776" s="2" t="n">
        <v>1</v>
      </c>
      <c r="D1776" s="2" t="n">
        <v>1</v>
      </c>
      <c r="E1776" s="2" t="s">
        <v>7674</v>
      </c>
      <c r="F1776" s="2" t="s">
        <v>3573</v>
      </c>
      <c r="G1776" s="2" t="s">
        <v>7675</v>
      </c>
      <c r="H1776" s="2" t="s">
        <v>745</v>
      </c>
      <c r="I1776" s="2" t="s">
        <v>828</v>
      </c>
      <c r="J1776" s="2" t="s">
        <v>12449</v>
      </c>
      <c r="K1776" s="2" t="s">
        <v>507</v>
      </c>
      <c r="L1776" s="2" t="n">
        <v>0</v>
      </c>
      <c r="M1776" s="2" t="n">
        <v>0.78</v>
      </c>
    </row>
    <row r="1777" customFormat="false" ht="15" hidden="false" customHeight="false" outlineLevel="0" collapsed="false">
      <c r="A1777" s="2" t="n">
        <v>1775</v>
      </c>
      <c r="B1777" s="2" t="s">
        <v>7664</v>
      </c>
      <c r="C1777" s="2" t="n">
        <v>1</v>
      </c>
      <c r="D1777" s="2" t="n">
        <v>0</v>
      </c>
      <c r="E1777" s="2" t="s">
        <v>7679</v>
      </c>
      <c r="F1777" s="2" t="s">
        <v>536</v>
      </c>
      <c r="G1777" s="2" t="s">
        <v>7680</v>
      </c>
      <c r="H1777" s="2" t="s">
        <v>745</v>
      </c>
      <c r="I1777" s="2" t="s">
        <v>1810</v>
      </c>
      <c r="J1777" s="2" t="s">
        <v>12450</v>
      </c>
      <c r="K1777" s="2" t="s">
        <v>507</v>
      </c>
      <c r="L1777" s="2" t="n">
        <v>0</v>
      </c>
      <c r="M1777" s="2" t="n">
        <v>1</v>
      </c>
    </row>
    <row r="1778" customFormat="false" ht="15" hidden="false" customHeight="false" outlineLevel="0" collapsed="false">
      <c r="A1778" s="2" t="n">
        <v>1776</v>
      </c>
      <c r="B1778" s="2" t="s">
        <v>7664</v>
      </c>
      <c r="C1778" s="2" t="n">
        <v>1</v>
      </c>
      <c r="D1778" s="2" t="n">
        <v>0</v>
      </c>
      <c r="E1778" s="2" t="s">
        <v>7685</v>
      </c>
      <c r="F1778" s="2" t="s">
        <v>536</v>
      </c>
      <c r="G1778" s="2" t="s">
        <v>7686</v>
      </c>
      <c r="H1778" s="2" t="s">
        <v>5415</v>
      </c>
      <c r="I1778" s="2" t="s">
        <v>421</v>
      </c>
      <c r="J1778" s="2" t="s">
        <v>12451</v>
      </c>
      <c r="K1778" s="2" t="s">
        <v>507</v>
      </c>
      <c r="L1778" s="2" t="n">
        <v>0</v>
      </c>
      <c r="M1778" s="2" t="n">
        <v>0.78</v>
      </c>
    </row>
    <row r="1779" customFormat="false" ht="15" hidden="false" customHeight="false" outlineLevel="0" collapsed="false">
      <c r="A1779" s="2" t="n">
        <v>1777</v>
      </c>
      <c r="B1779" s="2" t="s">
        <v>7664</v>
      </c>
      <c r="C1779" s="2" t="n">
        <v>0</v>
      </c>
      <c r="D1779" s="2" t="n">
        <v>0</v>
      </c>
      <c r="E1779" s="2" t="s">
        <v>12452</v>
      </c>
      <c r="F1779" s="2" t="s">
        <v>3448</v>
      </c>
      <c r="G1779" s="2" t="s">
        <v>12453</v>
      </c>
      <c r="H1779" s="2" t="s">
        <v>745</v>
      </c>
      <c r="I1779" s="2" t="s">
        <v>813</v>
      </c>
      <c r="J1779" s="2" t="s">
        <v>12454</v>
      </c>
      <c r="K1779" s="2" t="s">
        <v>507</v>
      </c>
      <c r="L1779" s="2" t="n">
        <v>0</v>
      </c>
      <c r="M1779" s="2" t="n">
        <v>0.9</v>
      </c>
    </row>
    <row r="1780" customFormat="false" ht="15" hidden="false" customHeight="false" outlineLevel="0" collapsed="false">
      <c r="A1780" s="2" t="n">
        <v>1778</v>
      </c>
      <c r="B1780" s="2" t="s">
        <v>7664</v>
      </c>
      <c r="C1780" s="2" t="n">
        <v>0</v>
      </c>
      <c r="D1780" s="2" t="n">
        <v>0</v>
      </c>
      <c r="E1780" s="2" t="s">
        <v>12455</v>
      </c>
      <c r="F1780" s="2" t="s">
        <v>743</v>
      </c>
      <c r="G1780" s="2" t="s">
        <v>12456</v>
      </c>
      <c r="H1780" s="2" t="s">
        <v>7333</v>
      </c>
      <c r="I1780" s="2" t="s">
        <v>1768</v>
      </c>
      <c r="J1780" s="2" t="s">
        <v>12457</v>
      </c>
      <c r="K1780" s="2" t="s">
        <v>507</v>
      </c>
      <c r="L1780" s="2" t="n">
        <v>0</v>
      </c>
      <c r="M1780" s="2" t="n">
        <v>0.6</v>
      </c>
    </row>
    <row r="1781" customFormat="false" ht="15" hidden="false" customHeight="false" outlineLevel="0" collapsed="false">
      <c r="A1781" s="2" t="n">
        <v>1779</v>
      </c>
      <c r="B1781" s="2" t="s">
        <v>7664</v>
      </c>
      <c r="C1781" s="2" t="n">
        <v>0</v>
      </c>
      <c r="D1781" s="2" t="n">
        <v>0</v>
      </c>
      <c r="E1781" s="2" t="s">
        <v>12458</v>
      </c>
      <c r="F1781" s="2" t="s">
        <v>694</v>
      </c>
      <c r="G1781" s="2" t="s">
        <v>12459</v>
      </c>
      <c r="H1781" s="2" t="s">
        <v>420</v>
      </c>
      <c r="I1781" s="2" t="s">
        <v>1324</v>
      </c>
      <c r="J1781" s="2" t="s">
        <v>12460</v>
      </c>
      <c r="K1781" s="2" t="s">
        <v>507</v>
      </c>
      <c r="L1781" s="2" t="n">
        <v>0.08</v>
      </c>
      <c r="M1781" s="2" t="n">
        <v>0.89</v>
      </c>
    </row>
    <row r="1782" customFormat="false" ht="15" hidden="false" customHeight="false" outlineLevel="0" collapsed="false">
      <c r="A1782" s="2" t="n">
        <v>1780</v>
      </c>
      <c r="B1782" s="2" t="s">
        <v>7664</v>
      </c>
      <c r="C1782" s="2" t="n">
        <v>0</v>
      </c>
      <c r="D1782" s="2" t="n">
        <v>0</v>
      </c>
      <c r="E1782" s="2" t="s">
        <v>12461</v>
      </c>
      <c r="F1782" s="2" t="s">
        <v>3313</v>
      </c>
      <c r="G1782" s="2" t="s">
        <v>12462</v>
      </c>
      <c r="H1782" s="2" t="s">
        <v>3315</v>
      </c>
      <c r="I1782" s="2" t="s">
        <v>6109</v>
      </c>
      <c r="J1782" s="2" t="s">
        <v>12463</v>
      </c>
      <c r="K1782" s="2" t="s">
        <v>507</v>
      </c>
      <c r="L1782" s="2" t="n">
        <v>0</v>
      </c>
      <c r="M1782" s="2" t="n">
        <v>1</v>
      </c>
    </row>
    <row r="1783" customFormat="false" ht="15" hidden="false" customHeight="false" outlineLevel="0" collapsed="false">
      <c r="A1783" s="2" t="n">
        <v>1781</v>
      </c>
      <c r="B1783" s="2" t="s">
        <v>7664</v>
      </c>
      <c r="C1783" s="2" t="n">
        <v>0</v>
      </c>
      <c r="D1783" s="2" t="n">
        <v>0</v>
      </c>
      <c r="E1783" s="2" t="s">
        <v>12464</v>
      </c>
      <c r="F1783" s="2" t="s">
        <v>694</v>
      </c>
      <c r="G1783" s="2" t="s">
        <v>12465</v>
      </c>
      <c r="H1783" s="2" t="s">
        <v>2979</v>
      </c>
      <c r="I1783" s="2" t="s">
        <v>1810</v>
      </c>
      <c r="J1783" s="2" t="s">
        <v>12466</v>
      </c>
      <c r="K1783" s="2" t="s">
        <v>507</v>
      </c>
      <c r="L1783" s="2" t="n">
        <v>0</v>
      </c>
      <c r="M1783" s="2" t="n">
        <v>0.7</v>
      </c>
    </row>
    <row r="1784" customFormat="false" ht="15" hidden="false" customHeight="false" outlineLevel="0" collapsed="false">
      <c r="A1784" s="2" t="n">
        <v>1782</v>
      </c>
      <c r="B1784" s="2" t="s">
        <v>7664</v>
      </c>
      <c r="C1784" s="2" t="n">
        <v>0</v>
      </c>
      <c r="D1784" s="2" t="n">
        <v>0</v>
      </c>
      <c r="E1784" s="2" t="s">
        <v>12467</v>
      </c>
      <c r="F1784" s="2" t="s">
        <v>694</v>
      </c>
      <c r="G1784" s="2" t="s">
        <v>12468</v>
      </c>
      <c r="H1784" s="2" t="s">
        <v>12469</v>
      </c>
      <c r="I1784" s="2" t="s">
        <v>262</v>
      </c>
      <c r="J1784" s="2" t="s">
        <v>12470</v>
      </c>
      <c r="K1784" s="2" t="s">
        <v>507</v>
      </c>
      <c r="L1784" s="2" t="n">
        <v>0.14</v>
      </c>
      <c r="M1784" s="2" t="n">
        <v>0.8</v>
      </c>
    </row>
    <row r="1785" customFormat="false" ht="15" hidden="false" customHeight="false" outlineLevel="0" collapsed="false">
      <c r="A1785" s="2" t="n">
        <v>1783</v>
      </c>
      <c r="B1785" s="2" t="s">
        <v>7664</v>
      </c>
      <c r="C1785" s="2" t="n">
        <v>0</v>
      </c>
      <c r="D1785" s="2" t="n">
        <v>0</v>
      </c>
      <c r="E1785" s="2" t="s">
        <v>12471</v>
      </c>
      <c r="F1785" s="2" t="s">
        <v>694</v>
      </c>
      <c r="G1785" s="2" t="s">
        <v>12472</v>
      </c>
      <c r="H1785" s="2" t="s">
        <v>12469</v>
      </c>
      <c r="I1785" s="2" t="s">
        <v>321</v>
      </c>
      <c r="J1785" s="2" t="s">
        <v>12473</v>
      </c>
      <c r="K1785" s="2" t="s">
        <v>507</v>
      </c>
      <c r="L1785" s="2" t="n">
        <v>0.08</v>
      </c>
      <c r="M1785" s="2" t="n">
        <v>0.73</v>
      </c>
    </row>
    <row r="1786" customFormat="false" ht="15" hidden="false" customHeight="false" outlineLevel="0" collapsed="false">
      <c r="A1786" s="2" t="n">
        <v>1784</v>
      </c>
      <c r="B1786" s="2" t="s">
        <v>7664</v>
      </c>
      <c r="C1786" s="2" t="n">
        <v>0</v>
      </c>
      <c r="D1786" s="2" t="n">
        <v>0</v>
      </c>
      <c r="E1786" s="2" t="s">
        <v>12474</v>
      </c>
      <c r="F1786" s="2" t="s">
        <v>694</v>
      </c>
      <c r="G1786" s="2" t="s">
        <v>12475</v>
      </c>
      <c r="H1786" s="2" t="s">
        <v>12476</v>
      </c>
      <c r="I1786" s="2" t="s">
        <v>7889</v>
      </c>
      <c r="J1786" s="2" t="s">
        <v>12477</v>
      </c>
      <c r="K1786" s="2" t="s">
        <v>507</v>
      </c>
      <c r="L1786" s="2" t="n">
        <v>0.1</v>
      </c>
      <c r="M1786" s="2" t="n">
        <v>0.75</v>
      </c>
    </row>
    <row r="1787" customFormat="false" ht="15" hidden="false" customHeight="false" outlineLevel="0" collapsed="false">
      <c r="A1787" s="2" t="n">
        <v>1785</v>
      </c>
      <c r="B1787" s="2" t="s">
        <v>7664</v>
      </c>
      <c r="C1787" s="2" t="n">
        <v>0</v>
      </c>
      <c r="D1787" s="2" t="n">
        <v>0</v>
      </c>
      <c r="E1787" s="2" t="s">
        <v>12478</v>
      </c>
      <c r="F1787" s="2" t="s">
        <v>694</v>
      </c>
      <c r="G1787" s="2" t="s">
        <v>12479</v>
      </c>
      <c r="H1787" s="2" t="s">
        <v>7695</v>
      </c>
      <c r="I1787" s="2" t="s">
        <v>301</v>
      </c>
      <c r="J1787" s="2" t="s">
        <v>12480</v>
      </c>
      <c r="K1787" s="2" t="s">
        <v>507</v>
      </c>
      <c r="L1787" s="2" t="n">
        <v>0</v>
      </c>
      <c r="M1787" s="2" t="n">
        <v>0.56</v>
      </c>
    </row>
    <row r="1788" customFormat="false" ht="15" hidden="false" customHeight="false" outlineLevel="0" collapsed="false">
      <c r="A1788" s="2" t="n">
        <v>1786</v>
      </c>
      <c r="B1788" s="2" t="s">
        <v>7664</v>
      </c>
      <c r="C1788" s="2" t="n">
        <v>0</v>
      </c>
      <c r="D1788" s="2" t="n">
        <v>0</v>
      </c>
      <c r="E1788" s="2" t="s">
        <v>12481</v>
      </c>
      <c r="F1788" s="2" t="s">
        <v>644</v>
      </c>
      <c r="G1788" s="2" t="s">
        <v>12482</v>
      </c>
      <c r="H1788" s="2" t="s">
        <v>12483</v>
      </c>
      <c r="I1788" s="2" t="s">
        <v>7889</v>
      </c>
      <c r="J1788" s="2" t="s">
        <v>12484</v>
      </c>
      <c r="K1788" s="2" t="s">
        <v>507</v>
      </c>
      <c r="L1788" s="2" t="n">
        <v>0.08</v>
      </c>
      <c r="M1788" s="2" t="n">
        <v>0.55</v>
      </c>
    </row>
    <row r="1789" customFormat="false" ht="15" hidden="false" customHeight="false" outlineLevel="0" collapsed="false">
      <c r="A1789" s="2" t="n">
        <v>1787</v>
      </c>
      <c r="B1789" s="2" t="s">
        <v>7664</v>
      </c>
      <c r="C1789" s="2" t="n">
        <v>0</v>
      </c>
      <c r="D1789" s="2" t="n">
        <v>0</v>
      </c>
      <c r="E1789" s="2" t="s">
        <v>12485</v>
      </c>
      <c r="F1789" s="2" t="s">
        <v>694</v>
      </c>
      <c r="G1789" s="2" t="s">
        <v>12486</v>
      </c>
      <c r="H1789" s="2" t="s">
        <v>12487</v>
      </c>
      <c r="I1789" s="2" t="s">
        <v>538</v>
      </c>
      <c r="J1789" s="2" t="s">
        <v>12488</v>
      </c>
      <c r="K1789" s="2" t="s">
        <v>507</v>
      </c>
      <c r="L1789" s="2" t="n">
        <v>0.12</v>
      </c>
      <c r="M1789" s="2" t="n">
        <v>0.89</v>
      </c>
    </row>
    <row r="1790" customFormat="false" ht="15" hidden="false" customHeight="false" outlineLevel="0" collapsed="false">
      <c r="A1790" s="2" t="n">
        <v>1788</v>
      </c>
      <c r="B1790" s="2" t="s">
        <v>7664</v>
      </c>
      <c r="C1790" s="2" t="n">
        <v>0</v>
      </c>
      <c r="D1790" s="2" t="n">
        <v>0</v>
      </c>
      <c r="E1790" s="2" t="s">
        <v>12489</v>
      </c>
      <c r="F1790" s="2" t="s">
        <v>12490</v>
      </c>
      <c r="G1790" s="2" t="s">
        <v>12491</v>
      </c>
      <c r="H1790" s="2" t="s">
        <v>3212</v>
      </c>
      <c r="I1790" s="2" t="s">
        <v>7581</v>
      </c>
      <c r="J1790" s="2" t="s">
        <v>12492</v>
      </c>
      <c r="K1790" s="2" t="s">
        <v>507</v>
      </c>
      <c r="L1790" s="2" t="n">
        <v>0.09</v>
      </c>
      <c r="M1790" s="2" t="n">
        <v>0.89</v>
      </c>
    </row>
    <row r="1791" customFormat="false" ht="15" hidden="false" customHeight="false" outlineLevel="0" collapsed="false">
      <c r="A1791" s="2" t="n">
        <v>1789</v>
      </c>
      <c r="B1791" s="2" t="s">
        <v>7664</v>
      </c>
      <c r="C1791" s="2" t="n">
        <v>0</v>
      </c>
      <c r="D1791" s="2" t="n">
        <v>0</v>
      </c>
      <c r="E1791" s="2" t="s">
        <v>12493</v>
      </c>
      <c r="F1791" s="2" t="s">
        <v>694</v>
      </c>
      <c r="G1791" s="2" t="s">
        <v>12494</v>
      </c>
      <c r="H1791" s="2" t="s">
        <v>2214</v>
      </c>
      <c r="I1791" s="2" t="s">
        <v>1735</v>
      </c>
      <c r="J1791" s="2" t="s">
        <v>12495</v>
      </c>
      <c r="K1791" s="2" t="s">
        <v>507</v>
      </c>
      <c r="L1791" s="2" t="n">
        <v>0.09</v>
      </c>
      <c r="M1791" s="2" t="n">
        <v>0.7</v>
      </c>
    </row>
    <row r="1792" customFormat="false" ht="15" hidden="false" customHeight="false" outlineLevel="0" collapsed="false">
      <c r="A1792" s="2" t="n">
        <v>1790</v>
      </c>
      <c r="B1792" s="2" t="s">
        <v>7664</v>
      </c>
      <c r="C1792" s="2" t="n">
        <v>3</v>
      </c>
      <c r="D1792" s="2" t="n">
        <v>0</v>
      </c>
      <c r="E1792" s="2" t="s">
        <v>7693</v>
      </c>
      <c r="F1792" s="2" t="s">
        <v>176</v>
      </c>
      <c r="G1792" s="2" t="s">
        <v>7694</v>
      </c>
      <c r="H1792" s="2" t="s">
        <v>7695</v>
      </c>
      <c r="I1792" s="2" t="s">
        <v>344</v>
      </c>
      <c r="J1792" s="2" t="s">
        <v>12496</v>
      </c>
      <c r="K1792" s="2" t="s">
        <v>507</v>
      </c>
      <c r="L1792" s="2" t="n">
        <v>0</v>
      </c>
      <c r="M1792" s="2" t="n">
        <v>0.73</v>
      </c>
    </row>
    <row r="1793" customFormat="false" ht="15" hidden="false" customHeight="false" outlineLevel="0" collapsed="false">
      <c r="A1793" s="2" t="n">
        <v>1791</v>
      </c>
      <c r="B1793" s="2" t="s">
        <v>7664</v>
      </c>
      <c r="C1793" s="2" t="n">
        <v>2</v>
      </c>
      <c r="D1793" s="2" t="n">
        <v>0</v>
      </c>
      <c r="E1793" s="2" t="s">
        <v>7709</v>
      </c>
      <c r="F1793" s="2" t="s">
        <v>418</v>
      </c>
      <c r="G1793" s="2" t="s">
        <v>7710</v>
      </c>
      <c r="H1793" s="2" t="s">
        <v>7695</v>
      </c>
      <c r="I1793" s="2" t="s">
        <v>1574</v>
      </c>
      <c r="J1793" s="2" t="s">
        <v>12497</v>
      </c>
      <c r="K1793" s="2" t="s">
        <v>507</v>
      </c>
      <c r="L1793" s="2" t="n">
        <v>0.15</v>
      </c>
      <c r="M1793" s="2" t="n">
        <v>0.86</v>
      </c>
    </row>
    <row r="1794" customFormat="false" ht="15" hidden="false" customHeight="false" outlineLevel="0" collapsed="false">
      <c r="A1794" s="2" t="n">
        <v>1792</v>
      </c>
      <c r="B1794" s="2" t="s">
        <v>7664</v>
      </c>
      <c r="C1794" s="2" t="n">
        <v>0</v>
      </c>
      <c r="D1794" s="2" t="n">
        <v>0</v>
      </c>
      <c r="E1794" s="2" t="s">
        <v>12498</v>
      </c>
      <c r="F1794" s="2" t="s">
        <v>2212</v>
      </c>
      <c r="G1794" s="2" t="s">
        <v>12499</v>
      </c>
      <c r="H1794" s="2" t="s">
        <v>582</v>
      </c>
      <c r="I1794" s="2" t="s">
        <v>3888</v>
      </c>
      <c r="J1794" s="2" t="s">
        <v>12500</v>
      </c>
      <c r="K1794" s="2" t="s">
        <v>507</v>
      </c>
      <c r="L1794" s="2" t="n">
        <v>0.17</v>
      </c>
      <c r="M1794" s="2" t="n">
        <v>0.86</v>
      </c>
    </row>
    <row r="1795" customFormat="false" ht="15" hidden="false" customHeight="false" outlineLevel="0" collapsed="false">
      <c r="A1795" s="2" t="n">
        <v>1793</v>
      </c>
      <c r="B1795" s="2" t="s">
        <v>7664</v>
      </c>
      <c r="C1795" s="2" t="n">
        <v>3</v>
      </c>
      <c r="D1795" s="2" t="n">
        <v>0</v>
      </c>
      <c r="E1795" s="2" t="s">
        <v>7717</v>
      </c>
      <c r="F1795" s="2" t="s">
        <v>1144</v>
      </c>
      <c r="G1795" s="2" t="s">
        <v>7718</v>
      </c>
      <c r="H1795" s="2" t="s">
        <v>97</v>
      </c>
      <c r="I1795" s="2" t="s">
        <v>3023</v>
      </c>
      <c r="J1795" s="2" t="s">
        <v>12501</v>
      </c>
      <c r="K1795" s="2" t="s">
        <v>507</v>
      </c>
      <c r="L1795" s="2" t="n">
        <v>0</v>
      </c>
      <c r="M1795" s="2" t="n">
        <v>0.89</v>
      </c>
    </row>
    <row r="1796" customFormat="false" ht="15" hidden="false" customHeight="false" outlineLevel="0" collapsed="false">
      <c r="A1796" s="2" t="n">
        <v>1794</v>
      </c>
      <c r="B1796" s="2" t="s">
        <v>7664</v>
      </c>
      <c r="C1796" s="2" t="n">
        <v>1</v>
      </c>
      <c r="D1796" s="2" t="n">
        <v>0</v>
      </c>
      <c r="E1796" s="2" t="s">
        <v>7732</v>
      </c>
      <c r="F1796" s="2" t="s">
        <v>7733</v>
      </c>
      <c r="G1796" s="2" t="s">
        <v>7734</v>
      </c>
      <c r="H1796" s="2" t="s">
        <v>582</v>
      </c>
      <c r="I1796" s="2" t="s">
        <v>768</v>
      </c>
      <c r="J1796" s="2" t="s">
        <v>12502</v>
      </c>
      <c r="K1796" s="2" t="s">
        <v>507</v>
      </c>
      <c r="L1796" s="2" t="n">
        <v>0</v>
      </c>
      <c r="M1796" s="2" t="n">
        <v>1</v>
      </c>
    </row>
    <row r="1797" customFormat="false" ht="15" hidden="false" customHeight="false" outlineLevel="0" collapsed="false">
      <c r="A1797" s="2" t="n">
        <v>1795</v>
      </c>
      <c r="B1797" s="2" t="s">
        <v>7664</v>
      </c>
      <c r="C1797" s="2" t="n">
        <v>3</v>
      </c>
      <c r="D1797" s="2" t="n">
        <v>0</v>
      </c>
      <c r="E1797" s="2" t="s">
        <v>7740</v>
      </c>
      <c r="F1797" s="2" t="s">
        <v>112</v>
      </c>
      <c r="G1797" s="2" t="s">
        <v>7741</v>
      </c>
      <c r="H1797" s="2" t="s">
        <v>97</v>
      </c>
      <c r="I1797" s="2" t="s">
        <v>3506</v>
      </c>
      <c r="J1797" s="2" t="s">
        <v>12503</v>
      </c>
      <c r="K1797" s="2" t="s">
        <v>160</v>
      </c>
      <c r="L1797" s="2" t="n">
        <v>0.43</v>
      </c>
      <c r="M1797" s="2" t="n">
        <v>1</v>
      </c>
    </row>
    <row r="1798" customFormat="false" ht="15" hidden="false" customHeight="false" outlineLevel="0" collapsed="false">
      <c r="A1798" s="2" t="n">
        <v>1796</v>
      </c>
      <c r="B1798" s="2" t="s">
        <v>7664</v>
      </c>
      <c r="C1798" s="2" t="n">
        <v>3</v>
      </c>
      <c r="D1798" s="2" t="n">
        <v>0</v>
      </c>
      <c r="E1798" s="2" t="s">
        <v>7751</v>
      </c>
      <c r="F1798" s="2" t="s">
        <v>64</v>
      </c>
      <c r="G1798" s="2" t="s">
        <v>7752</v>
      </c>
      <c r="H1798" s="2" t="s">
        <v>582</v>
      </c>
      <c r="I1798" s="2" t="s">
        <v>1045</v>
      </c>
      <c r="J1798" s="2" t="s">
        <v>12504</v>
      </c>
      <c r="K1798" s="2" t="s">
        <v>507</v>
      </c>
      <c r="L1798" s="2" t="n">
        <v>0</v>
      </c>
      <c r="M1798" s="2" t="n">
        <v>0.45</v>
      </c>
    </row>
    <row r="1799" customFormat="false" ht="15" hidden="false" customHeight="false" outlineLevel="0" collapsed="false">
      <c r="A1799" s="2" t="n">
        <v>1797</v>
      </c>
      <c r="B1799" s="2" t="s">
        <v>7664</v>
      </c>
      <c r="C1799" s="2" t="n">
        <v>5</v>
      </c>
      <c r="D1799" s="2" t="n">
        <v>0</v>
      </c>
      <c r="E1799" s="2" t="s">
        <v>7761</v>
      </c>
      <c r="F1799" s="2" t="s">
        <v>176</v>
      </c>
      <c r="G1799" s="2" t="s">
        <v>7762</v>
      </c>
      <c r="H1799" s="2" t="s">
        <v>420</v>
      </c>
      <c r="I1799" s="2" t="s">
        <v>271</v>
      </c>
      <c r="J1799" s="2" t="s">
        <v>12505</v>
      </c>
      <c r="K1799" s="2" t="s">
        <v>507</v>
      </c>
      <c r="L1799" s="2" t="n">
        <v>0</v>
      </c>
      <c r="M1799" s="2" t="n">
        <v>0.42</v>
      </c>
    </row>
    <row r="1800" customFormat="false" ht="15" hidden="false" customHeight="false" outlineLevel="0" collapsed="false">
      <c r="A1800" s="2" t="n">
        <v>1798</v>
      </c>
      <c r="B1800" s="2" t="s">
        <v>7664</v>
      </c>
      <c r="C1800" s="2" t="n">
        <v>2</v>
      </c>
      <c r="D1800" s="2" t="n">
        <v>0</v>
      </c>
      <c r="E1800" s="2" t="s">
        <v>7775</v>
      </c>
      <c r="F1800" s="2" t="s">
        <v>112</v>
      </c>
      <c r="G1800" s="2" t="s">
        <v>7776</v>
      </c>
      <c r="H1800" s="2" t="s">
        <v>7777</v>
      </c>
      <c r="I1800" s="2" t="s">
        <v>421</v>
      </c>
      <c r="J1800" s="2" t="s">
        <v>12506</v>
      </c>
      <c r="K1800" s="2" t="s">
        <v>507</v>
      </c>
      <c r="L1800" s="2" t="n">
        <v>0.11</v>
      </c>
      <c r="M1800" s="2" t="n">
        <v>1</v>
      </c>
    </row>
    <row r="1801" customFormat="false" ht="15" hidden="false" customHeight="false" outlineLevel="0" collapsed="false">
      <c r="A1801" s="2" t="n">
        <v>1799</v>
      </c>
      <c r="B1801" s="2" t="s">
        <v>7664</v>
      </c>
      <c r="C1801" s="2" t="n">
        <v>2</v>
      </c>
      <c r="D1801" s="2" t="n">
        <v>0</v>
      </c>
      <c r="E1801" s="2" t="s">
        <v>7783</v>
      </c>
      <c r="F1801" s="2" t="s">
        <v>112</v>
      </c>
      <c r="G1801" s="2" t="s">
        <v>7784</v>
      </c>
      <c r="H1801" s="2" t="s">
        <v>2345</v>
      </c>
      <c r="I1801" s="2" t="s">
        <v>370</v>
      </c>
      <c r="J1801" s="2" t="s">
        <v>12507</v>
      </c>
      <c r="K1801" s="2" t="s">
        <v>507</v>
      </c>
      <c r="L1801" s="2" t="n">
        <v>0</v>
      </c>
      <c r="M1801" s="2" t="n">
        <v>1</v>
      </c>
    </row>
    <row r="1802" customFormat="false" ht="15" hidden="false" customHeight="false" outlineLevel="0" collapsed="false">
      <c r="A1802" s="2" t="n">
        <v>1800</v>
      </c>
      <c r="B1802" s="2" t="s">
        <v>7788</v>
      </c>
      <c r="C1802" s="2" t="n">
        <v>1</v>
      </c>
      <c r="D1802" s="2" t="n">
        <v>0</v>
      </c>
      <c r="E1802" s="2" t="s">
        <v>7792</v>
      </c>
      <c r="F1802" s="2" t="s">
        <v>176</v>
      </c>
      <c r="G1802" s="2" t="s">
        <v>7793</v>
      </c>
      <c r="H1802" s="2" t="s">
        <v>7794</v>
      </c>
      <c r="I1802" s="2" t="s">
        <v>2158</v>
      </c>
      <c r="J1802" s="2" t="s">
        <v>12508</v>
      </c>
      <c r="K1802" s="2" t="s">
        <v>507</v>
      </c>
      <c r="L1802" s="2" t="n">
        <v>0.08</v>
      </c>
      <c r="M1802" s="2" t="n">
        <v>0.54</v>
      </c>
    </row>
    <row r="1803" customFormat="false" ht="15" hidden="false" customHeight="false" outlineLevel="0" collapsed="false">
      <c r="A1803" s="2" t="n">
        <v>1801</v>
      </c>
      <c r="B1803" s="2" t="s">
        <v>7788</v>
      </c>
      <c r="C1803" s="2" t="n">
        <v>3</v>
      </c>
      <c r="D1803" s="2" t="n">
        <v>0</v>
      </c>
      <c r="E1803" s="2" t="s">
        <v>7798</v>
      </c>
      <c r="F1803" s="2" t="s">
        <v>64</v>
      </c>
      <c r="G1803" s="2" t="s">
        <v>7799</v>
      </c>
      <c r="H1803" s="2" t="s">
        <v>7800</v>
      </c>
      <c r="I1803" s="2" t="s">
        <v>421</v>
      </c>
      <c r="J1803" s="2" t="s">
        <v>12509</v>
      </c>
      <c r="K1803" s="2" t="s">
        <v>507</v>
      </c>
      <c r="L1803" s="2" t="n">
        <v>0</v>
      </c>
      <c r="M1803" s="2" t="n">
        <v>0.7</v>
      </c>
    </row>
    <row r="1804" customFormat="false" ht="15" hidden="false" customHeight="false" outlineLevel="0" collapsed="false">
      <c r="A1804" s="2" t="n">
        <v>1802</v>
      </c>
      <c r="B1804" s="2" t="s">
        <v>7788</v>
      </c>
      <c r="C1804" s="2" t="n">
        <v>1</v>
      </c>
      <c r="D1804" s="2" t="n">
        <v>0</v>
      </c>
      <c r="E1804" s="2" t="s">
        <v>7811</v>
      </c>
      <c r="F1804" s="2" t="s">
        <v>176</v>
      </c>
      <c r="G1804" s="2" t="s">
        <v>7812</v>
      </c>
      <c r="H1804" s="2" t="s">
        <v>7813</v>
      </c>
      <c r="I1804" s="2" t="s">
        <v>3169</v>
      </c>
      <c r="J1804" s="2" t="s">
        <v>12510</v>
      </c>
      <c r="K1804" s="2" t="s">
        <v>507</v>
      </c>
      <c r="L1804" s="2" t="n">
        <v>0</v>
      </c>
      <c r="M1804" s="2" t="n">
        <v>0.38</v>
      </c>
    </row>
    <row r="1805" customFormat="false" ht="15" hidden="false" customHeight="false" outlineLevel="0" collapsed="false">
      <c r="A1805" s="2" t="n">
        <v>1803</v>
      </c>
      <c r="B1805" s="2" t="s">
        <v>7788</v>
      </c>
      <c r="C1805" s="2" t="n">
        <v>0</v>
      </c>
      <c r="D1805" s="2" t="n">
        <v>0</v>
      </c>
      <c r="E1805" s="2" t="s">
        <v>12511</v>
      </c>
      <c r="F1805" s="2" t="s">
        <v>64</v>
      </c>
      <c r="G1805" s="2" t="s">
        <v>12512</v>
      </c>
      <c r="H1805" s="2" t="s">
        <v>420</v>
      </c>
      <c r="I1805" s="2" t="s">
        <v>301</v>
      </c>
      <c r="J1805" s="2" t="s">
        <v>12513</v>
      </c>
      <c r="K1805" s="2" t="s">
        <v>507</v>
      </c>
      <c r="L1805" s="2" t="n">
        <v>0</v>
      </c>
      <c r="M1805" s="2" t="n">
        <v>0.18</v>
      </c>
    </row>
    <row r="1806" customFormat="false" ht="15" hidden="false" customHeight="false" outlineLevel="0" collapsed="false">
      <c r="A1806" s="2" t="n">
        <v>1804</v>
      </c>
      <c r="B1806" s="2" t="s">
        <v>7788</v>
      </c>
      <c r="C1806" s="2" t="n">
        <v>1</v>
      </c>
      <c r="D1806" s="2" t="n">
        <v>0</v>
      </c>
      <c r="E1806" s="2" t="s">
        <v>7816</v>
      </c>
      <c r="F1806" s="2" t="s">
        <v>963</v>
      </c>
      <c r="G1806" s="2" t="s">
        <v>7817</v>
      </c>
      <c r="H1806" s="2" t="s">
        <v>2214</v>
      </c>
      <c r="I1806" s="2" t="s">
        <v>3744</v>
      </c>
      <c r="J1806" s="2" t="s">
        <v>12514</v>
      </c>
      <c r="K1806" s="2" t="s">
        <v>507</v>
      </c>
      <c r="L1806" s="2" t="n">
        <v>0</v>
      </c>
      <c r="M1806" s="2" t="n">
        <v>0.82</v>
      </c>
    </row>
    <row r="1807" customFormat="false" ht="15" hidden="false" customHeight="false" outlineLevel="0" collapsed="false">
      <c r="A1807" s="2" t="n">
        <v>1805</v>
      </c>
      <c r="B1807" s="2" t="s">
        <v>7788</v>
      </c>
      <c r="C1807" s="2" t="n">
        <v>4</v>
      </c>
      <c r="D1807" s="2" t="n">
        <v>0</v>
      </c>
      <c r="E1807" s="2" t="s">
        <v>7821</v>
      </c>
      <c r="F1807" s="2" t="s">
        <v>1023</v>
      </c>
      <c r="G1807" s="2" t="s">
        <v>7822</v>
      </c>
      <c r="H1807" s="2" t="s">
        <v>7823</v>
      </c>
      <c r="I1807" s="2" t="s">
        <v>3398</v>
      </c>
      <c r="J1807" s="2" t="s">
        <v>12515</v>
      </c>
      <c r="K1807" s="2" t="s">
        <v>507</v>
      </c>
      <c r="L1807" s="2" t="n">
        <v>0</v>
      </c>
      <c r="M1807" s="2" t="n">
        <v>0.88</v>
      </c>
    </row>
    <row r="1808" customFormat="false" ht="15" hidden="false" customHeight="false" outlineLevel="0" collapsed="false">
      <c r="A1808" s="2" t="n">
        <v>1806</v>
      </c>
      <c r="B1808" s="2" t="s">
        <v>7788</v>
      </c>
      <c r="C1808" s="2" t="n">
        <v>0</v>
      </c>
      <c r="D1808" s="2" t="n">
        <v>0</v>
      </c>
      <c r="E1808" s="2" t="s">
        <v>12516</v>
      </c>
      <c r="F1808" s="2" t="s">
        <v>176</v>
      </c>
      <c r="G1808" s="2" t="s">
        <v>12517</v>
      </c>
      <c r="H1808" s="2" t="s">
        <v>3517</v>
      </c>
      <c r="I1808" s="2" t="s">
        <v>795</v>
      </c>
      <c r="J1808" s="2" t="s">
        <v>12518</v>
      </c>
      <c r="K1808" s="2" t="s">
        <v>507</v>
      </c>
      <c r="L1808" s="2" t="n">
        <v>0</v>
      </c>
      <c r="M1808" s="2" t="n">
        <v>0.58</v>
      </c>
    </row>
    <row r="1809" customFormat="false" ht="15" hidden="false" customHeight="false" outlineLevel="0" collapsed="false">
      <c r="A1809" s="2" t="n">
        <v>1807</v>
      </c>
      <c r="B1809" s="2" t="s">
        <v>7788</v>
      </c>
      <c r="C1809" s="2" t="n">
        <v>2</v>
      </c>
      <c r="D1809" s="2" t="n">
        <v>0</v>
      </c>
      <c r="E1809" s="2" t="s">
        <v>7836</v>
      </c>
      <c r="F1809" s="2" t="s">
        <v>243</v>
      </c>
      <c r="G1809" s="2" t="s">
        <v>7837</v>
      </c>
      <c r="H1809" s="2" t="s">
        <v>7838</v>
      </c>
      <c r="I1809" s="2" t="s">
        <v>1113</v>
      </c>
      <c r="J1809" s="2" t="s">
        <v>12519</v>
      </c>
      <c r="K1809" s="2" t="s">
        <v>507</v>
      </c>
      <c r="L1809" s="2" t="n">
        <v>0</v>
      </c>
      <c r="M1809" s="2" t="n">
        <v>0.83</v>
      </c>
    </row>
    <row r="1810" customFormat="false" ht="15" hidden="false" customHeight="false" outlineLevel="0" collapsed="false">
      <c r="A1810" s="2" t="n">
        <v>1808</v>
      </c>
      <c r="B1810" s="2" t="s">
        <v>7788</v>
      </c>
      <c r="C1810" s="2" t="n">
        <v>8</v>
      </c>
      <c r="D1810" s="2" t="n">
        <v>0</v>
      </c>
      <c r="E1810" s="2" t="s">
        <v>7841</v>
      </c>
      <c r="F1810" s="2" t="s">
        <v>915</v>
      </c>
      <c r="G1810" s="2" t="s">
        <v>7842</v>
      </c>
      <c r="H1810" s="2" t="s">
        <v>2926</v>
      </c>
      <c r="I1810" s="2" t="s">
        <v>5557</v>
      </c>
      <c r="J1810" s="2" t="s">
        <v>12520</v>
      </c>
      <c r="K1810" s="2" t="s">
        <v>507</v>
      </c>
      <c r="L1810" s="2" t="n">
        <v>0</v>
      </c>
      <c r="M1810" s="2" t="n">
        <v>0.83</v>
      </c>
    </row>
    <row r="1811" customFormat="false" ht="15" hidden="false" customHeight="false" outlineLevel="0" collapsed="false">
      <c r="A1811" s="2" t="n">
        <v>1809</v>
      </c>
      <c r="B1811" s="2" t="s">
        <v>7788</v>
      </c>
      <c r="C1811" s="2" t="n">
        <v>0</v>
      </c>
      <c r="D1811" s="2" t="n">
        <v>0</v>
      </c>
      <c r="E1811" s="2" t="s">
        <v>12521</v>
      </c>
      <c r="F1811" s="2" t="s">
        <v>963</v>
      </c>
      <c r="G1811" s="2" t="s">
        <v>12522</v>
      </c>
      <c r="H1811" s="2" t="s">
        <v>7800</v>
      </c>
      <c r="I1811" s="2" t="s">
        <v>1261</v>
      </c>
      <c r="J1811" s="2" t="s">
        <v>12523</v>
      </c>
      <c r="K1811" s="2" t="s">
        <v>507</v>
      </c>
      <c r="L1811" s="2" t="n">
        <v>0.11</v>
      </c>
      <c r="M1811" s="2" t="n">
        <v>0.5</v>
      </c>
    </row>
    <row r="1812" customFormat="false" ht="15" hidden="false" customHeight="false" outlineLevel="0" collapsed="false">
      <c r="A1812" s="2" t="n">
        <v>1810</v>
      </c>
      <c r="B1812" s="2" t="s">
        <v>7788</v>
      </c>
      <c r="C1812" s="2" t="n">
        <v>1</v>
      </c>
      <c r="D1812" s="2" t="n">
        <v>0</v>
      </c>
      <c r="E1812" s="2" t="s">
        <v>7863</v>
      </c>
      <c r="F1812" s="2" t="s">
        <v>580</v>
      </c>
      <c r="G1812" s="2" t="s">
        <v>7864</v>
      </c>
      <c r="H1812" s="2" t="s">
        <v>7865</v>
      </c>
      <c r="I1812" s="2" t="s">
        <v>190</v>
      </c>
      <c r="J1812" s="2" t="s">
        <v>12524</v>
      </c>
      <c r="K1812" s="2" t="s">
        <v>507</v>
      </c>
      <c r="L1812" s="2" t="n">
        <v>0</v>
      </c>
      <c r="M1812" s="2" t="n">
        <v>0.62</v>
      </c>
    </row>
    <row r="1813" customFormat="false" ht="15" hidden="false" customHeight="false" outlineLevel="0" collapsed="false">
      <c r="A1813" s="2" t="n">
        <v>1811</v>
      </c>
      <c r="B1813" s="2" t="s">
        <v>7788</v>
      </c>
      <c r="C1813" s="2" t="n">
        <v>1</v>
      </c>
      <c r="D1813" s="2" t="n">
        <v>0</v>
      </c>
      <c r="E1813" s="2" t="s">
        <v>7870</v>
      </c>
      <c r="F1813" s="2" t="s">
        <v>7871</v>
      </c>
      <c r="G1813" s="2" t="s">
        <v>7872</v>
      </c>
      <c r="H1813" s="2" t="s">
        <v>965</v>
      </c>
      <c r="I1813" s="2" t="s">
        <v>2825</v>
      </c>
      <c r="J1813" s="2" t="s">
        <v>12525</v>
      </c>
      <c r="K1813" s="2" t="s">
        <v>507</v>
      </c>
      <c r="L1813" s="2" t="n">
        <v>0.1</v>
      </c>
      <c r="M1813" s="2" t="n">
        <v>0.64</v>
      </c>
    </row>
    <row r="1814" customFormat="false" ht="15" hidden="false" customHeight="false" outlineLevel="0" collapsed="false">
      <c r="A1814" s="2" t="n">
        <v>1812</v>
      </c>
      <c r="B1814" s="2" t="s">
        <v>7788</v>
      </c>
      <c r="C1814" s="2" t="n">
        <v>1</v>
      </c>
      <c r="D1814" s="2" t="n">
        <v>0</v>
      </c>
      <c r="E1814" s="2" t="s">
        <v>7875</v>
      </c>
      <c r="F1814" s="2" t="s">
        <v>915</v>
      </c>
      <c r="G1814" s="2" t="s">
        <v>7876</v>
      </c>
      <c r="H1814" s="2" t="s">
        <v>7877</v>
      </c>
      <c r="I1814" s="2" t="s">
        <v>2825</v>
      </c>
      <c r="J1814" s="2" t="s">
        <v>12526</v>
      </c>
      <c r="K1814" s="2" t="s">
        <v>507</v>
      </c>
      <c r="L1814" s="2" t="n">
        <v>0.1</v>
      </c>
      <c r="M1814" s="2" t="n">
        <v>0.78</v>
      </c>
    </row>
    <row r="1815" customFormat="false" ht="15" hidden="false" customHeight="false" outlineLevel="0" collapsed="false">
      <c r="A1815" s="2" t="n">
        <v>1813</v>
      </c>
      <c r="B1815" s="2" t="s">
        <v>7788</v>
      </c>
      <c r="C1815" s="2" t="n">
        <v>1</v>
      </c>
      <c r="D1815" s="2" t="n">
        <v>0</v>
      </c>
      <c r="E1815" s="2" t="s">
        <v>7880</v>
      </c>
      <c r="F1815" s="2" t="s">
        <v>7871</v>
      </c>
      <c r="G1815" s="2" t="s">
        <v>7881</v>
      </c>
      <c r="H1815" s="2" t="s">
        <v>7882</v>
      </c>
      <c r="I1815" s="2" t="s">
        <v>1306</v>
      </c>
      <c r="J1815" s="2" t="s">
        <v>12527</v>
      </c>
      <c r="K1815" s="2" t="s">
        <v>507</v>
      </c>
      <c r="L1815" s="2" t="n">
        <v>0.25</v>
      </c>
      <c r="M1815" s="2" t="n">
        <v>0.62</v>
      </c>
    </row>
    <row r="1816" customFormat="false" ht="15" hidden="false" customHeight="false" outlineLevel="0" collapsed="false">
      <c r="A1816" s="2" t="n">
        <v>1814</v>
      </c>
      <c r="B1816" s="2" t="s">
        <v>7788</v>
      </c>
      <c r="C1816" s="2" t="n">
        <v>1</v>
      </c>
      <c r="D1816" s="2" t="n">
        <v>0</v>
      </c>
      <c r="E1816" s="2" t="s">
        <v>7886</v>
      </c>
      <c r="F1816" s="2" t="s">
        <v>963</v>
      </c>
      <c r="G1816" s="2" t="s">
        <v>7887</v>
      </c>
      <c r="H1816" s="2" t="s">
        <v>7888</v>
      </c>
      <c r="I1816" s="2" t="s">
        <v>7889</v>
      </c>
      <c r="J1816" s="2" t="s">
        <v>12528</v>
      </c>
      <c r="K1816" s="2" t="s">
        <v>507</v>
      </c>
      <c r="L1816" s="2" t="n">
        <v>0</v>
      </c>
      <c r="M1816" s="2" t="n">
        <v>0.77</v>
      </c>
    </row>
    <row r="1817" customFormat="false" ht="15" hidden="false" customHeight="false" outlineLevel="0" collapsed="false">
      <c r="A1817" s="2" t="n">
        <v>1815</v>
      </c>
      <c r="B1817" s="2" t="s">
        <v>7788</v>
      </c>
      <c r="C1817" s="2" t="n">
        <v>1</v>
      </c>
      <c r="D1817" s="2" t="n">
        <v>1</v>
      </c>
      <c r="E1817" s="2" t="s">
        <v>7894</v>
      </c>
      <c r="F1817" s="2" t="s">
        <v>694</v>
      </c>
      <c r="G1817" s="2" t="s">
        <v>7895</v>
      </c>
      <c r="H1817" s="2" t="s">
        <v>7896</v>
      </c>
      <c r="I1817" s="2" t="s">
        <v>918</v>
      </c>
      <c r="J1817" s="2" t="s">
        <v>12529</v>
      </c>
      <c r="K1817" s="2" t="s">
        <v>507</v>
      </c>
      <c r="L1817" s="2" t="n">
        <v>0.06</v>
      </c>
      <c r="M1817" s="2" t="n">
        <v>0.9</v>
      </c>
    </row>
    <row r="1818" customFormat="false" ht="15" hidden="false" customHeight="false" outlineLevel="0" collapsed="false">
      <c r="A1818" s="2" t="n">
        <v>1816</v>
      </c>
      <c r="B1818" s="2" t="s">
        <v>7788</v>
      </c>
      <c r="C1818" s="2" t="n">
        <v>0</v>
      </c>
      <c r="D1818" s="2" t="n">
        <v>0</v>
      </c>
      <c r="E1818" s="2" t="s">
        <v>12530</v>
      </c>
      <c r="F1818" s="2" t="s">
        <v>12531</v>
      </c>
      <c r="G1818" s="2" t="s">
        <v>12532</v>
      </c>
      <c r="H1818" s="2" t="s">
        <v>12533</v>
      </c>
      <c r="I1818" s="2" t="s">
        <v>2013</v>
      </c>
      <c r="J1818" s="2" t="s">
        <v>12534</v>
      </c>
      <c r="K1818" s="2" t="s">
        <v>507</v>
      </c>
      <c r="L1818" s="2" t="n">
        <v>0.1</v>
      </c>
      <c r="M1818" s="2" t="n">
        <v>0.56</v>
      </c>
    </row>
    <row r="1819" customFormat="false" ht="15" hidden="false" customHeight="false" outlineLevel="0" collapsed="false">
      <c r="A1819" s="2" t="n">
        <v>1817</v>
      </c>
      <c r="B1819" s="2" t="s">
        <v>7788</v>
      </c>
      <c r="C1819" s="2" t="n">
        <v>1</v>
      </c>
      <c r="D1819" s="2" t="n">
        <v>0</v>
      </c>
      <c r="E1819" s="2" t="s">
        <v>7898</v>
      </c>
      <c r="F1819" s="2" t="s">
        <v>743</v>
      </c>
      <c r="G1819" s="2" t="s">
        <v>7899</v>
      </c>
      <c r="H1819" s="2" t="s">
        <v>7900</v>
      </c>
      <c r="I1819" s="2" t="s">
        <v>2399</v>
      </c>
      <c r="J1819" s="2" t="s">
        <v>12535</v>
      </c>
      <c r="K1819" s="2" t="s">
        <v>507</v>
      </c>
      <c r="L1819" s="2" t="n">
        <v>0</v>
      </c>
      <c r="M1819" s="2" t="n">
        <v>0.5</v>
      </c>
    </row>
    <row r="1820" customFormat="false" ht="15" hidden="false" customHeight="false" outlineLevel="0" collapsed="false">
      <c r="A1820" s="2" t="n">
        <v>1818</v>
      </c>
      <c r="B1820" s="2" t="s">
        <v>7788</v>
      </c>
      <c r="C1820" s="2" t="n">
        <v>2</v>
      </c>
      <c r="D1820" s="2" t="n">
        <v>0</v>
      </c>
      <c r="E1820" s="2" t="s">
        <v>7903</v>
      </c>
      <c r="F1820" s="2" t="s">
        <v>963</v>
      </c>
      <c r="G1820" s="2" t="s">
        <v>7904</v>
      </c>
      <c r="H1820" s="2" t="s">
        <v>97</v>
      </c>
      <c r="I1820" s="2" t="s">
        <v>3744</v>
      </c>
      <c r="J1820" s="2" t="s">
        <v>12536</v>
      </c>
      <c r="K1820" s="2" t="s">
        <v>507</v>
      </c>
      <c r="L1820" s="2" t="n">
        <v>0.09</v>
      </c>
      <c r="M1820" s="2" t="n">
        <v>0.69</v>
      </c>
    </row>
    <row r="1821" customFormat="false" ht="15" hidden="false" customHeight="false" outlineLevel="0" collapsed="false">
      <c r="A1821" s="2" t="n">
        <v>1819</v>
      </c>
      <c r="B1821" s="2" t="s">
        <v>7788</v>
      </c>
      <c r="C1821" s="2" t="n">
        <v>0</v>
      </c>
      <c r="D1821" s="2" t="n">
        <v>0</v>
      </c>
      <c r="E1821" s="2" t="s">
        <v>12537</v>
      </c>
      <c r="F1821" s="2" t="s">
        <v>6226</v>
      </c>
      <c r="G1821" s="2" t="s">
        <v>12538</v>
      </c>
      <c r="H1821" s="2" t="s">
        <v>7877</v>
      </c>
      <c r="I1821" s="2" t="s">
        <v>1648</v>
      </c>
      <c r="J1821" s="2" t="s">
        <v>12539</v>
      </c>
      <c r="K1821" s="2" t="s">
        <v>507</v>
      </c>
      <c r="L1821" s="2" t="n">
        <v>0.17</v>
      </c>
      <c r="M1821" s="2" t="n">
        <v>0.88</v>
      </c>
    </row>
    <row r="1822" customFormat="false" ht="15" hidden="false" customHeight="false" outlineLevel="0" collapsed="false">
      <c r="A1822" s="2" t="n">
        <v>1820</v>
      </c>
      <c r="B1822" s="2" t="s">
        <v>7788</v>
      </c>
      <c r="C1822" s="2" t="n">
        <v>0</v>
      </c>
      <c r="D1822" s="2" t="n">
        <v>0</v>
      </c>
      <c r="E1822" s="2" t="s">
        <v>12540</v>
      </c>
      <c r="F1822" s="2" t="s">
        <v>3313</v>
      </c>
      <c r="G1822" s="2" t="s">
        <v>12541</v>
      </c>
      <c r="H1822" s="2" t="s">
        <v>12542</v>
      </c>
      <c r="I1822" s="2" t="s">
        <v>5744</v>
      </c>
      <c r="J1822" s="2" t="s">
        <v>12543</v>
      </c>
      <c r="K1822" s="2" t="s">
        <v>507</v>
      </c>
      <c r="L1822" s="2" t="n">
        <v>0</v>
      </c>
      <c r="M1822" s="2" t="n">
        <v>1</v>
      </c>
    </row>
    <row r="1823" customFormat="false" ht="15" hidden="false" customHeight="false" outlineLevel="0" collapsed="false">
      <c r="A1823" s="2" t="n">
        <v>1821</v>
      </c>
      <c r="B1823" s="2" t="s">
        <v>7788</v>
      </c>
      <c r="C1823" s="2" t="n">
        <v>0</v>
      </c>
      <c r="D1823" s="2" t="n">
        <v>0</v>
      </c>
      <c r="E1823" s="2" t="s">
        <v>12544</v>
      </c>
      <c r="F1823" s="2" t="s">
        <v>7871</v>
      </c>
      <c r="G1823" s="2" t="s">
        <v>12545</v>
      </c>
      <c r="H1823" s="2" t="s">
        <v>12542</v>
      </c>
      <c r="I1823" s="2" t="s">
        <v>4276</v>
      </c>
      <c r="J1823" s="2" t="s">
        <v>12546</v>
      </c>
      <c r="K1823" s="2" t="s">
        <v>507</v>
      </c>
      <c r="L1823" s="2" t="n">
        <v>0.08</v>
      </c>
      <c r="M1823" s="2" t="n">
        <v>0.54</v>
      </c>
    </row>
    <row r="1824" customFormat="false" ht="15" hidden="false" customHeight="false" outlineLevel="0" collapsed="false">
      <c r="A1824" s="2" t="n">
        <v>1822</v>
      </c>
      <c r="B1824" s="2" t="s">
        <v>7788</v>
      </c>
      <c r="C1824" s="2" t="n">
        <v>0</v>
      </c>
      <c r="D1824" s="2" t="n">
        <v>0</v>
      </c>
      <c r="E1824" s="2" t="s">
        <v>12547</v>
      </c>
      <c r="F1824" s="2" t="s">
        <v>176</v>
      </c>
      <c r="G1824" s="2" t="s">
        <v>12548</v>
      </c>
      <c r="H1824" s="2" t="s">
        <v>12549</v>
      </c>
      <c r="I1824" s="2" t="s">
        <v>3194</v>
      </c>
      <c r="J1824" s="2" t="s">
        <v>12550</v>
      </c>
      <c r="K1824" s="2" t="s">
        <v>507</v>
      </c>
      <c r="L1824" s="2" t="n">
        <v>0</v>
      </c>
      <c r="M1824" s="2" t="n">
        <v>0.42</v>
      </c>
    </row>
    <row r="1825" customFormat="false" ht="15" hidden="false" customHeight="false" outlineLevel="0" collapsed="false">
      <c r="A1825" s="2" t="n">
        <v>1823</v>
      </c>
      <c r="B1825" s="2" t="s">
        <v>7788</v>
      </c>
      <c r="C1825" s="2" t="n">
        <v>9</v>
      </c>
      <c r="D1825" s="2" t="n">
        <v>0</v>
      </c>
      <c r="E1825" s="2" t="s">
        <v>7912</v>
      </c>
      <c r="F1825" s="2" t="s">
        <v>841</v>
      </c>
      <c r="G1825" s="2" t="s">
        <v>7913</v>
      </c>
      <c r="H1825" s="2" t="s">
        <v>97</v>
      </c>
      <c r="I1825" s="2" t="s">
        <v>4314</v>
      </c>
      <c r="J1825" s="2" t="s">
        <v>12551</v>
      </c>
      <c r="K1825" s="2" t="s">
        <v>507</v>
      </c>
      <c r="L1825" s="2" t="n">
        <v>0</v>
      </c>
      <c r="M1825" s="2" t="n">
        <v>0.09</v>
      </c>
    </row>
    <row r="1826" customFormat="false" ht="15" hidden="false" customHeight="false" outlineLevel="0" collapsed="false">
      <c r="A1826" s="2" t="n">
        <v>1824</v>
      </c>
      <c r="B1826" s="2" t="s">
        <v>7788</v>
      </c>
      <c r="C1826" s="2" t="n">
        <v>3</v>
      </c>
      <c r="D1826" s="2" t="n">
        <v>0</v>
      </c>
      <c r="E1826" s="2" t="s">
        <v>7926</v>
      </c>
      <c r="F1826" s="2" t="s">
        <v>112</v>
      </c>
      <c r="G1826" s="2" t="s">
        <v>7927</v>
      </c>
      <c r="H1826" s="2" t="s">
        <v>4313</v>
      </c>
      <c r="I1826" s="2" t="s">
        <v>783</v>
      </c>
      <c r="J1826" s="2" t="s">
        <v>12552</v>
      </c>
      <c r="K1826" s="2" t="s">
        <v>507</v>
      </c>
      <c r="L1826" s="2" t="n">
        <v>0.27</v>
      </c>
      <c r="M1826" s="2" t="n">
        <v>1</v>
      </c>
    </row>
    <row r="1827" customFormat="false" ht="15" hidden="false" customHeight="false" outlineLevel="0" collapsed="false">
      <c r="A1827" s="2" t="n">
        <v>1825</v>
      </c>
      <c r="B1827" s="2" t="s">
        <v>7788</v>
      </c>
      <c r="C1827" s="2" t="n">
        <v>1</v>
      </c>
      <c r="D1827" s="2" t="n">
        <v>0</v>
      </c>
      <c r="E1827" s="2" t="s">
        <v>7939</v>
      </c>
      <c r="F1827" s="2" t="s">
        <v>865</v>
      </c>
      <c r="G1827" s="2" t="s">
        <v>7940</v>
      </c>
      <c r="H1827" s="2" t="s">
        <v>7941</v>
      </c>
      <c r="I1827" s="2" t="s">
        <v>2162</v>
      </c>
      <c r="J1827" s="2" t="s">
        <v>11933</v>
      </c>
      <c r="K1827" s="2" t="s">
        <v>507</v>
      </c>
      <c r="L1827" s="2" t="n">
        <v>0.1</v>
      </c>
      <c r="M1827" s="2" t="n">
        <v>0.83</v>
      </c>
    </row>
    <row r="1828" customFormat="false" ht="15" hidden="false" customHeight="false" outlineLevel="0" collapsed="false">
      <c r="A1828" s="2" t="n">
        <v>1826</v>
      </c>
      <c r="B1828" s="2" t="s">
        <v>7788</v>
      </c>
      <c r="C1828" s="2" t="n">
        <v>2</v>
      </c>
      <c r="D1828" s="2" t="n">
        <v>0</v>
      </c>
      <c r="E1828" s="2" t="s">
        <v>7946</v>
      </c>
      <c r="F1828" s="2" t="s">
        <v>187</v>
      </c>
      <c r="G1828" s="2" t="s">
        <v>7947</v>
      </c>
      <c r="H1828" s="2" t="s">
        <v>420</v>
      </c>
      <c r="I1828" s="2" t="s">
        <v>1482</v>
      </c>
      <c r="J1828" s="2" t="s">
        <v>12553</v>
      </c>
      <c r="K1828" s="2" t="s">
        <v>507</v>
      </c>
      <c r="L1828" s="2" t="n">
        <v>0.11</v>
      </c>
      <c r="M1828" s="2" t="n">
        <v>0.57</v>
      </c>
    </row>
    <row r="1829" customFormat="false" ht="15" hidden="false" customHeight="false" outlineLevel="0" collapsed="false">
      <c r="A1829" s="2" t="n">
        <v>1827</v>
      </c>
      <c r="B1829" s="2" t="s">
        <v>7788</v>
      </c>
      <c r="C1829" s="2" t="n">
        <v>1</v>
      </c>
      <c r="D1829" s="2" t="n">
        <v>0</v>
      </c>
      <c r="E1829" s="2" t="s">
        <v>7953</v>
      </c>
      <c r="F1829" s="2" t="s">
        <v>176</v>
      </c>
      <c r="G1829" s="2" t="s">
        <v>7954</v>
      </c>
      <c r="H1829" s="2" t="s">
        <v>7955</v>
      </c>
      <c r="I1829" s="2" t="s">
        <v>662</v>
      </c>
      <c r="J1829" s="2" t="s">
        <v>12554</v>
      </c>
      <c r="K1829" s="2" t="s">
        <v>160</v>
      </c>
      <c r="L1829" s="2" t="n">
        <v>0.33</v>
      </c>
      <c r="M1829" s="2" t="n">
        <v>0.79</v>
      </c>
    </row>
    <row r="1830" customFormat="false" ht="15" hidden="false" customHeight="false" outlineLevel="0" collapsed="false">
      <c r="A1830" s="2" t="n">
        <v>1828</v>
      </c>
      <c r="B1830" s="2" t="s">
        <v>7788</v>
      </c>
      <c r="C1830" s="2" t="n">
        <v>0</v>
      </c>
      <c r="D1830" s="2" t="n">
        <v>0</v>
      </c>
      <c r="E1830" s="2" t="s">
        <v>12555</v>
      </c>
      <c r="F1830" s="2" t="s">
        <v>841</v>
      </c>
      <c r="G1830" s="2" t="s">
        <v>12556</v>
      </c>
      <c r="H1830" s="2" t="s">
        <v>2567</v>
      </c>
      <c r="I1830" s="2" t="s">
        <v>132</v>
      </c>
      <c r="J1830" s="2" t="s">
        <v>12557</v>
      </c>
      <c r="K1830" s="2" t="s">
        <v>507</v>
      </c>
      <c r="L1830" s="2" t="n">
        <v>0</v>
      </c>
      <c r="M1830" s="2" t="n">
        <v>0.55</v>
      </c>
    </row>
    <row r="1831" customFormat="false" ht="15" hidden="false" customHeight="false" outlineLevel="0" collapsed="false">
      <c r="A1831" s="2" t="n">
        <v>1829</v>
      </c>
      <c r="B1831" s="2" t="s">
        <v>7788</v>
      </c>
      <c r="C1831" s="2" t="n">
        <v>1</v>
      </c>
      <c r="D1831" s="2" t="n">
        <v>0</v>
      </c>
      <c r="E1831" s="2" t="s">
        <v>7958</v>
      </c>
      <c r="F1831" s="2" t="s">
        <v>176</v>
      </c>
      <c r="G1831" s="2" t="s">
        <v>7959</v>
      </c>
      <c r="H1831" s="2" t="s">
        <v>7960</v>
      </c>
      <c r="I1831" s="2" t="s">
        <v>5388</v>
      </c>
      <c r="J1831" s="2" t="s">
        <v>12558</v>
      </c>
      <c r="K1831" s="2" t="s">
        <v>507</v>
      </c>
      <c r="L1831" s="2" t="n">
        <v>0</v>
      </c>
      <c r="M1831" s="2" t="n">
        <v>0.54</v>
      </c>
    </row>
    <row r="1832" customFormat="false" ht="15" hidden="false" customHeight="false" outlineLevel="0" collapsed="false">
      <c r="A1832" s="2" t="n">
        <v>1830</v>
      </c>
      <c r="B1832" s="2" t="s">
        <v>7961</v>
      </c>
      <c r="C1832" s="2" t="n">
        <v>0</v>
      </c>
      <c r="D1832" s="2" t="n">
        <v>0</v>
      </c>
      <c r="E1832" s="2" t="s">
        <v>12559</v>
      </c>
      <c r="F1832" s="2" t="s">
        <v>841</v>
      </c>
      <c r="G1832" s="2" t="s">
        <v>12560</v>
      </c>
      <c r="H1832" s="2" t="s">
        <v>8090</v>
      </c>
      <c r="I1832" s="2" t="s">
        <v>1810</v>
      </c>
      <c r="J1832" s="2" t="s">
        <v>12561</v>
      </c>
      <c r="K1832" s="2" t="s">
        <v>507</v>
      </c>
      <c r="L1832" s="2" t="n">
        <v>0</v>
      </c>
      <c r="M1832" s="2" t="n">
        <v>0.38</v>
      </c>
    </row>
    <row r="1833" customFormat="false" ht="15" hidden="false" customHeight="false" outlineLevel="0" collapsed="false">
      <c r="A1833" s="2" t="n">
        <v>1831</v>
      </c>
      <c r="B1833" s="2" t="s">
        <v>7961</v>
      </c>
      <c r="C1833" s="2" t="n">
        <v>0</v>
      </c>
      <c r="D1833" s="2" t="n">
        <v>0</v>
      </c>
      <c r="E1833" s="2" t="s">
        <v>12562</v>
      </c>
      <c r="F1833" s="2" t="s">
        <v>176</v>
      </c>
      <c r="G1833" s="2" t="s">
        <v>12563</v>
      </c>
      <c r="H1833" s="2" t="s">
        <v>12564</v>
      </c>
      <c r="I1833" s="2" t="s">
        <v>1810</v>
      </c>
      <c r="J1833" s="2" t="s">
        <v>12565</v>
      </c>
      <c r="K1833" s="2" t="s">
        <v>507</v>
      </c>
      <c r="L1833" s="2" t="n">
        <v>0</v>
      </c>
      <c r="M1833" s="2" t="n">
        <v>0.7</v>
      </c>
    </row>
    <row r="1834" customFormat="false" ht="15" hidden="false" customHeight="false" outlineLevel="0" collapsed="false">
      <c r="A1834" s="2" t="n">
        <v>1832</v>
      </c>
      <c r="B1834" s="2" t="s">
        <v>7961</v>
      </c>
      <c r="C1834" s="2" t="n">
        <v>0</v>
      </c>
      <c r="D1834" s="2" t="n">
        <v>0</v>
      </c>
      <c r="E1834" s="2" t="s">
        <v>12566</v>
      </c>
      <c r="F1834" s="2" t="s">
        <v>841</v>
      </c>
      <c r="G1834" s="2" t="s">
        <v>12567</v>
      </c>
      <c r="H1834" s="2" t="s">
        <v>8090</v>
      </c>
      <c r="I1834" s="2" t="s">
        <v>6601</v>
      </c>
      <c r="J1834" s="2" t="s">
        <v>12568</v>
      </c>
      <c r="K1834" s="2" t="s">
        <v>507</v>
      </c>
      <c r="L1834" s="2" t="n">
        <v>0.12</v>
      </c>
      <c r="M1834" s="2" t="n">
        <v>0.55</v>
      </c>
    </row>
    <row r="1835" customFormat="false" ht="15" hidden="false" customHeight="false" outlineLevel="0" collapsed="false">
      <c r="A1835" s="2" t="n">
        <v>1833</v>
      </c>
      <c r="B1835" s="2" t="s">
        <v>7961</v>
      </c>
      <c r="C1835" s="2" t="n">
        <v>0</v>
      </c>
      <c r="D1835" s="2" t="n">
        <v>0</v>
      </c>
      <c r="E1835" s="2" t="s">
        <v>12569</v>
      </c>
      <c r="F1835" s="2" t="s">
        <v>841</v>
      </c>
      <c r="G1835" s="2" t="s">
        <v>12570</v>
      </c>
      <c r="H1835" s="2" t="s">
        <v>12571</v>
      </c>
      <c r="I1835" s="2" t="s">
        <v>283</v>
      </c>
      <c r="J1835" s="2" t="s">
        <v>12572</v>
      </c>
      <c r="K1835" s="2" t="s">
        <v>507</v>
      </c>
      <c r="L1835" s="2" t="n">
        <v>0</v>
      </c>
      <c r="M1835" s="2" t="n">
        <v>0.5</v>
      </c>
    </row>
    <row r="1836" customFormat="false" ht="15" hidden="false" customHeight="false" outlineLevel="0" collapsed="false">
      <c r="A1836" s="2" t="n">
        <v>1834</v>
      </c>
      <c r="B1836" s="2" t="s">
        <v>7961</v>
      </c>
      <c r="C1836" s="2" t="n">
        <v>4</v>
      </c>
      <c r="D1836" s="2" t="n">
        <v>0</v>
      </c>
      <c r="E1836" s="2" t="s">
        <v>7966</v>
      </c>
      <c r="F1836" s="2" t="s">
        <v>1236</v>
      </c>
      <c r="G1836" s="2" t="s">
        <v>7967</v>
      </c>
      <c r="H1836" s="2" t="s">
        <v>3330</v>
      </c>
      <c r="I1836" s="2" t="s">
        <v>2506</v>
      </c>
      <c r="J1836" s="2" t="s">
        <v>12573</v>
      </c>
      <c r="K1836" s="2" t="s">
        <v>507</v>
      </c>
      <c r="L1836" s="2" t="n">
        <v>0</v>
      </c>
      <c r="M1836" s="2" t="n">
        <v>0.7</v>
      </c>
    </row>
    <row r="1837" customFormat="false" ht="15" hidden="false" customHeight="false" outlineLevel="0" collapsed="false">
      <c r="A1837" s="2" t="n">
        <v>1835</v>
      </c>
      <c r="B1837" s="2" t="s">
        <v>7961</v>
      </c>
      <c r="C1837" s="2" t="n">
        <v>1</v>
      </c>
      <c r="D1837" s="2" t="n">
        <v>0</v>
      </c>
      <c r="E1837" s="2" t="s">
        <v>7981</v>
      </c>
      <c r="F1837" s="2" t="s">
        <v>841</v>
      </c>
      <c r="G1837" s="2" t="s">
        <v>7982</v>
      </c>
      <c r="H1837" s="2" t="s">
        <v>7983</v>
      </c>
      <c r="I1837" s="2" t="s">
        <v>1768</v>
      </c>
      <c r="J1837" s="2" t="s">
        <v>12574</v>
      </c>
      <c r="K1837" s="2" t="s">
        <v>507</v>
      </c>
      <c r="L1837" s="2" t="n">
        <v>0</v>
      </c>
      <c r="M1837" s="2" t="n">
        <v>0.92</v>
      </c>
    </row>
    <row r="1838" customFormat="false" ht="15" hidden="false" customHeight="false" outlineLevel="0" collapsed="false">
      <c r="A1838" s="2" t="n">
        <v>1836</v>
      </c>
      <c r="B1838" s="2" t="s">
        <v>7961</v>
      </c>
      <c r="C1838" s="2" t="n">
        <v>2</v>
      </c>
      <c r="D1838" s="2" t="n">
        <v>0</v>
      </c>
      <c r="E1838" s="2" t="s">
        <v>7990</v>
      </c>
      <c r="F1838" s="2" t="s">
        <v>7991</v>
      </c>
      <c r="G1838" s="2" t="s">
        <v>7992</v>
      </c>
      <c r="H1838" s="2" t="s">
        <v>7993</v>
      </c>
      <c r="I1838" s="2" t="s">
        <v>67</v>
      </c>
      <c r="J1838" s="2" t="s">
        <v>12575</v>
      </c>
      <c r="K1838" s="2" t="s">
        <v>507</v>
      </c>
      <c r="L1838" s="2" t="n">
        <v>0.12</v>
      </c>
      <c r="M1838" s="2" t="n">
        <v>0.71</v>
      </c>
    </row>
    <row r="1839" customFormat="false" ht="15" hidden="false" customHeight="false" outlineLevel="0" collapsed="false">
      <c r="A1839" s="2" t="n">
        <v>1837</v>
      </c>
      <c r="B1839" s="2" t="s">
        <v>7961</v>
      </c>
      <c r="C1839" s="2" t="n">
        <v>2</v>
      </c>
      <c r="D1839" s="2" t="n">
        <v>0</v>
      </c>
      <c r="E1839" s="2" t="s">
        <v>8003</v>
      </c>
      <c r="F1839" s="2" t="s">
        <v>810</v>
      </c>
      <c r="G1839" s="2" t="s">
        <v>8004</v>
      </c>
      <c r="H1839" s="2" t="s">
        <v>3343</v>
      </c>
      <c r="I1839" s="2" t="s">
        <v>476</v>
      </c>
      <c r="J1839" s="2" t="s">
        <v>12576</v>
      </c>
      <c r="K1839" s="2" t="s">
        <v>507</v>
      </c>
      <c r="L1839" s="2" t="n">
        <v>0.11</v>
      </c>
      <c r="M1839" s="2" t="n">
        <v>0.8</v>
      </c>
    </row>
    <row r="1840" customFormat="false" ht="15" hidden="false" customHeight="false" outlineLevel="0" collapsed="false">
      <c r="A1840" s="2" t="n">
        <v>1838</v>
      </c>
      <c r="B1840" s="2" t="s">
        <v>7961</v>
      </c>
      <c r="C1840" s="2" t="n">
        <v>1</v>
      </c>
      <c r="D1840" s="2" t="n">
        <v>1</v>
      </c>
      <c r="E1840" s="2" t="s">
        <v>8014</v>
      </c>
      <c r="F1840" s="2" t="s">
        <v>865</v>
      </c>
      <c r="G1840" s="2" t="s">
        <v>8015</v>
      </c>
      <c r="H1840" s="2" t="s">
        <v>696</v>
      </c>
      <c r="I1840" s="2" t="s">
        <v>2013</v>
      </c>
      <c r="J1840" s="2" t="s">
        <v>11933</v>
      </c>
      <c r="K1840" s="2" t="s">
        <v>507</v>
      </c>
      <c r="L1840" s="2" t="n">
        <v>0</v>
      </c>
      <c r="M1840" s="2" t="n">
        <v>0.78</v>
      </c>
    </row>
    <row r="1841" customFormat="false" ht="15" hidden="false" customHeight="false" outlineLevel="0" collapsed="false">
      <c r="A1841" s="2" t="n">
        <v>1839</v>
      </c>
      <c r="B1841" s="2" t="s">
        <v>7961</v>
      </c>
      <c r="C1841" s="2" t="n">
        <v>1</v>
      </c>
      <c r="D1841" s="2" t="n">
        <v>1</v>
      </c>
      <c r="E1841" s="2" t="s">
        <v>8019</v>
      </c>
      <c r="F1841" s="2" t="s">
        <v>4378</v>
      </c>
      <c r="G1841" s="2" t="s">
        <v>8020</v>
      </c>
      <c r="H1841" s="2" t="s">
        <v>2948</v>
      </c>
      <c r="I1841" s="2" t="s">
        <v>1750</v>
      </c>
      <c r="J1841" s="2" t="s">
        <v>12577</v>
      </c>
      <c r="K1841" s="2" t="s">
        <v>507</v>
      </c>
      <c r="L1841" s="2" t="n">
        <v>0</v>
      </c>
      <c r="M1841" s="2" t="n">
        <v>0.56</v>
      </c>
    </row>
    <row r="1842" customFormat="false" ht="15" hidden="false" customHeight="false" outlineLevel="0" collapsed="false">
      <c r="A1842" s="2" t="n">
        <v>1840</v>
      </c>
      <c r="B1842" s="2" t="s">
        <v>7961</v>
      </c>
      <c r="C1842" s="2" t="n">
        <v>0</v>
      </c>
      <c r="D1842" s="2" t="n">
        <v>0</v>
      </c>
      <c r="E1842" s="2" t="s">
        <v>12578</v>
      </c>
      <c r="F1842" s="2" t="s">
        <v>841</v>
      </c>
      <c r="G1842" s="2" t="s">
        <v>12579</v>
      </c>
      <c r="H1842" s="2" t="s">
        <v>1160</v>
      </c>
      <c r="I1842" s="2" t="s">
        <v>647</v>
      </c>
      <c r="J1842" s="2" t="s">
        <v>12580</v>
      </c>
      <c r="K1842" s="2" t="s">
        <v>507</v>
      </c>
      <c r="L1842" s="2" t="n">
        <v>0</v>
      </c>
      <c r="M1842" s="2" t="n">
        <v>0.6</v>
      </c>
    </row>
    <row r="1843" customFormat="false" ht="15" hidden="false" customHeight="false" outlineLevel="0" collapsed="false">
      <c r="A1843" s="2" t="n">
        <v>1841</v>
      </c>
      <c r="B1843" s="2" t="s">
        <v>7961</v>
      </c>
      <c r="C1843" s="2" t="n">
        <v>1</v>
      </c>
      <c r="D1843" s="2" t="n">
        <v>0</v>
      </c>
      <c r="E1843" s="2" t="s">
        <v>8025</v>
      </c>
      <c r="F1843" s="2" t="s">
        <v>8026</v>
      </c>
      <c r="G1843" s="2" t="s">
        <v>8027</v>
      </c>
      <c r="H1843" s="2" t="s">
        <v>420</v>
      </c>
      <c r="I1843" s="2" t="s">
        <v>4206</v>
      </c>
      <c r="J1843" s="2" t="s">
        <v>12581</v>
      </c>
      <c r="K1843" s="2" t="s">
        <v>507</v>
      </c>
      <c r="L1843" s="2" t="n">
        <v>0.1</v>
      </c>
      <c r="M1843" s="2" t="n">
        <v>0.57</v>
      </c>
    </row>
    <row r="1844" customFormat="false" ht="15" hidden="false" customHeight="false" outlineLevel="0" collapsed="false">
      <c r="A1844" s="2" t="n">
        <v>1842</v>
      </c>
      <c r="B1844" s="2" t="s">
        <v>7961</v>
      </c>
      <c r="C1844" s="2" t="n">
        <v>1</v>
      </c>
      <c r="D1844" s="2" t="n">
        <v>1</v>
      </c>
      <c r="E1844" s="2" t="s">
        <v>8031</v>
      </c>
      <c r="F1844" s="2" t="s">
        <v>810</v>
      </c>
      <c r="G1844" s="2" t="s">
        <v>8032</v>
      </c>
      <c r="H1844" s="2" t="s">
        <v>8033</v>
      </c>
      <c r="I1844" s="2" t="s">
        <v>67</v>
      </c>
      <c r="J1844" s="2" t="s">
        <v>12582</v>
      </c>
      <c r="K1844" s="2" t="s">
        <v>507</v>
      </c>
      <c r="L1844" s="2" t="n">
        <v>0</v>
      </c>
      <c r="M1844" s="2" t="n">
        <v>0.58</v>
      </c>
    </row>
    <row r="1845" customFormat="false" ht="15" hidden="false" customHeight="false" outlineLevel="0" collapsed="false">
      <c r="A1845" s="2" t="n">
        <v>1843</v>
      </c>
      <c r="B1845" s="2" t="s">
        <v>7961</v>
      </c>
      <c r="C1845" s="2" t="n">
        <v>0</v>
      </c>
      <c r="D1845" s="2" t="n">
        <v>0</v>
      </c>
      <c r="E1845" s="2" t="s">
        <v>12583</v>
      </c>
      <c r="F1845" s="2" t="s">
        <v>4378</v>
      </c>
      <c r="G1845" s="2" t="s">
        <v>12584</v>
      </c>
      <c r="H1845" s="2" t="s">
        <v>420</v>
      </c>
      <c r="I1845" s="2" t="s">
        <v>3888</v>
      </c>
      <c r="J1845" s="2" t="s">
        <v>12585</v>
      </c>
      <c r="K1845" s="2" t="s">
        <v>507</v>
      </c>
      <c r="L1845" s="2" t="n">
        <v>0</v>
      </c>
      <c r="M1845" s="2" t="n">
        <v>0.77</v>
      </c>
    </row>
    <row r="1846" customFormat="false" ht="15" hidden="false" customHeight="false" outlineLevel="0" collapsed="false">
      <c r="A1846" s="2" t="n">
        <v>1844</v>
      </c>
      <c r="B1846" s="2" t="s">
        <v>7961</v>
      </c>
      <c r="C1846" s="2" t="n">
        <v>0</v>
      </c>
      <c r="D1846" s="2" t="n">
        <v>0</v>
      </c>
      <c r="E1846" s="2" t="s">
        <v>12586</v>
      </c>
      <c r="F1846" s="2" t="s">
        <v>841</v>
      </c>
      <c r="G1846" s="2" t="s">
        <v>12587</v>
      </c>
      <c r="H1846" s="2" t="s">
        <v>12588</v>
      </c>
      <c r="I1846" s="2" t="s">
        <v>3239</v>
      </c>
      <c r="J1846" s="2" t="s">
        <v>12589</v>
      </c>
      <c r="K1846" s="2" t="s">
        <v>507</v>
      </c>
      <c r="L1846" s="2" t="n">
        <v>0</v>
      </c>
      <c r="M1846" s="2" t="n">
        <v>0.44</v>
      </c>
    </row>
    <row r="1847" customFormat="false" ht="15" hidden="false" customHeight="false" outlineLevel="0" collapsed="false">
      <c r="A1847" s="2" t="n">
        <v>1845</v>
      </c>
      <c r="B1847" s="2" t="s">
        <v>7961</v>
      </c>
      <c r="C1847" s="2" t="n">
        <v>1</v>
      </c>
      <c r="D1847" s="2" t="n">
        <v>0</v>
      </c>
      <c r="E1847" s="2" t="s">
        <v>8035</v>
      </c>
      <c r="F1847" s="2" t="s">
        <v>810</v>
      </c>
      <c r="G1847" s="2" t="s">
        <v>8036</v>
      </c>
      <c r="H1847" s="2" t="s">
        <v>97</v>
      </c>
      <c r="I1847" s="2" t="s">
        <v>3023</v>
      </c>
      <c r="J1847" s="2" t="s">
        <v>12590</v>
      </c>
      <c r="K1847" s="2" t="s">
        <v>507</v>
      </c>
      <c r="L1847" s="2" t="n">
        <v>0.29</v>
      </c>
      <c r="M1847" s="2" t="n">
        <v>0.73</v>
      </c>
    </row>
    <row r="1848" customFormat="false" ht="15" hidden="false" customHeight="false" outlineLevel="0" collapsed="false">
      <c r="A1848" s="2" t="n">
        <v>1846</v>
      </c>
      <c r="B1848" s="2" t="s">
        <v>7961</v>
      </c>
      <c r="C1848" s="2" t="n">
        <v>1</v>
      </c>
      <c r="D1848" s="2" t="n">
        <v>1</v>
      </c>
      <c r="E1848" s="2" t="s">
        <v>8041</v>
      </c>
      <c r="F1848" s="2" t="s">
        <v>810</v>
      </c>
      <c r="G1848" s="2" t="s">
        <v>8042</v>
      </c>
      <c r="H1848" s="2" t="s">
        <v>8043</v>
      </c>
      <c r="I1848" s="2" t="s">
        <v>6109</v>
      </c>
      <c r="J1848" s="2" t="s">
        <v>12591</v>
      </c>
      <c r="K1848" s="2" t="s">
        <v>507</v>
      </c>
      <c r="L1848" s="2" t="n">
        <v>0</v>
      </c>
      <c r="M1848" s="2" t="n">
        <v>0.63</v>
      </c>
    </row>
    <row r="1849" customFormat="false" ht="15" hidden="false" customHeight="false" outlineLevel="0" collapsed="false">
      <c r="A1849" s="2" t="n">
        <v>1847</v>
      </c>
      <c r="B1849" s="2" t="s">
        <v>7961</v>
      </c>
      <c r="C1849" s="2" t="n">
        <v>0</v>
      </c>
      <c r="D1849" s="2" t="n">
        <v>0</v>
      </c>
      <c r="E1849" s="2" t="s">
        <v>12592</v>
      </c>
      <c r="F1849" s="2" t="s">
        <v>841</v>
      </c>
      <c r="G1849" s="2" t="s">
        <v>12593</v>
      </c>
      <c r="H1849" s="2" t="s">
        <v>8544</v>
      </c>
      <c r="I1849" s="2" t="s">
        <v>2204</v>
      </c>
      <c r="J1849" s="2" t="s">
        <v>12594</v>
      </c>
      <c r="K1849" s="2" t="s">
        <v>507</v>
      </c>
      <c r="L1849" s="2" t="n">
        <v>0</v>
      </c>
      <c r="M1849" s="2" t="n">
        <v>0.11</v>
      </c>
    </row>
    <row r="1850" customFormat="false" ht="15" hidden="false" customHeight="false" outlineLevel="0" collapsed="false">
      <c r="A1850" s="2" t="n">
        <v>1848</v>
      </c>
      <c r="B1850" s="2" t="s">
        <v>7961</v>
      </c>
      <c r="C1850" s="2" t="n">
        <v>0</v>
      </c>
      <c r="D1850" s="2" t="n">
        <v>0</v>
      </c>
      <c r="E1850" s="2" t="s">
        <v>12595</v>
      </c>
      <c r="F1850" s="2" t="s">
        <v>4378</v>
      </c>
      <c r="G1850" s="2" t="s">
        <v>12596</v>
      </c>
      <c r="H1850" s="2" t="s">
        <v>3330</v>
      </c>
      <c r="I1850" s="2" t="s">
        <v>987</v>
      </c>
      <c r="J1850" s="2" t="s">
        <v>12597</v>
      </c>
      <c r="K1850" s="2" t="s">
        <v>507</v>
      </c>
      <c r="L1850" s="2" t="n">
        <v>0</v>
      </c>
      <c r="M1850" s="2" t="n">
        <v>1</v>
      </c>
    </row>
    <row r="1851" customFormat="false" ht="15" hidden="false" customHeight="false" outlineLevel="0" collapsed="false">
      <c r="A1851" s="2" t="n">
        <v>1849</v>
      </c>
      <c r="B1851" s="2" t="s">
        <v>7961</v>
      </c>
      <c r="C1851" s="2" t="n">
        <v>0</v>
      </c>
      <c r="D1851" s="2" t="n">
        <v>0</v>
      </c>
      <c r="E1851" s="2" t="s">
        <v>12598</v>
      </c>
      <c r="F1851" s="2" t="s">
        <v>743</v>
      </c>
      <c r="G1851" s="2" t="s">
        <v>12599</v>
      </c>
      <c r="H1851" s="2" t="s">
        <v>4313</v>
      </c>
      <c r="I1851" s="2" t="s">
        <v>1147</v>
      </c>
      <c r="J1851" s="2" t="s">
        <v>12600</v>
      </c>
      <c r="K1851" s="2" t="s">
        <v>507</v>
      </c>
      <c r="L1851" s="2" t="n">
        <v>0</v>
      </c>
      <c r="M1851" s="2" t="n">
        <v>0.6</v>
      </c>
    </row>
    <row r="1852" customFormat="false" ht="15" hidden="false" customHeight="false" outlineLevel="0" collapsed="false">
      <c r="A1852" s="2" t="n">
        <v>1850</v>
      </c>
      <c r="B1852" s="2" t="s">
        <v>7961</v>
      </c>
      <c r="C1852" s="2" t="n">
        <v>1</v>
      </c>
      <c r="D1852" s="2" t="n">
        <v>0</v>
      </c>
      <c r="E1852" s="2" t="s">
        <v>8049</v>
      </c>
      <c r="F1852" s="2" t="s">
        <v>8026</v>
      </c>
      <c r="G1852" s="2" t="s">
        <v>8050</v>
      </c>
      <c r="H1852" s="2" t="s">
        <v>8051</v>
      </c>
      <c r="I1852" s="2" t="s">
        <v>2901</v>
      </c>
      <c r="J1852" s="2" t="s">
        <v>12601</v>
      </c>
      <c r="K1852" s="2" t="s">
        <v>507</v>
      </c>
      <c r="L1852" s="2" t="n">
        <v>0.1</v>
      </c>
      <c r="M1852" s="2" t="n">
        <v>0.77</v>
      </c>
    </row>
    <row r="1853" customFormat="false" ht="15" hidden="false" customHeight="false" outlineLevel="0" collapsed="false">
      <c r="A1853" s="2" t="n">
        <v>1851</v>
      </c>
      <c r="B1853" s="2" t="s">
        <v>7961</v>
      </c>
      <c r="C1853" s="2" t="n">
        <v>3</v>
      </c>
      <c r="D1853" s="2" t="n">
        <v>3</v>
      </c>
      <c r="E1853" s="2" t="s">
        <v>8055</v>
      </c>
      <c r="F1853" s="2" t="s">
        <v>4347</v>
      </c>
      <c r="G1853" s="2" t="s">
        <v>8056</v>
      </c>
      <c r="H1853" s="2" t="s">
        <v>5729</v>
      </c>
      <c r="I1853" s="2" t="s">
        <v>3239</v>
      </c>
      <c r="J1853" s="2" t="s">
        <v>12602</v>
      </c>
      <c r="K1853" s="2" t="s">
        <v>507</v>
      </c>
      <c r="L1853" s="2" t="n">
        <v>0.09</v>
      </c>
      <c r="M1853" s="2" t="n">
        <v>1</v>
      </c>
    </row>
    <row r="1854" customFormat="false" ht="15" hidden="false" customHeight="false" outlineLevel="0" collapsed="false">
      <c r="A1854" s="2" t="n">
        <v>1852</v>
      </c>
      <c r="B1854" s="2" t="s">
        <v>7961</v>
      </c>
      <c r="C1854" s="2" t="n">
        <v>1</v>
      </c>
      <c r="D1854" s="2" t="n">
        <v>1</v>
      </c>
      <c r="E1854" s="2" t="s">
        <v>8063</v>
      </c>
      <c r="F1854" s="2" t="s">
        <v>8064</v>
      </c>
      <c r="G1854" s="2" t="s">
        <v>8065</v>
      </c>
      <c r="H1854" s="2" t="s">
        <v>8066</v>
      </c>
      <c r="I1854" s="2" t="s">
        <v>2379</v>
      </c>
      <c r="J1854" s="2" t="s">
        <v>12603</v>
      </c>
      <c r="K1854" s="2" t="s">
        <v>507</v>
      </c>
      <c r="L1854" s="2" t="n">
        <v>0.08</v>
      </c>
      <c r="M1854" s="2" t="n">
        <v>0.78</v>
      </c>
    </row>
    <row r="1855" customFormat="false" ht="15" hidden="false" customHeight="false" outlineLevel="0" collapsed="false">
      <c r="A1855" s="2" t="n">
        <v>1853</v>
      </c>
      <c r="B1855" s="2" t="s">
        <v>7961</v>
      </c>
      <c r="C1855" s="2" t="n">
        <v>1</v>
      </c>
      <c r="D1855" s="2" t="n">
        <v>0</v>
      </c>
      <c r="E1855" s="2" t="s">
        <v>8070</v>
      </c>
      <c r="F1855" s="2" t="s">
        <v>1866</v>
      </c>
      <c r="G1855" s="2" t="s">
        <v>8071</v>
      </c>
      <c r="H1855" s="2" t="s">
        <v>8072</v>
      </c>
      <c r="I1855" s="2" t="s">
        <v>1810</v>
      </c>
      <c r="J1855" s="2" t="s">
        <v>12604</v>
      </c>
      <c r="K1855" s="2" t="s">
        <v>507</v>
      </c>
      <c r="L1855" s="2" t="n">
        <v>0</v>
      </c>
      <c r="M1855" s="2" t="n">
        <v>0.62</v>
      </c>
    </row>
    <row r="1856" customFormat="false" ht="15" hidden="false" customHeight="false" outlineLevel="0" collapsed="false">
      <c r="A1856" s="2" t="n">
        <v>1854</v>
      </c>
      <c r="B1856" s="2" t="s">
        <v>7961</v>
      </c>
      <c r="C1856" s="2" t="n">
        <v>1</v>
      </c>
      <c r="D1856" s="2" t="n">
        <v>1</v>
      </c>
      <c r="E1856" s="2" t="s">
        <v>8075</v>
      </c>
      <c r="F1856" s="2" t="s">
        <v>865</v>
      </c>
      <c r="G1856" s="2" t="s">
        <v>8076</v>
      </c>
      <c r="H1856" s="2" t="s">
        <v>5487</v>
      </c>
      <c r="I1856" s="2" t="s">
        <v>795</v>
      </c>
      <c r="J1856" s="2" t="s">
        <v>11933</v>
      </c>
      <c r="K1856" s="2" t="s">
        <v>507</v>
      </c>
      <c r="L1856" s="2" t="n">
        <v>0.09</v>
      </c>
      <c r="M1856" s="2" t="n">
        <v>0.5</v>
      </c>
    </row>
    <row r="1857" customFormat="false" ht="15" hidden="false" customHeight="false" outlineLevel="0" collapsed="false">
      <c r="A1857" s="2" t="n">
        <v>1855</v>
      </c>
      <c r="B1857" s="2" t="s">
        <v>7961</v>
      </c>
      <c r="C1857" s="2" t="n">
        <v>0</v>
      </c>
      <c r="D1857" s="2" t="n">
        <v>0</v>
      </c>
      <c r="E1857" s="2" t="s">
        <v>12605</v>
      </c>
      <c r="F1857" s="2" t="s">
        <v>187</v>
      </c>
      <c r="G1857" s="2" t="s">
        <v>12606</v>
      </c>
      <c r="H1857" s="2" t="s">
        <v>12607</v>
      </c>
      <c r="I1857" s="2" t="s">
        <v>2037</v>
      </c>
      <c r="J1857" s="2" t="s">
        <v>12608</v>
      </c>
      <c r="K1857" s="2" t="s">
        <v>507</v>
      </c>
      <c r="L1857" s="2" t="n">
        <v>0</v>
      </c>
      <c r="M1857" s="2" t="n">
        <v>0.55</v>
      </c>
    </row>
    <row r="1858" customFormat="false" ht="15" hidden="false" customHeight="false" outlineLevel="0" collapsed="false">
      <c r="A1858" s="2" t="n">
        <v>1856</v>
      </c>
      <c r="B1858" s="2" t="s">
        <v>7961</v>
      </c>
      <c r="C1858" s="2" t="n">
        <v>3</v>
      </c>
      <c r="D1858" s="2" t="n">
        <v>0</v>
      </c>
      <c r="E1858" s="2" t="s">
        <v>8079</v>
      </c>
      <c r="F1858" s="2" t="s">
        <v>865</v>
      </c>
      <c r="G1858" s="2" t="s">
        <v>8080</v>
      </c>
      <c r="H1858" s="2" t="s">
        <v>646</v>
      </c>
      <c r="I1858" s="2" t="s">
        <v>776</v>
      </c>
      <c r="J1858" s="2" t="s">
        <v>11933</v>
      </c>
      <c r="K1858" s="2" t="s">
        <v>507</v>
      </c>
      <c r="L1858" s="2" t="n">
        <v>0.07</v>
      </c>
      <c r="M1858" s="2" t="n">
        <v>0.75</v>
      </c>
    </row>
    <row r="1859" customFormat="false" ht="15" hidden="false" customHeight="false" outlineLevel="0" collapsed="false">
      <c r="A1859" s="2" t="n">
        <v>1857</v>
      </c>
      <c r="B1859" s="2" t="s">
        <v>7961</v>
      </c>
      <c r="C1859" s="2" t="n">
        <v>1</v>
      </c>
      <c r="D1859" s="2" t="n">
        <v>1</v>
      </c>
      <c r="E1859" s="2" t="s">
        <v>8088</v>
      </c>
      <c r="F1859" s="2" t="s">
        <v>8026</v>
      </c>
      <c r="G1859" s="2" t="s">
        <v>8089</v>
      </c>
      <c r="H1859" s="2" t="s">
        <v>8090</v>
      </c>
      <c r="I1859" s="2" t="s">
        <v>3823</v>
      </c>
      <c r="J1859" s="2" t="s">
        <v>12609</v>
      </c>
      <c r="K1859" s="2" t="s">
        <v>507</v>
      </c>
      <c r="L1859" s="2" t="n">
        <v>0</v>
      </c>
      <c r="M1859" s="2" t="n">
        <v>0.6</v>
      </c>
    </row>
    <row r="1860" customFormat="false" ht="15" hidden="false" customHeight="false" outlineLevel="0" collapsed="false">
      <c r="A1860" s="2" t="n">
        <v>1858</v>
      </c>
      <c r="B1860" s="2" t="s">
        <v>7961</v>
      </c>
      <c r="C1860" s="2" t="n">
        <v>1</v>
      </c>
      <c r="D1860" s="2" t="n">
        <v>0</v>
      </c>
      <c r="E1860" s="2" t="s">
        <v>8093</v>
      </c>
      <c r="F1860" s="2" t="s">
        <v>841</v>
      </c>
      <c r="G1860" s="2" t="s">
        <v>8094</v>
      </c>
      <c r="H1860" s="2" t="s">
        <v>4313</v>
      </c>
      <c r="I1860" s="2" t="s">
        <v>2431</v>
      </c>
      <c r="J1860" s="2" t="s">
        <v>12610</v>
      </c>
      <c r="K1860" s="2" t="s">
        <v>507</v>
      </c>
      <c r="L1860" s="2" t="n">
        <v>0.11</v>
      </c>
      <c r="M1860" s="2" t="n">
        <v>0.21</v>
      </c>
    </row>
    <row r="1861" customFormat="false" ht="15" hidden="false" customHeight="false" outlineLevel="0" collapsed="false">
      <c r="A1861" s="2" t="n">
        <v>1859</v>
      </c>
      <c r="B1861" s="2" t="s">
        <v>7961</v>
      </c>
      <c r="C1861" s="2" t="n">
        <v>0</v>
      </c>
      <c r="D1861" s="2" t="n">
        <v>0</v>
      </c>
      <c r="E1861" s="2" t="s">
        <v>12611</v>
      </c>
      <c r="F1861" s="2" t="s">
        <v>1523</v>
      </c>
      <c r="G1861" s="2" t="s">
        <v>12612</v>
      </c>
      <c r="H1861" s="2" t="s">
        <v>2027</v>
      </c>
      <c r="I1861" s="2" t="s">
        <v>1397</v>
      </c>
      <c r="J1861" s="2" t="s">
        <v>12613</v>
      </c>
      <c r="K1861" s="2" t="s">
        <v>507</v>
      </c>
      <c r="L1861" s="2" t="n">
        <v>0.08</v>
      </c>
      <c r="M1861" s="2" t="n">
        <v>0.7</v>
      </c>
    </row>
    <row r="1862" customFormat="false" ht="15" hidden="false" customHeight="false" outlineLevel="0" collapsed="false">
      <c r="A1862" s="2" t="n">
        <v>1860</v>
      </c>
      <c r="B1862" s="2" t="s">
        <v>8095</v>
      </c>
      <c r="C1862" s="2" t="n">
        <v>1</v>
      </c>
      <c r="D1862" s="2" t="n">
        <v>0</v>
      </c>
      <c r="E1862" s="2" t="s">
        <v>8099</v>
      </c>
      <c r="F1862" s="2" t="s">
        <v>865</v>
      </c>
      <c r="G1862" s="2" t="s">
        <v>8100</v>
      </c>
      <c r="H1862" s="2" t="s">
        <v>745</v>
      </c>
      <c r="I1862" s="2" t="s">
        <v>190</v>
      </c>
      <c r="J1862" s="2" t="s">
        <v>11933</v>
      </c>
      <c r="K1862" s="2" t="s">
        <v>507</v>
      </c>
      <c r="L1862" s="2" t="n">
        <v>0.11</v>
      </c>
      <c r="M1862" s="2" t="n">
        <v>0.57</v>
      </c>
    </row>
    <row r="1863" customFormat="false" ht="15" hidden="false" customHeight="false" outlineLevel="0" collapsed="false">
      <c r="A1863" s="2" t="n">
        <v>1861</v>
      </c>
      <c r="B1863" s="2" t="s">
        <v>8095</v>
      </c>
      <c r="C1863" s="2" t="n">
        <v>0</v>
      </c>
      <c r="D1863" s="2" t="n">
        <v>0</v>
      </c>
      <c r="E1863" s="2" t="s">
        <v>12614</v>
      </c>
      <c r="F1863" s="2" t="s">
        <v>6500</v>
      </c>
      <c r="G1863" s="2" t="s">
        <v>12615</v>
      </c>
      <c r="H1863" s="2" t="s">
        <v>12616</v>
      </c>
      <c r="I1863" s="2" t="s">
        <v>1972</v>
      </c>
      <c r="J1863" s="2" t="s">
        <v>12617</v>
      </c>
      <c r="K1863" s="2" t="s">
        <v>507</v>
      </c>
      <c r="L1863" s="2" t="n">
        <v>0</v>
      </c>
      <c r="M1863" s="2" t="n">
        <v>1</v>
      </c>
    </row>
    <row r="1864" customFormat="false" ht="15" hidden="false" customHeight="false" outlineLevel="0" collapsed="false">
      <c r="A1864" s="2" t="n">
        <v>1862</v>
      </c>
      <c r="B1864" s="2" t="s">
        <v>8095</v>
      </c>
      <c r="C1864" s="2" t="n">
        <v>0</v>
      </c>
      <c r="D1864" s="2" t="n">
        <v>0</v>
      </c>
      <c r="E1864" s="2" t="s">
        <v>12618</v>
      </c>
      <c r="F1864" s="2" t="s">
        <v>4378</v>
      </c>
      <c r="G1864" s="2" t="s">
        <v>12619</v>
      </c>
      <c r="H1864" s="2" t="s">
        <v>5648</v>
      </c>
      <c r="I1864" s="2" t="s">
        <v>4606</v>
      </c>
      <c r="J1864" s="2" t="s">
        <v>12620</v>
      </c>
      <c r="K1864" s="2" t="s">
        <v>507</v>
      </c>
      <c r="L1864" s="2" t="n">
        <v>0</v>
      </c>
      <c r="M1864" s="2" t="n">
        <v>0.77</v>
      </c>
    </row>
    <row r="1865" customFormat="false" ht="15" hidden="false" customHeight="false" outlineLevel="0" collapsed="false">
      <c r="A1865" s="2" t="n">
        <v>1863</v>
      </c>
      <c r="B1865" s="2" t="s">
        <v>8095</v>
      </c>
      <c r="C1865" s="2" t="n">
        <v>1</v>
      </c>
      <c r="D1865" s="2" t="n">
        <v>0</v>
      </c>
      <c r="E1865" s="2" t="s">
        <v>8105</v>
      </c>
      <c r="F1865" s="2" t="s">
        <v>865</v>
      </c>
      <c r="G1865" s="2" t="s">
        <v>8106</v>
      </c>
      <c r="H1865" s="2" t="s">
        <v>4380</v>
      </c>
      <c r="I1865" s="2" t="s">
        <v>1397</v>
      </c>
      <c r="J1865" s="2" t="s">
        <v>11933</v>
      </c>
      <c r="K1865" s="2" t="s">
        <v>507</v>
      </c>
      <c r="L1865" s="2" t="n">
        <v>0</v>
      </c>
      <c r="M1865" s="2" t="n">
        <v>0.89</v>
      </c>
    </row>
    <row r="1866" customFormat="false" ht="15" hidden="false" customHeight="false" outlineLevel="0" collapsed="false">
      <c r="A1866" s="2" t="n">
        <v>1864</v>
      </c>
      <c r="B1866" s="2" t="s">
        <v>8095</v>
      </c>
      <c r="C1866" s="2" t="n">
        <v>1</v>
      </c>
      <c r="D1866" s="2" t="n">
        <v>0</v>
      </c>
      <c r="E1866" s="2" t="s">
        <v>8111</v>
      </c>
      <c r="F1866" s="2" t="s">
        <v>8112</v>
      </c>
      <c r="G1866" s="2" t="s">
        <v>8113</v>
      </c>
      <c r="H1866" s="2" t="s">
        <v>2070</v>
      </c>
      <c r="I1866" s="2" t="s">
        <v>6601</v>
      </c>
      <c r="J1866" s="2" t="s">
        <v>12621</v>
      </c>
      <c r="K1866" s="2" t="s">
        <v>507</v>
      </c>
      <c r="L1866" s="2" t="n">
        <v>0</v>
      </c>
      <c r="M1866" s="2" t="n">
        <v>0.89</v>
      </c>
    </row>
    <row r="1867" customFormat="false" ht="15" hidden="false" customHeight="false" outlineLevel="0" collapsed="false">
      <c r="A1867" s="2" t="n">
        <v>1865</v>
      </c>
      <c r="B1867" s="2" t="s">
        <v>8095</v>
      </c>
      <c r="C1867" s="2" t="n">
        <v>1</v>
      </c>
      <c r="D1867" s="2" t="n">
        <v>0</v>
      </c>
      <c r="E1867" s="2" t="s">
        <v>8117</v>
      </c>
      <c r="F1867" s="2" t="s">
        <v>8026</v>
      </c>
      <c r="G1867" s="2" t="s">
        <v>8118</v>
      </c>
      <c r="H1867" s="2" t="s">
        <v>6878</v>
      </c>
      <c r="I1867" s="2" t="s">
        <v>115</v>
      </c>
      <c r="J1867" s="2" t="s">
        <v>12622</v>
      </c>
      <c r="K1867" s="2" t="s">
        <v>507</v>
      </c>
      <c r="L1867" s="2" t="n">
        <v>0.08</v>
      </c>
      <c r="M1867" s="2" t="n">
        <v>0.55</v>
      </c>
    </row>
    <row r="1868" customFormat="false" ht="15" hidden="false" customHeight="false" outlineLevel="0" collapsed="false">
      <c r="A1868" s="2" t="n">
        <v>1866</v>
      </c>
      <c r="B1868" s="2" t="s">
        <v>8095</v>
      </c>
      <c r="C1868" s="2" t="n">
        <v>0</v>
      </c>
      <c r="D1868" s="2" t="n">
        <v>0</v>
      </c>
      <c r="E1868" s="2" t="s">
        <v>12623</v>
      </c>
      <c r="F1868" s="2" t="s">
        <v>1866</v>
      </c>
      <c r="G1868" s="2" t="s">
        <v>12624</v>
      </c>
      <c r="H1868" s="2" t="s">
        <v>6718</v>
      </c>
      <c r="I1868" s="2" t="s">
        <v>662</v>
      </c>
      <c r="J1868" s="2" t="s">
        <v>12625</v>
      </c>
      <c r="K1868" s="2" t="s">
        <v>507</v>
      </c>
      <c r="L1868" s="2" t="n">
        <v>0.11</v>
      </c>
      <c r="M1868" s="2" t="n">
        <v>0.46</v>
      </c>
    </row>
    <row r="1869" customFormat="false" ht="15" hidden="false" customHeight="false" outlineLevel="0" collapsed="false">
      <c r="A1869" s="2" t="n">
        <v>1867</v>
      </c>
      <c r="B1869" s="2" t="s">
        <v>8095</v>
      </c>
      <c r="C1869" s="2" t="n">
        <v>0</v>
      </c>
      <c r="D1869" s="2" t="n">
        <v>0</v>
      </c>
      <c r="E1869" s="2" t="s">
        <v>12626</v>
      </c>
      <c r="F1869" s="2" t="s">
        <v>743</v>
      </c>
      <c r="G1869" s="2" t="s">
        <v>12627</v>
      </c>
      <c r="H1869" s="2" t="s">
        <v>8066</v>
      </c>
      <c r="I1869" s="2" t="s">
        <v>67</v>
      </c>
      <c r="J1869" s="2" t="s">
        <v>12628</v>
      </c>
      <c r="K1869" s="2" t="s">
        <v>507</v>
      </c>
      <c r="L1869" s="2" t="n">
        <v>0.18</v>
      </c>
      <c r="M1869" s="2" t="n">
        <v>0.6</v>
      </c>
    </row>
    <row r="1870" customFormat="false" ht="15" hidden="false" customHeight="false" outlineLevel="0" collapsed="false">
      <c r="A1870" s="2" t="n">
        <v>1868</v>
      </c>
      <c r="B1870" s="2" t="s">
        <v>8095</v>
      </c>
      <c r="C1870" s="2" t="n">
        <v>0</v>
      </c>
      <c r="D1870" s="2" t="n">
        <v>0</v>
      </c>
      <c r="E1870" s="2" t="s">
        <v>12629</v>
      </c>
      <c r="F1870" s="2" t="s">
        <v>4378</v>
      </c>
      <c r="G1870" s="2" t="s">
        <v>12630</v>
      </c>
      <c r="H1870" s="2" t="s">
        <v>420</v>
      </c>
      <c r="I1870" s="2" t="s">
        <v>231</v>
      </c>
      <c r="J1870" s="2" t="s">
        <v>12631</v>
      </c>
      <c r="K1870" s="2" t="s">
        <v>507</v>
      </c>
      <c r="L1870" s="2" t="n">
        <v>0</v>
      </c>
      <c r="M1870" s="2" t="n">
        <v>1</v>
      </c>
    </row>
    <row r="1871" customFormat="false" ht="15" hidden="false" customHeight="false" outlineLevel="0" collapsed="false">
      <c r="A1871" s="2" t="n">
        <v>1869</v>
      </c>
      <c r="B1871" s="2" t="s">
        <v>8095</v>
      </c>
      <c r="C1871" s="2" t="n">
        <v>0</v>
      </c>
      <c r="D1871" s="2" t="n">
        <v>0</v>
      </c>
      <c r="E1871" s="2" t="s">
        <v>12632</v>
      </c>
      <c r="F1871" s="2" t="s">
        <v>4378</v>
      </c>
      <c r="G1871" s="2" t="s">
        <v>12633</v>
      </c>
      <c r="H1871" s="2" t="s">
        <v>646</v>
      </c>
      <c r="I1871" s="2" t="s">
        <v>3919</v>
      </c>
      <c r="J1871" s="2" t="s">
        <v>12634</v>
      </c>
      <c r="K1871" s="2" t="s">
        <v>507</v>
      </c>
      <c r="L1871" s="2" t="n">
        <v>0</v>
      </c>
      <c r="M1871" s="2" t="n">
        <v>1</v>
      </c>
    </row>
    <row r="1872" customFormat="false" ht="15" hidden="false" customHeight="false" outlineLevel="0" collapsed="false">
      <c r="A1872" s="2" t="n">
        <v>1870</v>
      </c>
      <c r="B1872" s="2" t="s">
        <v>8095</v>
      </c>
      <c r="C1872" s="2" t="n">
        <v>2</v>
      </c>
      <c r="D1872" s="2" t="n">
        <v>0</v>
      </c>
      <c r="E1872" s="2" t="s">
        <v>8122</v>
      </c>
      <c r="F1872" s="2" t="s">
        <v>112</v>
      </c>
      <c r="G1872" s="2" t="s">
        <v>8123</v>
      </c>
      <c r="H1872" s="2" t="s">
        <v>8124</v>
      </c>
      <c r="I1872" s="2" t="s">
        <v>2489</v>
      </c>
      <c r="J1872" s="2" t="s">
        <v>12635</v>
      </c>
      <c r="K1872" s="2" t="s">
        <v>507</v>
      </c>
      <c r="L1872" s="2" t="n">
        <v>0</v>
      </c>
      <c r="M1872" s="2" t="n">
        <v>1</v>
      </c>
    </row>
    <row r="1873" customFormat="false" ht="15" hidden="false" customHeight="false" outlineLevel="0" collapsed="false">
      <c r="A1873" s="2" t="n">
        <v>1871</v>
      </c>
      <c r="B1873" s="2" t="s">
        <v>8095</v>
      </c>
      <c r="C1873" s="2" t="n">
        <v>1</v>
      </c>
      <c r="D1873" s="2" t="n">
        <v>0</v>
      </c>
      <c r="E1873" s="2" t="s">
        <v>8132</v>
      </c>
      <c r="F1873" s="2" t="s">
        <v>176</v>
      </c>
      <c r="G1873" s="2" t="s">
        <v>8133</v>
      </c>
      <c r="H1873" s="2" t="s">
        <v>8134</v>
      </c>
      <c r="I1873" s="2" t="s">
        <v>6601</v>
      </c>
      <c r="J1873" s="2" t="s">
        <v>12636</v>
      </c>
      <c r="K1873" s="2" t="s">
        <v>507</v>
      </c>
      <c r="L1873" s="2" t="n">
        <v>0</v>
      </c>
      <c r="M1873" s="2" t="n">
        <v>0.67</v>
      </c>
    </row>
    <row r="1874" customFormat="false" ht="15" hidden="false" customHeight="false" outlineLevel="0" collapsed="false">
      <c r="A1874" s="2" t="n">
        <v>1872</v>
      </c>
      <c r="B1874" s="2" t="s">
        <v>8095</v>
      </c>
      <c r="C1874" s="2" t="n">
        <v>1</v>
      </c>
      <c r="D1874" s="2" t="n">
        <v>0</v>
      </c>
      <c r="E1874" s="2" t="s">
        <v>8138</v>
      </c>
      <c r="F1874" s="2" t="s">
        <v>743</v>
      </c>
      <c r="G1874" s="2" t="s">
        <v>8139</v>
      </c>
      <c r="H1874" s="2" t="s">
        <v>420</v>
      </c>
      <c r="I1874" s="2" t="s">
        <v>2852</v>
      </c>
      <c r="J1874" s="2" t="s">
        <v>12637</v>
      </c>
      <c r="K1874" s="2" t="s">
        <v>507</v>
      </c>
      <c r="L1874" s="2" t="n">
        <v>0.09</v>
      </c>
      <c r="M1874" s="2" t="n">
        <v>1</v>
      </c>
    </row>
    <row r="1875" customFormat="false" ht="15" hidden="false" customHeight="false" outlineLevel="0" collapsed="false">
      <c r="A1875" s="2" t="n">
        <v>1873</v>
      </c>
      <c r="B1875" s="2" t="s">
        <v>8095</v>
      </c>
      <c r="C1875" s="2" t="n">
        <v>0</v>
      </c>
      <c r="D1875" s="2" t="n">
        <v>0</v>
      </c>
      <c r="E1875" s="2" t="s">
        <v>12638</v>
      </c>
      <c r="F1875" s="2" t="s">
        <v>743</v>
      </c>
      <c r="G1875" s="2" t="s">
        <v>12639</v>
      </c>
      <c r="H1875" s="2" t="s">
        <v>2926</v>
      </c>
      <c r="I1875" s="2" t="s">
        <v>132</v>
      </c>
      <c r="J1875" s="2" t="s">
        <v>12640</v>
      </c>
      <c r="K1875" s="2" t="s">
        <v>507</v>
      </c>
      <c r="L1875" s="2" t="n">
        <v>0</v>
      </c>
      <c r="M1875" s="2" t="n">
        <v>0.78</v>
      </c>
    </row>
    <row r="1876" customFormat="false" ht="15" hidden="false" customHeight="false" outlineLevel="0" collapsed="false">
      <c r="A1876" s="2" t="n">
        <v>1874</v>
      </c>
      <c r="B1876" s="2" t="s">
        <v>8095</v>
      </c>
      <c r="C1876" s="2" t="n">
        <v>2</v>
      </c>
      <c r="D1876" s="2" t="n">
        <v>0</v>
      </c>
      <c r="E1876" s="2" t="s">
        <v>8144</v>
      </c>
      <c r="F1876" s="2" t="s">
        <v>156</v>
      </c>
      <c r="G1876" s="2" t="s">
        <v>8145</v>
      </c>
      <c r="H1876" s="2" t="s">
        <v>8146</v>
      </c>
      <c r="I1876" s="2" t="s">
        <v>67</v>
      </c>
      <c r="J1876" s="2" t="s">
        <v>12641</v>
      </c>
      <c r="K1876" s="2" t="s">
        <v>507</v>
      </c>
      <c r="L1876" s="2" t="n">
        <v>0.25</v>
      </c>
      <c r="M1876" s="2" t="n">
        <v>1</v>
      </c>
    </row>
    <row r="1877" customFormat="false" ht="15" hidden="false" customHeight="false" outlineLevel="0" collapsed="false">
      <c r="A1877" s="2" t="n">
        <v>1875</v>
      </c>
      <c r="B1877" s="2" t="s">
        <v>8095</v>
      </c>
      <c r="C1877" s="2" t="n">
        <v>0</v>
      </c>
      <c r="D1877" s="2" t="n">
        <v>0</v>
      </c>
      <c r="E1877" s="2" t="s">
        <v>12642</v>
      </c>
      <c r="F1877" s="2" t="s">
        <v>743</v>
      </c>
      <c r="G1877" s="2" t="s">
        <v>12643</v>
      </c>
      <c r="H1877" s="2" t="s">
        <v>12644</v>
      </c>
      <c r="I1877" s="2" t="s">
        <v>159</v>
      </c>
      <c r="J1877" s="2" t="s">
        <v>12645</v>
      </c>
      <c r="K1877" s="2" t="s">
        <v>507</v>
      </c>
      <c r="L1877" s="2" t="n">
        <v>0</v>
      </c>
      <c r="M1877" s="2" t="n">
        <v>0.9</v>
      </c>
    </row>
    <row r="1878" customFormat="false" ht="15" hidden="false" customHeight="false" outlineLevel="0" collapsed="false">
      <c r="A1878" s="2" t="n">
        <v>1876</v>
      </c>
      <c r="B1878" s="2" t="s">
        <v>8095</v>
      </c>
      <c r="C1878" s="2" t="n">
        <v>0</v>
      </c>
      <c r="D1878" s="2" t="n">
        <v>0</v>
      </c>
      <c r="E1878" s="2" t="s">
        <v>12646</v>
      </c>
      <c r="F1878" s="2" t="s">
        <v>8194</v>
      </c>
      <c r="G1878" s="2" t="s">
        <v>12647</v>
      </c>
      <c r="H1878" s="2" t="s">
        <v>12648</v>
      </c>
      <c r="I1878" s="2" t="s">
        <v>1429</v>
      </c>
      <c r="J1878" s="2" t="s">
        <v>12649</v>
      </c>
      <c r="K1878" s="2" t="s">
        <v>507</v>
      </c>
      <c r="L1878" s="2" t="n">
        <v>0.08</v>
      </c>
      <c r="M1878" s="2" t="n">
        <v>0.9</v>
      </c>
    </row>
    <row r="1879" customFormat="false" ht="15" hidden="false" customHeight="false" outlineLevel="0" collapsed="false">
      <c r="A1879" s="2" t="n">
        <v>1877</v>
      </c>
      <c r="B1879" s="2" t="s">
        <v>8095</v>
      </c>
      <c r="C1879" s="2" t="n">
        <v>1</v>
      </c>
      <c r="D1879" s="2" t="n">
        <v>0</v>
      </c>
      <c r="E1879" s="2" t="s">
        <v>8152</v>
      </c>
      <c r="F1879" s="2" t="s">
        <v>8153</v>
      </c>
      <c r="G1879" s="2" t="s">
        <v>8154</v>
      </c>
      <c r="H1879" s="2" t="s">
        <v>4313</v>
      </c>
      <c r="I1879" s="2" t="s">
        <v>813</v>
      </c>
      <c r="J1879" s="2" t="s">
        <v>12650</v>
      </c>
      <c r="K1879" s="2" t="s">
        <v>507</v>
      </c>
      <c r="L1879" s="2" t="n">
        <v>0</v>
      </c>
      <c r="M1879" s="2" t="n">
        <v>0.33</v>
      </c>
    </row>
    <row r="1880" customFormat="false" ht="15" hidden="false" customHeight="false" outlineLevel="0" collapsed="false">
      <c r="A1880" s="2" t="n">
        <v>1878</v>
      </c>
      <c r="B1880" s="2" t="s">
        <v>8095</v>
      </c>
      <c r="C1880" s="2" t="n">
        <v>6</v>
      </c>
      <c r="D1880" s="2" t="n">
        <v>1</v>
      </c>
      <c r="E1880" s="2" t="s">
        <v>8159</v>
      </c>
      <c r="F1880" s="2" t="s">
        <v>8160</v>
      </c>
      <c r="G1880" s="2" t="s">
        <v>8161</v>
      </c>
      <c r="H1880" s="2" t="s">
        <v>8162</v>
      </c>
      <c r="I1880" s="2" t="s">
        <v>2037</v>
      </c>
      <c r="J1880" s="2" t="s">
        <v>12651</v>
      </c>
      <c r="K1880" s="2" t="s">
        <v>507</v>
      </c>
      <c r="L1880" s="2" t="n">
        <v>0</v>
      </c>
      <c r="M1880" s="2" t="n">
        <v>1</v>
      </c>
    </row>
    <row r="1881" customFormat="false" ht="15" hidden="false" customHeight="false" outlineLevel="0" collapsed="false">
      <c r="A1881" s="2" t="n">
        <v>1879</v>
      </c>
      <c r="B1881" s="2" t="s">
        <v>8095</v>
      </c>
      <c r="C1881" s="2" t="n">
        <v>0</v>
      </c>
      <c r="D1881" s="2" t="n">
        <v>0</v>
      </c>
      <c r="E1881" s="2" t="s">
        <v>12652</v>
      </c>
      <c r="F1881" s="2" t="s">
        <v>12653</v>
      </c>
      <c r="G1881" s="2" t="s">
        <v>12654</v>
      </c>
      <c r="H1881" s="2" t="s">
        <v>8162</v>
      </c>
      <c r="I1881" s="2" t="s">
        <v>3169</v>
      </c>
      <c r="J1881" s="2" t="s">
        <v>12655</v>
      </c>
      <c r="K1881" s="2" t="s">
        <v>507</v>
      </c>
      <c r="L1881" s="2" t="n">
        <v>0.14</v>
      </c>
      <c r="M1881" s="2" t="n">
        <v>0.56</v>
      </c>
    </row>
    <row r="1882" customFormat="false" ht="15" hidden="false" customHeight="false" outlineLevel="0" collapsed="false">
      <c r="A1882" s="2" t="n">
        <v>1880</v>
      </c>
      <c r="B1882" s="2" t="s">
        <v>8095</v>
      </c>
      <c r="C1882" s="2" t="n">
        <v>0</v>
      </c>
      <c r="D1882" s="2" t="n">
        <v>0</v>
      </c>
      <c r="E1882" s="2" t="s">
        <v>12656</v>
      </c>
      <c r="F1882" s="2" t="s">
        <v>4784</v>
      </c>
      <c r="G1882" s="2" t="s">
        <v>12657</v>
      </c>
      <c r="H1882" s="2" t="s">
        <v>1160</v>
      </c>
      <c r="I1882" s="2" t="s">
        <v>5557</v>
      </c>
      <c r="J1882" s="2" t="s">
        <v>12658</v>
      </c>
      <c r="K1882" s="2" t="s">
        <v>507</v>
      </c>
      <c r="L1882" s="2" t="n">
        <v>0</v>
      </c>
      <c r="M1882" s="2" t="n">
        <v>0.21</v>
      </c>
    </row>
    <row r="1883" customFormat="false" ht="15" hidden="false" customHeight="false" outlineLevel="0" collapsed="false">
      <c r="A1883" s="2" t="n">
        <v>1881</v>
      </c>
      <c r="B1883" s="2" t="s">
        <v>8095</v>
      </c>
      <c r="C1883" s="2" t="n">
        <v>3</v>
      </c>
      <c r="D1883" s="2" t="n">
        <v>0</v>
      </c>
      <c r="E1883" s="2" t="s">
        <v>8184</v>
      </c>
      <c r="F1883" s="2" t="s">
        <v>963</v>
      </c>
      <c r="G1883" s="2" t="s">
        <v>8185</v>
      </c>
      <c r="H1883" s="2" t="s">
        <v>1160</v>
      </c>
      <c r="I1883" s="2" t="s">
        <v>1501</v>
      </c>
      <c r="J1883" s="2" t="s">
        <v>12659</v>
      </c>
      <c r="K1883" s="2" t="s">
        <v>507</v>
      </c>
      <c r="L1883" s="2" t="n">
        <v>0.1</v>
      </c>
      <c r="M1883" s="2" t="n">
        <v>0.57</v>
      </c>
    </row>
    <row r="1884" customFormat="false" ht="15" hidden="false" customHeight="false" outlineLevel="0" collapsed="false">
      <c r="A1884" s="2" t="n">
        <v>1882</v>
      </c>
      <c r="B1884" s="2" t="s">
        <v>8095</v>
      </c>
      <c r="C1884" s="2" t="n">
        <v>0</v>
      </c>
      <c r="D1884" s="2" t="n">
        <v>0</v>
      </c>
      <c r="E1884" s="2" t="s">
        <v>12660</v>
      </c>
      <c r="F1884" s="2" t="s">
        <v>4784</v>
      </c>
      <c r="G1884" s="2" t="s">
        <v>12661</v>
      </c>
      <c r="H1884" s="2" t="s">
        <v>1160</v>
      </c>
      <c r="I1884" s="2" t="s">
        <v>1972</v>
      </c>
      <c r="J1884" s="2" t="s">
        <v>12662</v>
      </c>
      <c r="K1884" s="2" t="s">
        <v>507</v>
      </c>
      <c r="L1884" s="2" t="n">
        <v>0</v>
      </c>
      <c r="M1884" s="2" t="n">
        <v>0.45</v>
      </c>
    </row>
    <row r="1885" customFormat="false" ht="15" hidden="false" customHeight="false" outlineLevel="0" collapsed="false">
      <c r="A1885" s="2" t="n">
        <v>1883</v>
      </c>
      <c r="B1885" s="2" t="s">
        <v>8095</v>
      </c>
      <c r="C1885" s="2" t="n">
        <v>1</v>
      </c>
      <c r="D1885" s="2" t="n">
        <v>0</v>
      </c>
      <c r="E1885" s="2" t="s">
        <v>8193</v>
      </c>
      <c r="F1885" s="2" t="s">
        <v>8194</v>
      </c>
      <c r="G1885" s="2" t="s">
        <v>8195</v>
      </c>
      <c r="H1885" s="2" t="s">
        <v>1160</v>
      </c>
      <c r="I1885" s="2" t="s">
        <v>1774</v>
      </c>
      <c r="J1885" s="2" t="s">
        <v>12663</v>
      </c>
      <c r="K1885" s="2" t="s">
        <v>507</v>
      </c>
      <c r="L1885" s="2" t="n">
        <v>0.11</v>
      </c>
      <c r="M1885" s="2" t="n">
        <v>0.75</v>
      </c>
    </row>
    <row r="1886" customFormat="false" ht="15" hidden="false" customHeight="false" outlineLevel="0" collapsed="false">
      <c r="A1886" s="2" t="n">
        <v>1884</v>
      </c>
      <c r="B1886" s="2" t="s">
        <v>8095</v>
      </c>
      <c r="C1886" s="2" t="n">
        <v>1</v>
      </c>
      <c r="D1886" s="2" t="n">
        <v>1</v>
      </c>
      <c r="E1886" s="2" t="s">
        <v>8203</v>
      </c>
      <c r="F1886" s="2" t="s">
        <v>8204</v>
      </c>
      <c r="G1886" s="2" t="s">
        <v>8205</v>
      </c>
      <c r="H1886" s="2" t="s">
        <v>1500</v>
      </c>
      <c r="I1886" s="2" t="s">
        <v>476</v>
      </c>
      <c r="J1886" s="2" t="s">
        <v>12664</v>
      </c>
      <c r="K1886" s="2" t="s">
        <v>507</v>
      </c>
      <c r="L1886" s="2" t="n">
        <v>0</v>
      </c>
      <c r="M1886" s="2" t="n">
        <v>0.92</v>
      </c>
    </row>
    <row r="1887" customFormat="false" ht="15" hidden="false" customHeight="false" outlineLevel="0" collapsed="false">
      <c r="A1887" s="2" t="n">
        <v>1885</v>
      </c>
      <c r="B1887" s="2" t="s">
        <v>8095</v>
      </c>
      <c r="C1887" s="2" t="n">
        <v>0</v>
      </c>
      <c r="D1887" s="2" t="n">
        <v>0</v>
      </c>
      <c r="E1887" s="2" t="s">
        <v>12665</v>
      </c>
      <c r="F1887" s="2" t="s">
        <v>12666</v>
      </c>
      <c r="G1887" s="2" t="s">
        <v>12667</v>
      </c>
      <c r="H1887" s="2" t="s">
        <v>12668</v>
      </c>
      <c r="I1887" s="2" t="s">
        <v>1964</v>
      </c>
      <c r="J1887" s="2" t="s">
        <v>12669</v>
      </c>
      <c r="K1887" s="2" t="s">
        <v>507</v>
      </c>
      <c r="L1887" s="2" t="n">
        <v>0</v>
      </c>
      <c r="M1887" s="2" t="n">
        <v>0.67</v>
      </c>
    </row>
    <row r="1888" customFormat="false" ht="15" hidden="false" customHeight="false" outlineLevel="0" collapsed="false">
      <c r="A1888" s="2" t="n">
        <v>1886</v>
      </c>
      <c r="B1888" s="2" t="s">
        <v>8095</v>
      </c>
      <c r="C1888" s="2" t="n">
        <v>0</v>
      </c>
      <c r="D1888" s="2" t="n">
        <v>0</v>
      </c>
      <c r="E1888" s="2" t="s">
        <v>12670</v>
      </c>
      <c r="F1888" s="2" t="s">
        <v>8153</v>
      </c>
      <c r="G1888" s="2" t="s">
        <v>12671</v>
      </c>
      <c r="H1888" s="2" t="s">
        <v>12564</v>
      </c>
      <c r="I1888" s="2" t="s">
        <v>3469</v>
      </c>
      <c r="J1888" s="4" t="s">
        <v>12672</v>
      </c>
      <c r="K1888" s="2" t="s">
        <v>507</v>
      </c>
      <c r="L1888" s="2" t="n">
        <v>0</v>
      </c>
      <c r="M1888" s="2" t="n">
        <v>0.31</v>
      </c>
    </row>
    <row r="1889" customFormat="false" ht="15" hidden="false" customHeight="false" outlineLevel="0" collapsed="false">
      <c r="A1889" s="2" t="n">
        <v>1887</v>
      </c>
      <c r="B1889" s="2" t="s">
        <v>8095</v>
      </c>
      <c r="C1889" s="2" t="n">
        <v>0</v>
      </c>
      <c r="D1889" s="2" t="n">
        <v>0</v>
      </c>
      <c r="E1889" s="2" t="s">
        <v>12673</v>
      </c>
      <c r="F1889" s="2" t="s">
        <v>8160</v>
      </c>
      <c r="G1889" s="2" t="s">
        <v>12674</v>
      </c>
      <c r="H1889" s="2" t="s">
        <v>1160</v>
      </c>
      <c r="I1889" s="2" t="s">
        <v>805</v>
      </c>
      <c r="J1889" s="2" t="s">
        <v>12675</v>
      </c>
      <c r="K1889" s="2" t="s">
        <v>507</v>
      </c>
      <c r="L1889" s="2" t="n">
        <v>0.08</v>
      </c>
      <c r="M1889" s="2" t="n">
        <v>1</v>
      </c>
    </row>
    <row r="1890" customFormat="false" ht="15" hidden="false" customHeight="false" outlineLevel="0" collapsed="false">
      <c r="A1890" s="2" t="n">
        <v>1888</v>
      </c>
      <c r="B1890" s="2" t="s">
        <v>8095</v>
      </c>
      <c r="C1890" s="2" t="n">
        <v>0</v>
      </c>
      <c r="D1890" s="2" t="n">
        <v>0</v>
      </c>
      <c r="E1890" s="2" t="s">
        <v>12676</v>
      </c>
      <c r="F1890" s="2" t="s">
        <v>8153</v>
      </c>
      <c r="G1890" s="2" t="s">
        <v>12677</v>
      </c>
      <c r="H1890" s="2" t="s">
        <v>2948</v>
      </c>
      <c r="I1890" s="2" t="s">
        <v>908</v>
      </c>
      <c r="J1890" s="2" t="s">
        <v>12678</v>
      </c>
      <c r="K1890" s="2" t="s">
        <v>507</v>
      </c>
      <c r="L1890" s="2" t="n">
        <v>0</v>
      </c>
      <c r="M1890" s="2" t="n">
        <v>0.46</v>
      </c>
    </row>
    <row r="1891" customFormat="false" ht="15" hidden="false" customHeight="false" outlineLevel="0" collapsed="false">
      <c r="A1891" s="2" t="n">
        <v>1889</v>
      </c>
      <c r="B1891" s="2" t="s">
        <v>8095</v>
      </c>
      <c r="C1891" s="2" t="n">
        <v>0</v>
      </c>
      <c r="D1891" s="2" t="n">
        <v>0</v>
      </c>
      <c r="E1891" s="2" t="s">
        <v>12679</v>
      </c>
      <c r="F1891" s="2" t="s">
        <v>9366</v>
      </c>
      <c r="G1891" s="2" t="s">
        <v>12680</v>
      </c>
      <c r="H1891" s="2" t="s">
        <v>1160</v>
      </c>
      <c r="I1891" s="2" t="s">
        <v>3646</v>
      </c>
      <c r="J1891" s="2" t="s">
        <v>12681</v>
      </c>
      <c r="K1891" s="2" t="s">
        <v>507</v>
      </c>
      <c r="L1891" s="2" t="n">
        <v>0.14</v>
      </c>
      <c r="M1891" s="2" t="n">
        <v>0.5</v>
      </c>
    </row>
    <row r="1892" customFormat="false" ht="15" hidden="false" customHeight="false" outlineLevel="0" collapsed="false">
      <c r="A1892" s="2" t="n">
        <v>1890</v>
      </c>
      <c r="B1892" s="2" t="s">
        <v>8206</v>
      </c>
      <c r="C1892" s="2" t="n">
        <v>0</v>
      </c>
      <c r="D1892" s="2" t="n">
        <v>0</v>
      </c>
      <c r="E1892" s="2" t="s">
        <v>12682</v>
      </c>
      <c r="F1892" s="2" t="s">
        <v>10554</v>
      </c>
      <c r="G1892" s="2" t="s">
        <v>12683</v>
      </c>
      <c r="H1892" s="2" t="s">
        <v>1160</v>
      </c>
      <c r="I1892" s="2" t="s">
        <v>987</v>
      </c>
      <c r="J1892" s="2" t="s">
        <v>12684</v>
      </c>
      <c r="K1892" s="2" t="s">
        <v>507</v>
      </c>
      <c r="L1892" s="2" t="n">
        <v>0.09</v>
      </c>
      <c r="M1892" s="2" t="n">
        <v>1</v>
      </c>
    </row>
    <row r="1893" customFormat="false" ht="15" hidden="false" customHeight="false" outlineLevel="0" collapsed="false">
      <c r="A1893" s="2" t="n">
        <v>1891</v>
      </c>
      <c r="B1893" s="2" t="s">
        <v>8206</v>
      </c>
      <c r="C1893" s="2" t="n">
        <v>0</v>
      </c>
      <c r="D1893" s="2" t="n">
        <v>0</v>
      </c>
      <c r="E1893" s="2" t="s">
        <v>12685</v>
      </c>
      <c r="F1893" s="2" t="s">
        <v>8194</v>
      </c>
      <c r="G1893" s="2" t="s">
        <v>12686</v>
      </c>
      <c r="H1893" s="2" t="s">
        <v>1160</v>
      </c>
      <c r="I1893" s="2" t="s">
        <v>506</v>
      </c>
      <c r="J1893" s="2" t="s">
        <v>12687</v>
      </c>
      <c r="K1893" s="2" t="s">
        <v>507</v>
      </c>
      <c r="L1893" s="2" t="n">
        <v>0.08</v>
      </c>
      <c r="M1893" s="2" t="n">
        <v>0.36</v>
      </c>
    </row>
    <row r="1894" customFormat="false" ht="15" hidden="false" customHeight="false" outlineLevel="0" collapsed="false">
      <c r="A1894" s="2" t="n">
        <v>1892</v>
      </c>
      <c r="B1894" s="2" t="s">
        <v>8206</v>
      </c>
      <c r="C1894" s="2" t="n">
        <v>0</v>
      </c>
      <c r="D1894" s="2" t="n">
        <v>0</v>
      </c>
      <c r="E1894" s="2" t="s">
        <v>12688</v>
      </c>
      <c r="F1894" s="2" t="s">
        <v>743</v>
      </c>
      <c r="G1894" s="2" t="s">
        <v>12689</v>
      </c>
      <c r="H1894" s="2" t="s">
        <v>1160</v>
      </c>
      <c r="I1894" s="2" t="s">
        <v>506</v>
      </c>
      <c r="J1894" s="2" t="s">
        <v>12690</v>
      </c>
      <c r="K1894" s="2" t="s">
        <v>507</v>
      </c>
      <c r="L1894" s="2" t="n">
        <v>0</v>
      </c>
      <c r="M1894" s="2" t="n">
        <v>0.91</v>
      </c>
    </row>
    <row r="1895" customFormat="false" ht="15" hidden="false" customHeight="false" outlineLevel="0" collapsed="false">
      <c r="A1895" s="2" t="n">
        <v>1893</v>
      </c>
      <c r="B1895" s="2" t="s">
        <v>8206</v>
      </c>
      <c r="C1895" s="2" t="n">
        <v>0</v>
      </c>
      <c r="D1895" s="2" t="n">
        <v>0</v>
      </c>
      <c r="E1895" s="2" t="s">
        <v>12691</v>
      </c>
      <c r="F1895" s="2" t="s">
        <v>12653</v>
      </c>
      <c r="G1895" s="2" t="s">
        <v>12692</v>
      </c>
      <c r="H1895" s="2" t="s">
        <v>646</v>
      </c>
      <c r="I1895" s="2" t="s">
        <v>2013</v>
      </c>
      <c r="J1895" s="2" t="s">
        <v>12693</v>
      </c>
      <c r="K1895" s="2" t="s">
        <v>507</v>
      </c>
      <c r="L1895" s="2" t="n">
        <v>0.1</v>
      </c>
      <c r="M1895" s="2" t="n">
        <v>0.73</v>
      </c>
    </row>
    <row r="1896" customFormat="false" ht="15" hidden="false" customHeight="false" outlineLevel="0" collapsed="false">
      <c r="A1896" s="2" t="n">
        <v>1894</v>
      </c>
      <c r="B1896" s="2" t="s">
        <v>8206</v>
      </c>
      <c r="C1896" s="2" t="n">
        <v>0</v>
      </c>
      <c r="D1896" s="2" t="n">
        <v>0</v>
      </c>
      <c r="E1896" s="2" t="s">
        <v>12694</v>
      </c>
      <c r="F1896" s="2" t="s">
        <v>743</v>
      </c>
      <c r="G1896" s="2" t="s">
        <v>12695</v>
      </c>
      <c r="H1896" s="2" t="s">
        <v>5727</v>
      </c>
      <c r="I1896" s="2" t="s">
        <v>813</v>
      </c>
      <c r="J1896" s="2" t="s">
        <v>12696</v>
      </c>
      <c r="K1896" s="2" t="s">
        <v>507</v>
      </c>
      <c r="L1896" s="2" t="n">
        <v>0</v>
      </c>
      <c r="M1896" s="2" t="n">
        <v>0.92</v>
      </c>
    </row>
    <row r="1897" customFormat="false" ht="15" hidden="false" customHeight="false" outlineLevel="0" collapsed="false">
      <c r="A1897" s="2" t="n">
        <v>1895</v>
      </c>
      <c r="B1897" s="2" t="s">
        <v>8206</v>
      </c>
      <c r="C1897" s="2" t="n">
        <v>0</v>
      </c>
      <c r="D1897" s="2" t="n">
        <v>0</v>
      </c>
      <c r="E1897" s="2" t="s">
        <v>12697</v>
      </c>
      <c r="F1897" s="2" t="s">
        <v>743</v>
      </c>
      <c r="G1897" s="2" t="s">
        <v>12698</v>
      </c>
      <c r="H1897" s="2" t="s">
        <v>4022</v>
      </c>
      <c r="I1897" s="2" t="s">
        <v>4290</v>
      </c>
      <c r="J1897" s="2" t="s">
        <v>12699</v>
      </c>
      <c r="K1897" s="2" t="s">
        <v>507</v>
      </c>
      <c r="L1897" s="2" t="n">
        <v>0.09</v>
      </c>
      <c r="M1897" s="2" t="n">
        <v>1</v>
      </c>
    </row>
    <row r="1898" customFormat="false" ht="15" hidden="false" customHeight="false" outlineLevel="0" collapsed="false">
      <c r="A1898" s="2" t="n">
        <v>1896</v>
      </c>
      <c r="B1898" s="2" t="s">
        <v>8206</v>
      </c>
      <c r="C1898" s="2" t="n">
        <v>1</v>
      </c>
      <c r="D1898" s="2" t="n">
        <v>0</v>
      </c>
      <c r="E1898" s="2" t="s">
        <v>8210</v>
      </c>
      <c r="F1898" s="2" t="s">
        <v>8194</v>
      </c>
      <c r="G1898" s="2" t="s">
        <v>8211</v>
      </c>
      <c r="H1898" s="2" t="s">
        <v>1160</v>
      </c>
      <c r="I1898" s="2" t="s">
        <v>1964</v>
      </c>
      <c r="J1898" s="2" t="s">
        <v>12700</v>
      </c>
      <c r="K1898" s="2" t="s">
        <v>507</v>
      </c>
      <c r="L1898" s="2" t="n">
        <v>0</v>
      </c>
      <c r="M1898" s="2" t="n">
        <v>0.78</v>
      </c>
    </row>
    <row r="1899" customFormat="false" ht="15" hidden="false" customHeight="false" outlineLevel="0" collapsed="false">
      <c r="A1899" s="2" t="n">
        <v>1897</v>
      </c>
      <c r="B1899" s="2" t="s">
        <v>8206</v>
      </c>
      <c r="C1899" s="2" t="n">
        <v>0</v>
      </c>
      <c r="D1899" s="2" t="n">
        <v>0</v>
      </c>
      <c r="E1899" s="2" t="s">
        <v>12701</v>
      </c>
      <c r="F1899" s="2" t="s">
        <v>12702</v>
      </c>
      <c r="G1899" s="2" t="s">
        <v>12703</v>
      </c>
      <c r="H1899" s="2" t="s">
        <v>4072</v>
      </c>
      <c r="I1899" s="2" t="s">
        <v>2149</v>
      </c>
      <c r="J1899" s="2" t="s">
        <v>12704</v>
      </c>
      <c r="K1899" s="2" t="s">
        <v>507</v>
      </c>
      <c r="L1899" s="2" t="n">
        <v>0.2</v>
      </c>
      <c r="M1899" s="2" t="n">
        <v>0.8</v>
      </c>
    </row>
    <row r="1900" customFormat="false" ht="15" hidden="false" customHeight="false" outlineLevel="0" collapsed="false">
      <c r="A1900" s="2" t="n">
        <v>1898</v>
      </c>
      <c r="B1900" s="2" t="s">
        <v>8206</v>
      </c>
      <c r="C1900" s="2" t="n">
        <v>0</v>
      </c>
      <c r="D1900" s="2" t="n">
        <v>0</v>
      </c>
      <c r="E1900" s="2" t="s">
        <v>12705</v>
      </c>
      <c r="F1900" s="2" t="s">
        <v>8194</v>
      </c>
      <c r="G1900" s="2" t="s">
        <v>12706</v>
      </c>
      <c r="H1900" s="2" t="s">
        <v>1160</v>
      </c>
      <c r="I1900" s="2" t="s">
        <v>1397</v>
      </c>
      <c r="J1900" s="2" t="s">
        <v>12707</v>
      </c>
      <c r="K1900" s="2" t="s">
        <v>507</v>
      </c>
      <c r="L1900" s="2" t="n">
        <v>0</v>
      </c>
      <c r="M1900" s="2" t="n">
        <v>0.8</v>
      </c>
    </row>
    <row r="1901" customFormat="false" ht="15" hidden="false" customHeight="false" outlineLevel="0" collapsed="false">
      <c r="A1901" s="2" t="n">
        <v>1899</v>
      </c>
      <c r="B1901" s="2" t="s">
        <v>8206</v>
      </c>
      <c r="C1901" s="2" t="n">
        <v>0</v>
      </c>
      <c r="D1901" s="2" t="n">
        <v>0</v>
      </c>
      <c r="E1901" s="2" t="s">
        <v>12708</v>
      </c>
      <c r="F1901" s="2" t="s">
        <v>10554</v>
      </c>
      <c r="G1901" s="2" t="s">
        <v>12709</v>
      </c>
      <c r="H1901" s="2" t="s">
        <v>1160</v>
      </c>
      <c r="I1901" s="2" t="s">
        <v>7581</v>
      </c>
      <c r="J1901" s="2" t="s">
        <v>12710</v>
      </c>
      <c r="K1901" s="2" t="s">
        <v>507</v>
      </c>
      <c r="L1901" s="2" t="n">
        <v>0.2</v>
      </c>
      <c r="M1901" s="2" t="n">
        <v>1</v>
      </c>
    </row>
    <row r="1902" customFormat="false" ht="15" hidden="false" customHeight="false" outlineLevel="0" collapsed="false">
      <c r="A1902" s="2" t="n">
        <v>1900</v>
      </c>
      <c r="B1902" s="2" t="s">
        <v>8206</v>
      </c>
      <c r="C1902" s="2" t="n">
        <v>1</v>
      </c>
      <c r="D1902" s="2" t="n">
        <v>0</v>
      </c>
      <c r="E1902" s="2" t="s">
        <v>8214</v>
      </c>
      <c r="F1902" s="2" t="s">
        <v>8194</v>
      </c>
      <c r="G1902" s="2" t="s">
        <v>8215</v>
      </c>
      <c r="H1902" s="2" t="s">
        <v>745</v>
      </c>
      <c r="I1902" s="2" t="s">
        <v>67</v>
      </c>
      <c r="J1902" s="2" t="s">
        <v>12711</v>
      </c>
      <c r="K1902" s="2" t="s">
        <v>507</v>
      </c>
      <c r="L1902" s="2" t="n">
        <v>0</v>
      </c>
      <c r="M1902" s="2" t="n">
        <v>0.9</v>
      </c>
    </row>
    <row r="1903" customFormat="false" ht="15" hidden="false" customHeight="false" outlineLevel="0" collapsed="false">
      <c r="A1903" s="2" t="n">
        <v>1901</v>
      </c>
      <c r="B1903" s="2" t="s">
        <v>8206</v>
      </c>
      <c r="C1903" s="2" t="n">
        <v>0</v>
      </c>
      <c r="D1903" s="2" t="n">
        <v>0</v>
      </c>
      <c r="E1903" s="2" t="s">
        <v>12712</v>
      </c>
      <c r="F1903" s="2" t="s">
        <v>10554</v>
      </c>
      <c r="G1903" s="2" t="s">
        <v>12713</v>
      </c>
      <c r="H1903" s="2" t="s">
        <v>7823</v>
      </c>
      <c r="I1903" s="2" t="s">
        <v>538</v>
      </c>
      <c r="J1903" s="2" t="s">
        <v>12714</v>
      </c>
      <c r="K1903" s="2" t="s">
        <v>507</v>
      </c>
      <c r="L1903" s="2" t="n">
        <v>0</v>
      </c>
      <c r="M1903" s="2" t="n">
        <v>1</v>
      </c>
    </row>
    <row r="1904" customFormat="false" ht="15" hidden="false" customHeight="false" outlineLevel="0" collapsed="false">
      <c r="A1904" s="2" t="n">
        <v>1902</v>
      </c>
      <c r="B1904" s="2" t="s">
        <v>8206</v>
      </c>
      <c r="C1904" s="2" t="n">
        <v>0</v>
      </c>
      <c r="D1904" s="2" t="n">
        <v>0</v>
      </c>
      <c r="E1904" s="2" t="s">
        <v>12715</v>
      </c>
      <c r="F1904" s="2" t="s">
        <v>743</v>
      </c>
      <c r="G1904" s="2" t="s">
        <v>12716</v>
      </c>
      <c r="H1904" s="2" t="s">
        <v>3238</v>
      </c>
      <c r="I1904" s="2" t="s">
        <v>3239</v>
      </c>
      <c r="J1904" s="2" t="s">
        <v>12717</v>
      </c>
      <c r="K1904" s="2" t="s">
        <v>507</v>
      </c>
      <c r="L1904" s="2" t="n">
        <v>0</v>
      </c>
      <c r="M1904" s="2" t="n">
        <v>0.86</v>
      </c>
    </row>
    <row r="1905" customFormat="false" ht="15" hidden="false" customHeight="false" outlineLevel="0" collapsed="false">
      <c r="A1905" s="2" t="n">
        <v>1903</v>
      </c>
      <c r="B1905" s="2" t="s">
        <v>8206</v>
      </c>
      <c r="C1905" s="2" t="n">
        <v>1</v>
      </c>
      <c r="D1905" s="2" t="n">
        <v>0</v>
      </c>
      <c r="E1905" s="2" t="s">
        <v>8220</v>
      </c>
      <c r="F1905" s="2" t="s">
        <v>95</v>
      </c>
      <c r="G1905" s="2" t="s">
        <v>8221</v>
      </c>
      <c r="H1905" s="2" t="s">
        <v>3238</v>
      </c>
      <c r="I1905" s="2" t="s">
        <v>2196</v>
      </c>
      <c r="J1905" s="2" t="s">
        <v>12718</v>
      </c>
      <c r="K1905" s="2" t="s">
        <v>507</v>
      </c>
      <c r="L1905" s="2" t="n">
        <v>0</v>
      </c>
      <c r="M1905" s="2" t="n">
        <v>0.75</v>
      </c>
    </row>
    <row r="1906" customFormat="false" ht="15" hidden="false" customHeight="false" outlineLevel="0" collapsed="false">
      <c r="A1906" s="2" t="n">
        <v>1904</v>
      </c>
      <c r="B1906" s="2" t="s">
        <v>8206</v>
      </c>
      <c r="C1906" s="2" t="n">
        <v>2</v>
      </c>
      <c r="D1906" s="2" t="n">
        <v>0</v>
      </c>
      <c r="E1906" s="2" t="s">
        <v>8225</v>
      </c>
      <c r="F1906" s="2" t="s">
        <v>592</v>
      </c>
      <c r="G1906" s="2" t="s">
        <v>8226</v>
      </c>
      <c r="H1906" s="2" t="s">
        <v>745</v>
      </c>
      <c r="I1906" s="2" t="s">
        <v>190</v>
      </c>
      <c r="J1906" s="2" t="s">
        <v>12719</v>
      </c>
      <c r="K1906" s="2" t="s">
        <v>507</v>
      </c>
      <c r="L1906" s="2" t="n">
        <v>0.1</v>
      </c>
      <c r="M1906" s="2" t="n">
        <v>0.46</v>
      </c>
    </row>
    <row r="1907" customFormat="false" ht="15" hidden="false" customHeight="false" outlineLevel="0" collapsed="false">
      <c r="A1907" s="2" t="n">
        <v>1905</v>
      </c>
      <c r="B1907" s="2" t="s">
        <v>8206</v>
      </c>
      <c r="C1907" s="2" t="n">
        <v>1</v>
      </c>
      <c r="D1907" s="2" t="n">
        <v>0</v>
      </c>
      <c r="E1907" s="2" t="s">
        <v>8234</v>
      </c>
      <c r="F1907" s="2" t="s">
        <v>1168</v>
      </c>
      <c r="G1907" s="2" t="s">
        <v>8235</v>
      </c>
      <c r="H1907" s="2" t="s">
        <v>420</v>
      </c>
      <c r="I1907" s="2" t="s">
        <v>4606</v>
      </c>
      <c r="J1907" s="2" t="s">
        <v>12720</v>
      </c>
      <c r="K1907" s="2" t="s">
        <v>507</v>
      </c>
      <c r="L1907" s="2" t="n">
        <v>0</v>
      </c>
      <c r="M1907" s="2" t="n">
        <v>0.71</v>
      </c>
    </row>
    <row r="1908" customFormat="false" ht="15" hidden="false" customHeight="false" outlineLevel="0" collapsed="false">
      <c r="A1908" s="2" t="n">
        <v>1906</v>
      </c>
      <c r="B1908" s="2" t="s">
        <v>8206</v>
      </c>
      <c r="C1908" s="2" t="n">
        <v>0</v>
      </c>
      <c r="D1908" s="2" t="n">
        <v>0</v>
      </c>
      <c r="E1908" s="2" t="s">
        <v>12721</v>
      </c>
      <c r="F1908" s="2" t="s">
        <v>95</v>
      </c>
      <c r="G1908" s="2" t="s">
        <v>12722</v>
      </c>
      <c r="H1908" s="2" t="s">
        <v>12723</v>
      </c>
      <c r="I1908" s="2" t="s">
        <v>908</v>
      </c>
      <c r="J1908" s="2" t="s">
        <v>12724</v>
      </c>
      <c r="K1908" s="2" t="s">
        <v>507</v>
      </c>
      <c r="L1908" s="2" t="n">
        <v>0.07</v>
      </c>
      <c r="M1908" s="2" t="n">
        <v>0.62</v>
      </c>
    </row>
    <row r="1909" customFormat="false" ht="15" hidden="false" customHeight="false" outlineLevel="0" collapsed="false">
      <c r="A1909" s="2" t="n">
        <v>1907</v>
      </c>
      <c r="B1909" s="2" t="s">
        <v>8206</v>
      </c>
      <c r="C1909" s="2" t="n">
        <v>1</v>
      </c>
      <c r="D1909" s="2" t="n">
        <v>0</v>
      </c>
      <c r="E1909" s="2" t="s">
        <v>8238</v>
      </c>
      <c r="F1909" s="2" t="s">
        <v>592</v>
      </c>
      <c r="G1909" s="2" t="s">
        <v>8239</v>
      </c>
      <c r="H1909" s="2" t="s">
        <v>745</v>
      </c>
      <c r="I1909" s="2" t="s">
        <v>751</v>
      </c>
      <c r="J1909" s="2" t="s">
        <v>12725</v>
      </c>
      <c r="K1909" s="2" t="s">
        <v>507</v>
      </c>
      <c r="L1909" s="2" t="n">
        <v>0</v>
      </c>
      <c r="M1909" s="2" t="n">
        <v>0.54</v>
      </c>
    </row>
    <row r="1910" customFormat="false" ht="15" hidden="false" customHeight="false" outlineLevel="0" collapsed="false">
      <c r="A1910" s="2" t="n">
        <v>1908</v>
      </c>
      <c r="B1910" s="2" t="s">
        <v>8206</v>
      </c>
      <c r="C1910" s="2" t="n">
        <v>3</v>
      </c>
      <c r="D1910" s="2" t="n">
        <v>0</v>
      </c>
      <c r="E1910" s="2" t="s">
        <v>8243</v>
      </c>
      <c r="F1910" s="2" t="s">
        <v>592</v>
      </c>
      <c r="G1910" s="2" t="s">
        <v>8244</v>
      </c>
      <c r="H1910" s="2" t="s">
        <v>745</v>
      </c>
      <c r="I1910" s="2" t="s">
        <v>190</v>
      </c>
      <c r="J1910" s="2" t="s">
        <v>12726</v>
      </c>
      <c r="K1910" s="2" t="s">
        <v>507</v>
      </c>
      <c r="L1910" s="2" t="n">
        <v>0</v>
      </c>
      <c r="M1910" s="2" t="n">
        <v>0.45</v>
      </c>
    </row>
    <row r="1911" customFormat="false" ht="15" hidden="false" customHeight="false" outlineLevel="0" collapsed="false">
      <c r="A1911" s="2" t="n">
        <v>1909</v>
      </c>
      <c r="B1911" s="2" t="s">
        <v>8206</v>
      </c>
      <c r="C1911" s="2" t="n">
        <v>3</v>
      </c>
      <c r="D1911" s="2" t="n">
        <v>0</v>
      </c>
      <c r="E1911" s="2" t="s">
        <v>8254</v>
      </c>
      <c r="F1911" s="2" t="s">
        <v>592</v>
      </c>
      <c r="G1911" s="2" t="s">
        <v>8255</v>
      </c>
      <c r="H1911" s="2" t="s">
        <v>745</v>
      </c>
      <c r="I1911" s="2" t="s">
        <v>430</v>
      </c>
      <c r="J1911" s="2" t="s">
        <v>12727</v>
      </c>
      <c r="K1911" s="2" t="s">
        <v>507</v>
      </c>
      <c r="L1911" s="2" t="n">
        <v>0.11</v>
      </c>
      <c r="M1911" s="2" t="n">
        <v>0.4</v>
      </c>
    </row>
    <row r="1912" customFormat="false" ht="15" hidden="false" customHeight="false" outlineLevel="0" collapsed="false">
      <c r="A1912" s="2" t="n">
        <v>1910</v>
      </c>
      <c r="B1912" s="2" t="s">
        <v>8206</v>
      </c>
      <c r="C1912" s="2" t="n">
        <v>1</v>
      </c>
      <c r="D1912" s="2" t="n">
        <v>0</v>
      </c>
      <c r="E1912" s="2" t="s">
        <v>8264</v>
      </c>
      <c r="F1912" s="2" t="s">
        <v>176</v>
      </c>
      <c r="G1912" s="2" t="s">
        <v>8265</v>
      </c>
      <c r="H1912" s="2" t="s">
        <v>7960</v>
      </c>
      <c r="I1912" s="2" t="s">
        <v>805</v>
      </c>
      <c r="J1912" s="2" t="s">
        <v>12728</v>
      </c>
      <c r="K1912" s="2" t="s">
        <v>507</v>
      </c>
      <c r="L1912" s="2" t="n">
        <v>0.08</v>
      </c>
      <c r="M1912" s="2" t="n">
        <v>0.7</v>
      </c>
    </row>
    <row r="1913" customFormat="false" ht="15" hidden="false" customHeight="false" outlineLevel="0" collapsed="false">
      <c r="A1913" s="2" t="n">
        <v>1911</v>
      </c>
      <c r="B1913" s="2" t="s">
        <v>8206</v>
      </c>
      <c r="C1913" s="2" t="n">
        <v>1</v>
      </c>
      <c r="D1913" s="2" t="n">
        <v>1</v>
      </c>
      <c r="E1913" s="2" t="s">
        <v>8267</v>
      </c>
      <c r="F1913" s="2" t="s">
        <v>3228</v>
      </c>
      <c r="G1913" s="2" t="s">
        <v>8268</v>
      </c>
      <c r="H1913" s="2" t="s">
        <v>745</v>
      </c>
      <c r="I1913" s="2" t="s">
        <v>2204</v>
      </c>
      <c r="J1913" s="2" t="s">
        <v>12729</v>
      </c>
      <c r="K1913" s="2" t="s">
        <v>507</v>
      </c>
      <c r="L1913" s="2" t="n">
        <v>0.12</v>
      </c>
      <c r="M1913" s="2" t="n">
        <v>0.8</v>
      </c>
    </row>
    <row r="1914" customFormat="false" ht="15" hidden="false" customHeight="false" outlineLevel="0" collapsed="false">
      <c r="A1914" s="2" t="n">
        <v>1912</v>
      </c>
      <c r="B1914" s="2" t="s">
        <v>8206</v>
      </c>
      <c r="C1914" s="2" t="n">
        <v>0</v>
      </c>
      <c r="D1914" s="2" t="n">
        <v>0</v>
      </c>
      <c r="E1914" s="2" t="s">
        <v>12730</v>
      </c>
      <c r="F1914" s="2" t="s">
        <v>12731</v>
      </c>
      <c r="G1914" s="2" t="s">
        <v>12732</v>
      </c>
      <c r="H1914" s="2" t="s">
        <v>8072</v>
      </c>
      <c r="I1914" s="2" t="s">
        <v>530</v>
      </c>
      <c r="J1914" s="2" t="s">
        <v>12733</v>
      </c>
      <c r="K1914" s="2" t="s">
        <v>507</v>
      </c>
      <c r="L1914" s="2" t="n">
        <v>0</v>
      </c>
      <c r="M1914" s="2" t="n">
        <v>0.25</v>
      </c>
    </row>
    <row r="1915" customFormat="false" ht="15" hidden="false" customHeight="false" outlineLevel="0" collapsed="false">
      <c r="A1915" s="2" t="n">
        <v>1913</v>
      </c>
      <c r="B1915" s="2" t="s">
        <v>8206</v>
      </c>
      <c r="C1915" s="2" t="n">
        <v>1</v>
      </c>
      <c r="D1915" s="2" t="n">
        <v>0</v>
      </c>
      <c r="E1915" s="2" t="s">
        <v>8271</v>
      </c>
      <c r="F1915" s="2" t="s">
        <v>8272</v>
      </c>
      <c r="G1915" s="2" t="s">
        <v>8273</v>
      </c>
      <c r="H1915" s="2" t="s">
        <v>8274</v>
      </c>
      <c r="I1915" s="2" t="s">
        <v>8275</v>
      </c>
      <c r="J1915" s="2" t="s">
        <v>12734</v>
      </c>
      <c r="K1915" s="2" t="s">
        <v>507</v>
      </c>
      <c r="L1915" s="2" t="n">
        <v>0.08</v>
      </c>
      <c r="M1915" s="2" t="n">
        <v>1</v>
      </c>
    </row>
    <row r="1916" customFormat="false" ht="15" hidden="false" customHeight="false" outlineLevel="0" collapsed="false">
      <c r="A1916" s="2" t="n">
        <v>1914</v>
      </c>
      <c r="B1916" s="2" t="s">
        <v>8206</v>
      </c>
      <c r="C1916" s="2" t="n">
        <v>1</v>
      </c>
      <c r="D1916" s="2" t="n">
        <v>0</v>
      </c>
      <c r="E1916" s="2" t="s">
        <v>8281</v>
      </c>
      <c r="F1916" s="2" t="s">
        <v>8282</v>
      </c>
      <c r="G1916" s="2" t="s">
        <v>8283</v>
      </c>
      <c r="H1916" s="2" t="s">
        <v>8284</v>
      </c>
      <c r="I1916" s="2" t="s">
        <v>3398</v>
      </c>
      <c r="J1916" s="2" t="s">
        <v>12735</v>
      </c>
      <c r="K1916" s="2" t="s">
        <v>507</v>
      </c>
      <c r="L1916" s="2" t="n">
        <v>0.08</v>
      </c>
      <c r="M1916" s="2" t="n">
        <v>0.91</v>
      </c>
    </row>
    <row r="1917" customFormat="false" ht="15" hidden="false" customHeight="false" outlineLevel="0" collapsed="false">
      <c r="A1917" s="2" t="n">
        <v>1915</v>
      </c>
      <c r="B1917" s="2" t="s">
        <v>8206</v>
      </c>
      <c r="C1917" s="2" t="n">
        <v>0</v>
      </c>
      <c r="D1917" s="2" t="n">
        <v>0</v>
      </c>
      <c r="E1917" s="2" t="s">
        <v>12736</v>
      </c>
      <c r="F1917" s="2" t="s">
        <v>12737</v>
      </c>
      <c r="G1917" s="2" t="s">
        <v>12738</v>
      </c>
      <c r="H1917" s="2" t="s">
        <v>8274</v>
      </c>
      <c r="I1917" s="2" t="s">
        <v>1354</v>
      </c>
      <c r="J1917" s="2" t="s">
        <v>12739</v>
      </c>
      <c r="K1917" s="2" t="s">
        <v>507</v>
      </c>
      <c r="L1917" s="2" t="n">
        <v>0.27</v>
      </c>
      <c r="M1917" s="2" t="n">
        <v>0.7</v>
      </c>
    </row>
    <row r="1918" customFormat="false" ht="15" hidden="false" customHeight="false" outlineLevel="0" collapsed="false">
      <c r="A1918" s="2" t="n">
        <v>1916</v>
      </c>
      <c r="B1918" s="2" t="s">
        <v>8206</v>
      </c>
      <c r="C1918" s="2" t="n">
        <v>0</v>
      </c>
      <c r="D1918" s="2" t="n">
        <v>0</v>
      </c>
      <c r="E1918" s="2" t="s">
        <v>12740</v>
      </c>
      <c r="F1918" s="2" t="s">
        <v>12741</v>
      </c>
      <c r="G1918" s="2" t="s">
        <v>12742</v>
      </c>
      <c r="H1918" s="2" t="s">
        <v>745</v>
      </c>
      <c r="I1918" s="2" t="s">
        <v>8275</v>
      </c>
      <c r="J1918" s="2" t="s">
        <v>12743</v>
      </c>
      <c r="K1918" s="2" t="s">
        <v>507</v>
      </c>
      <c r="L1918" s="2" t="n">
        <v>0</v>
      </c>
      <c r="M1918" s="2" t="n">
        <v>0.78</v>
      </c>
    </row>
    <row r="1919" customFormat="false" ht="15" hidden="false" customHeight="false" outlineLevel="0" collapsed="false">
      <c r="A1919" s="2" t="n">
        <v>1917</v>
      </c>
      <c r="B1919" s="2" t="s">
        <v>8206</v>
      </c>
      <c r="C1919" s="2" t="n">
        <v>0</v>
      </c>
      <c r="D1919" s="2" t="n">
        <v>0</v>
      </c>
      <c r="E1919" s="2" t="s">
        <v>12744</v>
      </c>
      <c r="F1919" s="2" t="s">
        <v>12745</v>
      </c>
      <c r="G1919" s="2" t="s">
        <v>12746</v>
      </c>
      <c r="H1919" s="2" t="s">
        <v>12747</v>
      </c>
      <c r="I1919" s="2" t="s">
        <v>1092</v>
      </c>
      <c r="J1919" s="2" t="s">
        <v>12748</v>
      </c>
      <c r="K1919" s="2" t="s">
        <v>507</v>
      </c>
      <c r="L1919" s="2" t="n">
        <v>0</v>
      </c>
      <c r="M1919" s="2"/>
    </row>
    <row r="1920" customFormat="false" ht="15" hidden="false" customHeight="false" outlineLevel="0" collapsed="false">
      <c r="A1920" s="2" t="n">
        <v>1918</v>
      </c>
      <c r="B1920" s="2" t="s">
        <v>8206</v>
      </c>
      <c r="C1920" s="2" t="n">
        <v>0</v>
      </c>
      <c r="D1920" s="2" t="n">
        <v>0</v>
      </c>
      <c r="E1920" s="2" t="s">
        <v>12749</v>
      </c>
      <c r="F1920" s="2" t="s">
        <v>694</v>
      </c>
      <c r="G1920" s="2" t="s">
        <v>12750</v>
      </c>
      <c r="H1920" s="2" t="s">
        <v>6718</v>
      </c>
      <c r="I1920" s="2" t="s">
        <v>1429</v>
      </c>
      <c r="J1920" s="2" t="s">
        <v>12751</v>
      </c>
      <c r="K1920" s="2" t="s">
        <v>507</v>
      </c>
      <c r="L1920" s="2" t="n">
        <v>0.11</v>
      </c>
      <c r="M1920" s="2" t="n">
        <v>0.67</v>
      </c>
    </row>
    <row r="1921" customFormat="false" ht="15" hidden="false" customHeight="false" outlineLevel="0" collapsed="false">
      <c r="A1921" s="2" t="n">
        <v>1919</v>
      </c>
      <c r="B1921" s="2" t="s">
        <v>8206</v>
      </c>
      <c r="C1921" s="2" t="n">
        <v>0</v>
      </c>
      <c r="D1921" s="2" t="n">
        <v>0</v>
      </c>
      <c r="E1921" s="2" t="s">
        <v>12752</v>
      </c>
      <c r="F1921" s="2" t="s">
        <v>1144</v>
      </c>
      <c r="G1921" s="2" t="s">
        <v>12753</v>
      </c>
      <c r="H1921" s="2" t="s">
        <v>4313</v>
      </c>
      <c r="I1921" s="2" t="s">
        <v>813</v>
      </c>
      <c r="J1921" s="2" t="s">
        <v>12754</v>
      </c>
      <c r="K1921" s="2" t="s">
        <v>507</v>
      </c>
      <c r="L1921" s="2" t="n">
        <v>0</v>
      </c>
      <c r="M1921" s="2" t="n">
        <v>0.67</v>
      </c>
    </row>
    <row r="1922" customFormat="false" ht="15" hidden="false" customHeight="false" outlineLevel="0" collapsed="false">
      <c r="A1922" s="2" t="n">
        <v>1920</v>
      </c>
      <c r="B1922" s="2" t="s">
        <v>8285</v>
      </c>
      <c r="C1922" s="2" t="n">
        <v>0</v>
      </c>
      <c r="D1922" s="2" t="n">
        <v>0</v>
      </c>
      <c r="E1922" s="2" t="s">
        <v>12755</v>
      </c>
      <c r="F1922" s="2" t="s">
        <v>592</v>
      </c>
      <c r="G1922" s="2" t="s">
        <v>12756</v>
      </c>
      <c r="H1922" s="2" t="s">
        <v>4380</v>
      </c>
      <c r="I1922" s="2" t="s">
        <v>3765</v>
      </c>
      <c r="J1922" s="2" t="s">
        <v>12757</v>
      </c>
      <c r="K1922" s="2" t="s">
        <v>507</v>
      </c>
      <c r="L1922" s="2" t="n">
        <v>0</v>
      </c>
      <c r="M1922" s="2" t="n">
        <v>0.64</v>
      </c>
    </row>
    <row r="1923" customFormat="false" ht="15" hidden="false" customHeight="false" outlineLevel="0" collapsed="false">
      <c r="A1923" s="2" t="n">
        <v>1921</v>
      </c>
      <c r="B1923" s="2" t="s">
        <v>8285</v>
      </c>
      <c r="C1923" s="2" t="n">
        <v>0</v>
      </c>
      <c r="D1923" s="2" t="n">
        <v>0</v>
      </c>
      <c r="E1923" s="2" t="s">
        <v>12758</v>
      </c>
      <c r="F1923" s="2" t="s">
        <v>10110</v>
      </c>
      <c r="G1923" s="2" t="s">
        <v>12759</v>
      </c>
      <c r="H1923" s="2" t="s">
        <v>97</v>
      </c>
      <c r="I1923" s="2" t="s">
        <v>945</v>
      </c>
      <c r="J1923" s="2" t="s">
        <v>12760</v>
      </c>
      <c r="K1923" s="2" t="s">
        <v>507</v>
      </c>
      <c r="L1923" s="2" t="n">
        <v>0</v>
      </c>
      <c r="M1923" s="2" t="n">
        <v>0.89</v>
      </c>
    </row>
    <row r="1924" customFormat="false" ht="15" hidden="false" customHeight="false" outlineLevel="0" collapsed="false">
      <c r="A1924" s="2" t="n">
        <v>1922</v>
      </c>
      <c r="B1924" s="2" t="s">
        <v>8285</v>
      </c>
      <c r="C1924" s="2" t="n">
        <v>0</v>
      </c>
      <c r="D1924" s="2" t="n">
        <v>0</v>
      </c>
      <c r="E1924" s="2" t="s">
        <v>12761</v>
      </c>
      <c r="F1924" s="2" t="s">
        <v>1979</v>
      </c>
      <c r="G1924" s="2" t="s">
        <v>12762</v>
      </c>
      <c r="H1924" s="2" t="s">
        <v>8124</v>
      </c>
      <c r="I1924" s="2" t="s">
        <v>2731</v>
      </c>
      <c r="J1924" s="2" t="s">
        <v>12763</v>
      </c>
      <c r="K1924" s="2" t="s">
        <v>507</v>
      </c>
      <c r="L1924" s="2" t="n">
        <v>0</v>
      </c>
      <c r="M1924" s="2" t="n">
        <v>0.71</v>
      </c>
    </row>
    <row r="1925" customFormat="false" ht="15" hidden="false" customHeight="false" outlineLevel="0" collapsed="false">
      <c r="A1925" s="2" t="n">
        <v>1923</v>
      </c>
      <c r="B1925" s="2" t="s">
        <v>8285</v>
      </c>
      <c r="C1925" s="2" t="n">
        <v>1</v>
      </c>
      <c r="D1925" s="2" t="n">
        <v>0</v>
      </c>
      <c r="E1925" s="2" t="s">
        <v>8289</v>
      </c>
      <c r="F1925" s="2" t="s">
        <v>3228</v>
      </c>
      <c r="G1925" s="2" t="s">
        <v>8290</v>
      </c>
      <c r="H1925" s="2" t="s">
        <v>6718</v>
      </c>
      <c r="I1925" s="2" t="s">
        <v>159</v>
      </c>
      <c r="J1925" s="2" t="s">
        <v>12764</v>
      </c>
      <c r="K1925" s="2" t="s">
        <v>507</v>
      </c>
      <c r="L1925" s="2" t="n">
        <v>0</v>
      </c>
      <c r="M1925" s="2" t="n">
        <v>0.8</v>
      </c>
    </row>
    <row r="1926" customFormat="false" ht="15" hidden="false" customHeight="false" outlineLevel="0" collapsed="false">
      <c r="A1926" s="2" t="n">
        <v>1924</v>
      </c>
      <c r="B1926" s="2" t="s">
        <v>8285</v>
      </c>
      <c r="C1926" s="2" t="n">
        <v>0</v>
      </c>
      <c r="D1926" s="2" t="n">
        <v>0</v>
      </c>
      <c r="E1926" s="2" t="s">
        <v>12765</v>
      </c>
      <c r="F1926" s="2" t="s">
        <v>12766</v>
      </c>
      <c r="G1926" s="2" t="s">
        <v>12767</v>
      </c>
      <c r="H1926" s="2" t="s">
        <v>3343</v>
      </c>
      <c r="I1926" s="2" t="s">
        <v>1429</v>
      </c>
      <c r="J1926" s="2" t="s">
        <v>12768</v>
      </c>
      <c r="K1926" s="2" t="s">
        <v>160</v>
      </c>
      <c r="L1926" s="2" t="n">
        <v>0.4</v>
      </c>
      <c r="M1926" s="2" t="n">
        <v>0.7</v>
      </c>
    </row>
    <row r="1927" customFormat="false" ht="15" hidden="false" customHeight="false" outlineLevel="0" collapsed="false">
      <c r="A1927" s="2" t="n">
        <v>1925</v>
      </c>
      <c r="B1927" s="2" t="s">
        <v>8285</v>
      </c>
      <c r="C1927" s="2" t="n">
        <v>0</v>
      </c>
      <c r="D1927" s="2" t="n">
        <v>0</v>
      </c>
      <c r="E1927" s="2" t="s">
        <v>12769</v>
      </c>
      <c r="F1927" s="2" t="s">
        <v>3228</v>
      </c>
      <c r="G1927" s="2" t="s">
        <v>12770</v>
      </c>
      <c r="H1927" s="2" t="s">
        <v>4380</v>
      </c>
      <c r="I1927" s="2" t="s">
        <v>3765</v>
      </c>
      <c r="J1927" s="2" t="s">
        <v>12771</v>
      </c>
      <c r="K1927" s="2" t="s">
        <v>507</v>
      </c>
      <c r="L1927" s="2" t="n">
        <v>0</v>
      </c>
      <c r="M1927" s="2" t="n">
        <v>0.71</v>
      </c>
    </row>
    <row r="1928" customFormat="false" ht="15" hidden="false" customHeight="false" outlineLevel="0" collapsed="false">
      <c r="A1928" s="2" t="n">
        <v>1926</v>
      </c>
      <c r="B1928" s="2" t="s">
        <v>8285</v>
      </c>
      <c r="C1928" s="2" t="n">
        <v>0</v>
      </c>
      <c r="D1928" s="2" t="n">
        <v>0</v>
      </c>
      <c r="E1928" s="2" t="s">
        <v>12772</v>
      </c>
      <c r="F1928" s="2" t="s">
        <v>743</v>
      </c>
      <c r="G1928" s="2" t="s">
        <v>12773</v>
      </c>
      <c r="H1928" s="2" t="s">
        <v>745</v>
      </c>
      <c r="I1928" s="2" t="s">
        <v>3469</v>
      </c>
      <c r="J1928" s="2" t="s">
        <v>12774</v>
      </c>
      <c r="K1928" s="2" t="s">
        <v>507</v>
      </c>
      <c r="L1928" s="2" t="n">
        <v>0</v>
      </c>
      <c r="M1928" s="2" t="n">
        <v>0.73</v>
      </c>
    </row>
    <row r="1929" customFormat="false" ht="15" hidden="false" customHeight="false" outlineLevel="0" collapsed="false">
      <c r="A1929" s="2" t="n">
        <v>1927</v>
      </c>
      <c r="B1929" s="2" t="s">
        <v>8285</v>
      </c>
      <c r="C1929" s="2" t="n">
        <v>0</v>
      </c>
      <c r="D1929" s="2" t="n">
        <v>0</v>
      </c>
      <c r="E1929" s="2" t="s">
        <v>12775</v>
      </c>
      <c r="F1929" s="2" t="s">
        <v>803</v>
      </c>
      <c r="G1929" s="2" t="s">
        <v>12776</v>
      </c>
      <c r="H1929" s="2" t="s">
        <v>3544</v>
      </c>
      <c r="I1929" s="2" t="s">
        <v>262</v>
      </c>
      <c r="J1929" s="2" t="s">
        <v>12777</v>
      </c>
      <c r="K1929" s="2" t="s">
        <v>507</v>
      </c>
      <c r="L1929" s="2" t="n">
        <v>0</v>
      </c>
      <c r="M1929" s="2" t="n">
        <v>1</v>
      </c>
    </row>
    <row r="1930" customFormat="false" ht="15" hidden="false" customHeight="false" outlineLevel="0" collapsed="false">
      <c r="A1930" s="2" t="n">
        <v>1928</v>
      </c>
      <c r="B1930" s="2" t="s">
        <v>8285</v>
      </c>
      <c r="C1930" s="2" t="n">
        <v>0</v>
      </c>
      <c r="D1930" s="2" t="n">
        <v>0</v>
      </c>
      <c r="E1930" s="2" t="s">
        <v>12778</v>
      </c>
      <c r="F1930" s="2" t="s">
        <v>12737</v>
      </c>
      <c r="G1930" s="2" t="s">
        <v>12779</v>
      </c>
      <c r="H1930" s="2" t="s">
        <v>420</v>
      </c>
      <c r="I1930" s="2" t="s">
        <v>3888</v>
      </c>
      <c r="J1930" s="2" t="s">
        <v>12780</v>
      </c>
      <c r="K1930" s="2" t="s">
        <v>507</v>
      </c>
      <c r="L1930" s="2" t="n">
        <v>0.11</v>
      </c>
      <c r="M1930" s="2" t="n">
        <v>0.87</v>
      </c>
    </row>
    <row r="1931" customFormat="false" ht="15" hidden="false" customHeight="false" outlineLevel="0" collapsed="false">
      <c r="A1931" s="2" t="n">
        <v>1929</v>
      </c>
      <c r="B1931" s="2" t="s">
        <v>8285</v>
      </c>
      <c r="C1931" s="2" t="n">
        <v>0</v>
      </c>
      <c r="D1931" s="2" t="n">
        <v>0</v>
      </c>
      <c r="E1931" s="2" t="s">
        <v>12781</v>
      </c>
      <c r="F1931" s="2" t="s">
        <v>3210</v>
      </c>
      <c r="G1931" s="2" t="s">
        <v>12782</v>
      </c>
      <c r="H1931" s="2" t="s">
        <v>420</v>
      </c>
      <c r="I1931" s="2" t="s">
        <v>430</v>
      </c>
      <c r="J1931" s="4" t="s">
        <v>12783</v>
      </c>
      <c r="K1931" s="2" t="s">
        <v>507</v>
      </c>
      <c r="L1931" s="2" t="n">
        <v>0.11</v>
      </c>
      <c r="M1931" s="2" t="n">
        <v>0.44</v>
      </c>
    </row>
    <row r="1932" customFormat="false" ht="15" hidden="false" customHeight="false" outlineLevel="0" collapsed="false">
      <c r="A1932" s="2" t="n">
        <v>1930</v>
      </c>
      <c r="B1932" s="2" t="s">
        <v>8285</v>
      </c>
      <c r="C1932" s="2" t="n">
        <v>0</v>
      </c>
      <c r="D1932" s="2" t="n">
        <v>0</v>
      </c>
      <c r="E1932" s="2" t="s">
        <v>12784</v>
      </c>
      <c r="F1932" s="2" t="s">
        <v>3762</v>
      </c>
      <c r="G1932" s="2" t="s">
        <v>12785</v>
      </c>
      <c r="H1932" s="2" t="s">
        <v>11522</v>
      </c>
      <c r="I1932" s="2" t="s">
        <v>3194</v>
      </c>
      <c r="J1932" s="2" t="s">
        <v>12786</v>
      </c>
      <c r="K1932" s="2" t="s">
        <v>507</v>
      </c>
      <c r="L1932" s="2" t="n">
        <v>0.23</v>
      </c>
      <c r="M1932" s="2" t="n">
        <v>0.73</v>
      </c>
    </row>
    <row r="1933" customFormat="false" ht="15" hidden="false" customHeight="false" outlineLevel="0" collapsed="false">
      <c r="A1933" s="2" t="n">
        <v>1931</v>
      </c>
      <c r="B1933" s="2" t="s">
        <v>8285</v>
      </c>
      <c r="C1933" s="2" t="n">
        <v>1</v>
      </c>
      <c r="D1933" s="2" t="n">
        <v>0</v>
      </c>
      <c r="E1933" s="2" t="s">
        <v>8294</v>
      </c>
      <c r="F1933" s="2" t="s">
        <v>64</v>
      </c>
      <c r="G1933" s="2" t="s">
        <v>8295</v>
      </c>
      <c r="H1933" s="2" t="s">
        <v>3330</v>
      </c>
      <c r="I1933" s="2" t="s">
        <v>1429</v>
      </c>
      <c r="J1933" s="2" t="s">
        <v>12787</v>
      </c>
      <c r="K1933" s="2" t="s">
        <v>507</v>
      </c>
      <c r="L1933" s="2" t="n">
        <v>0.09</v>
      </c>
      <c r="M1933" s="2" t="n">
        <v>0.6</v>
      </c>
    </row>
    <row r="1934" customFormat="false" ht="15" hidden="false" customHeight="false" outlineLevel="0" collapsed="false">
      <c r="A1934" s="2" t="n">
        <v>1932</v>
      </c>
      <c r="B1934" s="2" t="s">
        <v>8285</v>
      </c>
      <c r="C1934" s="2" t="n">
        <v>2</v>
      </c>
      <c r="D1934" s="2" t="n">
        <v>1</v>
      </c>
      <c r="E1934" s="2" t="s">
        <v>8299</v>
      </c>
      <c r="F1934" s="2" t="s">
        <v>64</v>
      </c>
      <c r="G1934" s="2" t="s">
        <v>8300</v>
      </c>
      <c r="H1934" s="2" t="s">
        <v>8301</v>
      </c>
      <c r="I1934" s="2" t="s">
        <v>1365</v>
      </c>
      <c r="J1934" s="2" t="s">
        <v>12788</v>
      </c>
      <c r="K1934" s="2" t="s">
        <v>507</v>
      </c>
      <c r="L1934" s="2" t="n">
        <v>0</v>
      </c>
      <c r="M1934" s="2" t="n">
        <v>0.78</v>
      </c>
    </row>
    <row r="1935" customFormat="false" ht="15" hidden="false" customHeight="false" outlineLevel="0" collapsed="false">
      <c r="A1935" s="2" t="n">
        <v>1933</v>
      </c>
      <c r="B1935" s="2" t="s">
        <v>8285</v>
      </c>
      <c r="C1935" s="2" t="n">
        <v>1</v>
      </c>
      <c r="D1935" s="2" t="n">
        <v>0</v>
      </c>
      <c r="E1935" s="2" t="s">
        <v>8309</v>
      </c>
      <c r="F1935" s="2" t="s">
        <v>64</v>
      </c>
      <c r="G1935" s="2" t="s">
        <v>8310</v>
      </c>
      <c r="H1935" s="2" t="s">
        <v>965</v>
      </c>
      <c r="I1935" s="2" t="s">
        <v>751</v>
      </c>
      <c r="J1935" s="2" t="s">
        <v>12789</v>
      </c>
      <c r="K1935" s="2" t="s">
        <v>507</v>
      </c>
      <c r="L1935" s="2" t="n">
        <v>0.1</v>
      </c>
      <c r="M1935" s="2" t="n">
        <v>0.77</v>
      </c>
    </row>
    <row r="1936" customFormat="false" ht="15" hidden="false" customHeight="false" outlineLevel="0" collapsed="false">
      <c r="A1936" s="2" t="n">
        <v>1934</v>
      </c>
      <c r="B1936" s="2" t="s">
        <v>8285</v>
      </c>
      <c r="C1936" s="2" t="n">
        <v>1</v>
      </c>
      <c r="D1936" s="2" t="n">
        <v>1</v>
      </c>
      <c r="E1936" s="2" t="s">
        <v>8316</v>
      </c>
      <c r="F1936" s="2" t="s">
        <v>64</v>
      </c>
      <c r="G1936" s="2" t="s">
        <v>8317</v>
      </c>
      <c r="H1936" s="2" t="s">
        <v>2926</v>
      </c>
      <c r="I1936" s="2" t="s">
        <v>159</v>
      </c>
      <c r="J1936" s="2" t="s">
        <v>12790</v>
      </c>
      <c r="K1936" s="2" t="s">
        <v>507</v>
      </c>
      <c r="L1936" s="2" t="n">
        <v>0</v>
      </c>
      <c r="M1936" s="2" t="n">
        <v>0.82</v>
      </c>
    </row>
    <row r="1937" customFormat="false" ht="15" hidden="false" customHeight="false" outlineLevel="0" collapsed="false">
      <c r="A1937" s="2" t="n">
        <v>1935</v>
      </c>
      <c r="B1937" s="2" t="s">
        <v>8285</v>
      </c>
      <c r="C1937" s="2" t="n">
        <v>1</v>
      </c>
      <c r="D1937" s="2" t="n">
        <v>1</v>
      </c>
      <c r="E1937" s="2" t="s">
        <v>8324</v>
      </c>
      <c r="F1937" s="2" t="s">
        <v>8325</v>
      </c>
      <c r="G1937" s="2" t="s">
        <v>8326</v>
      </c>
      <c r="H1937" s="2" t="s">
        <v>8274</v>
      </c>
      <c r="I1937" s="2" t="s">
        <v>530</v>
      </c>
      <c r="J1937" s="2" t="s">
        <v>12791</v>
      </c>
      <c r="K1937" s="2" t="s">
        <v>507</v>
      </c>
      <c r="L1937" s="2" t="n">
        <v>0.2</v>
      </c>
      <c r="M1937" s="2" t="n">
        <v>0.7</v>
      </c>
    </row>
    <row r="1938" customFormat="false" ht="15" hidden="false" customHeight="false" outlineLevel="0" collapsed="false">
      <c r="A1938" s="2" t="n">
        <v>1936</v>
      </c>
      <c r="B1938" s="2" t="s">
        <v>8285</v>
      </c>
      <c r="C1938" s="2" t="n">
        <v>1</v>
      </c>
      <c r="D1938" s="2" t="n">
        <v>0</v>
      </c>
      <c r="E1938" s="2" t="s">
        <v>8329</v>
      </c>
      <c r="F1938" s="2" t="s">
        <v>176</v>
      </c>
      <c r="G1938" s="2" t="s">
        <v>8330</v>
      </c>
      <c r="H1938" s="2" t="s">
        <v>7896</v>
      </c>
      <c r="I1938" s="2" t="s">
        <v>283</v>
      </c>
      <c r="J1938" s="2" t="s">
        <v>12792</v>
      </c>
      <c r="K1938" s="2" t="s">
        <v>507</v>
      </c>
      <c r="L1938" s="2" t="n">
        <v>0</v>
      </c>
      <c r="M1938" s="2" t="n">
        <v>0.36</v>
      </c>
    </row>
    <row r="1939" customFormat="false" ht="15" hidden="false" customHeight="false" outlineLevel="0" collapsed="false">
      <c r="A1939" s="2" t="n">
        <v>1937</v>
      </c>
      <c r="B1939" s="2" t="s">
        <v>8285</v>
      </c>
      <c r="C1939" s="2" t="n">
        <v>0</v>
      </c>
      <c r="D1939" s="2" t="n">
        <v>0</v>
      </c>
      <c r="E1939" s="2" t="s">
        <v>12793</v>
      </c>
      <c r="F1939" s="2" t="s">
        <v>580</v>
      </c>
      <c r="G1939" s="2" t="s">
        <v>12794</v>
      </c>
      <c r="H1939" s="2" t="s">
        <v>12795</v>
      </c>
      <c r="I1939" s="2" t="s">
        <v>1045</v>
      </c>
      <c r="J1939" s="2" t="s">
        <v>12796</v>
      </c>
      <c r="K1939" s="2" t="s">
        <v>507</v>
      </c>
      <c r="L1939" s="2" t="n">
        <v>0</v>
      </c>
      <c r="M1939" s="2" t="n">
        <v>0.4</v>
      </c>
    </row>
    <row r="1940" customFormat="false" ht="15" hidden="false" customHeight="false" outlineLevel="0" collapsed="false">
      <c r="A1940" s="2" t="n">
        <v>1938</v>
      </c>
      <c r="B1940" s="2" t="s">
        <v>8285</v>
      </c>
      <c r="C1940" s="2" t="n">
        <v>0</v>
      </c>
      <c r="D1940" s="2" t="n">
        <v>0</v>
      </c>
      <c r="E1940" s="2" t="s">
        <v>12797</v>
      </c>
      <c r="F1940" s="2" t="s">
        <v>12798</v>
      </c>
      <c r="G1940" s="2" t="s">
        <v>12799</v>
      </c>
      <c r="H1940" s="2" t="s">
        <v>3839</v>
      </c>
      <c r="I1940" s="2" t="s">
        <v>4096</v>
      </c>
      <c r="J1940" s="2" t="s">
        <v>12800</v>
      </c>
      <c r="K1940" s="2" t="s">
        <v>507</v>
      </c>
      <c r="L1940" s="2" t="n">
        <v>0</v>
      </c>
      <c r="M1940" s="2" t="n">
        <v>0.73</v>
      </c>
    </row>
    <row r="1941" customFormat="false" ht="15" hidden="false" customHeight="false" outlineLevel="0" collapsed="false">
      <c r="A1941" s="2" t="n">
        <v>1939</v>
      </c>
      <c r="B1941" s="2" t="s">
        <v>8285</v>
      </c>
      <c r="C1941" s="2" t="n">
        <v>0</v>
      </c>
      <c r="D1941" s="2" t="n">
        <v>0</v>
      </c>
      <c r="E1941" s="2" t="s">
        <v>12801</v>
      </c>
      <c r="F1941" s="2" t="s">
        <v>2089</v>
      </c>
      <c r="G1941" s="2" t="s">
        <v>12802</v>
      </c>
      <c r="H1941" s="2" t="s">
        <v>12803</v>
      </c>
      <c r="I1941" s="2" t="s">
        <v>2431</v>
      </c>
      <c r="J1941" s="2" t="s">
        <v>12804</v>
      </c>
      <c r="K1941" s="2" t="s">
        <v>507</v>
      </c>
      <c r="L1941" s="2" t="n">
        <v>0</v>
      </c>
      <c r="M1941" s="2" t="n">
        <v>0.86</v>
      </c>
    </row>
    <row r="1942" customFormat="false" ht="15" hidden="false" customHeight="false" outlineLevel="0" collapsed="false">
      <c r="A1942" s="2" t="n">
        <v>1940</v>
      </c>
      <c r="B1942" s="2" t="s">
        <v>8285</v>
      </c>
      <c r="C1942" s="2" t="n">
        <v>0</v>
      </c>
      <c r="D1942" s="2" t="n">
        <v>0</v>
      </c>
      <c r="E1942" s="2" t="s">
        <v>12805</v>
      </c>
      <c r="F1942" s="2" t="s">
        <v>3341</v>
      </c>
      <c r="G1942" s="2" t="s">
        <v>12806</v>
      </c>
      <c r="H1942" s="2" t="s">
        <v>12807</v>
      </c>
      <c r="I1942" s="2" t="s">
        <v>421</v>
      </c>
      <c r="J1942" s="2" t="s">
        <v>12808</v>
      </c>
      <c r="K1942" s="2" t="s">
        <v>507</v>
      </c>
      <c r="L1942" s="2" t="n">
        <v>0</v>
      </c>
      <c r="M1942" s="2" t="n">
        <v>0.62</v>
      </c>
    </row>
    <row r="1943" customFormat="false" ht="15" hidden="false" customHeight="false" outlineLevel="0" collapsed="false">
      <c r="A1943" s="2" t="n">
        <v>1941</v>
      </c>
      <c r="B1943" s="2" t="s">
        <v>8285</v>
      </c>
      <c r="C1943" s="2" t="n">
        <v>1</v>
      </c>
      <c r="D1943" s="2" t="n">
        <v>0</v>
      </c>
      <c r="E1943" s="2" t="s">
        <v>8335</v>
      </c>
      <c r="F1943" s="2" t="s">
        <v>1135</v>
      </c>
      <c r="G1943" s="2" t="s">
        <v>8336</v>
      </c>
      <c r="H1943" s="2" t="s">
        <v>1137</v>
      </c>
      <c r="I1943" s="2" t="s">
        <v>3239</v>
      </c>
      <c r="J1943" s="2" t="s">
        <v>12809</v>
      </c>
      <c r="K1943" s="2" t="s">
        <v>507</v>
      </c>
      <c r="L1943" s="2" t="n">
        <v>0.2</v>
      </c>
      <c r="M1943" s="2" t="n">
        <v>0.8</v>
      </c>
    </row>
    <row r="1944" customFormat="false" ht="15" hidden="false" customHeight="false" outlineLevel="0" collapsed="false">
      <c r="A1944" s="2" t="n">
        <v>1942</v>
      </c>
      <c r="B1944" s="2" t="s">
        <v>8285</v>
      </c>
      <c r="C1944" s="2" t="n">
        <v>0</v>
      </c>
      <c r="D1944" s="2" t="n">
        <v>0</v>
      </c>
      <c r="E1944" s="2" t="s">
        <v>12810</v>
      </c>
      <c r="F1944" s="2" t="s">
        <v>12811</v>
      </c>
      <c r="G1944" s="2" t="s">
        <v>12812</v>
      </c>
      <c r="H1944" s="2" t="s">
        <v>11549</v>
      </c>
      <c r="I1944" s="2" t="s">
        <v>132</v>
      </c>
      <c r="J1944" s="2" t="s">
        <v>12813</v>
      </c>
      <c r="K1944" s="2" t="s">
        <v>507</v>
      </c>
      <c r="L1944" s="2" t="n">
        <v>0</v>
      </c>
      <c r="M1944" s="2" t="n">
        <v>0.73</v>
      </c>
    </row>
    <row r="1945" customFormat="false" ht="15" hidden="false" customHeight="false" outlineLevel="0" collapsed="false">
      <c r="A1945" s="2" t="n">
        <v>1943</v>
      </c>
      <c r="B1945" s="2" t="s">
        <v>8285</v>
      </c>
      <c r="C1945" s="2" t="n">
        <v>0</v>
      </c>
      <c r="D1945" s="2" t="n">
        <v>0</v>
      </c>
      <c r="E1945" s="2" t="s">
        <v>12814</v>
      </c>
      <c r="F1945" s="2" t="s">
        <v>12815</v>
      </c>
      <c r="G1945" s="2" t="s">
        <v>12816</v>
      </c>
      <c r="H1945" s="2" t="s">
        <v>7270</v>
      </c>
      <c r="I1945" s="2" t="s">
        <v>98</v>
      </c>
      <c r="J1945" s="2" t="s">
        <v>12817</v>
      </c>
      <c r="K1945" s="2" t="s">
        <v>507</v>
      </c>
      <c r="L1945" s="2" t="n">
        <v>0</v>
      </c>
      <c r="M1945" s="2" t="n">
        <v>0.57</v>
      </c>
    </row>
    <row r="1946" customFormat="false" ht="15" hidden="false" customHeight="false" outlineLevel="0" collapsed="false">
      <c r="A1946" s="2" t="n">
        <v>1944</v>
      </c>
      <c r="B1946" s="2" t="s">
        <v>8285</v>
      </c>
      <c r="C1946" s="2" t="n">
        <v>0</v>
      </c>
      <c r="D1946" s="2" t="n">
        <v>0</v>
      </c>
      <c r="E1946" s="2" t="s">
        <v>12818</v>
      </c>
      <c r="F1946" s="2" t="s">
        <v>12819</v>
      </c>
      <c r="G1946" s="2" t="s">
        <v>12820</v>
      </c>
      <c r="H1946" s="2" t="s">
        <v>12045</v>
      </c>
      <c r="I1946" s="2" t="s">
        <v>1429</v>
      </c>
      <c r="J1946" s="2" t="s">
        <v>12821</v>
      </c>
      <c r="K1946" s="2" t="s">
        <v>507</v>
      </c>
      <c r="L1946" s="2" t="n">
        <v>0</v>
      </c>
      <c r="M1946" s="2" t="n">
        <v>0.67</v>
      </c>
    </row>
    <row r="1947" customFormat="false" ht="15" hidden="false" customHeight="false" outlineLevel="0" collapsed="false">
      <c r="A1947" s="2" t="n">
        <v>1945</v>
      </c>
      <c r="B1947" s="2" t="s">
        <v>8285</v>
      </c>
      <c r="C1947" s="2" t="n">
        <v>0</v>
      </c>
      <c r="D1947" s="2" t="n">
        <v>0</v>
      </c>
      <c r="E1947" s="2" t="s">
        <v>12822</v>
      </c>
      <c r="F1947" s="2" t="s">
        <v>9628</v>
      </c>
      <c r="G1947" s="2" t="s">
        <v>12823</v>
      </c>
      <c r="H1947" s="2" t="s">
        <v>4048</v>
      </c>
      <c r="I1947" s="2" t="s">
        <v>3765</v>
      </c>
      <c r="J1947" s="4" t="s">
        <v>12824</v>
      </c>
      <c r="K1947" s="2" t="s">
        <v>507</v>
      </c>
      <c r="L1947" s="2" t="n">
        <v>0</v>
      </c>
      <c r="M1947" s="2" t="n">
        <v>0.4</v>
      </c>
    </row>
    <row r="1948" customFormat="false" ht="15" hidden="false" customHeight="false" outlineLevel="0" collapsed="false">
      <c r="A1948" s="2" t="n">
        <v>1946</v>
      </c>
      <c r="B1948" s="2" t="s">
        <v>8285</v>
      </c>
      <c r="C1948" s="2" t="n">
        <v>3</v>
      </c>
      <c r="D1948" s="2" t="n">
        <v>0</v>
      </c>
      <c r="E1948" s="2" t="s">
        <v>8339</v>
      </c>
      <c r="F1948" s="2" t="s">
        <v>2332</v>
      </c>
      <c r="G1948" s="2" t="s">
        <v>8340</v>
      </c>
      <c r="H1948" s="2" t="s">
        <v>4359</v>
      </c>
      <c r="I1948" s="2" t="s">
        <v>1429</v>
      </c>
      <c r="J1948" s="2" t="s">
        <v>12825</v>
      </c>
      <c r="K1948" s="2" t="s">
        <v>507</v>
      </c>
      <c r="L1948" s="2" t="n">
        <v>0</v>
      </c>
      <c r="M1948" s="2" t="n">
        <v>0.67</v>
      </c>
    </row>
    <row r="1949" customFormat="false" ht="15" hidden="false" customHeight="false" outlineLevel="0" collapsed="false">
      <c r="A1949" s="2" t="n">
        <v>1947</v>
      </c>
      <c r="B1949" s="2" t="s">
        <v>8285</v>
      </c>
      <c r="C1949" s="2" t="n">
        <v>0</v>
      </c>
      <c r="D1949" s="2" t="n">
        <v>0</v>
      </c>
      <c r="E1949" s="2" t="s">
        <v>12826</v>
      </c>
      <c r="F1949" s="2" t="s">
        <v>2332</v>
      </c>
      <c r="G1949" s="2" t="s">
        <v>12827</v>
      </c>
      <c r="H1949" s="2" t="s">
        <v>2926</v>
      </c>
      <c r="I1949" s="2" t="s">
        <v>67</v>
      </c>
      <c r="J1949" s="2" t="s">
        <v>12828</v>
      </c>
      <c r="K1949" s="2" t="s">
        <v>507</v>
      </c>
      <c r="L1949" s="2" t="n">
        <v>0.08</v>
      </c>
      <c r="M1949" s="2" t="n">
        <v>0.73</v>
      </c>
    </row>
    <row r="1950" customFormat="false" ht="15" hidden="false" customHeight="false" outlineLevel="0" collapsed="false">
      <c r="A1950" s="2" t="n">
        <v>1948</v>
      </c>
      <c r="B1950" s="2" t="s">
        <v>8285</v>
      </c>
      <c r="C1950" s="2" t="n">
        <v>0</v>
      </c>
      <c r="D1950" s="2" t="n">
        <v>0</v>
      </c>
      <c r="E1950" s="2" t="s">
        <v>12829</v>
      </c>
      <c r="F1950" s="2" t="s">
        <v>2332</v>
      </c>
      <c r="G1950" s="2" t="s">
        <v>12830</v>
      </c>
      <c r="H1950" s="2" t="s">
        <v>7838</v>
      </c>
      <c r="I1950" s="2" t="s">
        <v>159</v>
      </c>
      <c r="J1950" s="2" t="s">
        <v>12831</v>
      </c>
      <c r="K1950" s="2" t="s">
        <v>507</v>
      </c>
      <c r="L1950" s="2" t="n">
        <v>0</v>
      </c>
      <c r="M1950" s="2" t="n">
        <v>0.45</v>
      </c>
    </row>
    <row r="1951" customFormat="false" ht="15" hidden="false" customHeight="false" outlineLevel="0" collapsed="false">
      <c r="A1951" s="2" t="n">
        <v>1949</v>
      </c>
      <c r="B1951" s="2" t="s">
        <v>8285</v>
      </c>
      <c r="C1951" s="2" t="n">
        <v>1</v>
      </c>
      <c r="D1951" s="2" t="n">
        <v>0</v>
      </c>
      <c r="E1951" s="2" t="s">
        <v>8352</v>
      </c>
      <c r="F1951" s="2" t="s">
        <v>8353</v>
      </c>
      <c r="G1951" s="2" t="s">
        <v>8354</v>
      </c>
      <c r="H1951" s="2" t="s">
        <v>178</v>
      </c>
      <c r="I1951" s="2" t="s">
        <v>421</v>
      </c>
      <c r="J1951" s="2" t="s">
        <v>12832</v>
      </c>
      <c r="K1951" s="2" t="s">
        <v>507</v>
      </c>
      <c r="L1951" s="2" t="n">
        <v>0</v>
      </c>
      <c r="M1951" s="2" t="n">
        <v>0.69</v>
      </c>
    </row>
    <row r="1952" customFormat="false" ht="15" hidden="false" customHeight="false" outlineLevel="0" collapsed="false">
      <c r="A1952" s="2" t="n">
        <v>1950</v>
      </c>
      <c r="B1952" s="2" t="s">
        <v>8355</v>
      </c>
      <c r="C1952" s="2" t="n">
        <v>0</v>
      </c>
      <c r="D1952" s="2" t="n">
        <v>0</v>
      </c>
      <c r="E1952" s="2" t="s">
        <v>12833</v>
      </c>
      <c r="F1952" s="2" t="s">
        <v>9701</v>
      </c>
      <c r="G1952" s="2" t="s">
        <v>12834</v>
      </c>
      <c r="H1952" s="2" t="s">
        <v>66</v>
      </c>
      <c r="I1952" s="2" t="s">
        <v>421</v>
      </c>
      <c r="J1952" s="2" t="s">
        <v>12835</v>
      </c>
      <c r="K1952" s="2" t="s">
        <v>507</v>
      </c>
      <c r="L1952" s="2" t="n">
        <v>0</v>
      </c>
      <c r="M1952" s="2" t="n">
        <v>0.6</v>
      </c>
    </row>
    <row r="1953" customFormat="false" ht="15" hidden="false" customHeight="false" outlineLevel="0" collapsed="false">
      <c r="A1953" s="2" t="n">
        <v>1951</v>
      </c>
      <c r="B1953" s="2" t="s">
        <v>8355</v>
      </c>
      <c r="C1953" s="2" t="n">
        <v>0</v>
      </c>
      <c r="D1953" s="2" t="n">
        <v>0</v>
      </c>
      <c r="E1953" s="2" t="s">
        <v>12836</v>
      </c>
      <c r="F1953" s="2" t="s">
        <v>2367</v>
      </c>
      <c r="G1953" s="2" t="s">
        <v>12837</v>
      </c>
      <c r="H1953" s="2" t="s">
        <v>1170</v>
      </c>
      <c r="I1953" s="2" t="s">
        <v>1092</v>
      </c>
      <c r="J1953" s="2" t="s">
        <v>12838</v>
      </c>
      <c r="K1953" s="2" t="s">
        <v>507</v>
      </c>
      <c r="L1953" s="2" t="n">
        <v>0</v>
      </c>
      <c r="M1953" s="2" t="n">
        <v>0.73</v>
      </c>
    </row>
    <row r="1954" customFormat="false" ht="15" hidden="false" customHeight="false" outlineLevel="0" collapsed="false">
      <c r="A1954" s="2" t="n">
        <v>1952</v>
      </c>
      <c r="B1954" s="2" t="s">
        <v>8355</v>
      </c>
      <c r="C1954" s="2" t="n">
        <v>0</v>
      </c>
      <c r="D1954" s="2" t="n">
        <v>0</v>
      </c>
      <c r="E1954" s="2" t="s">
        <v>12839</v>
      </c>
      <c r="F1954" s="2" t="s">
        <v>2343</v>
      </c>
      <c r="G1954" s="2" t="s">
        <v>12840</v>
      </c>
      <c r="H1954" s="2" t="s">
        <v>114</v>
      </c>
      <c r="I1954" s="2" t="s">
        <v>3398</v>
      </c>
      <c r="J1954" s="2" t="s">
        <v>12841</v>
      </c>
      <c r="K1954" s="2" t="s">
        <v>507</v>
      </c>
      <c r="L1954" s="2" t="n">
        <v>0</v>
      </c>
      <c r="M1954" s="2" t="n">
        <v>0.55</v>
      </c>
    </row>
    <row r="1955" customFormat="false" ht="15" hidden="false" customHeight="false" outlineLevel="0" collapsed="false">
      <c r="A1955" s="2" t="n">
        <v>1953</v>
      </c>
      <c r="B1955" s="2" t="s">
        <v>8355</v>
      </c>
      <c r="C1955" s="2" t="n">
        <v>1</v>
      </c>
      <c r="D1955" s="2" t="n">
        <v>1</v>
      </c>
      <c r="E1955" s="2" t="s">
        <v>8361</v>
      </c>
      <c r="F1955" s="2" t="s">
        <v>743</v>
      </c>
      <c r="G1955" s="2" t="s">
        <v>8362</v>
      </c>
      <c r="H1955" s="2" t="s">
        <v>245</v>
      </c>
      <c r="I1955" s="2" t="s">
        <v>1758</v>
      </c>
      <c r="J1955" s="2" t="s">
        <v>12842</v>
      </c>
      <c r="K1955" s="2" t="s">
        <v>507</v>
      </c>
      <c r="L1955" s="2" t="n">
        <v>0</v>
      </c>
      <c r="M1955" s="2" t="n">
        <v>0.62</v>
      </c>
    </row>
    <row r="1956" customFormat="false" ht="15" hidden="false" customHeight="false" outlineLevel="0" collapsed="false">
      <c r="A1956" s="2" t="n">
        <v>1954</v>
      </c>
      <c r="B1956" s="2" t="s">
        <v>8355</v>
      </c>
      <c r="C1956" s="2" t="n">
        <v>0</v>
      </c>
      <c r="D1956" s="2" t="n">
        <v>0</v>
      </c>
      <c r="E1956" s="2" t="s">
        <v>12843</v>
      </c>
      <c r="F1956" s="2" t="s">
        <v>8353</v>
      </c>
      <c r="G1956" s="2" t="s">
        <v>12844</v>
      </c>
      <c r="H1956" s="2" t="s">
        <v>1500</v>
      </c>
      <c r="I1956" s="2" t="s">
        <v>1045</v>
      </c>
      <c r="J1956" s="2" t="s">
        <v>12845</v>
      </c>
      <c r="K1956" s="2" t="s">
        <v>507</v>
      </c>
      <c r="L1956" s="2" t="n">
        <v>0.12</v>
      </c>
      <c r="M1956" s="2" t="n">
        <v>0.71</v>
      </c>
    </row>
    <row r="1957" customFormat="false" ht="15" hidden="false" customHeight="false" outlineLevel="0" collapsed="false">
      <c r="A1957" s="2" t="n">
        <v>1955</v>
      </c>
      <c r="B1957" s="2" t="s">
        <v>8355</v>
      </c>
      <c r="C1957" s="2" t="n">
        <v>0</v>
      </c>
      <c r="D1957" s="2" t="n">
        <v>0</v>
      </c>
      <c r="E1957" s="2" t="s">
        <v>12846</v>
      </c>
      <c r="F1957" s="2" t="s">
        <v>2332</v>
      </c>
      <c r="G1957" s="2" t="s">
        <v>12847</v>
      </c>
      <c r="H1957" s="2" t="s">
        <v>11396</v>
      </c>
      <c r="I1957" s="2" t="s">
        <v>751</v>
      </c>
      <c r="J1957" s="2" t="s">
        <v>12848</v>
      </c>
      <c r="K1957" s="2" t="s">
        <v>507</v>
      </c>
      <c r="L1957" s="2" t="n">
        <v>0</v>
      </c>
      <c r="M1957" s="2" t="n">
        <v>0.73</v>
      </c>
    </row>
    <row r="1958" customFormat="false" ht="15" hidden="false" customHeight="false" outlineLevel="0" collapsed="false">
      <c r="A1958" s="2" t="n">
        <v>1956</v>
      </c>
      <c r="B1958" s="2" t="s">
        <v>8355</v>
      </c>
      <c r="C1958" s="2" t="n">
        <v>0</v>
      </c>
      <c r="D1958" s="2" t="n">
        <v>0</v>
      </c>
      <c r="E1958" s="2" t="s">
        <v>12849</v>
      </c>
      <c r="F1958" s="2" t="s">
        <v>2332</v>
      </c>
      <c r="G1958" s="2" t="s">
        <v>12850</v>
      </c>
      <c r="H1958" s="2" t="s">
        <v>66</v>
      </c>
      <c r="I1958" s="2" t="s">
        <v>1424</v>
      </c>
      <c r="J1958" s="2" t="s">
        <v>12851</v>
      </c>
      <c r="K1958" s="2" t="s">
        <v>507</v>
      </c>
      <c r="L1958" s="2" t="n">
        <v>0</v>
      </c>
      <c r="M1958" s="2" t="n">
        <v>0.8</v>
      </c>
    </row>
    <row r="1959" customFormat="false" ht="15" hidden="false" customHeight="false" outlineLevel="0" collapsed="false">
      <c r="A1959" s="2" t="n">
        <v>1957</v>
      </c>
      <c r="B1959" s="2" t="s">
        <v>8355</v>
      </c>
      <c r="C1959" s="2" t="n">
        <v>0</v>
      </c>
      <c r="D1959" s="2" t="n">
        <v>0</v>
      </c>
      <c r="E1959" s="2" t="s">
        <v>12852</v>
      </c>
      <c r="F1959" s="2" t="s">
        <v>2332</v>
      </c>
      <c r="G1959" s="2" t="s">
        <v>12853</v>
      </c>
      <c r="H1959" s="2" t="s">
        <v>178</v>
      </c>
      <c r="I1959" s="2" t="s">
        <v>751</v>
      </c>
      <c r="J1959" s="2" t="s">
        <v>12854</v>
      </c>
      <c r="K1959" s="2" t="s">
        <v>507</v>
      </c>
      <c r="L1959" s="2" t="n">
        <v>0.07</v>
      </c>
      <c r="M1959" s="2" t="n">
        <v>0.7</v>
      </c>
    </row>
    <row r="1960" customFormat="false" ht="15" hidden="false" customHeight="false" outlineLevel="0" collapsed="false">
      <c r="A1960" s="2" t="n">
        <v>1958</v>
      </c>
      <c r="B1960" s="2" t="s">
        <v>8355</v>
      </c>
      <c r="C1960" s="2" t="n">
        <v>0</v>
      </c>
      <c r="D1960" s="2" t="n">
        <v>0</v>
      </c>
      <c r="E1960" s="2" t="s">
        <v>12855</v>
      </c>
      <c r="F1960" s="2" t="s">
        <v>8353</v>
      </c>
      <c r="G1960" s="2" t="s">
        <v>12856</v>
      </c>
      <c r="H1960" s="2" t="s">
        <v>66</v>
      </c>
      <c r="I1960" s="2" t="s">
        <v>1700</v>
      </c>
      <c r="J1960" s="2" t="s">
        <v>12857</v>
      </c>
      <c r="K1960" s="2" t="s">
        <v>507</v>
      </c>
      <c r="L1960" s="2" t="n">
        <v>0</v>
      </c>
      <c r="M1960" s="2" t="n">
        <v>0.7</v>
      </c>
    </row>
    <row r="1961" customFormat="false" ht="15" hidden="false" customHeight="false" outlineLevel="0" collapsed="false">
      <c r="A1961" s="2" t="n">
        <v>1959</v>
      </c>
      <c r="B1961" s="2" t="s">
        <v>8355</v>
      </c>
      <c r="C1961" s="2" t="n">
        <v>0</v>
      </c>
      <c r="D1961" s="2" t="n">
        <v>0</v>
      </c>
      <c r="E1961" s="2" t="s">
        <v>12858</v>
      </c>
      <c r="F1961" s="2" t="s">
        <v>2332</v>
      </c>
      <c r="G1961" s="2" t="s">
        <v>12859</v>
      </c>
      <c r="H1961" s="2" t="s">
        <v>66</v>
      </c>
      <c r="I1961" s="2" t="s">
        <v>2149</v>
      </c>
      <c r="J1961" s="2" t="s">
        <v>12860</v>
      </c>
      <c r="K1961" s="2" t="s">
        <v>507</v>
      </c>
      <c r="L1961" s="2" t="n">
        <v>0</v>
      </c>
      <c r="M1961" s="2" t="n">
        <v>0.7</v>
      </c>
    </row>
    <row r="1962" customFormat="false" ht="15" hidden="false" customHeight="false" outlineLevel="0" collapsed="false">
      <c r="A1962" s="2" t="n">
        <v>1960</v>
      </c>
      <c r="B1962" s="2" t="s">
        <v>8355</v>
      </c>
      <c r="C1962" s="2" t="n">
        <v>2</v>
      </c>
      <c r="D1962" s="2" t="n">
        <v>1</v>
      </c>
      <c r="E1962" s="2" t="s">
        <v>8364</v>
      </c>
      <c r="F1962" s="2" t="s">
        <v>8353</v>
      </c>
      <c r="G1962" s="2" t="s">
        <v>8365</v>
      </c>
      <c r="H1962" s="2" t="s">
        <v>114</v>
      </c>
      <c r="I1962" s="2" t="s">
        <v>301</v>
      </c>
      <c r="J1962" s="2" t="s">
        <v>12861</v>
      </c>
      <c r="K1962" s="2" t="s">
        <v>160</v>
      </c>
      <c r="L1962" s="2" t="n">
        <v>0.33</v>
      </c>
      <c r="M1962" s="2" t="n">
        <v>0.62</v>
      </c>
    </row>
    <row r="1963" customFormat="false" ht="15" hidden="false" customHeight="false" outlineLevel="0" collapsed="false">
      <c r="A1963" s="2" t="n">
        <v>1961</v>
      </c>
      <c r="B1963" s="2" t="s">
        <v>8355</v>
      </c>
      <c r="C1963" s="2" t="n">
        <v>1</v>
      </c>
      <c r="D1963" s="2" t="n">
        <v>0</v>
      </c>
      <c r="E1963" s="2" t="s">
        <v>8369</v>
      </c>
      <c r="F1963" s="2" t="s">
        <v>2343</v>
      </c>
      <c r="G1963" s="2" t="s">
        <v>8370</v>
      </c>
      <c r="H1963" s="2" t="s">
        <v>178</v>
      </c>
      <c r="I1963" s="2" t="s">
        <v>1501</v>
      </c>
      <c r="J1963" s="2" t="s">
        <v>12862</v>
      </c>
      <c r="K1963" s="2" t="s">
        <v>507</v>
      </c>
      <c r="L1963" s="2" t="n">
        <v>0.18</v>
      </c>
      <c r="M1963" s="2" t="n">
        <v>0.92</v>
      </c>
    </row>
    <row r="1964" customFormat="false" ht="15" hidden="false" customHeight="false" outlineLevel="0" collapsed="false">
      <c r="A1964" s="2" t="n">
        <v>1962</v>
      </c>
      <c r="B1964" s="2" t="s">
        <v>8355</v>
      </c>
      <c r="C1964" s="2" t="n">
        <v>1</v>
      </c>
      <c r="D1964" s="2" t="n">
        <v>1</v>
      </c>
      <c r="E1964" s="2" t="s">
        <v>8372</v>
      </c>
      <c r="F1964" s="2" t="s">
        <v>8353</v>
      </c>
      <c r="G1964" s="2" t="s">
        <v>8373</v>
      </c>
      <c r="H1964" s="2" t="s">
        <v>178</v>
      </c>
      <c r="I1964" s="2" t="s">
        <v>2241</v>
      </c>
      <c r="J1964" s="2" t="s">
        <v>12863</v>
      </c>
      <c r="K1964" s="2" t="s">
        <v>507</v>
      </c>
      <c r="L1964" s="2" t="n">
        <v>0.08</v>
      </c>
      <c r="M1964" s="2" t="n">
        <v>0.8</v>
      </c>
    </row>
    <row r="1965" customFormat="false" ht="15" hidden="false" customHeight="false" outlineLevel="0" collapsed="false">
      <c r="A1965" s="2" t="n">
        <v>1963</v>
      </c>
      <c r="B1965" s="2" t="s">
        <v>8355</v>
      </c>
      <c r="C1965" s="2" t="n">
        <v>1</v>
      </c>
      <c r="D1965" s="2" t="n">
        <v>1</v>
      </c>
      <c r="E1965" s="2" t="s">
        <v>8376</v>
      </c>
      <c r="F1965" s="2" t="s">
        <v>2376</v>
      </c>
      <c r="G1965" s="2" t="s">
        <v>8377</v>
      </c>
      <c r="H1965" s="2" t="s">
        <v>114</v>
      </c>
      <c r="I1965" s="2" t="s">
        <v>8378</v>
      </c>
      <c r="J1965" s="2" t="s">
        <v>12864</v>
      </c>
      <c r="K1965" s="2" t="s">
        <v>507</v>
      </c>
      <c r="L1965" s="2" t="n">
        <v>0</v>
      </c>
      <c r="M1965" s="2" t="n">
        <v>0.6</v>
      </c>
    </row>
    <row r="1966" customFormat="false" ht="15" hidden="false" customHeight="false" outlineLevel="0" collapsed="false">
      <c r="A1966" s="2" t="n">
        <v>1964</v>
      </c>
      <c r="B1966" s="2" t="s">
        <v>8355</v>
      </c>
      <c r="C1966" s="2" t="n">
        <v>1</v>
      </c>
      <c r="D1966" s="2" t="n">
        <v>0</v>
      </c>
      <c r="E1966" s="2" t="s">
        <v>8384</v>
      </c>
      <c r="F1966" s="2" t="s">
        <v>95</v>
      </c>
      <c r="G1966" s="2" t="s">
        <v>8385</v>
      </c>
      <c r="H1966" s="2" t="s">
        <v>8386</v>
      </c>
      <c r="I1966" s="2" t="s">
        <v>945</v>
      </c>
      <c r="J1966" s="2" t="s">
        <v>12865</v>
      </c>
      <c r="K1966" s="2" t="s">
        <v>507</v>
      </c>
      <c r="L1966" s="2" t="n">
        <v>0</v>
      </c>
      <c r="M1966" s="2" t="n">
        <v>0</v>
      </c>
    </row>
    <row r="1967" customFormat="false" ht="15" hidden="false" customHeight="false" outlineLevel="0" collapsed="false">
      <c r="A1967" s="2" t="n">
        <v>1965</v>
      </c>
      <c r="B1967" s="2" t="s">
        <v>8355</v>
      </c>
      <c r="C1967" s="2" t="n">
        <v>0</v>
      </c>
      <c r="D1967" s="2" t="n">
        <v>0</v>
      </c>
      <c r="E1967" s="2" t="s">
        <v>12866</v>
      </c>
      <c r="F1967" s="2" t="s">
        <v>95</v>
      </c>
      <c r="G1967" s="2" t="s">
        <v>12867</v>
      </c>
      <c r="H1967" s="2" t="s">
        <v>8386</v>
      </c>
      <c r="I1967" s="2" t="s">
        <v>3186</v>
      </c>
      <c r="J1967" s="2" t="s">
        <v>12868</v>
      </c>
      <c r="K1967" s="2" t="s">
        <v>507</v>
      </c>
      <c r="L1967" s="2" t="n">
        <v>0</v>
      </c>
      <c r="M1967" s="2" t="n">
        <v>0.88</v>
      </c>
    </row>
    <row r="1968" customFormat="false" ht="15" hidden="false" customHeight="false" outlineLevel="0" collapsed="false">
      <c r="A1968" s="2" t="n">
        <v>1966</v>
      </c>
      <c r="B1968" s="2" t="s">
        <v>8355</v>
      </c>
      <c r="C1968" s="2" t="n">
        <v>0</v>
      </c>
      <c r="D1968" s="2" t="n">
        <v>0</v>
      </c>
      <c r="E1968" s="2" t="s">
        <v>12869</v>
      </c>
      <c r="F1968" s="2" t="s">
        <v>8391</v>
      </c>
      <c r="G1968" s="2" t="s">
        <v>12870</v>
      </c>
      <c r="H1968" s="2" t="s">
        <v>1500</v>
      </c>
      <c r="I1968" s="2" t="s">
        <v>1654</v>
      </c>
      <c r="J1968" s="2" t="s">
        <v>12871</v>
      </c>
      <c r="K1968" s="2" t="s">
        <v>507</v>
      </c>
      <c r="L1968" s="2" t="n">
        <v>0.14</v>
      </c>
      <c r="M1968" s="2" t="n">
        <v>1</v>
      </c>
    </row>
    <row r="1969" customFormat="false" ht="15" hidden="false" customHeight="false" outlineLevel="0" collapsed="false">
      <c r="A1969" s="2" t="n">
        <v>1967</v>
      </c>
      <c r="B1969" s="2" t="s">
        <v>8355</v>
      </c>
      <c r="C1969" s="2" t="n">
        <v>0</v>
      </c>
      <c r="D1969" s="2" t="n">
        <v>0</v>
      </c>
      <c r="E1969" s="2" t="s">
        <v>12872</v>
      </c>
      <c r="F1969" s="2" t="s">
        <v>95</v>
      </c>
      <c r="G1969" s="2" t="s">
        <v>12873</v>
      </c>
      <c r="H1969" s="2" t="s">
        <v>646</v>
      </c>
      <c r="I1969" s="2" t="s">
        <v>2731</v>
      </c>
      <c r="J1969" s="2" t="s">
        <v>12874</v>
      </c>
      <c r="K1969" s="2" t="s">
        <v>507</v>
      </c>
      <c r="L1969" s="2" t="n">
        <v>0</v>
      </c>
      <c r="M1969" s="2" t="n">
        <v>0.78</v>
      </c>
    </row>
    <row r="1970" customFormat="false" ht="15" hidden="false" customHeight="false" outlineLevel="0" collapsed="false">
      <c r="A1970" s="2" t="n">
        <v>1968</v>
      </c>
      <c r="B1970" s="2" t="s">
        <v>8355</v>
      </c>
      <c r="C1970" s="2" t="n">
        <v>0</v>
      </c>
      <c r="D1970" s="2" t="n">
        <v>0</v>
      </c>
      <c r="E1970" s="2" t="s">
        <v>12875</v>
      </c>
      <c r="F1970" s="2" t="s">
        <v>95</v>
      </c>
      <c r="G1970" s="2" t="s">
        <v>12876</v>
      </c>
      <c r="H1970" s="2" t="s">
        <v>1423</v>
      </c>
      <c r="I1970" s="2" t="s">
        <v>5802</v>
      </c>
      <c r="J1970" s="2" t="s">
        <v>12877</v>
      </c>
      <c r="K1970" s="2" t="s">
        <v>507</v>
      </c>
      <c r="L1970" s="2" t="n">
        <v>0.11</v>
      </c>
      <c r="M1970" s="2" t="n">
        <v>0.7</v>
      </c>
    </row>
    <row r="1971" customFormat="false" ht="15" hidden="false" customHeight="false" outlineLevel="0" collapsed="false">
      <c r="A1971" s="2" t="n">
        <v>1969</v>
      </c>
      <c r="B1971" s="2" t="s">
        <v>8355</v>
      </c>
      <c r="C1971" s="2" t="n">
        <v>0</v>
      </c>
      <c r="D1971" s="2" t="n">
        <v>0</v>
      </c>
      <c r="E1971" s="2" t="s">
        <v>12878</v>
      </c>
      <c r="F1971" s="2" t="s">
        <v>7189</v>
      </c>
      <c r="G1971" s="2" t="s">
        <v>12879</v>
      </c>
      <c r="H1971" s="2" t="s">
        <v>3544</v>
      </c>
      <c r="I1971" s="2" t="s">
        <v>4276</v>
      </c>
      <c r="J1971" s="2" t="s">
        <v>12880</v>
      </c>
      <c r="K1971" s="2" t="s">
        <v>507</v>
      </c>
      <c r="L1971" s="2" t="n">
        <v>0.14</v>
      </c>
      <c r="M1971" s="2" t="n">
        <v>0.92</v>
      </c>
    </row>
    <row r="1972" customFormat="false" ht="15" hidden="false" customHeight="false" outlineLevel="0" collapsed="false">
      <c r="A1972" s="2" t="n">
        <v>1970</v>
      </c>
      <c r="B1972" s="2" t="s">
        <v>8355</v>
      </c>
      <c r="C1972" s="2" t="n">
        <v>0</v>
      </c>
      <c r="D1972" s="2" t="n">
        <v>0</v>
      </c>
      <c r="E1972" s="2" t="s">
        <v>12881</v>
      </c>
      <c r="F1972" s="2" t="s">
        <v>12882</v>
      </c>
      <c r="G1972" s="2" t="s">
        <v>12883</v>
      </c>
      <c r="H1972" s="2" t="s">
        <v>3315</v>
      </c>
      <c r="I1972" s="2" t="s">
        <v>2927</v>
      </c>
      <c r="J1972" s="2" t="s">
        <v>12884</v>
      </c>
      <c r="K1972" s="2" t="s">
        <v>507</v>
      </c>
      <c r="L1972" s="2" t="n">
        <v>0</v>
      </c>
      <c r="M1972" s="2" t="n">
        <v>1</v>
      </c>
    </row>
    <row r="1973" customFormat="false" ht="15" hidden="false" customHeight="false" outlineLevel="0" collapsed="false">
      <c r="A1973" s="2" t="n">
        <v>1971</v>
      </c>
      <c r="B1973" s="2" t="s">
        <v>8355</v>
      </c>
      <c r="C1973" s="2" t="n">
        <v>0</v>
      </c>
      <c r="D1973" s="2" t="n">
        <v>0</v>
      </c>
      <c r="E1973" s="2" t="s">
        <v>12885</v>
      </c>
      <c r="F1973" s="2" t="s">
        <v>12886</v>
      </c>
      <c r="G1973" s="2" t="s">
        <v>12887</v>
      </c>
      <c r="H1973" s="2" t="s">
        <v>696</v>
      </c>
      <c r="I1973" s="2" t="s">
        <v>476</v>
      </c>
      <c r="J1973" s="2" t="s">
        <v>12888</v>
      </c>
      <c r="K1973" s="2" t="s">
        <v>507</v>
      </c>
      <c r="L1973" s="2" t="n">
        <v>0</v>
      </c>
      <c r="M1973" s="2" t="n">
        <v>0.8</v>
      </c>
    </row>
    <row r="1974" customFormat="false" ht="15" hidden="false" customHeight="false" outlineLevel="0" collapsed="false">
      <c r="A1974" s="2" t="n">
        <v>1972</v>
      </c>
      <c r="B1974" s="2" t="s">
        <v>8355</v>
      </c>
      <c r="C1974" s="2" t="n">
        <v>0</v>
      </c>
      <c r="D1974" s="2" t="n">
        <v>0</v>
      </c>
      <c r="E1974" s="2" t="s">
        <v>12889</v>
      </c>
      <c r="F1974" s="2" t="s">
        <v>12890</v>
      </c>
      <c r="G1974" s="2" t="s">
        <v>12891</v>
      </c>
      <c r="H1974" s="2" t="s">
        <v>696</v>
      </c>
      <c r="I1974" s="2" t="s">
        <v>476</v>
      </c>
      <c r="J1974" s="2" t="s">
        <v>12892</v>
      </c>
      <c r="K1974" s="2" t="s">
        <v>507</v>
      </c>
      <c r="L1974" s="2" t="n">
        <v>0</v>
      </c>
      <c r="M1974" s="2" t="n">
        <v>0.75</v>
      </c>
    </row>
    <row r="1975" customFormat="false" ht="15" hidden="false" customHeight="false" outlineLevel="0" collapsed="false">
      <c r="A1975" s="2" t="n">
        <v>1973</v>
      </c>
      <c r="B1975" s="2" t="s">
        <v>8355</v>
      </c>
      <c r="C1975" s="2" t="n">
        <v>0</v>
      </c>
      <c r="D1975" s="2" t="n">
        <v>0</v>
      </c>
      <c r="E1975" s="2" t="s">
        <v>12893</v>
      </c>
      <c r="F1975" s="2" t="s">
        <v>12894</v>
      </c>
      <c r="G1975" s="2" t="s">
        <v>12895</v>
      </c>
      <c r="H1975" s="2" t="s">
        <v>696</v>
      </c>
      <c r="I1975" s="2" t="s">
        <v>2149</v>
      </c>
      <c r="J1975" s="2" t="s">
        <v>12896</v>
      </c>
      <c r="K1975" s="2" t="s">
        <v>507</v>
      </c>
      <c r="L1975" s="2" t="n">
        <v>0</v>
      </c>
      <c r="M1975" s="2" t="n">
        <v>0.38</v>
      </c>
    </row>
    <row r="1976" customFormat="false" ht="15" hidden="false" customHeight="false" outlineLevel="0" collapsed="false">
      <c r="A1976" s="2" t="n">
        <v>1974</v>
      </c>
      <c r="B1976" s="2" t="s">
        <v>8355</v>
      </c>
      <c r="C1976" s="2" t="n">
        <v>1</v>
      </c>
      <c r="D1976" s="2" t="n">
        <v>0</v>
      </c>
      <c r="E1976" s="2" t="s">
        <v>8390</v>
      </c>
      <c r="F1976" s="2" t="s">
        <v>8391</v>
      </c>
      <c r="G1976" s="2" t="s">
        <v>8392</v>
      </c>
      <c r="H1976" s="2" t="s">
        <v>696</v>
      </c>
      <c r="I1976" s="2" t="s">
        <v>697</v>
      </c>
      <c r="J1976" s="2" t="s">
        <v>12897</v>
      </c>
      <c r="K1976" s="2" t="s">
        <v>507</v>
      </c>
      <c r="L1976" s="2" t="n">
        <v>0</v>
      </c>
      <c r="M1976" s="2" t="n">
        <v>0.6</v>
      </c>
    </row>
    <row r="1977" customFormat="false" ht="15" hidden="false" customHeight="false" outlineLevel="0" collapsed="false">
      <c r="A1977" s="2" t="n">
        <v>1975</v>
      </c>
      <c r="B1977" s="2" t="s">
        <v>8355</v>
      </c>
      <c r="C1977" s="2" t="n">
        <v>1</v>
      </c>
      <c r="D1977" s="2" t="n">
        <v>0</v>
      </c>
      <c r="E1977" s="2" t="s">
        <v>8395</v>
      </c>
      <c r="F1977" s="2" t="s">
        <v>963</v>
      </c>
      <c r="G1977" s="2" t="s">
        <v>8396</v>
      </c>
      <c r="H1977" s="2" t="s">
        <v>420</v>
      </c>
      <c r="I1977" s="2" t="s">
        <v>331</v>
      </c>
      <c r="J1977" s="2" t="s">
        <v>12898</v>
      </c>
      <c r="K1977" s="2" t="s">
        <v>507</v>
      </c>
      <c r="L1977" s="2" t="n">
        <v>0</v>
      </c>
      <c r="M1977" s="2" t="n">
        <v>0.5</v>
      </c>
    </row>
    <row r="1978" customFormat="false" ht="15" hidden="false" customHeight="false" outlineLevel="0" collapsed="false">
      <c r="A1978" s="2" t="n">
        <v>1976</v>
      </c>
      <c r="B1978" s="2" t="s">
        <v>8355</v>
      </c>
      <c r="C1978" s="2" t="n">
        <v>1</v>
      </c>
      <c r="D1978" s="2" t="n">
        <v>0</v>
      </c>
      <c r="E1978" s="2" t="s">
        <v>8402</v>
      </c>
      <c r="F1978" s="2" t="s">
        <v>8403</v>
      </c>
      <c r="G1978" s="2" t="s">
        <v>8404</v>
      </c>
      <c r="H1978" s="2" t="s">
        <v>4022</v>
      </c>
      <c r="I1978" s="2" t="s">
        <v>697</v>
      </c>
      <c r="J1978" s="2" t="s">
        <v>12899</v>
      </c>
      <c r="K1978" s="2" t="s">
        <v>507</v>
      </c>
      <c r="L1978" s="2" t="n">
        <v>0</v>
      </c>
      <c r="M1978" s="2" t="n">
        <v>0.73</v>
      </c>
    </row>
    <row r="1979" customFormat="false" ht="15" hidden="false" customHeight="false" outlineLevel="0" collapsed="false">
      <c r="A1979" s="2" t="n">
        <v>1977</v>
      </c>
      <c r="B1979" s="2" t="s">
        <v>8355</v>
      </c>
      <c r="C1979" s="2" t="n">
        <v>1</v>
      </c>
      <c r="D1979" s="2" t="n">
        <v>0</v>
      </c>
      <c r="E1979" s="2" t="s">
        <v>8408</v>
      </c>
      <c r="F1979" s="2" t="s">
        <v>8403</v>
      </c>
      <c r="G1979" s="2" t="s">
        <v>8409</v>
      </c>
      <c r="H1979" s="2" t="s">
        <v>178</v>
      </c>
      <c r="I1979" s="2" t="s">
        <v>132</v>
      </c>
      <c r="J1979" s="2" t="s">
        <v>12900</v>
      </c>
      <c r="K1979" s="2" t="s">
        <v>507</v>
      </c>
      <c r="L1979" s="2" t="n">
        <v>0</v>
      </c>
      <c r="M1979" s="2" t="n">
        <v>0.78</v>
      </c>
    </row>
    <row r="1980" customFormat="false" ht="15" hidden="false" customHeight="false" outlineLevel="0" collapsed="false">
      <c r="A1980" s="2" t="n">
        <v>1978</v>
      </c>
      <c r="B1980" s="2" t="s">
        <v>8355</v>
      </c>
      <c r="C1980" s="2" t="n">
        <v>0</v>
      </c>
      <c r="D1980" s="2" t="n">
        <v>0</v>
      </c>
      <c r="E1980" s="2" t="s">
        <v>12901</v>
      </c>
      <c r="F1980" s="2" t="s">
        <v>8416</v>
      </c>
      <c r="G1980" s="2" t="s">
        <v>12902</v>
      </c>
      <c r="H1980" s="2" t="s">
        <v>1170</v>
      </c>
      <c r="I1980" s="2" t="s">
        <v>2927</v>
      </c>
      <c r="J1980" s="2" t="s">
        <v>12903</v>
      </c>
      <c r="K1980" s="2" t="s">
        <v>507</v>
      </c>
      <c r="L1980" s="2" t="n">
        <v>0</v>
      </c>
      <c r="M1980" s="2" t="n">
        <v>0.83</v>
      </c>
    </row>
    <row r="1981" customFormat="false" ht="15" hidden="false" customHeight="false" outlineLevel="0" collapsed="false">
      <c r="A1981" s="2" t="n">
        <v>1979</v>
      </c>
      <c r="B1981" s="2" t="s">
        <v>8355</v>
      </c>
      <c r="C1981" s="2" t="n">
        <v>0</v>
      </c>
      <c r="D1981" s="2" t="n">
        <v>0</v>
      </c>
      <c r="E1981" s="2" t="s">
        <v>12904</v>
      </c>
      <c r="F1981" s="2" t="s">
        <v>10818</v>
      </c>
      <c r="G1981" s="2" t="s">
        <v>12905</v>
      </c>
      <c r="H1981" s="2" t="s">
        <v>66</v>
      </c>
      <c r="I1981" s="2" t="s">
        <v>1092</v>
      </c>
      <c r="J1981" s="2" t="s">
        <v>12906</v>
      </c>
      <c r="K1981" s="2" t="s">
        <v>507</v>
      </c>
      <c r="L1981" s="2" t="n">
        <v>0.12</v>
      </c>
      <c r="M1981" s="2" t="n">
        <v>0.38</v>
      </c>
    </row>
    <row r="1982" customFormat="false" ht="15" hidden="false" customHeight="false" outlineLevel="0" collapsed="false">
      <c r="A1982" s="2" t="n">
        <v>1980</v>
      </c>
      <c r="B1982" s="2" t="s">
        <v>8410</v>
      </c>
      <c r="C1982" s="2" t="n">
        <v>0</v>
      </c>
      <c r="D1982" s="2" t="n">
        <v>0</v>
      </c>
      <c r="E1982" s="2" t="s">
        <v>12907</v>
      </c>
      <c r="F1982" s="2" t="s">
        <v>2212</v>
      </c>
      <c r="G1982" s="2" t="s">
        <v>8354</v>
      </c>
      <c r="H1982" s="2" t="s">
        <v>178</v>
      </c>
      <c r="I1982" s="2" t="s">
        <v>421</v>
      </c>
      <c r="J1982" s="2" t="s">
        <v>12908</v>
      </c>
      <c r="K1982" s="2" t="s">
        <v>507</v>
      </c>
      <c r="L1982" s="2" t="n">
        <v>0.07</v>
      </c>
      <c r="M1982" s="2" t="n">
        <v>0.82</v>
      </c>
    </row>
    <row r="1983" customFormat="false" ht="15" hidden="false" customHeight="false" outlineLevel="0" collapsed="false">
      <c r="A1983" s="2" t="n">
        <v>1981</v>
      </c>
      <c r="B1983" s="2" t="s">
        <v>8410</v>
      </c>
      <c r="C1983" s="2" t="n">
        <v>0</v>
      </c>
      <c r="D1983" s="2" t="n">
        <v>0</v>
      </c>
      <c r="E1983" s="2" t="s">
        <v>12909</v>
      </c>
      <c r="F1983" s="2" t="s">
        <v>8481</v>
      </c>
      <c r="G1983" s="2" t="s">
        <v>12910</v>
      </c>
      <c r="H1983" s="2" t="s">
        <v>178</v>
      </c>
      <c r="I1983" s="2" t="s">
        <v>262</v>
      </c>
      <c r="J1983" s="2" t="s">
        <v>12911</v>
      </c>
      <c r="K1983" s="2" t="s">
        <v>507</v>
      </c>
      <c r="L1983" s="2" t="n">
        <v>0.07</v>
      </c>
      <c r="M1983" s="2" t="n">
        <v>0.7</v>
      </c>
    </row>
    <row r="1984" customFormat="false" ht="15" hidden="false" customHeight="false" outlineLevel="0" collapsed="false">
      <c r="A1984" s="2" t="n">
        <v>1982</v>
      </c>
      <c r="B1984" s="2" t="s">
        <v>8410</v>
      </c>
      <c r="C1984" s="2" t="n">
        <v>0</v>
      </c>
      <c r="D1984" s="2" t="n">
        <v>0</v>
      </c>
      <c r="E1984" s="2" t="s">
        <v>12912</v>
      </c>
      <c r="F1984" s="2" t="s">
        <v>8416</v>
      </c>
      <c r="G1984" s="2" t="s">
        <v>12913</v>
      </c>
      <c r="H1984" s="2" t="s">
        <v>66</v>
      </c>
      <c r="I1984" s="2" t="s">
        <v>6803</v>
      </c>
      <c r="J1984" s="2" t="s">
        <v>12914</v>
      </c>
      <c r="K1984" s="2" t="s">
        <v>507</v>
      </c>
      <c r="L1984" s="2" t="n">
        <v>0</v>
      </c>
      <c r="M1984" s="2" t="n">
        <v>0.92</v>
      </c>
    </row>
    <row r="1985" customFormat="false" ht="15" hidden="false" customHeight="false" outlineLevel="0" collapsed="false">
      <c r="A1985" s="2" t="n">
        <v>1983</v>
      </c>
      <c r="B1985" s="2" t="s">
        <v>8410</v>
      </c>
      <c r="C1985" s="2" t="n">
        <v>0</v>
      </c>
      <c r="D1985" s="2" t="n">
        <v>0</v>
      </c>
      <c r="E1985" s="2" t="s">
        <v>12915</v>
      </c>
      <c r="F1985" s="2" t="s">
        <v>743</v>
      </c>
      <c r="G1985" s="2" t="s">
        <v>12916</v>
      </c>
      <c r="H1985" s="2" t="s">
        <v>420</v>
      </c>
      <c r="I1985" s="2" t="s">
        <v>604</v>
      </c>
      <c r="J1985" s="2" t="s">
        <v>12917</v>
      </c>
      <c r="K1985" s="2" t="s">
        <v>507</v>
      </c>
      <c r="L1985" s="2" t="n">
        <v>0.12</v>
      </c>
      <c r="M1985" s="2" t="n">
        <v>0.42</v>
      </c>
    </row>
    <row r="1986" customFormat="false" ht="15" hidden="false" customHeight="false" outlineLevel="0" collapsed="false">
      <c r="A1986" s="2" t="n">
        <v>1984</v>
      </c>
      <c r="B1986" s="2" t="s">
        <v>8410</v>
      </c>
      <c r="C1986" s="2" t="n">
        <v>1</v>
      </c>
      <c r="D1986" s="2" t="n">
        <v>0</v>
      </c>
      <c r="E1986" s="2" t="s">
        <v>8415</v>
      </c>
      <c r="F1986" s="2" t="s">
        <v>8416</v>
      </c>
      <c r="G1986" s="2" t="s">
        <v>8417</v>
      </c>
      <c r="H1986" s="2" t="s">
        <v>8418</v>
      </c>
      <c r="I1986" s="2" t="s">
        <v>1648</v>
      </c>
      <c r="J1986" s="2" t="s">
        <v>12918</v>
      </c>
      <c r="K1986" s="2" t="s">
        <v>507</v>
      </c>
      <c r="L1986" s="2" t="n">
        <v>0</v>
      </c>
      <c r="M1986" s="2" t="n">
        <v>0.85</v>
      </c>
    </row>
    <row r="1987" customFormat="false" ht="15" hidden="false" customHeight="false" outlineLevel="0" collapsed="false">
      <c r="A1987" s="2" t="n">
        <v>1985</v>
      </c>
      <c r="B1987" s="2" t="s">
        <v>8410</v>
      </c>
      <c r="C1987" s="2" t="n">
        <v>0</v>
      </c>
      <c r="D1987" s="2" t="n">
        <v>0</v>
      </c>
      <c r="E1987" s="2" t="s">
        <v>12919</v>
      </c>
      <c r="F1987" s="2" t="s">
        <v>8416</v>
      </c>
      <c r="G1987" s="2" t="s">
        <v>12920</v>
      </c>
      <c r="H1987" s="2" t="s">
        <v>1353</v>
      </c>
      <c r="I1987" s="2" t="s">
        <v>1648</v>
      </c>
      <c r="J1987" s="2" t="s">
        <v>12921</v>
      </c>
      <c r="K1987" s="2" t="s">
        <v>507</v>
      </c>
      <c r="L1987" s="2" t="n">
        <v>0.12</v>
      </c>
      <c r="M1987" s="2" t="n">
        <v>0.67</v>
      </c>
    </row>
    <row r="1988" customFormat="false" ht="15" hidden="false" customHeight="false" outlineLevel="0" collapsed="false">
      <c r="A1988" s="2" t="n">
        <v>1986</v>
      </c>
      <c r="B1988" s="2" t="s">
        <v>8410</v>
      </c>
      <c r="C1988" s="2" t="n">
        <v>0</v>
      </c>
      <c r="D1988" s="2" t="n">
        <v>0</v>
      </c>
      <c r="E1988" s="2" t="s">
        <v>12922</v>
      </c>
      <c r="F1988" s="2" t="s">
        <v>803</v>
      </c>
      <c r="G1988" s="2" t="s">
        <v>12923</v>
      </c>
      <c r="H1988" s="2" t="s">
        <v>8470</v>
      </c>
      <c r="I1988" s="2" t="s">
        <v>1204</v>
      </c>
      <c r="J1988" s="2" t="s">
        <v>12924</v>
      </c>
      <c r="K1988" s="2" t="s">
        <v>507</v>
      </c>
      <c r="L1988" s="2" t="n">
        <v>0</v>
      </c>
      <c r="M1988" s="2" t="n">
        <v>1</v>
      </c>
    </row>
    <row r="1989" customFormat="false" ht="15" hidden="false" customHeight="false" outlineLevel="0" collapsed="false">
      <c r="A1989" s="2" t="n">
        <v>1987</v>
      </c>
      <c r="B1989" s="2" t="s">
        <v>8410</v>
      </c>
      <c r="C1989" s="2" t="n">
        <v>0</v>
      </c>
      <c r="D1989" s="2" t="n">
        <v>0</v>
      </c>
      <c r="E1989" s="2" t="s">
        <v>12925</v>
      </c>
      <c r="F1989" s="2" t="s">
        <v>8403</v>
      </c>
      <c r="G1989" s="2" t="s">
        <v>12926</v>
      </c>
      <c r="H1989" s="2" t="s">
        <v>420</v>
      </c>
      <c r="I1989" s="2" t="s">
        <v>1204</v>
      </c>
      <c r="J1989" s="2" t="s">
        <v>12927</v>
      </c>
      <c r="K1989" s="2" t="s">
        <v>507</v>
      </c>
      <c r="L1989" s="2" t="n">
        <v>0</v>
      </c>
      <c r="M1989" s="2" t="n">
        <v>0.73</v>
      </c>
    </row>
    <row r="1990" customFormat="false" ht="15" hidden="false" customHeight="false" outlineLevel="0" collapsed="false">
      <c r="A1990" s="2" t="n">
        <v>1988</v>
      </c>
      <c r="B1990" s="2" t="s">
        <v>8410</v>
      </c>
      <c r="C1990" s="2" t="n">
        <v>1</v>
      </c>
      <c r="D1990" s="2" t="n">
        <v>0</v>
      </c>
      <c r="E1990" s="2" t="s">
        <v>8422</v>
      </c>
      <c r="F1990" s="2" t="s">
        <v>8403</v>
      </c>
      <c r="G1990" s="2" t="s">
        <v>8423</v>
      </c>
      <c r="H1990" s="2" t="s">
        <v>1500</v>
      </c>
      <c r="I1990" s="2" t="s">
        <v>8424</v>
      </c>
      <c r="J1990" s="2" t="s">
        <v>12928</v>
      </c>
      <c r="K1990" s="2" t="s">
        <v>507</v>
      </c>
      <c r="L1990" s="2" t="n">
        <v>0.12</v>
      </c>
      <c r="M1990" s="2" t="n">
        <v>0.78</v>
      </c>
    </row>
    <row r="1991" customFormat="false" ht="15" hidden="false" customHeight="false" outlineLevel="0" collapsed="false">
      <c r="A1991" s="2" t="n">
        <v>1989</v>
      </c>
      <c r="B1991" s="2" t="s">
        <v>8410</v>
      </c>
      <c r="C1991" s="2" t="n">
        <v>0</v>
      </c>
      <c r="D1991" s="2" t="n">
        <v>0</v>
      </c>
      <c r="E1991" s="2" t="s">
        <v>12929</v>
      </c>
      <c r="F1991" s="2" t="s">
        <v>10818</v>
      </c>
      <c r="G1991" s="2" t="s">
        <v>12930</v>
      </c>
      <c r="H1991" s="2" t="s">
        <v>3387</v>
      </c>
      <c r="I1991" s="2" t="s">
        <v>6109</v>
      </c>
      <c r="J1991" s="2" t="s">
        <v>12931</v>
      </c>
      <c r="K1991" s="2" t="s">
        <v>507</v>
      </c>
      <c r="L1991" s="2" t="n">
        <v>0</v>
      </c>
      <c r="M1991" s="2" t="n">
        <v>0.31</v>
      </c>
    </row>
    <row r="1992" customFormat="false" ht="15" hidden="false" customHeight="false" outlineLevel="0" collapsed="false">
      <c r="A1992" s="2" t="n">
        <v>1990</v>
      </c>
      <c r="B1992" s="2" t="s">
        <v>8410</v>
      </c>
      <c r="C1992" s="2" t="n">
        <v>0</v>
      </c>
      <c r="D1992" s="2" t="n">
        <v>0</v>
      </c>
      <c r="E1992" s="2" t="s">
        <v>12932</v>
      </c>
      <c r="F1992" s="2" t="s">
        <v>10818</v>
      </c>
      <c r="G1992" s="2" t="s">
        <v>12933</v>
      </c>
      <c r="H1992" s="2" t="s">
        <v>7823</v>
      </c>
      <c r="I1992" s="2" t="s">
        <v>476</v>
      </c>
      <c r="J1992" s="2" t="s">
        <v>12934</v>
      </c>
      <c r="K1992" s="2" t="s">
        <v>507</v>
      </c>
      <c r="L1992" s="2" t="n">
        <v>0</v>
      </c>
      <c r="M1992" s="2" t="n">
        <v>0.12</v>
      </c>
    </row>
    <row r="1993" customFormat="false" ht="15" hidden="false" customHeight="false" outlineLevel="0" collapsed="false">
      <c r="A1993" s="2" t="n">
        <v>1991</v>
      </c>
      <c r="B1993" s="2" t="s">
        <v>8410</v>
      </c>
      <c r="C1993" s="2" t="n">
        <v>0</v>
      </c>
      <c r="D1993" s="2" t="n">
        <v>0</v>
      </c>
      <c r="E1993" s="2" t="s">
        <v>12935</v>
      </c>
      <c r="F1993" s="2" t="s">
        <v>10818</v>
      </c>
      <c r="G1993" s="2" t="s">
        <v>12936</v>
      </c>
      <c r="H1993" s="2" t="s">
        <v>1146</v>
      </c>
      <c r="I1993" s="2" t="s">
        <v>476</v>
      </c>
      <c r="J1993" s="2" t="s">
        <v>12937</v>
      </c>
      <c r="K1993" s="2" t="s">
        <v>507</v>
      </c>
      <c r="L1993" s="2" t="n">
        <v>0</v>
      </c>
      <c r="M1993" s="2" t="n">
        <v>0.33</v>
      </c>
    </row>
    <row r="1994" customFormat="false" ht="15" hidden="false" customHeight="false" outlineLevel="0" collapsed="false">
      <c r="A1994" s="2" t="n">
        <v>1992</v>
      </c>
      <c r="B1994" s="2" t="s">
        <v>8410</v>
      </c>
      <c r="C1994" s="2" t="n">
        <v>0</v>
      </c>
      <c r="D1994" s="2" t="n">
        <v>0</v>
      </c>
      <c r="E1994" s="2" t="s">
        <v>12938</v>
      </c>
      <c r="F1994" s="2" t="s">
        <v>10818</v>
      </c>
      <c r="G1994" s="2" t="s">
        <v>12939</v>
      </c>
      <c r="H1994" s="2" t="s">
        <v>12940</v>
      </c>
      <c r="I1994" s="2" t="s">
        <v>476</v>
      </c>
      <c r="J1994" s="2" t="s">
        <v>12941</v>
      </c>
      <c r="K1994" s="2" t="s">
        <v>507</v>
      </c>
      <c r="L1994" s="2" t="n">
        <v>0</v>
      </c>
      <c r="M1994" s="2" t="n">
        <v>0.4</v>
      </c>
    </row>
    <row r="1995" customFormat="false" ht="15" hidden="false" customHeight="false" outlineLevel="0" collapsed="false">
      <c r="A1995" s="2" t="n">
        <v>1993</v>
      </c>
      <c r="B1995" s="2" t="s">
        <v>8410</v>
      </c>
      <c r="C1995" s="2" t="n">
        <v>5</v>
      </c>
      <c r="D1995" s="2" t="n">
        <v>0</v>
      </c>
      <c r="E1995" s="2" t="s">
        <v>8429</v>
      </c>
      <c r="F1995" s="2" t="s">
        <v>8430</v>
      </c>
      <c r="G1995" s="2" t="s">
        <v>8431</v>
      </c>
      <c r="H1995" s="2" t="s">
        <v>5681</v>
      </c>
      <c r="I1995" s="2" t="s">
        <v>476</v>
      </c>
      <c r="J1995" s="2" t="s">
        <v>12942</v>
      </c>
      <c r="K1995" s="2" t="s">
        <v>507</v>
      </c>
      <c r="L1995" s="2" t="n">
        <v>0.17</v>
      </c>
      <c r="M1995" s="2" t="n">
        <v>0.67</v>
      </c>
    </row>
    <row r="1996" customFormat="false" ht="15" hidden="false" customHeight="false" outlineLevel="0" collapsed="false">
      <c r="A1996" s="2" t="n">
        <v>1994</v>
      </c>
      <c r="B1996" s="2" t="s">
        <v>8410</v>
      </c>
      <c r="C1996" s="2" t="n">
        <v>1</v>
      </c>
      <c r="D1996" s="2" t="n">
        <v>1</v>
      </c>
      <c r="E1996" s="2" t="s">
        <v>8444</v>
      </c>
      <c r="F1996" s="2" t="s">
        <v>8445</v>
      </c>
      <c r="G1996" s="2" t="s">
        <v>8446</v>
      </c>
      <c r="H1996" s="2" t="s">
        <v>8447</v>
      </c>
      <c r="I1996" s="2" t="s">
        <v>3435</v>
      </c>
      <c r="J1996" s="2" t="s">
        <v>12943</v>
      </c>
      <c r="K1996" s="2" t="s">
        <v>507</v>
      </c>
      <c r="L1996" s="2" t="n">
        <v>0</v>
      </c>
      <c r="M1996" s="2" t="n">
        <v>0.82</v>
      </c>
    </row>
    <row r="1997" customFormat="false" ht="15" hidden="false" customHeight="false" outlineLevel="0" collapsed="false">
      <c r="A1997" s="2" t="n">
        <v>1995</v>
      </c>
      <c r="B1997" s="2" t="s">
        <v>8410</v>
      </c>
      <c r="C1997" s="2" t="n">
        <v>0</v>
      </c>
      <c r="D1997" s="2" t="n">
        <v>0</v>
      </c>
      <c r="E1997" s="2" t="s">
        <v>12944</v>
      </c>
      <c r="F1997" s="2" t="s">
        <v>4166</v>
      </c>
      <c r="G1997" s="2" t="s">
        <v>12945</v>
      </c>
      <c r="H1997" s="2" t="s">
        <v>66</v>
      </c>
      <c r="I1997" s="2" t="s">
        <v>3823</v>
      </c>
      <c r="J1997" s="2" t="s">
        <v>12946</v>
      </c>
      <c r="K1997" s="2" t="s">
        <v>507</v>
      </c>
      <c r="L1997" s="2" t="n">
        <v>0</v>
      </c>
      <c r="M1997" s="2" t="n">
        <v>0.86</v>
      </c>
    </row>
    <row r="1998" customFormat="false" ht="15" hidden="false" customHeight="false" outlineLevel="0" collapsed="false">
      <c r="A1998" s="2" t="n">
        <v>1996</v>
      </c>
      <c r="B1998" s="2" t="s">
        <v>8410</v>
      </c>
      <c r="C1998" s="2" t="n">
        <v>0</v>
      </c>
      <c r="D1998" s="2" t="n">
        <v>0</v>
      </c>
      <c r="E1998" s="2" t="s">
        <v>12947</v>
      </c>
      <c r="F1998" s="2" t="s">
        <v>12948</v>
      </c>
      <c r="G1998" s="2" t="s">
        <v>12949</v>
      </c>
      <c r="H1998" s="2" t="s">
        <v>1500</v>
      </c>
      <c r="I1998" s="2" t="s">
        <v>2149</v>
      </c>
      <c r="J1998" s="2" t="s">
        <v>12950</v>
      </c>
      <c r="K1998" s="2" t="s">
        <v>507</v>
      </c>
      <c r="L1998" s="2" t="n">
        <v>0.11</v>
      </c>
      <c r="M1998" s="2" t="n">
        <v>0.53</v>
      </c>
    </row>
    <row r="1999" customFormat="false" ht="15" hidden="false" customHeight="false" outlineLevel="0" collapsed="false">
      <c r="A1999" s="2" t="n">
        <v>1997</v>
      </c>
      <c r="B1999" s="2" t="s">
        <v>8410</v>
      </c>
      <c r="C1999" s="2" t="n">
        <v>0</v>
      </c>
      <c r="D1999" s="2" t="n">
        <v>0</v>
      </c>
      <c r="E1999" s="2" t="s">
        <v>12951</v>
      </c>
      <c r="F1999" s="2" t="s">
        <v>803</v>
      </c>
      <c r="G1999" s="2" t="s">
        <v>12952</v>
      </c>
      <c r="H1999" s="2" t="s">
        <v>12953</v>
      </c>
      <c r="I1999" s="2" t="s">
        <v>3765</v>
      </c>
      <c r="J1999" s="2" t="s">
        <v>12954</v>
      </c>
      <c r="K1999" s="2" t="s">
        <v>507</v>
      </c>
      <c r="L1999" s="2" t="n">
        <v>0</v>
      </c>
      <c r="M1999" s="2" t="n">
        <v>1</v>
      </c>
    </row>
    <row r="2000" customFormat="false" ht="15" hidden="false" customHeight="false" outlineLevel="0" collapsed="false">
      <c r="A2000" s="2" t="n">
        <v>1998</v>
      </c>
      <c r="B2000" s="2" t="s">
        <v>8410</v>
      </c>
      <c r="C2000" s="2" t="n">
        <v>0</v>
      </c>
      <c r="D2000" s="2" t="n">
        <v>0</v>
      </c>
      <c r="E2000" s="2" t="s">
        <v>12955</v>
      </c>
      <c r="F2000" s="2" t="s">
        <v>8453</v>
      </c>
      <c r="G2000" s="2" t="s">
        <v>12956</v>
      </c>
      <c r="H2000" s="2" t="s">
        <v>12311</v>
      </c>
      <c r="I2000" s="2" t="s">
        <v>604</v>
      </c>
      <c r="J2000" s="2" t="s">
        <v>12957</v>
      </c>
      <c r="K2000" s="2" t="s">
        <v>507</v>
      </c>
      <c r="L2000" s="2" t="n">
        <v>0</v>
      </c>
      <c r="M2000" s="2" t="n">
        <v>0.5</v>
      </c>
    </row>
    <row r="2001" customFormat="false" ht="15" hidden="false" customHeight="false" outlineLevel="0" collapsed="false">
      <c r="A2001" s="2" t="n">
        <v>1999</v>
      </c>
      <c r="B2001" s="2" t="s">
        <v>8410</v>
      </c>
      <c r="C2001" s="2" t="n">
        <v>0</v>
      </c>
      <c r="D2001" s="2" t="n">
        <v>0</v>
      </c>
      <c r="E2001" s="2" t="s">
        <v>12958</v>
      </c>
      <c r="F2001" s="2" t="s">
        <v>8416</v>
      </c>
      <c r="G2001" s="2" t="s">
        <v>12959</v>
      </c>
      <c r="H2001" s="2" t="s">
        <v>7823</v>
      </c>
      <c r="I2001" s="2" t="s">
        <v>1055</v>
      </c>
      <c r="J2001" s="2" t="s">
        <v>12960</v>
      </c>
      <c r="K2001" s="2" t="s">
        <v>507</v>
      </c>
      <c r="L2001" s="2" t="n">
        <v>0</v>
      </c>
      <c r="M2001" s="2" t="n">
        <v>0.5</v>
      </c>
    </row>
    <row r="2002" customFormat="false" ht="15" hidden="false" customHeight="false" outlineLevel="0" collapsed="false">
      <c r="A2002" s="2" t="n">
        <v>2000</v>
      </c>
      <c r="B2002" s="2" t="s">
        <v>8410</v>
      </c>
      <c r="C2002" s="2" t="n">
        <v>0</v>
      </c>
      <c r="D2002" s="2" t="n">
        <v>0</v>
      </c>
      <c r="E2002" s="2" t="s">
        <v>12961</v>
      </c>
      <c r="F2002" s="2" t="s">
        <v>12962</v>
      </c>
      <c r="G2002" s="2" t="s">
        <v>12963</v>
      </c>
      <c r="H2002" s="2" t="s">
        <v>6054</v>
      </c>
      <c r="I2002" s="2" t="s">
        <v>3765</v>
      </c>
      <c r="J2002" s="2" t="s">
        <v>12964</v>
      </c>
      <c r="K2002" s="2" t="s">
        <v>507</v>
      </c>
      <c r="L2002" s="2" t="n">
        <v>0.1</v>
      </c>
      <c r="M2002" s="2" t="n">
        <v>0.85</v>
      </c>
    </row>
    <row r="2003" customFormat="false" ht="15" hidden="false" customHeight="false" outlineLevel="0" collapsed="false">
      <c r="A2003" s="2" t="n">
        <v>2001</v>
      </c>
      <c r="B2003" s="2" t="s">
        <v>8410</v>
      </c>
      <c r="C2003" s="2" t="n">
        <v>0</v>
      </c>
      <c r="D2003" s="2" t="n">
        <v>0</v>
      </c>
      <c r="E2003" s="2" t="s">
        <v>12965</v>
      </c>
      <c r="F2003" s="2" t="s">
        <v>8485</v>
      </c>
      <c r="G2003" s="2" t="s">
        <v>12966</v>
      </c>
      <c r="H2003" s="2" t="s">
        <v>420</v>
      </c>
      <c r="I2003" s="2" t="s">
        <v>5519</v>
      </c>
      <c r="J2003" s="2" t="s">
        <v>12967</v>
      </c>
      <c r="K2003" s="2" t="s">
        <v>507</v>
      </c>
      <c r="L2003" s="2" t="n">
        <v>0</v>
      </c>
      <c r="M2003" s="2" t="n">
        <v>0.33</v>
      </c>
    </row>
    <row r="2004" customFormat="false" ht="15" hidden="false" customHeight="false" outlineLevel="0" collapsed="false">
      <c r="A2004" s="2" t="n">
        <v>2002</v>
      </c>
      <c r="B2004" s="2" t="s">
        <v>8410</v>
      </c>
      <c r="C2004" s="2" t="n">
        <v>0</v>
      </c>
      <c r="D2004" s="2" t="n">
        <v>0</v>
      </c>
      <c r="E2004" s="2" t="s">
        <v>12968</v>
      </c>
      <c r="F2004" s="2" t="s">
        <v>10922</v>
      </c>
      <c r="G2004" s="2" t="s">
        <v>12969</v>
      </c>
      <c r="H2004" s="2" t="s">
        <v>5376</v>
      </c>
      <c r="I2004" s="2" t="s">
        <v>115</v>
      </c>
      <c r="J2004" s="2" t="s">
        <v>12970</v>
      </c>
      <c r="K2004" s="2" t="s">
        <v>507</v>
      </c>
      <c r="L2004" s="2" t="n">
        <v>0</v>
      </c>
      <c r="M2004" s="2" t="n">
        <v>0.4</v>
      </c>
    </row>
    <row r="2005" customFormat="false" ht="15" hidden="false" customHeight="false" outlineLevel="0" collapsed="false">
      <c r="A2005" s="2" t="n">
        <v>2003</v>
      </c>
      <c r="B2005" s="2" t="s">
        <v>8410</v>
      </c>
      <c r="C2005" s="2" t="n">
        <v>0</v>
      </c>
      <c r="D2005" s="2" t="n">
        <v>0</v>
      </c>
      <c r="E2005" s="2" t="s">
        <v>12971</v>
      </c>
      <c r="F2005" s="2" t="s">
        <v>8453</v>
      </c>
      <c r="G2005" s="2" t="s">
        <v>12972</v>
      </c>
      <c r="H2005" s="2" t="s">
        <v>2312</v>
      </c>
      <c r="I2005" s="2" t="s">
        <v>2370</v>
      </c>
      <c r="J2005" s="2" t="s">
        <v>12973</v>
      </c>
      <c r="K2005" s="2" t="s">
        <v>507</v>
      </c>
      <c r="L2005" s="2" t="n">
        <v>0</v>
      </c>
      <c r="M2005" s="2" t="n">
        <v>0.67</v>
      </c>
    </row>
    <row r="2006" customFormat="false" ht="15" hidden="false" customHeight="false" outlineLevel="0" collapsed="false">
      <c r="A2006" s="2" t="n">
        <v>2004</v>
      </c>
      <c r="B2006" s="2" t="s">
        <v>8410</v>
      </c>
      <c r="C2006" s="2" t="n">
        <v>0</v>
      </c>
      <c r="D2006" s="2" t="n">
        <v>0</v>
      </c>
      <c r="E2006" s="2" t="s">
        <v>12974</v>
      </c>
      <c r="F2006" s="2" t="s">
        <v>10944</v>
      </c>
      <c r="G2006" s="2" t="s">
        <v>12975</v>
      </c>
      <c r="H2006" s="2" t="s">
        <v>7823</v>
      </c>
      <c r="I2006" s="2" t="s">
        <v>795</v>
      </c>
      <c r="J2006" s="2" t="s">
        <v>12976</v>
      </c>
      <c r="K2006" s="2" t="s">
        <v>507</v>
      </c>
      <c r="L2006" s="2" t="n">
        <v>0.22</v>
      </c>
      <c r="M2006" s="2" t="n">
        <v>0.57</v>
      </c>
    </row>
    <row r="2007" customFormat="false" ht="15" hidden="false" customHeight="false" outlineLevel="0" collapsed="false">
      <c r="A2007" s="2" t="n">
        <v>2005</v>
      </c>
      <c r="B2007" s="2" t="s">
        <v>8410</v>
      </c>
      <c r="C2007" s="2" t="n">
        <v>0</v>
      </c>
      <c r="D2007" s="2" t="n">
        <v>0</v>
      </c>
      <c r="E2007" s="2" t="s">
        <v>12977</v>
      </c>
      <c r="F2007" s="2" t="s">
        <v>10922</v>
      </c>
      <c r="G2007" s="2" t="s">
        <v>12978</v>
      </c>
      <c r="H2007" s="2" t="s">
        <v>66</v>
      </c>
      <c r="I2007" s="2" t="s">
        <v>3744</v>
      </c>
      <c r="J2007" s="2" t="s">
        <v>12979</v>
      </c>
      <c r="K2007" s="2" t="s">
        <v>507</v>
      </c>
      <c r="L2007" s="2" t="n">
        <v>0</v>
      </c>
      <c r="M2007" s="2" t="n">
        <v>0.55</v>
      </c>
    </row>
    <row r="2008" customFormat="false" ht="15" hidden="false" customHeight="false" outlineLevel="0" collapsed="false">
      <c r="A2008" s="2" t="n">
        <v>2006</v>
      </c>
      <c r="B2008" s="2" t="s">
        <v>8410</v>
      </c>
      <c r="C2008" s="2" t="n">
        <v>0</v>
      </c>
      <c r="D2008" s="2" t="n">
        <v>0</v>
      </c>
      <c r="E2008" s="2" t="s">
        <v>12980</v>
      </c>
      <c r="F2008" s="2" t="s">
        <v>8416</v>
      </c>
      <c r="G2008" s="2" t="s">
        <v>12981</v>
      </c>
      <c r="H2008" s="2" t="s">
        <v>420</v>
      </c>
      <c r="I2008" s="2" t="s">
        <v>1875</v>
      </c>
      <c r="J2008" s="2" t="s">
        <v>12982</v>
      </c>
      <c r="K2008" s="2" t="s">
        <v>507</v>
      </c>
      <c r="L2008" s="2" t="n">
        <v>0</v>
      </c>
      <c r="M2008" s="2" t="n">
        <v>0.5</v>
      </c>
    </row>
    <row r="2009" customFormat="false" ht="15" hidden="false" customHeight="false" outlineLevel="0" collapsed="false">
      <c r="A2009" s="2" t="n">
        <v>2007</v>
      </c>
      <c r="B2009" s="2" t="s">
        <v>8410</v>
      </c>
      <c r="C2009" s="2" t="n">
        <v>2</v>
      </c>
      <c r="D2009" s="2" t="n">
        <v>2</v>
      </c>
      <c r="E2009" s="2" t="s">
        <v>8452</v>
      </c>
      <c r="F2009" s="2" t="s">
        <v>8453</v>
      </c>
      <c r="G2009" s="2" t="s">
        <v>8454</v>
      </c>
      <c r="H2009" s="2" t="s">
        <v>8455</v>
      </c>
      <c r="I2009" s="2" t="s">
        <v>538</v>
      </c>
      <c r="J2009" s="2" t="s">
        <v>12983</v>
      </c>
      <c r="K2009" s="2" t="s">
        <v>507</v>
      </c>
      <c r="L2009" s="2" t="n">
        <v>0.2</v>
      </c>
      <c r="M2009" s="2" t="n">
        <v>1</v>
      </c>
    </row>
    <row r="2010" customFormat="false" ht="15" hidden="false" customHeight="false" outlineLevel="0" collapsed="false">
      <c r="A2010" s="2" t="n">
        <v>2008</v>
      </c>
      <c r="B2010" s="2" t="s">
        <v>8410</v>
      </c>
      <c r="C2010" s="2" t="n">
        <v>1</v>
      </c>
      <c r="D2010" s="2" t="n">
        <v>1</v>
      </c>
      <c r="E2010" s="2" t="s">
        <v>8459</v>
      </c>
      <c r="F2010" s="2" t="s">
        <v>95</v>
      </c>
      <c r="G2010" s="2" t="s">
        <v>8460</v>
      </c>
      <c r="H2010" s="2" t="s">
        <v>66</v>
      </c>
      <c r="I2010" s="2" t="s">
        <v>3023</v>
      </c>
      <c r="J2010" s="2" t="s">
        <v>12984</v>
      </c>
      <c r="K2010" s="2" t="s">
        <v>507</v>
      </c>
      <c r="L2010" s="2" t="n">
        <v>0.11</v>
      </c>
      <c r="M2010" s="2" t="n">
        <v>0.8</v>
      </c>
    </row>
    <row r="2011" customFormat="false" ht="15" hidden="false" customHeight="false" outlineLevel="0" collapsed="false">
      <c r="A2011" s="2" t="n">
        <v>2009</v>
      </c>
      <c r="B2011" s="2" t="s">
        <v>8410</v>
      </c>
      <c r="C2011" s="2" t="n">
        <v>0</v>
      </c>
      <c r="D2011" s="2" t="n">
        <v>0</v>
      </c>
      <c r="E2011" s="2" t="s">
        <v>12985</v>
      </c>
      <c r="F2011" s="2" t="s">
        <v>10944</v>
      </c>
      <c r="G2011" s="2" t="s">
        <v>12986</v>
      </c>
      <c r="H2011" s="2" t="s">
        <v>66</v>
      </c>
      <c r="I2011" s="2" t="s">
        <v>2013</v>
      </c>
      <c r="J2011" s="2" t="s">
        <v>12987</v>
      </c>
      <c r="K2011" s="2" t="s">
        <v>507</v>
      </c>
      <c r="L2011" s="2" t="n">
        <v>0</v>
      </c>
      <c r="M2011" s="2" t="n">
        <v>0.91</v>
      </c>
    </row>
    <row r="2012" customFormat="false" ht="15" hidden="false" customHeight="false" outlineLevel="0" collapsed="false">
      <c r="A2012" s="2" t="n">
        <v>2010</v>
      </c>
      <c r="B2012" s="2" t="s">
        <v>8461</v>
      </c>
      <c r="C2012" s="2" t="n">
        <v>1</v>
      </c>
      <c r="D2012" s="2" t="n">
        <v>1</v>
      </c>
      <c r="E2012" s="2" t="s">
        <v>8467</v>
      </c>
      <c r="F2012" s="2" t="s">
        <v>8468</v>
      </c>
      <c r="G2012" s="2" t="s">
        <v>8469</v>
      </c>
      <c r="H2012" s="2" t="s">
        <v>8470</v>
      </c>
      <c r="I2012" s="2" t="s">
        <v>1204</v>
      </c>
      <c r="J2012" s="2" t="s">
        <v>12988</v>
      </c>
      <c r="K2012" s="2" t="s">
        <v>507</v>
      </c>
      <c r="L2012" s="2" t="n">
        <v>0</v>
      </c>
      <c r="M2012" s="2" t="n">
        <v>0.82</v>
      </c>
    </row>
    <row r="2013" customFormat="false" ht="15" hidden="false" customHeight="false" outlineLevel="0" collapsed="false">
      <c r="A2013" s="2" t="n">
        <v>2011</v>
      </c>
      <c r="B2013" s="2" t="s">
        <v>8461</v>
      </c>
      <c r="C2013" s="2" t="n">
        <v>0</v>
      </c>
      <c r="D2013" s="2" t="n">
        <v>0</v>
      </c>
      <c r="E2013" s="2" t="s">
        <v>12989</v>
      </c>
      <c r="F2013" s="2" t="s">
        <v>10944</v>
      </c>
      <c r="G2013" s="2" t="s">
        <v>12990</v>
      </c>
      <c r="H2013" s="2" t="s">
        <v>7823</v>
      </c>
      <c r="I2013" s="2" t="s">
        <v>686</v>
      </c>
      <c r="J2013" s="2" t="s">
        <v>12991</v>
      </c>
      <c r="K2013" s="2" t="s">
        <v>507</v>
      </c>
      <c r="L2013" s="2" t="n">
        <v>0</v>
      </c>
      <c r="M2013" s="2" t="n">
        <v>0.5</v>
      </c>
    </row>
    <row r="2014" customFormat="false" ht="15" hidden="false" customHeight="false" outlineLevel="0" collapsed="false">
      <c r="A2014" s="2" t="n">
        <v>2012</v>
      </c>
      <c r="B2014" s="2" t="s">
        <v>8461</v>
      </c>
      <c r="C2014" s="2" t="n">
        <v>1</v>
      </c>
      <c r="D2014" s="2" t="n">
        <v>1</v>
      </c>
      <c r="E2014" s="2" t="s">
        <v>8472</v>
      </c>
      <c r="F2014" s="2" t="s">
        <v>8473</v>
      </c>
      <c r="G2014" s="2" t="s">
        <v>8474</v>
      </c>
      <c r="H2014" s="2" t="s">
        <v>1146</v>
      </c>
      <c r="I2014" s="2" t="s">
        <v>204</v>
      </c>
      <c r="J2014" s="2" t="s">
        <v>12992</v>
      </c>
      <c r="K2014" s="2" t="s">
        <v>507</v>
      </c>
      <c r="L2014" s="2" t="n">
        <v>0</v>
      </c>
      <c r="M2014" s="2" t="n">
        <v>0.79</v>
      </c>
    </row>
    <row r="2015" customFormat="false" ht="15" hidden="false" customHeight="false" outlineLevel="0" collapsed="false">
      <c r="A2015" s="2" t="n">
        <v>2013</v>
      </c>
      <c r="B2015" s="2" t="s">
        <v>8461</v>
      </c>
      <c r="C2015" s="2" t="n">
        <v>1</v>
      </c>
      <c r="D2015" s="2" t="n">
        <v>0</v>
      </c>
      <c r="E2015" s="2" t="s">
        <v>8476</v>
      </c>
      <c r="F2015" s="2" t="s">
        <v>8477</v>
      </c>
      <c r="G2015" s="2" t="s">
        <v>8478</v>
      </c>
      <c r="H2015" s="2" t="s">
        <v>696</v>
      </c>
      <c r="I2015" s="2" t="s">
        <v>1648</v>
      </c>
      <c r="J2015" s="2" t="s">
        <v>12993</v>
      </c>
      <c r="K2015" s="2" t="s">
        <v>507</v>
      </c>
      <c r="L2015" s="2" t="n">
        <v>0</v>
      </c>
      <c r="M2015" s="2" t="n">
        <v>0.6</v>
      </c>
    </row>
    <row r="2016" customFormat="false" ht="15" hidden="false" customHeight="false" outlineLevel="0" collapsed="false">
      <c r="A2016" s="2" t="n">
        <v>2014</v>
      </c>
      <c r="B2016" s="2" t="s">
        <v>8461</v>
      </c>
      <c r="C2016" s="2" t="n">
        <v>1</v>
      </c>
      <c r="D2016" s="2" t="n">
        <v>1</v>
      </c>
      <c r="E2016" s="2" t="s">
        <v>8480</v>
      </c>
      <c r="F2016" s="2" t="s">
        <v>8481</v>
      </c>
      <c r="G2016" s="2" t="s">
        <v>8482</v>
      </c>
      <c r="H2016" s="2" t="s">
        <v>1353</v>
      </c>
      <c r="I2016" s="2" t="s">
        <v>538</v>
      </c>
      <c r="J2016" s="2" t="s">
        <v>12994</v>
      </c>
      <c r="K2016" s="2" t="s">
        <v>507</v>
      </c>
      <c r="L2016" s="2" t="n">
        <v>0</v>
      </c>
      <c r="M2016" s="2" t="n">
        <v>0.58</v>
      </c>
    </row>
    <row r="2017" customFormat="false" ht="15" hidden="false" customHeight="false" outlineLevel="0" collapsed="false">
      <c r="A2017" s="2" t="n">
        <v>2015</v>
      </c>
      <c r="B2017" s="2" t="s">
        <v>8461</v>
      </c>
      <c r="C2017" s="2" t="n">
        <v>3</v>
      </c>
      <c r="D2017" s="2" t="n">
        <v>2</v>
      </c>
      <c r="E2017" s="2" t="s">
        <v>8484</v>
      </c>
      <c r="F2017" s="2" t="s">
        <v>8485</v>
      </c>
      <c r="G2017" s="2" t="s">
        <v>8486</v>
      </c>
      <c r="H2017" s="2" t="s">
        <v>6060</v>
      </c>
      <c r="I2017" s="2" t="s">
        <v>1204</v>
      </c>
      <c r="J2017" s="2" t="s">
        <v>12995</v>
      </c>
      <c r="K2017" s="2" t="s">
        <v>507</v>
      </c>
      <c r="L2017" s="2" t="n">
        <v>0</v>
      </c>
      <c r="M2017" s="2" t="n">
        <v>1</v>
      </c>
    </row>
    <row r="2018" customFormat="false" ht="15" hidden="false" customHeight="false" outlineLevel="0" collapsed="false">
      <c r="A2018" s="2" t="n">
        <v>2016</v>
      </c>
      <c r="B2018" s="2" t="s">
        <v>8461</v>
      </c>
      <c r="C2018" s="2" t="n">
        <v>1</v>
      </c>
      <c r="D2018" s="2" t="n">
        <v>1</v>
      </c>
      <c r="E2018" s="2" t="s">
        <v>8491</v>
      </c>
      <c r="F2018" s="2" t="s">
        <v>8492</v>
      </c>
      <c r="G2018" s="2" t="s">
        <v>8493</v>
      </c>
      <c r="H2018" s="2" t="s">
        <v>455</v>
      </c>
      <c r="I2018" s="2" t="s">
        <v>476</v>
      </c>
      <c r="J2018" s="2" t="s">
        <v>12996</v>
      </c>
      <c r="K2018" s="2" t="s">
        <v>507</v>
      </c>
      <c r="L2018" s="2" t="n">
        <v>0.12</v>
      </c>
      <c r="M2018" s="2" t="n">
        <v>0.83</v>
      </c>
    </row>
    <row r="2019" customFormat="false" ht="15" hidden="false" customHeight="false" outlineLevel="0" collapsed="false">
      <c r="A2019" s="2" t="n">
        <v>2017</v>
      </c>
      <c r="B2019" s="2" t="s">
        <v>8461</v>
      </c>
      <c r="C2019" s="2" t="n">
        <v>0</v>
      </c>
      <c r="D2019" s="2" t="n">
        <v>0</v>
      </c>
      <c r="E2019" s="2" t="s">
        <v>12997</v>
      </c>
      <c r="F2019" s="2" t="s">
        <v>10944</v>
      </c>
      <c r="G2019" s="2" t="s">
        <v>12998</v>
      </c>
      <c r="H2019" s="2" t="s">
        <v>66</v>
      </c>
      <c r="I2019" s="2" t="s">
        <v>1774</v>
      </c>
      <c r="J2019" s="2" t="s">
        <v>12999</v>
      </c>
      <c r="K2019" s="2" t="s">
        <v>507</v>
      </c>
      <c r="L2019" s="2" t="n">
        <v>0</v>
      </c>
      <c r="M2019" s="2" t="n">
        <v>0.79</v>
      </c>
    </row>
    <row r="2020" customFormat="false" ht="15" hidden="false" customHeight="false" outlineLevel="0" collapsed="false">
      <c r="A2020" s="2" t="n">
        <v>2018</v>
      </c>
      <c r="B2020" s="2" t="s">
        <v>8461</v>
      </c>
      <c r="C2020" s="2" t="n">
        <v>1</v>
      </c>
      <c r="D2020" s="2" t="n">
        <v>1</v>
      </c>
      <c r="E2020" s="2" t="s">
        <v>8497</v>
      </c>
      <c r="F2020" s="2" t="s">
        <v>8498</v>
      </c>
      <c r="G2020" s="2" t="s">
        <v>8499</v>
      </c>
      <c r="H2020" s="2" t="s">
        <v>7823</v>
      </c>
      <c r="I2020" s="2" t="s">
        <v>4096</v>
      </c>
      <c r="J2020" s="2" t="s">
        <v>13000</v>
      </c>
      <c r="K2020" s="2" t="s">
        <v>507</v>
      </c>
      <c r="L2020" s="2" t="n">
        <v>0.14</v>
      </c>
      <c r="M2020" s="2" t="n">
        <v>0.7</v>
      </c>
    </row>
    <row r="2021" customFormat="false" ht="15" hidden="false" customHeight="false" outlineLevel="0" collapsed="false">
      <c r="A2021" s="2" t="n">
        <v>2019</v>
      </c>
      <c r="B2021" s="2" t="s">
        <v>8461</v>
      </c>
      <c r="C2021" s="2" t="n">
        <v>0</v>
      </c>
      <c r="D2021" s="2" t="n">
        <v>0</v>
      </c>
      <c r="E2021" s="2" t="s">
        <v>13001</v>
      </c>
      <c r="F2021" s="2" t="s">
        <v>10944</v>
      </c>
      <c r="G2021" s="2" t="s">
        <v>13002</v>
      </c>
      <c r="H2021" s="2" t="s">
        <v>13003</v>
      </c>
      <c r="I2021" s="2" t="s">
        <v>4096</v>
      </c>
      <c r="J2021" s="2" t="s">
        <v>13004</v>
      </c>
      <c r="K2021" s="2" t="s">
        <v>507</v>
      </c>
      <c r="L2021" s="2" t="n">
        <v>0.1</v>
      </c>
      <c r="M2021" s="2" t="n">
        <v>0.78</v>
      </c>
    </row>
    <row r="2022" customFormat="false" ht="15" hidden="false" customHeight="false" outlineLevel="0" collapsed="false">
      <c r="A2022" s="2" t="n">
        <v>2020</v>
      </c>
      <c r="B2022" s="2" t="s">
        <v>8461</v>
      </c>
      <c r="C2022" s="2" t="n">
        <v>0</v>
      </c>
      <c r="D2022" s="2" t="n">
        <v>0</v>
      </c>
      <c r="E2022" s="2" t="s">
        <v>13005</v>
      </c>
      <c r="F2022" s="2" t="s">
        <v>10944</v>
      </c>
      <c r="G2022" s="2" t="s">
        <v>13006</v>
      </c>
      <c r="H2022" s="2" t="s">
        <v>5487</v>
      </c>
      <c r="I2022" s="2" t="s">
        <v>3506</v>
      </c>
      <c r="J2022" s="2" t="s">
        <v>13007</v>
      </c>
      <c r="K2022" s="2" t="s">
        <v>507</v>
      </c>
      <c r="L2022" s="2" t="n">
        <v>0.12</v>
      </c>
      <c r="M2022" s="2" t="n">
        <v>0.55</v>
      </c>
    </row>
    <row r="2023" customFormat="false" ht="15" hidden="false" customHeight="false" outlineLevel="0" collapsed="false">
      <c r="A2023" s="2" t="n">
        <v>2021</v>
      </c>
      <c r="B2023" s="2" t="s">
        <v>8461</v>
      </c>
      <c r="C2023" s="2" t="n">
        <v>1</v>
      </c>
      <c r="D2023" s="2" t="n">
        <v>0</v>
      </c>
      <c r="E2023" s="2" t="s">
        <v>8504</v>
      </c>
      <c r="F2023" s="2" t="s">
        <v>95</v>
      </c>
      <c r="G2023" s="2" t="s">
        <v>8505</v>
      </c>
      <c r="H2023" s="2" t="s">
        <v>97</v>
      </c>
      <c r="I2023" s="2" t="s">
        <v>2313</v>
      </c>
      <c r="J2023" s="2" t="s">
        <v>13008</v>
      </c>
      <c r="K2023" s="2" t="s">
        <v>160</v>
      </c>
      <c r="L2023" s="2" t="n">
        <v>0.33</v>
      </c>
      <c r="M2023" s="2" t="n">
        <v>0.73</v>
      </c>
    </row>
    <row r="2024" customFormat="false" ht="15" hidden="false" customHeight="false" outlineLevel="0" collapsed="false">
      <c r="A2024" s="2" t="n">
        <v>2022</v>
      </c>
      <c r="B2024" s="2" t="s">
        <v>8461</v>
      </c>
      <c r="C2024" s="2" t="n">
        <v>0</v>
      </c>
      <c r="D2024" s="2" t="n">
        <v>0</v>
      </c>
      <c r="E2024" s="2" t="s">
        <v>13009</v>
      </c>
      <c r="F2024" s="2" t="s">
        <v>803</v>
      </c>
      <c r="G2024" s="2" t="s">
        <v>13010</v>
      </c>
      <c r="H2024" s="2" t="s">
        <v>1500</v>
      </c>
      <c r="I2024" s="2" t="s">
        <v>1750</v>
      </c>
      <c r="J2024" s="2" t="s">
        <v>13011</v>
      </c>
      <c r="K2024" s="2" t="s">
        <v>507</v>
      </c>
      <c r="L2024" s="2" t="n">
        <v>0.11</v>
      </c>
      <c r="M2024" s="2" t="n">
        <v>1</v>
      </c>
    </row>
    <row r="2025" customFormat="false" ht="15" hidden="false" customHeight="false" outlineLevel="0" collapsed="false">
      <c r="A2025" s="2" t="n">
        <v>2023</v>
      </c>
      <c r="B2025" s="2" t="s">
        <v>8461</v>
      </c>
      <c r="C2025" s="2" t="n">
        <v>0</v>
      </c>
      <c r="D2025" s="2" t="n">
        <v>0</v>
      </c>
      <c r="E2025" s="2" t="s">
        <v>13012</v>
      </c>
      <c r="F2025" s="2" t="s">
        <v>13013</v>
      </c>
      <c r="G2025" s="2" t="s">
        <v>13014</v>
      </c>
      <c r="H2025" s="2" t="s">
        <v>13015</v>
      </c>
      <c r="I2025" s="2" t="s">
        <v>1574</v>
      </c>
      <c r="J2025" s="2" t="s">
        <v>13016</v>
      </c>
      <c r="K2025" s="2" t="s">
        <v>507</v>
      </c>
      <c r="L2025" s="2" t="n">
        <v>0.17</v>
      </c>
      <c r="M2025" s="2" t="n">
        <v>0.56</v>
      </c>
    </row>
    <row r="2026" customFormat="false" ht="15" hidden="false" customHeight="false" outlineLevel="0" collapsed="false">
      <c r="A2026" s="2" t="n">
        <v>2024</v>
      </c>
      <c r="B2026" s="2" t="s">
        <v>8461</v>
      </c>
      <c r="C2026" s="2" t="n">
        <v>0</v>
      </c>
      <c r="D2026" s="2" t="n">
        <v>0</v>
      </c>
      <c r="E2026" s="2" t="s">
        <v>13017</v>
      </c>
      <c r="F2026" s="2" t="s">
        <v>13018</v>
      </c>
      <c r="G2026" s="2" t="s">
        <v>13019</v>
      </c>
      <c r="H2026" s="2" t="s">
        <v>13020</v>
      </c>
      <c r="I2026" s="2" t="s">
        <v>1627</v>
      </c>
      <c r="J2026" s="2" t="s">
        <v>13021</v>
      </c>
      <c r="K2026" s="2" t="s">
        <v>507</v>
      </c>
      <c r="L2026" s="2" t="n">
        <v>0</v>
      </c>
      <c r="M2026" s="2" t="n">
        <v>0.75</v>
      </c>
    </row>
    <row r="2027" customFormat="false" ht="15" hidden="false" customHeight="false" outlineLevel="0" collapsed="false">
      <c r="A2027" s="2" t="n">
        <v>2025</v>
      </c>
      <c r="B2027" s="2" t="s">
        <v>8461</v>
      </c>
      <c r="C2027" s="2" t="n">
        <v>0</v>
      </c>
      <c r="D2027" s="2" t="n">
        <v>0</v>
      </c>
      <c r="E2027" s="2" t="s">
        <v>13022</v>
      </c>
      <c r="F2027" s="2" t="s">
        <v>10922</v>
      </c>
      <c r="G2027" s="2" t="s">
        <v>13023</v>
      </c>
      <c r="H2027" s="2" t="s">
        <v>420</v>
      </c>
      <c r="I2027" s="2" t="s">
        <v>190</v>
      </c>
      <c r="J2027" s="2" t="s">
        <v>13024</v>
      </c>
      <c r="K2027" s="2" t="s">
        <v>507</v>
      </c>
      <c r="L2027" s="2" t="n">
        <v>0.12</v>
      </c>
      <c r="M2027" s="2" t="n">
        <v>0.56</v>
      </c>
    </row>
    <row r="2028" customFormat="false" ht="15" hidden="false" customHeight="false" outlineLevel="0" collapsed="false">
      <c r="A2028" s="2" t="n">
        <v>2026</v>
      </c>
      <c r="B2028" s="2" t="s">
        <v>8461</v>
      </c>
      <c r="C2028" s="2" t="n">
        <v>0</v>
      </c>
      <c r="D2028" s="2" t="n">
        <v>0</v>
      </c>
      <c r="E2028" s="2" t="s">
        <v>13025</v>
      </c>
      <c r="F2028" s="2" t="s">
        <v>10952</v>
      </c>
      <c r="G2028" s="2" t="s">
        <v>13026</v>
      </c>
      <c r="H2028" s="2" t="s">
        <v>66</v>
      </c>
      <c r="I2028" s="2" t="s">
        <v>4290</v>
      </c>
      <c r="J2028" s="2" t="s">
        <v>13027</v>
      </c>
      <c r="K2028" s="2" t="s">
        <v>507</v>
      </c>
      <c r="L2028" s="2" t="n">
        <v>0</v>
      </c>
      <c r="M2028" s="2" t="n">
        <v>0.92</v>
      </c>
    </row>
    <row r="2029" customFormat="false" ht="15" hidden="false" customHeight="false" outlineLevel="0" collapsed="false">
      <c r="A2029" s="2" t="n">
        <v>2027</v>
      </c>
      <c r="B2029" s="2" t="s">
        <v>8461</v>
      </c>
      <c r="C2029" s="2" t="n">
        <v>0</v>
      </c>
      <c r="D2029" s="2" t="n">
        <v>0</v>
      </c>
      <c r="E2029" s="2" t="s">
        <v>13028</v>
      </c>
      <c r="F2029" s="2" t="s">
        <v>803</v>
      </c>
      <c r="G2029" s="2" t="s">
        <v>13029</v>
      </c>
      <c r="H2029" s="2" t="s">
        <v>420</v>
      </c>
      <c r="I2029" s="2" t="s">
        <v>1614</v>
      </c>
      <c r="J2029" s="2" t="s">
        <v>13030</v>
      </c>
      <c r="K2029" s="2" t="s">
        <v>507</v>
      </c>
      <c r="L2029" s="2" t="n">
        <v>0</v>
      </c>
      <c r="M2029" s="2" t="n">
        <v>1</v>
      </c>
    </row>
    <row r="2030" customFormat="false" ht="15" hidden="false" customHeight="false" outlineLevel="0" collapsed="false">
      <c r="A2030" s="2" t="n">
        <v>2028</v>
      </c>
      <c r="B2030" s="2" t="s">
        <v>8461</v>
      </c>
      <c r="C2030" s="2" t="n">
        <v>0</v>
      </c>
      <c r="D2030" s="2" t="n">
        <v>0</v>
      </c>
      <c r="E2030" s="2" t="s">
        <v>13031</v>
      </c>
      <c r="F2030" s="2" t="s">
        <v>8416</v>
      </c>
      <c r="G2030" s="2" t="s">
        <v>13032</v>
      </c>
      <c r="H2030" s="2" t="s">
        <v>1137</v>
      </c>
      <c r="I2030" s="2" t="s">
        <v>5802</v>
      </c>
      <c r="J2030" s="2" t="s">
        <v>13033</v>
      </c>
      <c r="K2030" s="2" t="s">
        <v>507</v>
      </c>
      <c r="L2030" s="2" t="n">
        <v>0</v>
      </c>
      <c r="M2030" s="2" t="n">
        <v>0.55</v>
      </c>
    </row>
    <row r="2031" customFormat="false" ht="15" hidden="false" customHeight="false" outlineLevel="0" collapsed="false">
      <c r="A2031" s="2" t="n">
        <v>2029</v>
      </c>
      <c r="B2031" s="2" t="s">
        <v>8461</v>
      </c>
      <c r="C2031" s="2" t="n">
        <v>0</v>
      </c>
      <c r="D2031" s="2" t="n">
        <v>0</v>
      </c>
      <c r="E2031" s="2" t="s">
        <v>13034</v>
      </c>
      <c r="F2031" s="2" t="s">
        <v>10952</v>
      </c>
      <c r="G2031" s="2" t="s">
        <v>13035</v>
      </c>
      <c r="H2031" s="2" t="s">
        <v>66</v>
      </c>
      <c r="I2031" s="2" t="s">
        <v>3646</v>
      </c>
      <c r="J2031" s="2" t="s">
        <v>13036</v>
      </c>
      <c r="K2031" s="2" t="s">
        <v>507</v>
      </c>
      <c r="L2031" s="2" t="n">
        <v>0</v>
      </c>
      <c r="M2031" s="2" t="n">
        <v>0.78</v>
      </c>
    </row>
    <row r="2032" customFormat="false" ht="15" hidden="false" customHeight="false" outlineLevel="0" collapsed="false">
      <c r="A2032" s="2" t="n">
        <v>2030</v>
      </c>
      <c r="B2032" s="2" t="s">
        <v>8461</v>
      </c>
      <c r="C2032" s="2" t="n">
        <v>0</v>
      </c>
      <c r="D2032" s="2" t="n">
        <v>0</v>
      </c>
      <c r="E2032" s="2" t="s">
        <v>13037</v>
      </c>
      <c r="F2032" s="2" t="s">
        <v>803</v>
      </c>
      <c r="G2032" s="2" t="s">
        <v>13038</v>
      </c>
      <c r="H2032" s="2" t="s">
        <v>66</v>
      </c>
      <c r="I2032" s="2" t="s">
        <v>6601</v>
      </c>
      <c r="J2032" s="2" t="s">
        <v>13039</v>
      </c>
      <c r="K2032" s="2" t="s">
        <v>507</v>
      </c>
      <c r="L2032" s="2" t="n">
        <v>0</v>
      </c>
      <c r="M2032" s="2" t="n">
        <v>1</v>
      </c>
    </row>
    <row r="2033" customFormat="false" ht="15" hidden="false" customHeight="false" outlineLevel="0" collapsed="false">
      <c r="A2033" s="2" t="n">
        <v>2031</v>
      </c>
      <c r="B2033" s="2" t="s">
        <v>8461</v>
      </c>
      <c r="C2033" s="2" t="n">
        <v>0</v>
      </c>
      <c r="D2033" s="2" t="n">
        <v>0</v>
      </c>
      <c r="E2033" s="2" t="s">
        <v>13040</v>
      </c>
      <c r="F2033" s="2" t="s">
        <v>4742</v>
      </c>
      <c r="G2033" s="2" t="s">
        <v>13041</v>
      </c>
      <c r="H2033" s="2" t="s">
        <v>66</v>
      </c>
      <c r="I2033" s="2" t="s">
        <v>1501</v>
      </c>
      <c r="J2033" s="2" t="s">
        <v>13042</v>
      </c>
      <c r="K2033" s="2" t="s">
        <v>507</v>
      </c>
      <c r="L2033" s="2" t="n">
        <v>0</v>
      </c>
      <c r="M2033" s="2" t="n">
        <v>0.73</v>
      </c>
    </row>
    <row r="2034" customFormat="false" ht="15" hidden="false" customHeight="false" outlineLevel="0" collapsed="false">
      <c r="A2034" s="2" t="n">
        <v>2032</v>
      </c>
      <c r="B2034" s="2" t="s">
        <v>8461</v>
      </c>
      <c r="C2034" s="2" t="n">
        <v>1</v>
      </c>
      <c r="D2034" s="2" t="n">
        <v>0</v>
      </c>
      <c r="E2034" s="2" t="s">
        <v>8508</v>
      </c>
      <c r="F2034" s="2" t="s">
        <v>6033</v>
      </c>
      <c r="G2034" s="2" t="s">
        <v>8509</v>
      </c>
      <c r="H2034" s="2" t="s">
        <v>7823</v>
      </c>
      <c r="I2034" s="2" t="s">
        <v>966</v>
      </c>
      <c r="J2034" s="2" t="s">
        <v>13043</v>
      </c>
      <c r="K2034" s="2" t="s">
        <v>507</v>
      </c>
      <c r="L2034" s="2" t="n">
        <v>0</v>
      </c>
      <c r="M2034" s="2" t="n">
        <v>0.92</v>
      </c>
    </row>
    <row r="2035" customFormat="false" ht="15" hidden="false" customHeight="false" outlineLevel="0" collapsed="false">
      <c r="A2035" s="2" t="n">
        <v>2033</v>
      </c>
      <c r="B2035" s="2" t="s">
        <v>8461</v>
      </c>
      <c r="C2035" s="2" t="n">
        <v>4</v>
      </c>
      <c r="D2035" s="2" t="n">
        <v>0</v>
      </c>
      <c r="E2035" s="2" t="s">
        <v>8513</v>
      </c>
      <c r="F2035" s="2" t="s">
        <v>4957</v>
      </c>
      <c r="G2035" s="2" t="s">
        <v>8514</v>
      </c>
      <c r="H2035" s="2" t="s">
        <v>6718</v>
      </c>
      <c r="I2035" s="2" t="s">
        <v>246</v>
      </c>
      <c r="J2035" s="2" t="s">
        <v>13044</v>
      </c>
      <c r="K2035" s="2" t="s">
        <v>507</v>
      </c>
      <c r="L2035" s="2" t="n">
        <v>0.12</v>
      </c>
      <c r="M2035" s="2" t="n">
        <v>0.25</v>
      </c>
    </row>
    <row r="2036" customFormat="false" ht="15" hidden="false" customHeight="false" outlineLevel="0" collapsed="false">
      <c r="A2036" s="2" t="n">
        <v>2034</v>
      </c>
      <c r="B2036" s="2" t="s">
        <v>8461</v>
      </c>
      <c r="C2036" s="2" t="n">
        <v>0</v>
      </c>
      <c r="D2036" s="2" t="n">
        <v>0</v>
      </c>
      <c r="E2036" s="2" t="s">
        <v>13045</v>
      </c>
      <c r="F2036" s="2" t="s">
        <v>10815</v>
      </c>
      <c r="G2036" s="2" t="s">
        <v>13046</v>
      </c>
      <c r="H2036" s="2" t="s">
        <v>696</v>
      </c>
      <c r="I2036" s="2" t="s">
        <v>283</v>
      </c>
      <c r="J2036" s="2" t="s">
        <v>13047</v>
      </c>
      <c r="K2036" s="2" t="s">
        <v>507</v>
      </c>
      <c r="L2036" s="2" t="n">
        <v>0.14</v>
      </c>
      <c r="M2036" s="2" t="n">
        <v>0.75</v>
      </c>
    </row>
    <row r="2037" customFormat="false" ht="15" hidden="false" customHeight="false" outlineLevel="0" collapsed="false">
      <c r="A2037" s="2" t="n">
        <v>2035</v>
      </c>
      <c r="B2037" s="2" t="s">
        <v>8461</v>
      </c>
      <c r="C2037" s="2" t="n">
        <v>0</v>
      </c>
      <c r="D2037" s="2" t="n">
        <v>0</v>
      </c>
      <c r="E2037" s="2" t="s">
        <v>13048</v>
      </c>
      <c r="F2037" s="2" t="s">
        <v>13049</v>
      </c>
      <c r="G2037" s="2" t="s">
        <v>13050</v>
      </c>
      <c r="H2037" s="2" t="s">
        <v>420</v>
      </c>
      <c r="I2037" s="2" t="s">
        <v>1147</v>
      </c>
      <c r="J2037" s="2" t="s">
        <v>13051</v>
      </c>
      <c r="K2037" s="2" t="s">
        <v>507</v>
      </c>
      <c r="L2037" s="2" t="n">
        <v>0.1</v>
      </c>
      <c r="M2037" s="2" t="n">
        <v>0.8</v>
      </c>
    </row>
    <row r="2038" customFormat="false" ht="15" hidden="false" customHeight="false" outlineLevel="0" collapsed="false">
      <c r="A2038" s="2" t="n">
        <v>2036</v>
      </c>
      <c r="B2038" s="2" t="s">
        <v>8461</v>
      </c>
      <c r="C2038" s="2" t="n">
        <v>0</v>
      </c>
      <c r="D2038" s="2" t="n">
        <v>0</v>
      </c>
      <c r="E2038" s="2" t="s">
        <v>13052</v>
      </c>
      <c r="F2038" s="2" t="s">
        <v>95</v>
      </c>
      <c r="G2038" s="2" t="s">
        <v>13053</v>
      </c>
      <c r="H2038" s="2" t="s">
        <v>5669</v>
      </c>
      <c r="I2038" s="2" t="s">
        <v>1147</v>
      </c>
      <c r="J2038" s="2" t="s">
        <v>13054</v>
      </c>
      <c r="K2038" s="2" t="s">
        <v>507</v>
      </c>
      <c r="L2038" s="2" t="n">
        <v>0.09</v>
      </c>
      <c r="M2038" s="2" t="n">
        <v>0.71</v>
      </c>
    </row>
    <row r="2039" customFormat="false" ht="15" hidden="false" customHeight="false" outlineLevel="0" collapsed="false">
      <c r="A2039" s="2" t="n">
        <v>2037</v>
      </c>
      <c r="B2039" s="2" t="s">
        <v>8461</v>
      </c>
      <c r="C2039" s="2" t="n">
        <v>0</v>
      </c>
      <c r="D2039" s="2" t="n">
        <v>0</v>
      </c>
      <c r="E2039" s="2" t="s">
        <v>13055</v>
      </c>
      <c r="F2039" s="2" t="s">
        <v>10805</v>
      </c>
      <c r="G2039" s="2" t="s">
        <v>13056</v>
      </c>
      <c r="H2039" s="2" t="s">
        <v>8578</v>
      </c>
      <c r="I2039" s="2" t="s">
        <v>1875</v>
      </c>
      <c r="J2039" s="2" t="s">
        <v>10806</v>
      </c>
      <c r="K2039" s="2" t="s">
        <v>507</v>
      </c>
      <c r="L2039" s="2" t="n">
        <v>0</v>
      </c>
      <c r="M2039" s="2" t="n">
        <v>0.2</v>
      </c>
    </row>
    <row r="2040" customFormat="false" ht="15" hidden="false" customHeight="false" outlineLevel="0" collapsed="false">
      <c r="A2040" s="2" t="n">
        <v>2038</v>
      </c>
      <c r="B2040" s="2" t="s">
        <v>8461</v>
      </c>
      <c r="C2040" s="2" t="n">
        <v>0</v>
      </c>
      <c r="D2040" s="2" t="n">
        <v>0</v>
      </c>
      <c r="E2040" s="2" t="s">
        <v>13057</v>
      </c>
      <c r="F2040" s="2" t="s">
        <v>13058</v>
      </c>
      <c r="G2040" s="2" t="s">
        <v>13059</v>
      </c>
      <c r="H2040" s="2" t="s">
        <v>696</v>
      </c>
      <c r="I2040" s="2" t="s">
        <v>662</v>
      </c>
      <c r="J2040" s="2" t="s">
        <v>13060</v>
      </c>
      <c r="K2040" s="2" t="s">
        <v>507</v>
      </c>
      <c r="L2040" s="2" t="n">
        <v>0.12</v>
      </c>
      <c r="M2040" s="2" t="n">
        <v>1</v>
      </c>
    </row>
    <row r="2041" customFormat="false" ht="15" hidden="false" customHeight="false" outlineLevel="0" collapsed="false">
      <c r="A2041" s="2" t="n">
        <v>2039</v>
      </c>
      <c r="B2041" s="2" t="s">
        <v>8461</v>
      </c>
      <c r="C2041" s="2" t="n">
        <v>3</v>
      </c>
      <c r="D2041" s="2" t="n">
        <v>0</v>
      </c>
      <c r="E2041" s="2" t="s">
        <v>8527</v>
      </c>
      <c r="F2041" s="2" t="s">
        <v>8528</v>
      </c>
      <c r="G2041" s="2" t="s">
        <v>8529</v>
      </c>
      <c r="H2041" s="2" t="s">
        <v>4764</v>
      </c>
      <c r="I2041" s="2" t="s">
        <v>1482</v>
      </c>
      <c r="J2041" s="2" t="s">
        <v>13061</v>
      </c>
      <c r="K2041" s="2" t="s">
        <v>507</v>
      </c>
      <c r="L2041" s="2" t="n">
        <v>0.1</v>
      </c>
      <c r="M2041" s="2" t="n">
        <v>0.4</v>
      </c>
    </row>
    <row r="2042" customFormat="false" ht="15" hidden="false" customHeight="false" outlineLevel="0" collapsed="false">
      <c r="A2042" s="2" t="n">
        <v>2040</v>
      </c>
      <c r="B2042" s="2" t="s">
        <v>8534</v>
      </c>
      <c r="C2042" s="2" t="n">
        <v>0</v>
      </c>
      <c r="D2042" s="2" t="n">
        <v>0</v>
      </c>
      <c r="E2042" s="2" t="s">
        <v>13062</v>
      </c>
      <c r="F2042" s="2" t="s">
        <v>6033</v>
      </c>
      <c r="G2042" s="2" t="s">
        <v>13063</v>
      </c>
      <c r="H2042" s="2" t="s">
        <v>9098</v>
      </c>
      <c r="I2042" s="2" t="s">
        <v>1482</v>
      </c>
      <c r="J2042" s="2" t="s">
        <v>13064</v>
      </c>
      <c r="K2042" s="2" t="s">
        <v>507</v>
      </c>
      <c r="L2042" s="2" t="n">
        <v>0.12</v>
      </c>
      <c r="M2042" s="2" t="n">
        <v>0.7</v>
      </c>
    </row>
    <row r="2043" customFormat="false" ht="15" hidden="false" customHeight="false" outlineLevel="0" collapsed="false">
      <c r="A2043" s="2" t="n">
        <v>2041</v>
      </c>
      <c r="B2043" s="2" t="s">
        <v>8534</v>
      </c>
      <c r="C2043" s="2" t="n">
        <v>1</v>
      </c>
      <c r="D2043" s="2" t="n">
        <v>0</v>
      </c>
      <c r="E2043" s="2" t="s">
        <v>8537</v>
      </c>
      <c r="F2043" s="2" t="s">
        <v>644</v>
      </c>
      <c r="G2043" s="2" t="s">
        <v>8538</v>
      </c>
      <c r="H2043" s="2" t="s">
        <v>1500</v>
      </c>
      <c r="I2043" s="2" t="s">
        <v>1482</v>
      </c>
      <c r="J2043" s="2" t="s">
        <v>13065</v>
      </c>
      <c r="K2043" s="2" t="s">
        <v>507</v>
      </c>
      <c r="L2043" s="2" t="n">
        <v>0.14</v>
      </c>
      <c r="M2043" s="2" t="n">
        <v>0.36</v>
      </c>
    </row>
    <row r="2044" customFormat="false" ht="15" hidden="false" customHeight="false" outlineLevel="0" collapsed="false">
      <c r="A2044" s="2" t="n">
        <v>2042</v>
      </c>
      <c r="B2044" s="2" t="s">
        <v>8534</v>
      </c>
      <c r="C2044" s="2" t="n">
        <v>0</v>
      </c>
      <c r="D2044" s="2" t="n">
        <v>0</v>
      </c>
      <c r="E2044" s="2" t="s">
        <v>13066</v>
      </c>
      <c r="F2044" s="2" t="s">
        <v>10798</v>
      </c>
      <c r="G2044" s="2" t="s">
        <v>13067</v>
      </c>
      <c r="H2044" s="2" t="s">
        <v>646</v>
      </c>
      <c r="I2044" s="2" t="s">
        <v>1482</v>
      </c>
      <c r="J2044" s="2" t="s">
        <v>13068</v>
      </c>
      <c r="K2044" s="2" t="s">
        <v>507</v>
      </c>
      <c r="L2044" s="2" t="n">
        <v>0</v>
      </c>
      <c r="M2044" s="2" t="n">
        <v>0.67</v>
      </c>
    </row>
    <row r="2045" customFormat="false" ht="15" hidden="false" customHeight="false" outlineLevel="0" collapsed="false">
      <c r="A2045" s="2" t="n">
        <v>2043</v>
      </c>
      <c r="B2045" s="2" t="s">
        <v>8534</v>
      </c>
      <c r="C2045" s="2" t="n">
        <v>0</v>
      </c>
      <c r="D2045" s="2" t="n">
        <v>0</v>
      </c>
      <c r="E2045" s="2" t="s">
        <v>13069</v>
      </c>
      <c r="F2045" s="2" t="s">
        <v>13070</v>
      </c>
      <c r="G2045" s="2" t="s">
        <v>13071</v>
      </c>
      <c r="H2045" s="2" t="s">
        <v>696</v>
      </c>
      <c r="I2045" s="2" t="s">
        <v>283</v>
      </c>
      <c r="J2045" s="2" t="s">
        <v>13072</v>
      </c>
      <c r="K2045" s="2" t="s">
        <v>507</v>
      </c>
      <c r="L2045" s="2" t="n">
        <v>0</v>
      </c>
      <c r="M2045" s="2" t="n">
        <v>0.7</v>
      </c>
    </row>
    <row r="2046" customFormat="false" ht="15" hidden="false" customHeight="false" outlineLevel="0" collapsed="false">
      <c r="A2046" s="2" t="n">
        <v>2044</v>
      </c>
      <c r="B2046" s="2" t="s">
        <v>8534</v>
      </c>
      <c r="C2046" s="2" t="n">
        <v>2</v>
      </c>
      <c r="D2046" s="2" t="n">
        <v>0</v>
      </c>
      <c r="E2046" s="2" t="s">
        <v>8542</v>
      </c>
      <c r="F2046" s="2" t="s">
        <v>112</v>
      </c>
      <c r="G2046" s="2" t="s">
        <v>8543</v>
      </c>
      <c r="H2046" s="2" t="s">
        <v>8544</v>
      </c>
      <c r="I2046" s="2" t="s">
        <v>67</v>
      </c>
      <c r="J2046" s="2" t="s">
        <v>13073</v>
      </c>
      <c r="K2046" s="2" t="s">
        <v>507</v>
      </c>
      <c r="L2046" s="2" t="n">
        <v>0.18</v>
      </c>
      <c r="M2046" s="2" t="n">
        <v>1</v>
      </c>
    </row>
    <row r="2047" customFormat="false" ht="15" hidden="false" customHeight="false" outlineLevel="0" collapsed="false">
      <c r="A2047" s="2" t="n">
        <v>2045</v>
      </c>
      <c r="B2047" s="2" t="s">
        <v>8534</v>
      </c>
      <c r="C2047" s="2" t="n">
        <v>1</v>
      </c>
      <c r="D2047" s="2" t="n">
        <v>0</v>
      </c>
      <c r="E2047" s="2" t="s">
        <v>8552</v>
      </c>
      <c r="F2047" s="2" t="s">
        <v>8553</v>
      </c>
      <c r="G2047" s="2" t="s">
        <v>8554</v>
      </c>
      <c r="H2047" s="2" t="s">
        <v>8124</v>
      </c>
      <c r="I2047" s="2" t="s">
        <v>2825</v>
      </c>
      <c r="J2047" s="2" t="s">
        <v>13074</v>
      </c>
      <c r="K2047" s="2" t="s">
        <v>507</v>
      </c>
      <c r="L2047" s="2" t="n">
        <v>0</v>
      </c>
      <c r="M2047" s="2" t="n">
        <v>0.78</v>
      </c>
    </row>
    <row r="2048" customFormat="false" ht="15" hidden="false" customHeight="false" outlineLevel="0" collapsed="false">
      <c r="A2048" s="2" t="n">
        <v>2046</v>
      </c>
      <c r="B2048" s="2" t="s">
        <v>8534</v>
      </c>
      <c r="C2048" s="2" t="n">
        <v>0</v>
      </c>
      <c r="D2048" s="2" t="n">
        <v>0</v>
      </c>
      <c r="E2048" s="2" t="s">
        <v>13075</v>
      </c>
      <c r="F2048" s="2" t="s">
        <v>156</v>
      </c>
      <c r="G2048" s="2" t="s">
        <v>13076</v>
      </c>
      <c r="H2048" s="2" t="s">
        <v>97</v>
      </c>
      <c r="I2048" s="2" t="s">
        <v>2999</v>
      </c>
      <c r="J2048" s="2" t="s">
        <v>13077</v>
      </c>
      <c r="K2048" s="2" t="s">
        <v>507</v>
      </c>
      <c r="L2048" s="2" t="n">
        <v>0</v>
      </c>
      <c r="M2048" s="2" t="n">
        <v>1</v>
      </c>
    </row>
    <row r="2049" customFormat="false" ht="15" hidden="false" customHeight="false" outlineLevel="0" collapsed="false">
      <c r="A2049" s="2" t="n">
        <v>2047</v>
      </c>
      <c r="B2049" s="2" t="s">
        <v>8534</v>
      </c>
      <c r="C2049" s="2" t="n">
        <v>0</v>
      </c>
      <c r="D2049" s="2" t="n">
        <v>0</v>
      </c>
      <c r="E2049" s="2" t="s">
        <v>13078</v>
      </c>
      <c r="F2049" s="2" t="s">
        <v>95</v>
      </c>
      <c r="G2049" s="2" t="s">
        <v>13079</v>
      </c>
      <c r="H2049" s="2" t="s">
        <v>4072</v>
      </c>
      <c r="I2049" s="2" t="s">
        <v>805</v>
      </c>
      <c r="J2049" s="2" t="s">
        <v>13080</v>
      </c>
      <c r="K2049" s="2" t="s">
        <v>507</v>
      </c>
      <c r="L2049" s="2" t="n">
        <v>0</v>
      </c>
      <c r="M2049" s="2" t="n">
        <v>0.82</v>
      </c>
    </row>
    <row r="2050" customFormat="false" ht="15" hidden="false" customHeight="false" outlineLevel="0" collapsed="false">
      <c r="A2050" s="2" t="n">
        <v>2048</v>
      </c>
      <c r="B2050" s="2" t="s">
        <v>8534</v>
      </c>
      <c r="C2050" s="2" t="n">
        <v>1</v>
      </c>
      <c r="D2050" s="2" t="n">
        <v>0</v>
      </c>
      <c r="E2050" s="2" t="s">
        <v>8557</v>
      </c>
      <c r="F2050" s="2" t="s">
        <v>5074</v>
      </c>
      <c r="G2050" s="2" t="s">
        <v>8558</v>
      </c>
      <c r="H2050" s="2" t="s">
        <v>420</v>
      </c>
      <c r="I2050" s="2" t="s">
        <v>283</v>
      </c>
      <c r="J2050" s="2" t="s">
        <v>13081</v>
      </c>
      <c r="K2050" s="2" t="s">
        <v>507</v>
      </c>
      <c r="L2050" s="2" t="n">
        <v>0.12</v>
      </c>
      <c r="M2050" s="2" t="n">
        <v>0.58</v>
      </c>
    </row>
    <row r="2051" customFormat="false" ht="15" hidden="false" customHeight="false" outlineLevel="0" collapsed="false">
      <c r="A2051" s="2" t="n">
        <v>2049</v>
      </c>
      <c r="B2051" s="2" t="s">
        <v>8534</v>
      </c>
      <c r="C2051" s="2" t="n">
        <v>0</v>
      </c>
      <c r="D2051" s="2" t="n">
        <v>0</v>
      </c>
      <c r="E2051" s="2" t="s">
        <v>13082</v>
      </c>
      <c r="F2051" s="2" t="s">
        <v>13083</v>
      </c>
      <c r="G2051" s="2" t="s">
        <v>13084</v>
      </c>
      <c r="H2051" s="2" t="s">
        <v>11396</v>
      </c>
      <c r="I2051" s="2" t="s">
        <v>768</v>
      </c>
      <c r="J2051" s="2" t="s">
        <v>13085</v>
      </c>
      <c r="K2051" s="2" t="s">
        <v>507</v>
      </c>
      <c r="L2051" s="2" t="n">
        <v>0</v>
      </c>
      <c r="M2051" s="2" t="n">
        <v>0.5</v>
      </c>
    </row>
    <row r="2052" customFormat="false" ht="15" hidden="false" customHeight="false" outlineLevel="0" collapsed="false">
      <c r="A2052" s="2" t="n">
        <v>2050</v>
      </c>
      <c r="B2052" s="2" t="s">
        <v>8534</v>
      </c>
      <c r="C2052" s="2" t="n">
        <v>0</v>
      </c>
      <c r="D2052" s="2" t="n">
        <v>0</v>
      </c>
      <c r="E2052" s="2" t="s">
        <v>13086</v>
      </c>
      <c r="F2052" s="2" t="s">
        <v>8562</v>
      </c>
      <c r="G2052" s="2" t="s">
        <v>13087</v>
      </c>
      <c r="H2052" s="2" t="s">
        <v>13088</v>
      </c>
      <c r="I2052" s="2" t="s">
        <v>1147</v>
      </c>
      <c r="J2052" s="2" t="s">
        <v>13089</v>
      </c>
      <c r="K2052" s="2" t="s">
        <v>507</v>
      </c>
      <c r="L2052" s="2" t="n">
        <v>0</v>
      </c>
      <c r="M2052" s="2" t="n">
        <v>0.8</v>
      </c>
    </row>
    <row r="2053" customFormat="false" ht="15" hidden="false" customHeight="false" outlineLevel="0" collapsed="false">
      <c r="A2053" s="2" t="n">
        <v>2051</v>
      </c>
      <c r="B2053" s="2" t="s">
        <v>8534</v>
      </c>
      <c r="C2053" s="2" t="n">
        <v>0</v>
      </c>
      <c r="D2053" s="2" t="n">
        <v>0</v>
      </c>
      <c r="E2053" s="2" t="s">
        <v>13090</v>
      </c>
      <c r="F2053" s="2" t="s">
        <v>5093</v>
      </c>
      <c r="G2053" s="2" t="s">
        <v>13091</v>
      </c>
      <c r="H2053" s="2" t="s">
        <v>1633</v>
      </c>
      <c r="I2053" s="2" t="s">
        <v>2313</v>
      </c>
      <c r="J2053" s="2" t="s">
        <v>13092</v>
      </c>
      <c r="K2053" s="2" t="s">
        <v>507</v>
      </c>
      <c r="L2053" s="2" t="n">
        <v>0</v>
      </c>
      <c r="M2053" s="2" t="n">
        <v>0.75</v>
      </c>
    </row>
    <row r="2054" customFormat="false" ht="15" hidden="false" customHeight="false" outlineLevel="0" collapsed="false">
      <c r="A2054" s="2" t="n">
        <v>2052</v>
      </c>
      <c r="B2054" s="2" t="s">
        <v>8534</v>
      </c>
      <c r="C2054" s="2" t="n">
        <v>0</v>
      </c>
      <c r="D2054" s="2" t="n">
        <v>0</v>
      </c>
      <c r="E2054" s="2" t="s">
        <v>13093</v>
      </c>
      <c r="F2054" s="2" t="s">
        <v>13094</v>
      </c>
      <c r="G2054" s="2" t="s">
        <v>13095</v>
      </c>
      <c r="H2054" s="2" t="s">
        <v>66</v>
      </c>
      <c r="I2054" s="2" t="s">
        <v>476</v>
      </c>
      <c r="J2054" s="2" t="s">
        <v>13096</v>
      </c>
      <c r="K2054" s="2" t="s">
        <v>507</v>
      </c>
      <c r="L2054" s="2" t="n">
        <v>0</v>
      </c>
      <c r="M2054" s="2" t="n">
        <v>0.71</v>
      </c>
    </row>
    <row r="2055" customFormat="false" ht="15" hidden="false" customHeight="false" outlineLevel="0" collapsed="false">
      <c r="A2055" s="2" t="n">
        <v>2053</v>
      </c>
      <c r="B2055" s="2" t="s">
        <v>8534</v>
      </c>
      <c r="C2055" s="2" t="n">
        <v>0</v>
      </c>
      <c r="D2055" s="2" t="n">
        <v>0</v>
      </c>
      <c r="E2055" s="2" t="s">
        <v>13097</v>
      </c>
      <c r="F2055" s="2" t="s">
        <v>5093</v>
      </c>
      <c r="G2055" s="2" t="s">
        <v>13098</v>
      </c>
      <c r="H2055" s="2" t="s">
        <v>420</v>
      </c>
      <c r="I2055" s="2" t="s">
        <v>321</v>
      </c>
      <c r="J2055" s="2" t="s">
        <v>13099</v>
      </c>
      <c r="K2055" s="2" t="s">
        <v>507</v>
      </c>
      <c r="L2055" s="2" t="n">
        <v>0</v>
      </c>
      <c r="M2055" s="2" t="n">
        <v>0.71</v>
      </c>
    </row>
    <row r="2056" customFormat="false" ht="15" hidden="false" customHeight="false" outlineLevel="0" collapsed="false">
      <c r="A2056" s="2" t="n">
        <v>2054</v>
      </c>
      <c r="B2056" s="2" t="s">
        <v>8534</v>
      </c>
      <c r="C2056" s="2" t="n">
        <v>0</v>
      </c>
      <c r="D2056" s="2" t="n">
        <v>0</v>
      </c>
      <c r="E2056" s="2" t="s">
        <v>13100</v>
      </c>
      <c r="F2056" s="2" t="s">
        <v>5093</v>
      </c>
      <c r="G2056" s="2" t="s">
        <v>13101</v>
      </c>
      <c r="H2056" s="2" t="s">
        <v>66</v>
      </c>
      <c r="I2056" s="2" t="s">
        <v>2846</v>
      </c>
      <c r="J2056" s="2" t="s">
        <v>13102</v>
      </c>
      <c r="K2056" s="2" t="s">
        <v>507</v>
      </c>
      <c r="L2056" s="2" t="n">
        <v>0</v>
      </c>
      <c r="M2056" s="2" t="n">
        <v>0.55</v>
      </c>
    </row>
    <row r="2057" customFormat="false" ht="15" hidden="false" customHeight="false" outlineLevel="0" collapsed="false">
      <c r="A2057" s="2" t="n">
        <v>2055</v>
      </c>
      <c r="B2057" s="2" t="s">
        <v>8534</v>
      </c>
      <c r="C2057" s="2" t="n">
        <v>0</v>
      </c>
      <c r="D2057" s="2" t="n">
        <v>0</v>
      </c>
      <c r="E2057" s="2" t="s">
        <v>13103</v>
      </c>
      <c r="F2057" s="2" t="s">
        <v>8562</v>
      </c>
      <c r="G2057" s="2" t="s">
        <v>13104</v>
      </c>
      <c r="H2057" s="2" t="s">
        <v>66</v>
      </c>
      <c r="I2057" s="2" t="s">
        <v>3919</v>
      </c>
      <c r="J2057" s="2" t="s">
        <v>13105</v>
      </c>
      <c r="K2057" s="2" t="s">
        <v>507</v>
      </c>
      <c r="L2057" s="2" t="n">
        <v>0</v>
      </c>
      <c r="M2057" s="2" t="n">
        <v>1</v>
      </c>
    </row>
    <row r="2058" customFormat="false" ht="15" hidden="false" customHeight="false" outlineLevel="0" collapsed="false">
      <c r="A2058" s="2" t="n">
        <v>2056</v>
      </c>
      <c r="B2058" s="2" t="s">
        <v>8534</v>
      </c>
      <c r="C2058" s="2" t="n">
        <v>0</v>
      </c>
      <c r="D2058" s="2" t="n">
        <v>0</v>
      </c>
      <c r="E2058" s="2" t="s">
        <v>13106</v>
      </c>
      <c r="F2058" s="2" t="s">
        <v>5093</v>
      </c>
      <c r="G2058" s="2" t="s">
        <v>13107</v>
      </c>
      <c r="H2058" s="2" t="s">
        <v>178</v>
      </c>
      <c r="I2058" s="2" t="s">
        <v>1627</v>
      </c>
      <c r="J2058" s="2" t="s">
        <v>13108</v>
      </c>
      <c r="K2058" s="2" t="s">
        <v>507</v>
      </c>
      <c r="L2058" s="2" t="n">
        <v>0</v>
      </c>
      <c r="M2058" s="2" t="n">
        <v>0.92</v>
      </c>
    </row>
    <row r="2059" customFormat="false" ht="15" hidden="false" customHeight="false" outlineLevel="0" collapsed="false">
      <c r="A2059" s="2" t="n">
        <v>2057</v>
      </c>
      <c r="B2059" s="2" t="s">
        <v>8534</v>
      </c>
      <c r="C2059" s="2" t="n">
        <v>0</v>
      </c>
      <c r="D2059" s="2" t="n">
        <v>0</v>
      </c>
      <c r="E2059" s="2" t="s">
        <v>13109</v>
      </c>
      <c r="F2059" s="2" t="s">
        <v>6974</v>
      </c>
      <c r="G2059" s="2" t="s">
        <v>13110</v>
      </c>
      <c r="H2059" s="2" t="s">
        <v>178</v>
      </c>
      <c r="I2059" s="2" t="s">
        <v>851</v>
      </c>
      <c r="J2059" s="2" t="s">
        <v>13111</v>
      </c>
      <c r="K2059" s="2" t="s">
        <v>507</v>
      </c>
      <c r="L2059" s="2" t="n">
        <v>0</v>
      </c>
      <c r="M2059" s="2" t="n">
        <v>0.89</v>
      </c>
    </row>
    <row r="2060" customFormat="false" ht="15" hidden="false" customHeight="false" outlineLevel="0" collapsed="false">
      <c r="A2060" s="2" t="n">
        <v>2058</v>
      </c>
      <c r="B2060" s="2" t="s">
        <v>8534</v>
      </c>
      <c r="C2060" s="2" t="n">
        <v>0</v>
      </c>
      <c r="D2060" s="2" t="n">
        <v>0</v>
      </c>
      <c r="E2060" s="2" t="s">
        <v>13112</v>
      </c>
      <c r="F2060" s="2" t="s">
        <v>13113</v>
      </c>
      <c r="G2060" s="2" t="s">
        <v>13114</v>
      </c>
      <c r="H2060" s="2" t="s">
        <v>11756</v>
      </c>
      <c r="I2060" s="2" t="s">
        <v>430</v>
      </c>
      <c r="J2060" s="2" t="s">
        <v>13115</v>
      </c>
      <c r="K2060" s="2" t="s">
        <v>507</v>
      </c>
      <c r="L2060" s="2" t="n">
        <v>0</v>
      </c>
      <c r="M2060" s="2" t="n">
        <v>0.92</v>
      </c>
    </row>
    <row r="2061" customFormat="false" ht="15" hidden="false" customHeight="false" outlineLevel="0" collapsed="false">
      <c r="A2061" s="2" t="n">
        <v>2059</v>
      </c>
      <c r="B2061" s="2" t="s">
        <v>8534</v>
      </c>
      <c r="C2061" s="2" t="n">
        <v>4</v>
      </c>
      <c r="D2061" s="2" t="n">
        <v>3</v>
      </c>
      <c r="E2061" s="2" t="s">
        <v>8561</v>
      </c>
      <c r="F2061" s="2" t="s">
        <v>8562</v>
      </c>
      <c r="G2061" s="2" t="s">
        <v>8563</v>
      </c>
      <c r="H2061" s="2" t="s">
        <v>8564</v>
      </c>
      <c r="I2061" s="2" t="s">
        <v>246</v>
      </c>
      <c r="J2061" s="2" t="s">
        <v>13116</v>
      </c>
      <c r="K2061" s="2" t="s">
        <v>507</v>
      </c>
      <c r="L2061" s="2" t="n">
        <v>0.09</v>
      </c>
      <c r="M2061" s="2" t="n">
        <v>0.56</v>
      </c>
    </row>
    <row r="2062" customFormat="false" ht="15" hidden="false" customHeight="false" outlineLevel="0" collapsed="false">
      <c r="A2062" s="2" t="n">
        <v>2060</v>
      </c>
      <c r="B2062" s="2" t="s">
        <v>8534</v>
      </c>
      <c r="C2062" s="2" t="n">
        <v>1</v>
      </c>
      <c r="D2062" s="2" t="n">
        <v>0</v>
      </c>
      <c r="E2062" s="2" t="s">
        <v>8576</v>
      </c>
      <c r="F2062" s="2" t="s">
        <v>95</v>
      </c>
      <c r="G2062" s="2" t="s">
        <v>8577</v>
      </c>
      <c r="H2062" s="2" t="s">
        <v>8578</v>
      </c>
      <c r="I2062" s="2" t="s">
        <v>686</v>
      </c>
      <c r="J2062" s="2" t="s">
        <v>13117</v>
      </c>
      <c r="K2062" s="2" t="s">
        <v>507</v>
      </c>
      <c r="L2062" s="2" t="n">
        <v>0</v>
      </c>
      <c r="M2062" s="2" t="n">
        <v>0.88</v>
      </c>
    </row>
    <row r="2063" customFormat="false" ht="15" hidden="false" customHeight="false" outlineLevel="0" collapsed="false">
      <c r="A2063" s="2" t="n">
        <v>2061</v>
      </c>
      <c r="B2063" s="2" t="s">
        <v>8534</v>
      </c>
      <c r="C2063" s="2" t="n">
        <v>0</v>
      </c>
      <c r="D2063" s="2" t="n">
        <v>0</v>
      </c>
      <c r="E2063" s="2" t="s">
        <v>13118</v>
      </c>
      <c r="F2063" s="2" t="s">
        <v>201</v>
      </c>
      <c r="G2063" s="2" t="s">
        <v>13119</v>
      </c>
      <c r="H2063" s="2" t="s">
        <v>1353</v>
      </c>
      <c r="I2063" s="2" t="s">
        <v>2013</v>
      </c>
      <c r="J2063" s="2" t="s">
        <v>13120</v>
      </c>
      <c r="K2063" s="2" t="s">
        <v>507</v>
      </c>
      <c r="L2063" s="2" t="n">
        <v>0</v>
      </c>
      <c r="M2063" s="2" t="n">
        <v>1</v>
      </c>
    </row>
    <row r="2064" customFormat="false" ht="15" hidden="false" customHeight="false" outlineLevel="0" collapsed="false">
      <c r="A2064" s="2" t="n">
        <v>2062</v>
      </c>
      <c r="B2064" s="2" t="s">
        <v>8534</v>
      </c>
      <c r="C2064" s="2" t="n">
        <v>1</v>
      </c>
      <c r="D2064" s="2" t="n">
        <v>0</v>
      </c>
      <c r="E2064" s="2" t="s">
        <v>8584</v>
      </c>
      <c r="F2064" s="2" t="s">
        <v>95</v>
      </c>
      <c r="G2064" s="2" t="s">
        <v>8585</v>
      </c>
      <c r="H2064" s="2" t="s">
        <v>696</v>
      </c>
      <c r="I2064" s="2" t="s">
        <v>8275</v>
      </c>
      <c r="J2064" s="2" t="s">
        <v>13121</v>
      </c>
      <c r="K2064" s="2" t="s">
        <v>507</v>
      </c>
      <c r="L2064" s="2" t="n">
        <v>0</v>
      </c>
      <c r="M2064" s="2" t="n">
        <v>0.89</v>
      </c>
    </row>
    <row r="2065" customFormat="false" ht="15" hidden="false" customHeight="false" outlineLevel="0" collapsed="false">
      <c r="A2065" s="2" t="n">
        <v>2063</v>
      </c>
      <c r="B2065" s="2" t="s">
        <v>8534</v>
      </c>
      <c r="C2065" s="2" t="n">
        <v>1</v>
      </c>
      <c r="D2065" s="2" t="n">
        <v>0</v>
      </c>
      <c r="E2065" s="2" t="s">
        <v>8589</v>
      </c>
      <c r="F2065" s="2" t="s">
        <v>95</v>
      </c>
      <c r="G2065" s="2" t="s">
        <v>8590</v>
      </c>
      <c r="H2065" s="2" t="s">
        <v>2233</v>
      </c>
      <c r="I2065" s="2" t="s">
        <v>1055</v>
      </c>
      <c r="J2065" s="2" t="s">
        <v>13122</v>
      </c>
      <c r="K2065" s="2" t="s">
        <v>507</v>
      </c>
      <c r="L2065" s="2" t="n">
        <v>0</v>
      </c>
      <c r="M2065" s="2" t="n">
        <v>0.9</v>
      </c>
    </row>
    <row r="2066" customFormat="false" ht="15" hidden="false" customHeight="false" outlineLevel="0" collapsed="false">
      <c r="A2066" s="2" t="n">
        <v>2064</v>
      </c>
      <c r="B2066" s="2" t="s">
        <v>8534</v>
      </c>
      <c r="C2066" s="2" t="n">
        <v>1</v>
      </c>
      <c r="D2066" s="2" t="n">
        <v>0</v>
      </c>
      <c r="E2066" s="2" t="s">
        <v>8595</v>
      </c>
      <c r="F2066" s="2" t="s">
        <v>95</v>
      </c>
      <c r="G2066" s="2" t="s">
        <v>8596</v>
      </c>
      <c r="H2066" s="2" t="s">
        <v>696</v>
      </c>
      <c r="I2066" s="2" t="s">
        <v>1055</v>
      </c>
      <c r="J2066" s="2" t="s">
        <v>13123</v>
      </c>
      <c r="K2066" s="2" t="s">
        <v>507</v>
      </c>
      <c r="L2066" s="2" t="n">
        <v>0</v>
      </c>
      <c r="M2066" s="2" t="n">
        <v>0.83</v>
      </c>
    </row>
    <row r="2067" customFormat="false" ht="15" hidden="false" customHeight="false" outlineLevel="0" collapsed="false">
      <c r="A2067" s="2" t="n">
        <v>2065</v>
      </c>
      <c r="B2067" s="2" t="s">
        <v>8534</v>
      </c>
      <c r="C2067" s="2" t="n">
        <v>1</v>
      </c>
      <c r="D2067" s="2" t="n">
        <v>0</v>
      </c>
      <c r="E2067" s="2" t="s">
        <v>8600</v>
      </c>
      <c r="F2067" s="2" t="s">
        <v>95</v>
      </c>
      <c r="G2067" s="2" t="s">
        <v>8601</v>
      </c>
      <c r="H2067" s="2" t="s">
        <v>2979</v>
      </c>
      <c r="I2067" s="2" t="s">
        <v>1055</v>
      </c>
      <c r="J2067" s="2" t="s">
        <v>13124</v>
      </c>
      <c r="K2067" s="2" t="s">
        <v>507</v>
      </c>
      <c r="L2067" s="2" t="n">
        <v>0</v>
      </c>
      <c r="M2067" s="2" t="n">
        <v>0.78</v>
      </c>
    </row>
    <row r="2068" customFormat="false" ht="15" hidden="false" customHeight="false" outlineLevel="0" collapsed="false">
      <c r="A2068" s="2" t="n">
        <v>2066</v>
      </c>
      <c r="B2068" s="2" t="s">
        <v>8534</v>
      </c>
      <c r="C2068" s="2" t="n">
        <v>1</v>
      </c>
      <c r="D2068" s="2" t="n">
        <v>0</v>
      </c>
      <c r="E2068" s="2" t="s">
        <v>8606</v>
      </c>
      <c r="F2068" s="2" t="s">
        <v>95</v>
      </c>
      <c r="G2068" s="2" t="s">
        <v>8607</v>
      </c>
      <c r="H2068" s="2" t="s">
        <v>4380</v>
      </c>
      <c r="I2068" s="2" t="s">
        <v>1055</v>
      </c>
      <c r="J2068" s="2" t="s">
        <v>13125</v>
      </c>
      <c r="K2068" s="2" t="s">
        <v>507</v>
      </c>
      <c r="L2068" s="2" t="n">
        <v>0</v>
      </c>
      <c r="M2068" s="2" t="n">
        <v>0.78</v>
      </c>
    </row>
    <row r="2069" customFormat="false" ht="15" hidden="false" customHeight="false" outlineLevel="0" collapsed="false">
      <c r="A2069" s="2" t="n">
        <v>2067</v>
      </c>
      <c r="B2069" s="2" t="s">
        <v>8534</v>
      </c>
      <c r="C2069" s="2" t="n">
        <v>1</v>
      </c>
      <c r="D2069" s="2" t="n">
        <v>0</v>
      </c>
      <c r="E2069" s="2" t="s">
        <v>8613</v>
      </c>
      <c r="F2069" s="2" t="s">
        <v>95</v>
      </c>
      <c r="G2069" s="2" t="s">
        <v>8614</v>
      </c>
      <c r="H2069" s="2" t="s">
        <v>97</v>
      </c>
      <c r="I2069" s="2" t="s">
        <v>686</v>
      </c>
      <c r="J2069" s="2" t="s">
        <v>13126</v>
      </c>
      <c r="K2069" s="2" t="s">
        <v>507</v>
      </c>
      <c r="L2069" s="2" t="n">
        <v>0</v>
      </c>
      <c r="M2069" s="2" t="n">
        <v>0.8</v>
      </c>
    </row>
    <row r="2070" customFormat="false" ht="15" hidden="false" customHeight="false" outlineLevel="0" collapsed="false">
      <c r="A2070" s="2" t="n">
        <v>2068</v>
      </c>
      <c r="B2070" s="2" t="s">
        <v>8534</v>
      </c>
      <c r="C2070" s="2" t="n">
        <v>1</v>
      </c>
      <c r="D2070" s="2" t="n">
        <v>0</v>
      </c>
      <c r="E2070" s="2" t="s">
        <v>8617</v>
      </c>
      <c r="F2070" s="2" t="s">
        <v>95</v>
      </c>
      <c r="G2070" s="2" t="s">
        <v>8618</v>
      </c>
      <c r="H2070" s="2" t="s">
        <v>4764</v>
      </c>
      <c r="I2070" s="2" t="s">
        <v>1055</v>
      </c>
      <c r="J2070" s="2" t="s">
        <v>13127</v>
      </c>
      <c r="K2070" s="2" t="s">
        <v>507</v>
      </c>
      <c r="L2070" s="2" t="n">
        <v>0</v>
      </c>
      <c r="M2070" s="2" t="n">
        <v>0.89</v>
      </c>
    </row>
    <row r="2071" customFormat="false" ht="15" hidden="false" customHeight="false" outlineLevel="0" collapsed="false">
      <c r="A2071" s="2" t="n">
        <v>2069</v>
      </c>
      <c r="B2071" s="2" t="s">
        <v>8534</v>
      </c>
      <c r="C2071" s="2" t="n">
        <v>1</v>
      </c>
      <c r="D2071" s="2" t="n">
        <v>0</v>
      </c>
      <c r="E2071" s="2" t="s">
        <v>8621</v>
      </c>
      <c r="F2071" s="2" t="s">
        <v>95</v>
      </c>
      <c r="G2071" s="2" t="s">
        <v>8622</v>
      </c>
      <c r="H2071" s="2" t="s">
        <v>8623</v>
      </c>
      <c r="I2071" s="2" t="s">
        <v>1055</v>
      </c>
      <c r="J2071" s="2" t="s">
        <v>13128</v>
      </c>
      <c r="K2071" s="2" t="s">
        <v>507</v>
      </c>
      <c r="L2071" s="2" t="n">
        <v>0</v>
      </c>
      <c r="M2071" s="2" t="n">
        <v>0.89</v>
      </c>
    </row>
    <row r="2072" customFormat="false" ht="15" hidden="false" customHeight="false" outlineLevel="0" collapsed="false">
      <c r="A2072" s="2" t="n">
        <v>2070</v>
      </c>
      <c r="B2072" s="2" t="s">
        <v>8624</v>
      </c>
      <c r="C2072" s="2" t="n">
        <v>0</v>
      </c>
      <c r="D2072" s="2" t="n">
        <v>0</v>
      </c>
      <c r="E2072" s="2" t="s">
        <v>13129</v>
      </c>
      <c r="F2072" s="2" t="s">
        <v>95</v>
      </c>
      <c r="G2072" s="2" t="s">
        <v>13130</v>
      </c>
      <c r="H2072" s="2" t="s">
        <v>3315</v>
      </c>
      <c r="I2072" s="2" t="s">
        <v>1055</v>
      </c>
      <c r="J2072" s="2" t="s">
        <v>13131</v>
      </c>
      <c r="K2072" s="2" t="s">
        <v>507</v>
      </c>
      <c r="L2072" s="2" t="n">
        <v>0</v>
      </c>
      <c r="M2072" s="2" t="n">
        <v>0.62</v>
      </c>
    </row>
    <row r="2073" customFormat="false" ht="15" hidden="false" customHeight="false" outlineLevel="0" collapsed="false">
      <c r="A2073" s="2" t="n">
        <v>2071</v>
      </c>
      <c r="B2073" s="2" t="s">
        <v>8624</v>
      </c>
      <c r="C2073" s="2" t="n">
        <v>0</v>
      </c>
      <c r="D2073" s="2" t="n">
        <v>0</v>
      </c>
      <c r="E2073" s="2" t="s">
        <v>13132</v>
      </c>
      <c r="F2073" s="2" t="s">
        <v>2924</v>
      </c>
      <c r="G2073" s="2" t="s">
        <v>13133</v>
      </c>
      <c r="H2073" s="2" t="s">
        <v>3212</v>
      </c>
      <c r="I2073" s="2" t="s">
        <v>1055</v>
      </c>
      <c r="J2073" s="2" t="s">
        <v>13134</v>
      </c>
      <c r="K2073" s="2" t="s">
        <v>507</v>
      </c>
      <c r="L2073" s="2" t="n">
        <v>0</v>
      </c>
      <c r="M2073" s="2" t="n">
        <v>0.9</v>
      </c>
    </row>
    <row r="2074" customFormat="false" ht="15" hidden="false" customHeight="false" outlineLevel="0" collapsed="false">
      <c r="A2074" s="2" t="n">
        <v>2072</v>
      </c>
      <c r="B2074" s="2" t="s">
        <v>8624</v>
      </c>
      <c r="C2074" s="2" t="n">
        <v>0</v>
      </c>
      <c r="D2074" s="2" t="n">
        <v>0</v>
      </c>
      <c r="E2074" s="2" t="s">
        <v>13135</v>
      </c>
      <c r="F2074" s="2" t="s">
        <v>13136</v>
      </c>
      <c r="G2074" s="2" t="s">
        <v>13137</v>
      </c>
      <c r="H2074" s="2" t="s">
        <v>13138</v>
      </c>
      <c r="I2074" s="2" t="s">
        <v>686</v>
      </c>
      <c r="J2074" s="2" t="s">
        <v>13139</v>
      </c>
      <c r="K2074" s="2" t="s">
        <v>507</v>
      </c>
      <c r="L2074" s="2" t="n">
        <v>0</v>
      </c>
      <c r="M2074" s="2" t="n">
        <v>0.71</v>
      </c>
    </row>
    <row r="2075" customFormat="false" ht="15" hidden="false" customHeight="false" outlineLevel="0" collapsed="false">
      <c r="A2075" s="2" t="n">
        <v>2073</v>
      </c>
      <c r="B2075" s="2" t="s">
        <v>8624</v>
      </c>
      <c r="C2075" s="2" t="n">
        <v>0</v>
      </c>
      <c r="D2075" s="2" t="n">
        <v>0</v>
      </c>
      <c r="E2075" s="2" t="s">
        <v>13140</v>
      </c>
      <c r="F2075" s="2" t="s">
        <v>11277</v>
      </c>
      <c r="G2075" s="2" t="s">
        <v>13141</v>
      </c>
      <c r="H2075" s="2" t="s">
        <v>1500</v>
      </c>
      <c r="I2075" s="2" t="s">
        <v>1055</v>
      </c>
      <c r="J2075" s="2" t="s">
        <v>13142</v>
      </c>
      <c r="K2075" s="2" t="s">
        <v>507</v>
      </c>
      <c r="L2075" s="2" t="n">
        <v>0.12</v>
      </c>
      <c r="M2075" s="2" t="n">
        <v>0.8</v>
      </c>
    </row>
    <row r="2076" customFormat="false" ht="15" hidden="false" customHeight="false" outlineLevel="0" collapsed="false">
      <c r="A2076" s="2" t="n">
        <v>2074</v>
      </c>
      <c r="B2076" s="2" t="s">
        <v>8624</v>
      </c>
      <c r="C2076" s="2" t="n">
        <v>0</v>
      </c>
      <c r="D2076" s="2" t="n">
        <v>0</v>
      </c>
      <c r="E2076" s="2" t="s">
        <v>13143</v>
      </c>
      <c r="F2076" s="2" t="s">
        <v>13144</v>
      </c>
      <c r="G2076" s="2" t="s">
        <v>13145</v>
      </c>
      <c r="H2076" s="2" t="s">
        <v>2979</v>
      </c>
      <c r="I2076" s="2" t="s">
        <v>1055</v>
      </c>
      <c r="J2076" s="2" t="s">
        <v>13146</v>
      </c>
      <c r="K2076" s="2" t="s">
        <v>507</v>
      </c>
      <c r="L2076" s="2" t="n">
        <v>0</v>
      </c>
      <c r="M2076" s="2" t="n">
        <v>0.9</v>
      </c>
    </row>
    <row r="2077" customFormat="false" ht="15" hidden="false" customHeight="false" outlineLevel="0" collapsed="false">
      <c r="A2077" s="2" t="n">
        <v>2075</v>
      </c>
      <c r="B2077" s="2" t="s">
        <v>8624</v>
      </c>
      <c r="C2077" s="2" t="n">
        <v>0</v>
      </c>
      <c r="D2077" s="2" t="n">
        <v>0</v>
      </c>
      <c r="E2077" s="2" t="s">
        <v>13147</v>
      </c>
      <c r="F2077" s="2" t="s">
        <v>803</v>
      </c>
      <c r="G2077" s="2" t="s">
        <v>13148</v>
      </c>
      <c r="H2077" s="2" t="s">
        <v>1170</v>
      </c>
      <c r="I2077" s="2" t="s">
        <v>262</v>
      </c>
      <c r="J2077" s="2" t="s">
        <v>13149</v>
      </c>
      <c r="K2077" s="2" t="s">
        <v>507</v>
      </c>
      <c r="L2077" s="2" t="n">
        <v>0.14</v>
      </c>
      <c r="M2077" s="2" t="n">
        <v>1</v>
      </c>
    </row>
    <row r="2078" customFormat="false" ht="15" hidden="false" customHeight="false" outlineLevel="0" collapsed="false">
      <c r="A2078" s="2" t="n">
        <v>2076</v>
      </c>
      <c r="B2078" s="2" t="s">
        <v>8624</v>
      </c>
      <c r="C2078" s="2" t="n">
        <v>1</v>
      </c>
      <c r="D2078" s="2" t="n">
        <v>0</v>
      </c>
      <c r="E2078" s="2" t="s">
        <v>8628</v>
      </c>
      <c r="F2078" s="2" t="s">
        <v>8629</v>
      </c>
      <c r="G2078" s="2" t="s">
        <v>8630</v>
      </c>
      <c r="H2078" s="2" t="s">
        <v>745</v>
      </c>
      <c r="I2078" s="2" t="s">
        <v>67</v>
      </c>
      <c r="J2078" s="2" t="s">
        <v>13150</v>
      </c>
      <c r="K2078" s="2" t="s">
        <v>507</v>
      </c>
      <c r="L2078" s="2" t="n">
        <v>0</v>
      </c>
      <c r="M2078" s="2" t="n">
        <v>0.71</v>
      </c>
    </row>
    <row r="2079" customFormat="false" ht="15" hidden="false" customHeight="false" outlineLevel="0" collapsed="false">
      <c r="A2079" s="2" t="n">
        <v>2077</v>
      </c>
      <c r="B2079" s="2" t="s">
        <v>8624</v>
      </c>
      <c r="C2079" s="2" t="n">
        <v>1</v>
      </c>
      <c r="D2079" s="2" t="n">
        <v>0</v>
      </c>
      <c r="E2079" s="2" t="s">
        <v>8636</v>
      </c>
      <c r="F2079" s="2" t="s">
        <v>8637</v>
      </c>
      <c r="G2079" s="2" t="s">
        <v>8638</v>
      </c>
      <c r="H2079" s="2" t="s">
        <v>245</v>
      </c>
      <c r="I2079" s="2" t="s">
        <v>1365</v>
      </c>
      <c r="J2079" s="2" t="s">
        <v>13151</v>
      </c>
      <c r="K2079" s="2" t="s">
        <v>507</v>
      </c>
      <c r="L2079" s="2" t="n">
        <v>0.25</v>
      </c>
      <c r="M2079" s="2" t="n">
        <v>0.75</v>
      </c>
    </row>
    <row r="2080" customFormat="false" ht="15" hidden="false" customHeight="false" outlineLevel="0" collapsed="false">
      <c r="A2080" s="2" t="n">
        <v>2078</v>
      </c>
      <c r="B2080" s="2" t="s">
        <v>8624</v>
      </c>
      <c r="C2080" s="2" t="n">
        <v>5</v>
      </c>
      <c r="D2080" s="2" t="n">
        <v>0</v>
      </c>
      <c r="E2080" s="2" t="s">
        <v>8642</v>
      </c>
      <c r="F2080" s="2" t="s">
        <v>1168</v>
      </c>
      <c r="G2080" s="2" t="s">
        <v>8643</v>
      </c>
      <c r="H2080" s="2" t="s">
        <v>189</v>
      </c>
      <c r="I2080" s="2" t="s">
        <v>430</v>
      </c>
      <c r="J2080" s="2" t="s">
        <v>13152</v>
      </c>
      <c r="K2080" s="2" t="s">
        <v>1588</v>
      </c>
      <c r="L2080" s="2" t="n">
        <v>0.25</v>
      </c>
      <c r="M2080" s="2" t="n">
        <v>0.88</v>
      </c>
    </row>
    <row r="2081" customFormat="false" ht="15" hidden="false" customHeight="false" outlineLevel="0" collapsed="false">
      <c r="A2081" s="2" t="n">
        <v>2079</v>
      </c>
      <c r="B2081" s="2" t="s">
        <v>8624</v>
      </c>
      <c r="C2081" s="2" t="n">
        <v>0</v>
      </c>
      <c r="D2081" s="2" t="n">
        <v>0</v>
      </c>
      <c r="E2081" s="2" t="s">
        <v>13153</v>
      </c>
      <c r="F2081" s="2" t="s">
        <v>6572</v>
      </c>
      <c r="G2081" s="2" t="s">
        <v>13154</v>
      </c>
      <c r="H2081" s="2" t="s">
        <v>114</v>
      </c>
      <c r="I2081" s="2" t="s">
        <v>1306</v>
      </c>
      <c r="J2081" s="2" t="s">
        <v>13155</v>
      </c>
      <c r="K2081" s="2" t="s">
        <v>507</v>
      </c>
      <c r="L2081" s="2" t="n">
        <v>0</v>
      </c>
      <c r="M2081" s="2" t="n">
        <v>0.64</v>
      </c>
    </row>
    <row r="2082" customFormat="false" ht="15" hidden="false" customHeight="false" outlineLevel="0" collapsed="false">
      <c r="A2082" s="2" t="n">
        <v>2080</v>
      </c>
      <c r="B2082" s="2" t="s">
        <v>8624</v>
      </c>
      <c r="C2082" s="2" t="n">
        <v>1</v>
      </c>
      <c r="D2082" s="2" t="n">
        <v>0</v>
      </c>
      <c r="E2082" s="2" t="s">
        <v>8659</v>
      </c>
      <c r="F2082" s="2" t="s">
        <v>3917</v>
      </c>
      <c r="G2082" s="2" t="s">
        <v>8660</v>
      </c>
      <c r="H2082" s="2" t="s">
        <v>420</v>
      </c>
      <c r="I2082" s="2" t="s">
        <v>1482</v>
      </c>
      <c r="J2082" s="2" t="s">
        <v>13156</v>
      </c>
      <c r="K2082" s="2" t="s">
        <v>68</v>
      </c>
      <c r="L2082" s="2" t="n">
        <v>0.5</v>
      </c>
      <c r="M2082" s="2" t="n">
        <v>0.5</v>
      </c>
    </row>
    <row r="2083" customFormat="false" ht="15" hidden="false" customHeight="false" outlineLevel="0" collapsed="false">
      <c r="A2083" s="2" t="n">
        <v>2081</v>
      </c>
      <c r="B2083" s="2" t="s">
        <v>8624</v>
      </c>
      <c r="C2083" s="2" t="n">
        <v>1</v>
      </c>
      <c r="D2083" s="2" t="n">
        <v>0</v>
      </c>
      <c r="E2083" s="2" t="s">
        <v>8663</v>
      </c>
      <c r="F2083" s="2" t="s">
        <v>176</v>
      </c>
      <c r="G2083" s="2" t="s">
        <v>8664</v>
      </c>
      <c r="H2083" s="2" t="s">
        <v>189</v>
      </c>
      <c r="I2083" s="2" t="s">
        <v>190</v>
      </c>
      <c r="J2083" s="2" t="s">
        <v>13157</v>
      </c>
      <c r="K2083" s="2" t="s">
        <v>160</v>
      </c>
      <c r="L2083" s="2" t="n">
        <v>0.38</v>
      </c>
      <c r="M2083" s="2" t="n">
        <v>0.57</v>
      </c>
    </row>
    <row r="2084" customFormat="false" ht="15" hidden="false" customHeight="false" outlineLevel="0" collapsed="false">
      <c r="A2084" s="2" t="n">
        <v>2082</v>
      </c>
      <c r="B2084" s="2" t="s">
        <v>8624</v>
      </c>
      <c r="C2084" s="2" t="n">
        <v>1</v>
      </c>
      <c r="D2084" s="2" t="n">
        <v>1</v>
      </c>
      <c r="E2084" s="2" t="s">
        <v>8668</v>
      </c>
      <c r="F2084" s="2" t="s">
        <v>1498</v>
      </c>
      <c r="G2084" s="2" t="s">
        <v>8669</v>
      </c>
      <c r="H2084" s="2" t="s">
        <v>114</v>
      </c>
      <c r="I2084" s="2" t="s">
        <v>1138</v>
      </c>
      <c r="J2084" s="2" t="s">
        <v>13158</v>
      </c>
      <c r="K2084" s="2" t="s">
        <v>507</v>
      </c>
      <c r="L2084" s="2" t="n">
        <v>0</v>
      </c>
      <c r="M2084" s="2" t="n">
        <v>0.78</v>
      </c>
    </row>
    <row r="2085" customFormat="false" ht="15" hidden="false" customHeight="false" outlineLevel="0" collapsed="false">
      <c r="A2085" s="2" t="n">
        <v>2083</v>
      </c>
      <c r="B2085" s="2" t="s">
        <v>8624</v>
      </c>
      <c r="C2085" s="2" t="n">
        <v>2</v>
      </c>
      <c r="D2085" s="2" t="n">
        <v>0</v>
      </c>
      <c r="E2085" s="2" t="s">
        <v>8673</v>
      </c>
      <c r="F2085" s="2" t="s">
        <v>64</v>
      </c>
      <c r="G2085" s="2" t="s">
        <v>8674</v>
      </c>
      <c r="H2085" s="2" t="s">
        <v>66</v>
      </c>
      <c r="I2085" s="2" t="s">
        <v>686</v>
      </c>
      <c r="J2085" s="2" t="s">
        <v>13159</v>
      </c>
      <c r="K2085" s="2" t="s">
        <v>507</v>
      </c>
      <c r="L2085" s="2" t="n">
        <v>0.22</v>
      </c>
      <c r="M2085" s="2" t="n">
        <v>0.89</v>
      </c>
    </row>
    <row r="2086" customFormat="false" ht="15" hidden="false" customHeight="false" outlineLevel="0" collapsed="false">
      <c r="A2086" s="2" t="n">
        <v>2084</v>
      </c>
      <c r="B2086" s="2" t="s">
        <v>8624</v>
      </c>
      <c r="C2086" s="2" t="n">
        <v>3</v>
      </c>
      <c r="D2086" s="2" t="n">
        <v>0</v>
      </c>
      <c r="E2086" s="2" t="s">
        <v>8682</v>
      </c>
      <c r="F2086" s="2" t="s">
        <v>1168</v>
      </c>
      <c r="G2086" s="2" t="s">
        <v>8683</v>
      </c>
      <c r="H2086" s="2" t="s">
        <v>189</v>
      </c>
      <c r="I2086" s="2" t="s">
        <v>512</v>
      </c>
      <c r="J2086" s="2" t="s">
        <v>13160</v>
      </c>
      <c r="K2086" s="2" t="s">
        <v>507</v>
      </c>
      <c r="L2086" s="2" t="n">
        <v>0.17</v>
      </c>
      <c r="M2086" s="2" t="n">
        <v>0.67</v>
      </c>
    </row>
    <row r="2087" customFormat="false" ht="15" hidden="false" customHeight="false" outlineLevel="0" collapsed="false">
      <c r="A2087" s="2" t="n">
        <v>2085</v>
      </c>
      <c r="B2087" s="2" t="s">
        <v>8624</v>
      </c>
      <c r="C2087" s="2" t="n">
        <v>0</v>
      </c>
      <c r="D2087" s="2" t="n">
        <v>0</v>
      </c>
      <c r="E2087" s="2" t="s">
        <v>13161</v>
      </c>
      <c r="F2087" s="2" t="s">
        <v>176</v>
      </c>
      <c r="G2087" s="2" t="s">
        <v>13162</v>
      </c>
      <c r="H2087" s="2" t="s">
        <v>114</v>
      </c>
      <c r="I2087" s="2" t="s">
        <v>115</v>
      </c>
      <c r="J2087" s="2" t="s">
        <v>13163</v>
      </c>
      <c r="K2087" s="2" t="s">
        <v>507</v>
      </c>
      <c r="L2087" s="2" t="n">
        <v>0</v>
      </c>
      <c r="M2087" s="2" t="n">
        <v>0.55</v>
      </c>
    </row>
    <row r="2088" customFormat="false" ht="15" hidden="false" customHeight="false" outlineLevel="0" collapsed="false">
      <c r="A2088" s="2" t="n">
        <v>2086</v>
      </c>
      <c r="B2088" s="2" t="s">
        <v>8624</v>
      </c>
      <c r="C2088" s="2" t="n">
        <v>3</v>
      </c>
      <c r="D2088" s="2" t="n">
        <v>0</v>
      </c>
      <c r="E2088" s="2" t="s">
        <v>8695</v>
      </c>
      <c r="F2088" s="2" t="s">
        <v>1168</v>
      </c>
      <c r="G2088" s="2" t="s">
        <v>8696</v>
      </c>
      <c r="H2088" s="2" t="s">
        <v>114</v>
      </c>
      <c r="I2088" s="2" t="s">
        <v>1614</v>
      </c>
      <c r="J2088" s="2" t="s">
        <v>13164</v>
      </c>
      <c r="K2088" s="2" t="s">
        <v>507</v>
      </c>
      <c r="L2088" s="2" t="n">
        <v>0.17</v>
      </c>
      <c r="M2088" s="2" t="n">
        <v>0.92</v>
      </c>
    </row>
    <row r="2089" customFormat="false" ht="15" hidden="false" customHeight="false" outlineLevel="0" collapsed="false">
      <c r="A2089" s="2" t="n">
        <v>2087</v>
      </c>
      <c r="B2089" s="2" t="s">
        <v>8624</v>
      </c>
      <c r="C2089" s="2" t="n">
        <v>2</v>
      </c>
      <c r="D2089" s="2" t="n">
        <v>0</v>
      </c>
      <c r="E2089" s="2" t="s">
        <v>8707</v>
      </c>
      <c r="F2089" s="2" t="s">
        <v>176</v>
      </c>
      <c r="G2089" s="2" t="s">
        <v>8708</v>
      </c>
      <c r="H2089" s="2" t="s">
        <v>1866</v>
      </c>
      <c r="I2089" s="2" t="s">
        <v>262</v>
      </c>
      <c r="J2089" s="2" t="s">
        <v>13165</v>
      </c>
      <c r="K2089" s="2" t="s">
        <v>507</v>
      </c>
      <c r="L2089" s="2" t="n">
        <v>0.09</v>
      </c>
      <c r="M2089" s="2" t="n">
        <v>0.55</v>
      </c>
    </row>
    <row r="2090" customFormat="false" ht="15" hidden="false" customHeight="false" outlineLevel="0" collapsed="false">
      <c r="A2090" s="2" t="n">
        <v>2088</v>
      </c>
      <c r="B2090" s="2" t="s">
        <v>8624</v>
      </c>
      <c r="C2090" s="2" t="n">
        <v>1</v>
      </c>
      <c r="D2090" s="2" t="n">
        <v>0</v>
      </c>
      <c r="E2090" s="2" t="s">
        <v>8713</v>
      </c>
      <c r="F2090" s="2" t="s">
        <v>176</v>
      </c>
      <c r="G2090" s="2" t="s">
        <v>8714</v>
      </c>
      <c r="H2090" s="2" t="s">
        <v>420</v>
      </c>
      <c r="I2090" s="2" t="s">
        <v>67</v>
      </c>
      <c r="J2090" s="2" t="s">
        <v>13166</v>
      </c>
      <c r="K2090" s="2" t="s">
        <v>507</v>
      </c>
      <c r="L2090" s="2" t="n">
        <v>0.14</v>
      </c>
      <c r="M2090" s="2" t="n">
        <v>0.69</v>
      </c>
    </row>
    <row r="2091" customFormat="false" ht="15" hidden="false" customHeight="false" outlineLevel="0" collapsed="false">
      <c r="A2091" s="2" t="n">
        <v>2089</v>
      </c>
      <c r="B2091" s="2" t="s">
        <v>8624</v>
      </c>
      <c r="C2091" s="2" t="n">
        <v>1</v>
      </c>
      <c r="D2091" s="2" t="n">
        <v>1</v>
      </c>
      <c r="E2091" s="2" t="s">
        <v>8717</v>
      </c>
      <c r="F2091" s="2" t="s">
        <v>694</v>
      </c>
      <c r="G2091" s="2" t="s">
        <v>8718</v>
      </c>
      <c r="H2091" s="2" t="s">
        <v>745</v>
      </c>
      <c r="I2091" s="2" t="s">
        <v>262</v>
      </c>
      <c r="J2091" s="2" t="s">
        <v>13167</v>
      </c>
      <c r="K2091" s="2" t="s">
        <v>507</v>
      </c>
      <c r="L2091" s="2" t="n">
        <v>0.2</v>
      </c>
      <c r="M2091" s="2" t="n">
        <v>1</v>
      </c>
    </row>
    <row r="2092" customFormat="false" ht="15" hidden="false" customHeight="false" outlineLevel="0" collapsed="false">
      <c r="A2092" s="2" t="n">
        <v>2090</v>
      </c>
      <c r="B2092" s="2" t="s">
        <v>8624</v>
      </c>
      <c r="C2092" s="2" t="n">
        <v>1</v>
      </c>
      <c r="D2092" s="2" t="n">
        <v>1</v>
      </c>
      <c r="E2092" s="2" t="s">
        <v>8725</v>
      </c>
      <c r="F2092" s="2" t="s">
        <v>1168</v>
      </c>
      <c r="G2092" s="2" t="s">
        <v>8726</v>
      </c>
      <c r="H2092" s="2" t="s">
        <v>5387</v>
      </c>
      <c r="I2092" s="2" t="s">
        <v>945</v>
      </c>
      <c r="J2092" s="2" t="s">
        <v>13168</v>
      </c>
      <c r="K2092" s="2" t="s">
        <v>507</v>
      </c>
      <c r="L2092" s="2" t="n">
        <v>0.11</v>
      </c>
      <c r="M2092" s="2" t="n">
        <v>0.7</v>
      </c>
    </row>
    <row r="2093" customFormat="false" ht="15" hidden="false" customHeight="false" outlineLevel="0" collapsed="false">
      <c r="A2093" s="2" t="n">
        <v>2091</v>
      </c>
      <c r="B2093" s="2" t="s">
        <v>8624</v>
      </c>
      <c r="C2093" s="2" t="n">
        <v>0</v>
      </c>
      <c r="D2093" s="2" t="n">
        <v>0</v>
      </c>
      <c r="E2093" s="2" t="s">
        <v>13169</v>
      </c>
      <c r="F2093" s="2" t="s">
        <v>963</v>
      </c>
      <c r="G2093" s="2" t="s">
        <v>13170</v>
      </c>
      <c r="H2093" s="2" t="s">
        <v>2979</v>
      </c>
      <c r="I2093" s="2" t="s">
        <v>751</v>
      </c>
      <c r="J2093" s="2" t="s">
        <v>13171</v>
      </c>
      <c r="K2093" s="2" t="s">
        <v>507</v>
      </c>
      <c r="L2093" s="2" t="n">
        <v>0</v>
      </c>
      <c r="M2093" s="2" t="n">
        <v>0.78</v>
      </c>
    </row>
    <row r="2094" customFormat="false" ht="15" hidden="false" customHeight="false" outlineLevel="0" collapsed="false">
      <c r="A2094" s="2" t="n">
        <v>2092</v>
      </c>
      <c r="B2094" s="2" t="s">
        <v>8624</v>
      </c>
      <c r="C2094" s="2" t="n">
        <v>2</v>
      </c>
      <c r="D2094" s="2" t="n">
        <v>0</v>
      </c>
      <c r="E2094" s="2" t="s">
        <v>8733</v>
      </c>
      <c r="F2094" s="2" t="s">
        <v>243</v>
      </c>
      <c r="G2094" s="2" t="s">
        <v>8734</v>
      </c>
      <c r="H2094" s="2" t="s">
        <v>8735</v>
      </c>
      <c r="I2094" s="2" t="s">
        <v>5570</v>
      </c>
      <c r="J2094" s="2" t="s">
        <v>13172</v>
      </c>
      <c r="K2094" s="2" t="s">
        <v>507</v>
      </c>
      <c r="L2094" s="2" t="n">
        <v>0.25</v>
      </c>
      <c r="M2094" s="2" t="n">
        <v>0.8</v>
      </c>
    </row>
    <row r="2095" customFormat="false" ht="15" hidden="false" customHeight="false" outlineLevel="0" collapsed="false">
      <c r="A2095" s="2" t="n">
        <v>2093</v>
      </c>
      <c r="B2095" s="2" t="s">
        <v>8624</v>
      </c>
      <c r="C2095" s="2" t="n">
        <v>0</v>
      </c>
      <c r="D2095" s="2" t="n">
        <v>0</v>
      </c>
      <c r="E2095" s="2" t="s">
        <v>13173</v>
      </c>
      <c r="F2095" s="2" t="s">
        <v>13174</v>
      </c>
      <c r="G2095" s="2" t="s">
        <v>13175</v>
      </c>
      <c r="H2095" s="2" t="s">
        <v>178</v>
      </c>
      <c r="I2095" s="2" t="s">
        <v>231</v>
      </c>
      <c r="J2095" s="2" t="s">
        <v>13176</v>
      </c>
      <c r="K2095" s="2" t="s">
        <v>507</v>
      </c>
      <c r="L2095" s="2" t="n">
        <v>0.17</v>
      </c>
      <c r="M2095" s="2" t="n">
        <v>0.88</v>
      </c>
    </row>
    <row r="2096" customFormat="false" ht="15" hidden="false" customHeight="false" outlineLevel="0" collapsed="false">
      <c r="A2096" s="2" t="n">
        <v>2094</v>
      </c>
      <c r="B2096" s="2" t="s">
        <v>8624</v>
      </c>
      <c r="C2096" s="2" t="n">
        <v>1</v>
      </c>
      <c r="D2096" s="2" t="n">
        <v>1</v>
      </c>
      <c r="E2096" s="2" t="s">
        <v>8741</v>
      </c>
      <c r="F2096" s="2" t="s">
        <v>1168</v>
      </c>
      <c r="G2096" s="2" t="s">
        <v>8742</v>
      </c>
      <c r="H2096" s="2" t="s">
        <v>965</v>
      </c>
      <c r="I2096" s="2" t="s">
        <v>1648</v>
      </c>
      <c r="J2096" s="2" t="s">
        <v>13177</v>
      </c>
      <c r="K2096" s="2" t="s">
        <v>160</v>
      </c>
      <c r="L2096" s="2" t="n">
        <v>0.44</v>
      </c>
      <c r="M2096" s="2" t="n">
        <v>0.67</v>
      </c>
    </row>
    <row r="2097" customFormat="false" ht="15" hidden="false" customHeight="false" outlineLevel="0" collapsed="false">
      <c r="A2097" s="2" t="n">
        <v>2095</v>
      </c>
      <c r="B2097" s="2" t="s">
        <v>8624</v>
      </c>
      <c r="C2097" s="2" t="n">
        <v>1</v>
      </c>
      <c r="D2097" s="2" t="n">
        <v>0</v>
      </c>
      <c r="E2097" s="2" t="s">
        <v>8745</v>
      </c>
      <c r="F2097" s="2" t="s">
        <v>803</v>
      </c>
      <c r="G2097" s="2" t="s">
        <v>8746</v>
      </c>
      <c r="H2097" s="2" t="s">
        <v>6500</v>
      </c>
      <c r="I2097" s="2" t="s">
        <v>370</v>
      </c>
      <c r="J2097" s="2" t="s">
        <v>13178</v>
      </c>
      <c r="K2097" s="2" t="s">
        <v>507</v>
      </c>
      <c r="L2097" s="2" t="n">
        <v>0</v>
      </c>
      <c r="M2097" s="2" t="n">
        <v>1</v>
      </c>
    </row>
    <row r="2098" customFormat="false" ht="15" hidden="false" customHeight="false" outlineLevel="0" collapsed="false">
      <c r="A2098" s="2" t="n">
        <v>2096</v>
      </c>
      <c r="B2098" s="2" t="s">
        <v>8624</v>
      </c>
      <c r="C2098" s="2" t="n">
        <v>1</v>
      </c>
      <c r="D2098" s="2" t="n">
        <v>1</v>
      </c>
      <c r="E2098" s="2" t="s">
        <v>8748</v>
      </c>
      <c r="F2098" s="2" t="s">
        <v>7052</v>
      </c>
      <c r="G2098" s="2" t="s">
        <v>8749</v>
      </c>
      <c r="H2098" s="2" t="s">
        <v>8750</v>
      </c>
      <c r="I2098" s="2" t="s">
        <v>1793</v>
      </c>
      <c r="J2098" s="2" t="s">
        <v>13179</v>
      </c>
      <c r="K2098" s="2" t="s">
        <v>507</v>
      </c>
      <c r="L2098" s="2" t="n">
        <v>0.08</v>
      </c>
      <c r="M2098" s="2" t="n">
        <v>0.5</v>
      </c>
    </row>
    <row r="2099" customFormat="false" ht="15" hidden="false" customHeight="false" outlineLevel="0" collapsed="false">
      <c r="A2099" s="2" t="n">
        <v>2097</v>
      </c>
      <c r="B2099" s="2" t="s">
        <v>8624</v>
      </c>
      <c r="C2099" s="2" t="n">
        <v>1</v>
      </c>
      <c r="D2099" s="2" t="n">
        <v>0</v>
      </c>
      <c r="E2099" s="2" t="s">
        <v>8754</v>
      </c>
      <c r="F2099" s="2" t="s">
        <v>1168</v>
      </c>
      <c r="G2099" s="2" t="s">
        <v>8755</v>
      </c>
      <c r="H2099" s="2" t="s">
        <v>745</v>
      </c>
      <c r="I2099" s="2" t="s">
        <v>1793</v>
      </c>
      <c r="J2099" s="2" t="s">
        <v>13180</v>
      </c>
      <c r="K2099" s="2" t="s">
        <v>507</v>
      </c>
      <c r="L2099" s="2" t="n">
        <v>0</v>
      </c>
      <c r="M2099" s="2" t="n">
        <v>0.89</v>
      </c>
    </row>
    <row r="2100" customFormat="false" ht="15" hidden="false" customHeight="false" outlineLevel="0" collapsed="false">
      <c r="A2100" s="2" t="n">
        <v>2098</v>
      </c>
      <c r="B2100" s="2" t="s">
        <v>8624</v>
      </c>
      <c r="C2100" s="2" t="n">
        <v>1</v>
      </c>
      <c r="D2100" s="2" t="n">
        <v>0</v>
      </c>
      <c r="E2100" s="2" t="s">
        <v>8760</v>
      </c>
      <c r="F2100" s="2" t="s">
        <v>6816</v>
      </c>
      <c r="G2100" s="2" t="s">
        <v>8761</v>
      </c>
      <c r="H2100" s="2" t="s">
        <v>8762</v>
      </c>
      <c r="I2100" s="2" t="s">
        <v>3469</v>
      </c>
      <c r="J2100" s="2" t="s">
        <v>13181</v>
      </c>
      <c r="K2100" s="2" t="s">
        <v>507</v>
      </c>
      <c r="L2100" s="2" t="n">
        <v>0</v>
      </c>
      <c r="M2100" s="2" t="n">
        <v>0.83</v>
      </c>
    </row>
    <row r="2101" customFormat="false" ht="15" hidden="false" customHeight="false" outlineLevel="0" collapsed="false">
      <c r="A2101" s="2" t="n">
        <v>2099</v>
      </c>
      <c r="B2101" s="2" t="s">
        <v>8624</v>
      </c>
      <c r="C2101" s="2" t="n">
        <v>0</v>
      </c>
      <c r="D2101" s="2" t="n">
        <v>0</v>
      </c>
      <c r="E2101" s="2" t="s">
        <v>13182</v>
      </c>
      <c r="F2101" s="2" t="s">
        <v>803</v>
      </c>
      <c r="G2101" s="2" t="s">
        <v>13183</v>
      </c>
      <c r="H2101" s="2" t="s">
        <v>8762</v>
      </c>
      <c r="I2101" s="2" t="s">
        <v>1735</v>
      </c>
      <c r="J2101" s="2" t="s">
        <v>13184</v>
      </c>
      <c r="K2101" s="2" t="s">
        <v>507</v>
      </c>
      <c r="L2101" s="2" t="n">
        <v>0.2</v>
      </c>
      <c r="M2101" s="2" t="n">
        <v>1</v>
      </c>
    </row>
    <row r="2102" customFormat="false" ht="15" hidden="false" customHeight="false" outlineLevel="0" collapsed="false">
      <c r="A2102" s="2" t="n">
        <v>2100</v>
      </c>
      <c r="B2102" s="2" t="s">
        <v>8763</v>
      </c>
      <c r="C2102" s="2" t="n">
        <v>0</v>
      </c>
      <c r="D2102" s="2" t="n">
        <v>0</v>
      </c>
      <c r="E2102" s="2" t="s">
        <v>13185</v>
      </c>
      <c r="F2102" s="2" t="s">
        <v>7052</v>
      </c>
      <c r="G2102" s="2" t="s">
        <v>13186</v>
      </c>
      <c r="H2102" s="2" t="s">
        <v>745</v>
      </c>
      <c r="I2102" s="2" t="s">
        <v>2013</v>
      </c>
      <c r="J2102" s="2" t="s">
        <v>13187</v>
      </c>
      <c r="K2102" s="2" t="s">
        <v>507</v>
      </c>
      <c r="L2102" s="2" t="n">
        <v>0</v>
      </c>
      <c r="M2102" s="2" t="n">
        <v>0.58</v>
      </c>
    </row>
    <row r="2103" customFormat="false" ht="15" hidden="false" customHeight="false" outlineLevel="0" collapsed="false">
      <c r="A2103" s="2" t="n">
        <v>2101</v>
      </c>
      <c r="B2103" s="2" t="s">
        <v>8763</v>
      </c>
      <c r="C2103" s="2" t="n">
        <v>0</v>
      </c>
      <c r="D2103" s="2" t="n">
        <v>0</v>
      </c>
      <c r="E2103" s="2" t="s">
        <v>13188</v>
      </c>
      <c r="F2103" s="2" t="s">
        <v>743</v>
      </c>
      <c r="G2103" s="2" t="s">
        <v>13189</v>
      </c>
      <c r="H2103" s="2" t="s">
        <v>1170</v>
      </c>
      <c r="I2103" s="2" t="s">
        <v>1342</v>
      </c>
      <c r="J2103" s="2" t="s">
        <v>13190</v>
      </c>
      <c r="K2103" s="2" t="s">
        <v>507</v>
      </c>
      <c r="L2103" s="2" t="n">
        <v>0</v>
      </c>
      <c r="M2103" s="2" t="n">
        <v>0.64</v>
      </c>
    </row>
    <row r="2104" customFormat="false" ht="15" hidden="false" customHeight="false" outlineLevel="0" collapsed="false">
      <c r="A2104" s="2" t="n">
        <v>2102</v>
      </c>
      <c r="B2104" s="2" t="s">
        <v>8763</v>
      </c>
      <c r="C2104" s="2" t="n">
        <v>0</v>
      </c>
      <c r="D2104" s="2" t="n">
        <v>0</v>
      </c>
      <c r="E2104" s="2" t="s">
        <v>13191</v>
      </c>
      <c r="F2104" s="2" t="s">
        <v>7052</v>
      </c>
      <c r="G2104" s="2" t="s">
        <v>13192</v>
      </c>
      <c r="H2104" s="2" t="s">
        <v>1500</v>
      </c>
      <c r="I2104" s="2" t="s">
        <v>1204</v>
      </c>
      <c r="J2104" s="2" t="s">
        <v>13193</v>
      </c>
      <c r="K2104" s="2" t="s">
        <v>507</v>
      </c>
      <c r="L2104" s="2" t="n">
        <v>0</v>
      </c>
      <c r="M2104" s="2" t="n">
        <v>0.91</v>
      </c>
    </row>
    <row r="2105" customFormat="false" ht="15" hidden="false" customHeight="false" outlineLevel="0" collapsed="false">
      <c r="A2105" s="2" t="n">
        <v>2103</v>
      </c>
      <c r="B2105" s="2" t="s">
        <v>8763</v>
      </c>
      <c r="C2105" s="2" t="n">
        <v>1</v>
      </c>
      <c r="D2105" s="2" t="n">
        <v>0</v>
      </c>
      <c r="E2105" s="2" t="s">
        <v>8766</v>
      </c>
      <c r="F2105" s="2" t="s">
        <v>743</v>
      </c>
      <c r="G2105" s="2" t="s">
        <v>8767</v>
      </c>
      <c r="H2105" s="2" t="s">
        <v>4386</v>
      </c>
      <c r="I2105" s="2" t="s">
        <v>3646</v>
      </c>
      <c r="J2105" s="2" t="s">
        <v>13194</v>
      </c>
      <c r="K2105" s="2" t="s">
        <v>507</v>
      </c>
      <c r="L2105" s="2" t="n">
        <v>0.15</v>
      </c>
      <c r="M2105" s="2" t="n">
        <v>0.55</v>
      </c>
    </row>
    <row r="2106" customFormat="false" ht="15" hidden="false" customHeight="false" outlineLevel="0" collapsed="false">
      <c r="A2106" s="2" t="n">
        <v>2104</v>
      </c>
      <c r="B2106" s="2" t="s">
        <v>8763</v>
      </c>
      <c r="C2106" s="2" t="n">
        <v>8</v>
      </c>
      <c r="D2106" s="2" t="n">
        <v>0</v>
      </c>
      <c r="E2106" s="2" t="s">
        <v>8769</v>
      </c>
      <c r="F2106" s="2" t="s">
        <v>915</v>
      </c>
      <c r="G2106" s="2" t="s">
        <v>8770</v>
      </c>
      <c r="H2106" s="2" t="s">
        <v>6559</v>
      </c>
      <c r="I2106" s="2" t="s">
        <v>1092</v>
      </c>
      <c r="J2106" s="2" t="s">
        <v>13195</v>
      </c>
      <c r="K2106" s="2" t="s">
        <v>507</v>
      </c>
      <c r="L2106" s="2" t="n">
        <v>0.1</v>
      </c>
      <c r="M2106" s="2" t="n">
        <v>0.78</v>
      </c>
    </row>
    <row r="2107" customFormat="false" ht="15" hidden="false" customHeight="false" outlineLevel="0" collapsed="false">
      <c r="A2107" s="2" t="n">
        <v>2105</v>
      </c>
      <c r="B2107" s="2" t="s">
        <v>8763</v>
      </c>
      <c r="C2107" s="2" t="n">
        <v>0</v>
      </c>
      <c r="D2107" s="2" t="n">
        <v>0</v>
      </c>
      <c r="E2107" s="2" t="s">
        <v>13196</v>
      </c>
      <c r="F2107" s="2" t="s">
        <v>694</v>
      </c>
      <c r="G2107" s="2" t="s">
        <v>13197</v>
      </c>
      <c r="H2107" s="2" t="s">
        <v>6500</v>
      </c>
      <c r="I2107" s="2" t="s">
        <v>3888</v>
      </c>
      <c r="J2107" s="2" t="s">
        <v>13198</v>
      </c>
      <c r="K2107" s="2" t="s">
        <v>507</v>
      </c>
      <c r="L2107" s="2" t="n">
        <v>0.1</v>
      </c>
      <c r="M2107" s="2" t="n">
        <v>0.5</v>
      </c>
    </row>
    <row r="2108" customFormat="false" ht="15" hidden="false" customHeight="false" outlineLevel="0" collapsed="false">
      <c r="A2108" s="2" t="n">
        <v>2106</v>
      </c>
      <c r="B2108" s="2" t="s">
        <v>8763</v>
      </c>
      <c r="C2108" s="2" t="n">
        <v>0</v>
      </c>
      <c r="D2108" s="2" t="n">
        <v>0</v>
      </c>
      <c r="E2108" s="2" t="s">
        <v>13199</v>
      </c>
      <c r="F2108" s="2" t="s">
        <v>95</v>
      </c>
      <c r="G2108" s="2" t="s">
        <v>13200</v>
      </c>
      <c r="H2108" s="2" t="s">
        <v>745</v>
      </c>
      <c r="I2108" s="2" t="s">
        <v>813</v>
      </c>
      <c r="J2108" s="2" t="s">
        <v>13201</v>
      </c>
      <c r="K2108" s="2" t="s">
        <v>507</v>
      </c>
      <c r="L2108" s="2" t="n">
        <v>0.22</v>
      </c>
      <c r="M2108" s="2" t="n">
        <v>0.5</v>
      </c>
    </row>
    <row r="2109" customFormat="false" ht="15" hidden="false" customHeight="false" outlineLevel="0" collapsed="false">
      <c r="A2109" s="2" t="n">
        <v>2107</v>
      </c>
      <c r="B2109" s="2" t="s">
        <v>8763</v>
      </c>
      <c r="C2109" s="2" t="n">
        <v>0</v>
      </c>
      <c r="D2109" s="2" t="n">
        <v>0</v>
      </c>
      <c r="E2109" s="2" t="s">
        <v>13202</v>
      </c>
      <c r="F2109" s="2" t="s">
        <v>13203</v>
      </c>
      <c r="G2109" s="2" t="s">
        <v>13204</v>
      </c>
      <c r="H2109" s="2" t="s">
        <v>13205</v>
      </c>
      <c r="I2109" s="2" t="s">
        <v>987</v>
      </c>
      <c r="J2109" s="2" t="s">
        <v>13206</v>
      </c>
      <c r="K2109" s="2" t="s">
        <v>507</v>
      </c>
      <c r="L2109" s="2" t="n">
        <v>0</v>
      </c>
      <c r="M2109" s="2" t="n">
        <v>0.88</v>
      </c>
    </row>
    <row r="2110" customFormat="false" ht="15" hidden="false" customHeight="false" outlineLevel="0" collapsed="false">
      <c r="A2110" s="2" t="n">
        <v>2108</v>
      </c>
      <c r="B2110" s="2" t="s">
        <v>8763</v>
      </c>
      <c r="C2110" s="2" t="n">
        <v>0</v>
      </c>
      <c r="D2110" s="2" t="n">
        <v>0</v>
      </c>
      <c r="E2110" s="2" t="s">
        <v>13207</v>
      </c>
      <c r="F2110" s="2" t="s">
        <v>13208</v>
      </c>
      <c r="G2110" s="2" t="s">
        <v>13209</v>
      </c>
      <c r="H2110" s="2" t="s">
        <v>745</v>
      </c>
      <c r="I2110" s="2" t="s">
        <v>5570</v>
      </c>
      <c r="J2110" s="2" t="s">
        <v>13210</v>
      </c>
      <c r="K2110" s="2" t="s">
        <v>507</v>
      </c>
      <c r="L2110" s="2" t="n">
        <v>0.1</v>
      </c>
      <c r="M2110" s="2" t="n">
        <v>0.91</v>
      </c>
    </row>
    <row r="2111" customFormat="false" ht="15" hidden="false" customHeight="false" outlineLevel="0" collapsed="false">
      <c r="A2111" s="2" t="n">
        <v>2109</v>
      </c>
      <c r="B2111" s="2" t="s">
        <v>8763</v>
      </c>
      <c r="C2111" s="2" t="n">
        <v>0</v>
      </c>
      <c r="D2111" s="2" t="n">
        <v>0</v>
      </c>
      <c r="E2111" s="2" t="s">
        <v>13211</v>
      </c>
      <c r="F2111" s="2" t="s">
        <v>803</v>
      </c>
      <c r="G2111" s="2" t="s">
        <v>13212</v>
      </c>
      <c r="H2111" s="2" t="s">
        <v>6572</v>
      </c>
      <c r="I2111" s="2" t="s">
        <v>966</v>
      </c>
      <c r="J2111" s="2" t="s">
        <v>9382</v>
      </c>
      <c r="K2111" s="2" t="s">
        <v>507</v>
      </c>
      <c r="L2111" s="2" t="n">
        <v>0</v>
      </c>
      <c r="M2111" s="2" t="n">
        <v>0</v>
      </c>
    </row>
    <row r="2112" customFormat="false" ht="15" hidden="false" customHeight="false" outlineLevel="0" collapsed="false">
      <c r="A2112" s="2" t="n">
        <v>2110</v>
      </c>
      <c r="B2112" s="2" t="s">
        <v>8763</v>
      </c>
      <c r="C2112" s="2" t="n">
        <v>1</v>
      </c>
      <c r="D2112" s="2" t="n">
        <v>0</v>
      </c>
      <c r="E2112" s="2" t="s">
        <v>8793</v>
      </c>
      <c r="F2112" s="2" t="s">
        <v>8794</v>
      </c>
      <c r="G2112" s="2" t="s">
        <v>8795</v>
      </c>
      <c r="H2112" s="2" t="s">
        <v>8750</v>
      </c>
      <c r="I2112" s="2" t="s">
        <v>262</v>
      </c>
      <c r="J2112" s="2" t="s">
        <v>13213</v>
      </c>
      <c r="K2112" s="2" t="s">
        <v>507</v>
      </c>
      <c r="L2112" s="2" t="n">
        <v>0.18</v>
      </c>
      <c r="M2112" s="2" t="n">
        <v>0.64</v>
      </c>
    </row>
    <row r="2113" customFormat="false" ht="15" hidden="false" customHeight="false" outlineLevel="0" collapsed="false">
      <c r="A2113" s="2" t="n">
        <v>2111</v>
      </c>
      <c r="B2113" s="2" t="s">
        <v>8763</v>
      </c>
      <c r="C2113" s="2" t="n">
        <v>1</v>
      </c>
      <c r="D2113" s="2" t="n">
        <v>0</v>
      </c>
      <c r="E2113" s="2" t="s">
        <v>8797</v>
      </c>
      <c r="F2113" s="2" t="s">
        <v>8798</v>
      </c>
      <c r="G2113" s="2" t="s">
        <v>8799</v>
      </c>
      <c r="H2113" s="2" t="s">
        <v>696</v>
      </c>
      <c r="I2113" s="2" t="s">
        <v>604</v>
      </c>
      <c r="J2113" s="2" t="s">
        <v>13214</v>
      </c>
      <c r="K2113" s="2" t="s">
        <v>507</v>
      </c>
      <c r="L2113" s="2" t="n">
        <v>0.14</v>
      </c>
      <c r="M2113" s="2" t="n">
        <v>0.88</v>
      </c>
    </row>
    <row r="2114" customFormat="false" ht="15" hidden="false" customHeight="false" outlineLevel="0" collapsed="false">
      <c r="A2114" s="2" t="n">
        <v>2112</v>
      </c>
      <c r="B2114" s="2" t="s">
        <v>8763</v>
      </c>
      <c r="C2114" s="2" t="n">
        <v>1</v>
      </c>
      <c r="D2114" s="2" t="n">
        <v>0</v>
      </c>
      <c r="E2114" s="2" t="s">
        <v>8805</v>
      </c>
      <c r="F2114" s="2" t="s">
        <v>8794</v>
      </c>
      <c r="G2114" s="2" t="s">
        <v>8806</v>
      </c>
      <c r="H2114" s="2" t="s">
        <v>189</v>
      </c>
      <c r="I2114" s="2" t="s">
        <v>6803</v>
      </c>
      <c r="J2114" s="2" t="s">
        <v>13215</v>
      </c>
      <c r="K2114" s="2" t="s">
        <v>507</v>
      </c>
      <c r="L2114" s="2" t="n">
        <v>0.17</v>
      </c>
      <c r="M2114" s="2" t="n">
        <v>0.82</v>
      </c>
    </row>
    <row r="2115" customFormat="false" ht="15" hidden="false" customHeight="false" outlineLevel="0" collapsed="false">
      <c r="A2115" s="2" t="n">
        <v>2113</v>
      </c>
      <c r="B2115" s="2" t="s">
        <v>8763</v>
      </c>
      <c r="C2115" s="2" t="n">
        <v>1</v>
      </c>
      <c r="D2115" s="2" t="n">
        <v>0</v>
      </c>
      <c r="E2115" s="2" t="s">
        <v>8808</v>
      </c>
      <c r="F2115" s="2" t="s">
        <v>95</v>
      </c>
      <c r="G2115" s="2" t="s">
        <v>8809</v>
      </c>
      <c r="H2115" s="2" t="s">
        <v>6559</v>
      </c>
      <c r="I2115" s="2" t="s">
        <v>538</v>
      </c>
      <c r="J2115" s="2" t="s">
        <v>13216</v>
      </c>
      <c r="K2115" s="2" t="s">
        <v>507</v>
      </c>
      <c r="L2115" s="2" t="n">
        <v>0.2</v>
      </c>
      <c r="M2115" s="2" t="n">
        <v>0.8</v>
      </c>
    </row>
    <row r="2116" customFormat="false" ht="15" hidden="false" customHeight="false" outlineLevel="0" collapsed="false">
      <c r="A2116" s="2" t="n">
        <v>2114</v>
      </c>
      <c r="B2116" s="2" t="s">
        <v>8763</v>
      </c>
      <c r="C2116" s="2" t="n">
        <v>1</v>
      </c>
      <c r="D2116" s="2" t="n">
        <v>0</v>
      </c>
      <c r="E2116" s="2" t="s">
        <v>8813</v>
      </c>
      <c r="F2116" s="2" t="s">
        <v>7052</v>
      </c>
      <c r="G2116" s="2" t="s">
        <v>8814</v>
      </c>
      <c r="H2116" s="2" t="s">
        <v>8815</v>
      </c>
      <c r="I2116" s="2" t="s">
        <v>2825</v>
      </c>
      <c r="J2116" s="2" t="s">
        <v>13217</v>
      </c>
      <c r="K2116" s="2" t="s">
        <v>507</v>
      </c>
      <c r="L2116" s="2" t="n">
        <v>0</v>
      </c>
      <c r="M2116" s="2" t="n">
        <v>0.75</v>
      </c>
    </row>
    <row r="2117" customFormat="false" ht="15" hidden="false" customHeight="false" outlineLevel="0" collapsed="false">
      <c r="A2117" s="2" t="n">
        <v>2115</v>
      </c>
      <c r="B2117" s="2" t="s">
        <v>8763</v>
      </c>
      <c r="C2117" s="2" t="n">
        <v>0</v>
      </c>
      <c r="D2117" s="2" t="n">
        <v>0</v>
      </c>
      <c r="E2117" s="2" t="s">
        <v>13218</v>
      </c>
      <c r="F2117" s="2" t="s">
        <v>95</v>
      </c>
      <c r="G2117" s="2" t="s">
        <v>13219</v>
      </c>
      <c r="H2117" s="2" t="s">
        <v>6572</v>
      </c>
      <c r="I2117" s="2" t="s">
        <v>4206</v>
      </c>
      <c r="J2117" s="2" t="s">
        <v>13220</v>
      </c>
      <c r="K2117" s="2" t="s">
        <v>507</v>
      </c>
      <c r="L2117" s="2" t="n">
        <v>0</v>
      </c>
      <c r="M2117" s="2" t="n">
        <v>0.71</v>
      </c>
    </row>
    <row r="2118" customFormat="false" ht="15" hidden="false" customHeight="false" outlineLevel="0" collapsed="false">
      <c r="A2118" s="2" t="n">
        <v>2116</v>
      </c>
      <c r="B2118" s="2" t="s">
        <v>8763</v>
      </c>
      <c r="C2118" s="2" t="n">
        <v>1</v>
      </c>
      <c r="D2118" s="2" t="n">
        <v>0</v>
      </c>
      <c r="E2118" s="2" t="s">
        <v>8820</v>
      </c>
      <c r="F2118" s="2" t="s">
        <v>8821</v>
      </c>
      <c r="G2118" s="2" t="s">
        <v>8822</v>
      </c>
      <c r="H2118" s="2" t="s">
        <v>8823</v>
      </c>
      <c r="I2118" s="2" t="s">
        <v>3194</v>
      </c>
      <c r="J2118" s="2" t="s">
        <v>13221</v>
      </c>
      <c r="K2118" s="2" t="s">
        <v>507</v>
      </c>
      <c r="L2118" s="2" t="n">
        <v>0</v>
      </c>
      <c r="M2118" s="2" t="n">
        <v>0.64</v>
      </c>
    </row>
    <row r="2119" customFormat="false" ht="15" hidden="false" customHeight="false" outlineLevel="0" collapsed="false">
      <c r="A2119" s="2" t="n">
        <v>2117</v>
      </c>
      <c r="B2119" s="2" t="s">
        <v>8763</v>
      </c>
      <c r="C2119" s="2" t="n">
        <v>1</v>
      </c>
      <c r="D2119" s="2" t="n">
        <v>1</v>
      </c>
      <c r="E2119" s="2" t="s">
        <v>8829</v>
      </c>
      <c r="F2119" s="2" t="s">
        <v>694</v>
      </c>
      <c r="G2119" s="2" t="s">
        <v>8830</v>
      </c>
      <c r="H2119" s="2" t="s">
        <v>178</v>
      </c>
      <c r="I2119" s="2" t="s">
        <v>851</v>
      </c>
      <c r="J2119" s="2" t="s">
        <v>13222</v>
      </c>
      <c r="K2119" s="2" t="s">
        <v>507</v>
      </c>
      <c r="L2119" s="2" t="n">
        <v>0</v>
      </c>
      <c r="M2119" s="2" t="n">
        <v>0.78</v>
      </c>
    </row>
    <row r="2120" customFormat="false" ht="15" hidden="false" customHeight="false" outlineLevel="0" collapsed="false">
      <c r="A2120" s="2" t="n">
        <v>2118</v>
      </c>
      <c r="B2120" s="2" t="s">
        <v>8763</v>
      </c>
      <c r="C2120" s="2" t="n">
        <v>1</v>
      </c>
      <c r="D2120" s="2" t="n">
        <v>0</v>
      </c>
      <c r="E2120" s="2" t="s">
        <v>8837</v>
      </c>
      <c r="F2120" s="2" t="s">
        <v>8821</v>
      </c>
      <c r="G2120" s="2" t="s">
        <v>8838</v>
      </c>
      <c r="H2120" s="2" t="s">
        <v>745</v>
      </c>
      <c r="I2120" s="2" t="s">
        <v>1509</v>
      </c>
      <c r="J2120" s="2" t="s">
        <v>13223</v>
      </c>
      <c r="K2120" s="2" t="s">
        <v>507</v>
      </c>
      <c r="L2120" s="2" t="n">
        <v>0</v>
      </c>
      <c r="M2120" s="2" t="n">
        <v>0.91</v>
      </c>
    </row>
    <row r="2121" customFormat="false" ht="15" hidden="false" customHeight="false" outlineLevel="0" collapsed="false">
      <c r="A2121" s="2" t="n">
        <v>2119</v>
      </c>
      <c r="B2121" s="2" t="s">
        <v>8763</v>
      </c>
      <c r="C2121" s="2" t="n">
        <v>1</v>
      </c>
      <c r="D2121" s="2" t="n">
        <v>0</v>
      </c>
      <c r="E2121" s="2" t="s">
        <v>8840</v>
      </c>
      <c r="F2121" s="2" t="s">
        <v>743</v>
      </c>
      <c r="G2121" s="2" t="s">
        <v>8841</v>
      </c>
      <c r="H2121" s="2" t="s">
        <v>8750</v>
      </c>
      <c r="I2121" s="2" t="s">
        <v>5557</v>
      </c>
      <c r="J2121" s="2" t="s">
        <v>13224</v>
      </c>
      <c r="K2121" s="2" t="s">
        <v>507</v>
      </c>
      <c r="L2121" s="2" t="n">
        <v>0</v>
      </c>
      <c r="M2121" s="2" t="n">
        <v>0.56</v>
      </c>
    </row>
    <row r="2122" customFormat="false" ht="15" hidden="false" customHeight="false" outlineLevel="0" collapsed="false">
      <c r="A2122" s="2" t="n">
        <v>2120</v>
      </c>
      <c r="B2122" s="2" t="s">
        <v>8763</v>
      </c>
      <c r="C2122" s="2" t="n">
        <v>1</v>
      </c>
      <c r="D2122" s="2" t="n">
        <v>0</v>
      </c>
      <c r="E2122" s="2" t="s">
        <v>8846</v>
      </c>
      <c r="F2122" s="2" t="s">
        <v>8821</v>
      </c>
      <c r="G2122" s="2" t="s">
        <v>8847</v>
      </c>
      <c r="H2122" s="2" t="s">
        <v>745</v>
      </c>
      <c r="I2122" s="2" t="s">
        <v>2303</v>
      </c>
      <c r="J2122" s="2" t="s">
        <v>13225</v>
      </c>
      <c r="K2122" s="2" t="s">
        <v>507</v>
      </c>
      <c r="L2122" s="2" t="n">
        <v>0</v>
      </c>
      <c r="M2122" s="2" t="n">
        <v>0.89</v>
      </c>
    </row>
    <row r="2123" customFormat="false" ht="15" hidden="false" customHeight="false" outlineLevel="0" collapsed="false">
      <c r="A2123" s="2" t="n">
        <v>2121</v>
      </c>
      <c r="B2123" s="2" t="s">
        <v>8763</v>
      </c>
      <c r="C2123" s="2" t="n">
        <v>1</v>
      </c>
      <c r="D2123" s="2" t="n">
        <v>1</v>
      </c>
      <c r="E2123" s="2" t="s">
        <v>8849</v>
      </c>
      <c r="F2123" s="2" t="s">
        <v>743</v>
      </c>
      <c r="G2123" s="2" t="s">
        <v>8850</v>
      </c>
      <c r="H2123" s="2" t="s">
        <v>4359</v>
      </c>
      <c r="I2123" s="2" t="s">
        <v>1188</v>
      </c>
      <c r="J2123" s="2" t="s">
        <v>13226</v>
      </c>
      <c r="K2123" s="2" t="s">
        <v>507</v>
      </c>
      <c r="L2123" s="2" t="n">
        <v>0</v>
      </c>
      <c r="M2123" s="2" t="n">
        <v>0.45</v>
      </c>
    </row>
    <row r="2124" customFormat="false" ht="15" hidden="false" customHeight="false" outlineLevel="0" collapsed="false">
      <c r="A2124" s="2" t="n">
        <v>2122</v>
      </c>
      <c r="B2124" s="2" t="s">
        <v>8763</v>
      </c>
      <c r="C2124" s="2" t="n">
        <v>1</v>
      </c>
      <c r="D2124" s="2" t="n">
        <v>0</v>
      </c>
      <c r="E2124" s="2" t="s">
        <v>8853</v>
      </c>
      <c r="F2124" s="2" t="s">
        <v>8821</v>
      </c>
      <c r="G2124" s="2" t="s">
        <v>8854</v>
      </c>
      <c r="H2124" s="2" t="s">
        <v>4386</v>
      </c>
      <c r="I2124" s="2" t="s">
        <v>262</v>
      </c>
      <c r="J2124" s="2" t="s">
        <v>13227</v>
      </c>
      <c r="K2124" s="2" t="s">
        <v>507</v>
      </c>
      <c r="L2124" s="2" t="n">
        <v>0</v>
      </c>
      <c r="M2124" s="2" t="n">
        <v>0.5</v>
      </c>
    </row>
    <row r="2125" customFormat="false" ht="15" hidden="false" customHeight="false" outlineLevel="0" collapsed="false">
      <c r="A2125" s="2" t="n">
        <v>2123</v>
      </c>
      <c r="B2125" s="2" t="s">
        <v>8763</v>
      </c>
      <c r="C2125" s="2" t="n">
        <v>1</v>
      </c>
      <c r="D2125" s="2" t="n">
        <v>1</v>
      </c>
      <c r="E2125" s="2" t="s">
        <v>8858</v>
      </c>
      <c r="F2125" s="2" t="s">
        <v>694</v>
      </c>
      <c r="G2125" s="2" t="s">
        <v>8859</v>
      </c>
      <c r="H2125" s="2" t="s">
        <v>8860</v>
      </c>
      <c r="I2125" s="2" t="s">
        <v>301</v>
      </c>
      <c r="J2125" s="2" t="s">
        <v>13228</v>
      </c>
      <c r="K2125" s="2" t="s">
        <v>507</v>
      </c>
      <c r="L2125" s="2" t="n">
        <v>0.05</v>
      </c>
      <c r="M2125" s="2" t="n">
        <v>0.83</v>
      </c>
    </row>
    <row r="2126" customFormat="false" ht="15" hidden="false" customHeight="false" outlineLevel="0" collapsed="false">
      <c r="A2126" s="2" t="n">
        <v>2124</v>
      </c>
      <c r="B2126" s="2" t="s">
        <v>8763</v>
      </c>
      <c r="C2126" s="2" t="n">
        <v>2</v>
      </c>
      <c r="D2126" s="2" t="n">
        <v>0</v>
      </c>
      <c r="E2126" s="2" t="s">
        <v>8864</v>
      </c>
      <c r="F2126" s="2" t="s">
        <v>8821</v>
      </c>
      <c r="G2126" s="2" t="s">
        <v>8865</v>
      </c>
      <c r="H2126" s="2" t="s">
        <v>6572</v>
      </c>
      <c r="I2126" s="2" t="s">
        <v>512</v>
      </c>
      <c r="J2126" s="2" t="s">
        <v>13229</v>
      </c>
      <c r="K2126" s="2" t="s">
        <v>507</v>
      </c>
      <c r="L2126" s="2" t="n">
        <v>0</v>
      </c>
      <c r="M2126" s="2" t="n">
        <v>0.89</v>
      </c>
    </row>
    <row r="2127" customFormat="false" ht="15" hidden="false" customHeight="false" outlineLevel="0" collapsed="false">
      <c r="A2127" s="2" t="n">
        <v>2125</v>
      </c>
      <c r="B2127" s="2" t="s">
        <v>8763</v>
      </c>
      <c r="C2127" s="2" t="n">
        <v>1</v>
      </c>
      <c r="D2127" s="2" t="n">
        <v>0</v>
      </c>
      <c r="E2127" s="2" t="s">
        <v>8874</v>
      </c>
      <c r="F2127" s="2" t="s">
        <v>8821</v>
      </c>
      <c r="G2127" s="2" t="s">
        <v>8875</v>
      </c>
      <c r="H2127" s="2" t="s">
        <v>4359</v>
      </c>
      <c r="I2127" s="2" t="s">
        <v>2149</v>
      </c>
      <c r="J2127" s="2" t="s">
        <v>13230</v>
      </c>
      <c r="K2127" s="2" t="s">
        <v>507</v>
      </c>
      <c r="L2127" s="2" t="n">
        <v>0</v>
      </c>
      <c r="M2127" s="2" t="n">
        <v>1</v>
      </c>
    </row>
    <row r="2128" customFormat="false" ht="15" hidden="false" customHeight="false" outlineLevel="0" collapsed="false">
      <c r="A2128" s="2" t="n">
        <v>2126</v>
      </c>
      <c r="B2128" s="2" t="s">
        <v>8763</v>
      </c>
      <c r="C2128" s="2" t="n">
        <v>2</v>
      </c>
      <c r="D2128" s="2" t="n">
        <v>0</v>
      </c>
      <c r="E2128" s="2" t="s">
        <v>8880</v>
      </c>
      <c r="F2128" s="2" t="s">
        <v>8821</v>
      </c>
      <c r="G2128" s="2" t="s">
        <v>8881</v>
      </c>
      <c r="H2128" s="2" t="s">
        <v>8823</v>
      </c>
      <c r="I2128" s="2" t="s">
        <v>2852</v>
      </c>
      <c r="J2128" s="2" t="s">
        <v>13231</v>
      </c>
      <c r="K2128" s="2" t="s">
        <v>507</v>
      </c>
      <c r="L2128" s="2" t="n">
        <v>0</v>
      </c>
      <c r="M2128" s="2" t="n">
        <v>0.89</v>
      </c>
    </row>
    <row r="2129" customFormat="false" ht="15" hidden="false" customHeight="false" outlineLevel="0" collapsed="false">
      <c r="A2129" s="2" t="n">
        <v>2127</v>
      </c>
      <c r="B2129" s="2" t="s">
        <v>8763</v>
      </c>
      <c r="C2129" s="2" t="n">
        <v>1</v>
      </c>
      <c r="D2129" s="2" t="n">
        <v>1</v>
      </c>
      <c r="E2129" s="2" t="s">
        <v>8888</v>
      </c>
      <c r="F2129" s="2" t="s">
        <v>8889</v>
      </c>
      <c r="G2129" s="2" t="s">
        <v>8890</v>
      </c>
      <c r="H2129" s="2" t="s">
        <v>158</v>
      </c>
      <c r="I2129" s="2" t="s">
        <v>421</v>
      </c>
      <c r="J2129" s="2" t="s">
        <v>13232</v>
      </c>
      <c r="K2129" s="2" t="s">
        <v>507</v>
      </c>
      <c r="L2129" s="2" t="n">
        <v>0.12</v>
      </c>
      <c r="M2129" s="2" t="n">
        <v>0.89</v>
      </c>
    </row>
    <row r="2130" customFormat="false" ht="15" hidden="false" customHeight="false" outlineLevel="0" collapsed="false">
      <c r="A2130" s="2" t="n">
        <v>2128</v>
      </c>
      <c r="B2130" s="2" t="s">
        <v>8763</v>
      </c>
      <c r="C2130" s="2" t="n">
        <v>4</v>
      </c>
      <c r="D2130" s="2" t="n">
        <v>0</v>
      </c>
      <c r="E2130" s="2" t="s">
        <v>8894</v>
      </c>
      <c r="F2130" s="2" t="s">
        <v>8821</v>
      </c>
      <c r="G2130" s="2" t="s">
        <v>8895</v>
      </c>
      <c r="H2130" s="2" t="s">
        <v>455</v>
      </c>
      <c r="I2130" s="2" t="s">
        <v>421</v>
      </c>
      <c r="J2130" s="2" t="s">
        <v>13233</v>
      </c>
      <c r="K2130" s="2" t="s">
        <v>507</v>
      </c>
      <c r="L2130" s="2" t="n">
        <v>0</v>
      </c>
      <c r="M2130" s="2" t="n">
        <v>0.4</v>
      </c>
    </row>
    <row r="2131" customFormat="false" ht="15" hidden="false" customHeight="false" outlineLevel="0" collapsed="false">
      <c r="A2131" s="2" t="n">
        <v>2129</v>
      </c>
      <c r="B2131" s="2" t="s">
        <v>8763</v>
      </c>
      <c r="C2131" s="2" t="n">
        <v>2</v>
      </c>
      <c r="D2131" s="2" t="n">
        <v>0</v>
      </c>
      <c r="E2131" s="2" t="s">
        <v>8908</v>
      </c>
      <c r="F2131" s="2" t="s">
        <v>8909</v>
      </c>
      <c r="G2131" s="2" t="s">
        <v>8910</v>
      </c>
      <c r="H2131" s="2" t="s">
        <v>158</v>
      </c>
      <c r="I2131" s="2" t="s">
        <v>2313</v>
      </c>
      <c r="J2131" s="2" t="s">
        <v>13234</v>
      </c>
      <c r="K2131" s="2" t="s">
        <v>507</v>
      </c>
      <c r="L2131" s="2" t="n">
        <v>0.2</v>
      </c>
      <c r="M2131" s="2" t="n">
        <v>0.71</v>
      </c>
    </row>
    <row r="2132" customFormat="false" ht="15" hidden="false" customHeight="false" outlineLevel="0" collapsed="false">
      <c r="A2132" s="2" t="n">
        <v>2130</v>
      </c>
      <c r="B2132" s="2" t="s">
        <v>8913</v>
      </c>
      <c r="C2132" s="2" t="n">
        <v>0</v>
      </c>
      <c r="D2132" s="2" t="n">
        <v>0</v>
      </c>
      <c r="E2132" s="2" t="s">
        <v>13235</v>
      </c>
      <c r="F2132" s="2" t="s">
        <v>8909</v>
      </c>
      <c r="G2132" s="2" t="s">
        <v>13236</v>
      </c>
      <c r="H2132" s="2" t="s">
        <v>494</v>
      </c>
      <c r="I2132" s="2" t="s">
        <v>1138</v>
      </c>
      <c r="J2132" s="2" t="s">
        <v>13237</v>
      </c>
      <c r="K2132" s="2" t="s">
        <v>507</v>
      </c>
      <c r="L2132" s="2" t="n">
        <v>0.14</v>
      </c>
      <c r="M2132" s="2" t="n">
        <v>0.8</v>
      </c>
    </row>
    <row r="2133" customFormat="false" ht="15" hidden="false" customHeight="false" outlineLevel="0" collapsed="false">
      <c r="A2133" s="2" t="n">
        <v>2131</v>
      </c>
      <c r="B2133" s="2" t="s">
        <v>8913</v>
      </c>
      <c r="C2133" s="2" t="n">
        <v>0</v>
      </c>
      <c r="D2133" s="2" t="n">
        <v>0</v>
      </c>
      <c r="E2133" s="2" t="s">
        <v>13238</v>
      </c>
      <c r="F2133" s="2" t="s">
        <v>8909</v>
      </c>
      <c r="G2133" s="2" t="s">
        <v>13239</v>
      </c>
      <c r="H2133" s="2" t="s">
        <v>66</v>
      </c>
      <c r="I2133" s="2" t="s">
        <v>8378</v>
      </c>
      <c r="J2133" s="2" t="s">
        <v>13240</v>
      </c>
      <c r="K2133" s="2" t="s">
        <v>507</v>
      </c>
      <c r="L2133" s="2" t="n">
        <v>0</v>
      </c>
      <c r="M2133" s="2" t="n">
        <v>0.71</v>
      </c>
    </row>
    <row r="2134" customFormat="false" ht="15" hidden="false" customHeight="false" outlineLevel="0" collapsed="false">
      <c r="A2134" s="2" t="n">
        <v>2132</v>
      </c>
      <c r="B2134" s="2" t="s">
        <v>8913</v>
      </c>
      <c r="C2134" s="2" t="n">
        <v>1</v>
      </c>
      <c r="D2134" s="2" t="n">
        <v>0</v>
      </c>
      <c r="E2134" s="2" t="s">
        <v>8918</v>
      </c>
      <c r="F2134" s="2" t="s">
        <v>8909</v>
      </c>
      <c r="G2134" s="2" t="s">
        <v>8919</v>
      </c>
      <c r="H2134" s="2" t="s">
        <v>3212</v>
      </c>
      <c r="I2134" s="2" t="s">
        <v>5570</v>
      </c>
      <c r="J2134" s="2" t="s">
        <v>13241</v>
      </c>
      <c r="K2134" s="2" t="s">
        <v>507</v>
      </c>
      <c r="L2134" s="2" t="n">
        <v>0.17</v>
      </c>
      <c r="M2134" s="2" t="n">
        <v>0.86</v>
      </c>
    </row>
    <row r="2135" customFormat="false" ht="15" hidden="false" customHeight="false" outlineLevel="0" collapsed="false">
      <c r="A2135" s="2" t="n">
        <v>2133</v>
      </c>
      <c r="B2135" s="2" t="s">
        <v>8913</v>
      </c>
      <c r="C2135" s="2" t="n">
        <v>1</v>
      </c>
      <c r="D2135" s="2" t="n">
        <v>0</v>
      </c>
      <c r="E2135" s="2" t="s">
        <v>8923</v>
      </c>
      <c r="F2135" s="2" t="s">
        <v>8909</v>
      </c>
      <c r="G2135" s="2" t="s">
        <v>8924</v>
      </c>
      <c r="H2135" s="2" t="s">
        <v>178</v>
      </c>
      <c r="I2135" s="2" t="s">
        <v>821</v>
      </c>
      <c r="J2135" s="2" t="s">
        <v>13242</v>
      </c>
      <c r="K2135" s="2" t="s">
        <v>507</v>
      </c>
      <c r="L2135" s="2" t="n">
        <v>0.09</v>
      </c>
      <c r="M2135" s="2" t="n">
        <v>0.88</v>
      </c>
    </row>
    <row r="2136" customFormat="false" ht="15" hidden="false" customHeight="false" outlineLevel="0" collapsed="false">
      <c r="A2136" s="2" t="n">
        <v>2134</v>
      </c>
      <c r="B2136" s="2" t="s">
        <v>8913</v>
      </c>
      <c r="C2136" s="2" t="n">
        <v>2</v>
      </c>
      <c r="D2136" s="2" t="n">
        <v>0</v>
      </c>
      <c r="E2136" s="2" t="s">
        <v>8929</v>
      </c>
      <c r="F2136" s="2" t="s">
        <v>8909</v>
      </c>
      <c r="G2136" s="2" t="s">
        <v>8930</v>
      </c>
      <c r="H2136" s="2" t="s">
        <v>745</v>
      </c>
      <c r="I2136" s="2" t="s">
        <v>2852</v>
      </c>
      <c r="J2136" s="2" t="s">
        <v>13243</v>
      </c>
      <c r="K2136" s="2" t="s">
        <v>507</v>
      </c>
      <c r="L2136" s="2" t="n">
        <v>0.17</v>
      </c>
      <c r="M2136" s="2" t="n">
        <v>0.8</v>
      </c>
    </row>
    <row r="2137" customFormat="false" ht="15" hidden="false" customHeight="false" outlineLevel="0" collapsed="false">
      <c r="A2137" s="2" t="n">
        <v>2135</v>
      </c>
      <c r="B2137" s="2" t="s">
        <v>8913</v>
      </c>
      <c r="C2137" s="2" t="n">
        <v>1</v>
      </c>
      <c r="D2137" s="2" t="n">
        <v>0</v>
      </c>
      <c r="E2137" s="2" t="s">
        <v>8938</v>
      </c>
      <c r="F2137" s="2" t="s">
        <v>743</v>
      </c>
      <c r="G2137" s="2" t="s">
        <v>8939</v>
      </c>
      <c r="H2137" s="2" t="s">
        <v>178</v>
      </c>
      <c r="I2137" s="2" t="s">
        <v>5744</v>
      </c>
      <c r="J2137" s="2" t="s">
        <v>13244</v>
      </c>
      <c r="K2137" s="2" t="s">
        <v>507</v>
      </c>
      <c r="L2137" s="2" t="n">
        <v>0</v>
      </c>
      <c r="M2137" s="2" t="n">
        <v>0.3</v>
      </c>
    </row>
    <row r="2138" customFormat="false" ht="15" hidden="false" customHeight="false" outlineLevel="0" collapsed="false">
      <c r="A2138" s="2" t="n">
        <v>2136</v>
      </c>
      <c r="B2138" s="2" t="s">
        <v>8913</v>
      </c>
      <c r="C2138" s="2" t="n">
        <v>0</v>
      </c>
      <c r="D2138" s="2" t="n">
        <v>0</v>
      </c>
      <c r="E2138" s="2" t="s">
        <v>13245</v>
      </c>
      <c r="F2138" s="2" t="s">
        <v>13246</v>
      </c>
      <c r="G2138" s="2" t="s">
        <v>13247</v>
      </c>
      <c r="H2138" s="2" t="s">
        <v>13248</v>
      </c>
      <c r="I2138" s="2" t="s">
        <v>495</v>
      </c>
      <c r="J2138" s="2" t="s">
        <v>13249</v>
      </c>
      <c r="K2138" s="2" t="s">
        <v>507</v>
      </c>
      <c r="L2138" s="2" t="n">
        <v>0</v>
      </c>
      <c r="M2138" s="2" t="n">
        <v>0.83</v>
      </c>
    </row>
    <row r="2139" customFormat="false" ht="15" hidden="false" customHeight="false" outlineLevel="0" collapsed="false">
      <c r="A2139" s="2" t="n">
        <v>2137</v>
      </c>
      <c r="B2139" s="2" t="s">
        <v>8913</v>
      </c>
      <c r="C2139" s="2" t="n">
        <v>0</v>
      </c>
      <c r="D2139" s="2" t="n">
        <v>0</v>
      </c>
      <c r="E2139" s="2" t="s">
        <v>13250</v>
      </c>
      <c r="F2139" s="2" t="s">
        <v>8821</v>
      </c>
      <c r="G2139" s="2" t="s">
        <v>13251</v>
      </c>
      <c r="H2139" s="2" t="s">
        <v>745</v>
      </c>
      <c r="I2139" s="2" t="s">
        <v>966</v>
      </c>
      <c r="J2139" s="2" t="s">
        <v>13252</v>
      </c>
      <c r="K2139" s="2" t="s">
        <v>507</v>
      </c>
      <c r="L2139" s="2" t="n">
        <v>0</v>
      </c>
      <c r="M2139" s="2" t="n">
        <v>0.62</v>
      </c>
    </row>
    <row r="2140" customFormat="false" ht="15" hidden="false" customHeight="false" outlineLevel="0" collapsed="false">
      <c r="A2140" s="2" t="n">
        <v>2138</v>
      </c>
      <c r="B2140" s="2" t="s">
        <v>8913</v>
      </c>
      <c r="C2140" s="2" t="n">
        <v>0</v>
      </c>
      <c r="D2140" s="2" t="n">
        <v>0</v>
      </c>
      <c r="E2140" s="2" t="s">
        <v>13253</v>
      </c>
      <c r="F2140" s="2" t="s">
        <v>8821</v>
      </c>
      <c r="G2140" s="2" t="s">
        <v>13254</v>
      </c>
      <c r="H2140" s="2" t="s">
        <v>6675</v>
      </c>
      <c r="I2140" s="2" t="s">
        <v>67</v>
      </c>
      <c r="J2140" s="2" t="s">
        <v>13255</v>
      </c>
      <c r="K2140" s="2" t="s">
        <v>507</v>
      </c>
      <c r="L2140" s="2" t="n">
        <v>0.17</v>
      </c>
      <c r="M2140" s="2" t="n">
        <v>0.85</v>
      </c>
    </row>
    <row r="2141" customFormat="false" ht="15" hidden="false" customHeight="false" outlineLevel="0" collapsed="false">
      <c r="A2141" s="2" t="n">
        <v>2139</v>
      </c>
      <c r="B2141" s="2" t="s">
        <v>8913</v>
      </c>
      <c r="C2141" s="2" t="n">
        <v>1</v>
      </c>
      <c r="D2141" s="2" t="n">
        <v>1</v>
      </c>
      <c r="E2141" s="2" t="s">
        <v>8945</v>
      </c>
      <c r="F2141" s="2" t="s">
        <v>4567</v>
      </c>
      <c r="G2141" s="2" t="s">
        <v>8946</v>
      </c>
      <c r="H2141" s="2" t="s">
        <v>8947</v>
      </c>
      <c r="I2141" s="2" t="s">
        <v>421</v>
      </c>
      <c r="J2141" s="2" t="s">
        <v>13256</v>
      </c>
      <c r="K2141" s="2" t="s">
        <v>507</v>
      </c>
      <c r="L2141" s="2" t="n">
        <v>0.12</v>
      </c>
      <c r="M2141" s="2" t="n">
        <v>1</v>
      </c>
    </row>
    <row r="2142" customFormat="false" ht="15" hidden="false" customHeight="false" outlineLevel="0" collapsed="false">
      <c r="A2142" s="2" t="n">
        <v>2140</v>
      </c>
      <c r="B2142" s="2" t="s">
        <v>8913</v>
      </c>
      <c r="C2142" s="2" t="n">
        <v>1</v>
      </c>
      <c r="D2142" s="2" t="n">
        <v>1</v>
      </c>
      <c r="E2142" s="2" t="s">
        <v>8951</v>
      </c>
      <c r="F2142" s="2" t="s">
        <v>8821</v>
      </c>
      <c r="G2142" s="2" t="s">
        <v>8952</v>
      </c>
      <c r="H2142" s="2" t="s">
        <v>2979</v>
      </c>
      <c r="I2142" s="2" t="s">
        <v>67</v>
      </c>
      <c r="J2142" s="2" t="s">
        <v>13257</v>
      </c>
      <c r="K2142" s="2" t="s">
        <v>507</v>
      </c>
      <c r="L2142" s="2" t="n">
        <v>0.27</v>
      </c>
      <c r="M2142" s="2" t="n">
        <v>0.64</v>
      </c>
    </row>
    <row r="2143" customFormat="false" ht="15" hidden="false" customHeight="false" outlineLevel="0" collapsed="false">
      <c r="A2143" s="2" t="n">
        <v>2141</v>
      </c>
      <c r="B2143" s="2" t="s">
        <v>8913</v>
      </c>
      <c r="C2143" s="2" t="n">
        <v>1</v>
      </c>
      <c r="D2143" s="2" t="n">
        <v>1</v>
      </c>
      <c r="E2143" s="2" t="s">
        <v>8956</v>
      </c>
      <c r="F2143" s="2" t="s">
        <v>8909</v>
      </c>
      <c r="G2143" s="2" t="s">
        <v>8957</v>
      </c>
      <c r="H2143" s="2" t="s">
        <v>3793</v>
      </c>
      <c r="I2143" s="2" t="s">
        <v>776</v>
      </c>
      <c r="J2143" s="2" t="s">
        <v>13258</v>
      </c>
      <c r="K2143" s="2" t="s">
        <v>507</v>
      </c>
      <c r="L2143" s="2" t="n">
        <v>0</v>
      </c>
      <c r="M2143" s="2" t="n">
        <v>0.86</v>
      </c>
    </row>
    <row r="2144" customFormat="false" ht="15" hidden="false" customHeight="false" outlineLevel="0" collapsed="false">
      <c r="A2144" s="2" t="n">
        <v>2142</v>
      </c>
      <c r="B2144" s="2" t="s">
        <v>8913</v>
      </c>
      <c r="C2144" s="2" t="n">
        <v>0</v>
      </c>
      <c r="D2144" s="2" t="n">
        <v>0</v>
      </c>
      <c r="E2144" s="2" t="s">
        <v>13259</v>
      </c>
      <c r="F2144" s="2" t="s">
        <v>8960</v>
      </c>
      <c r="G2144" s="2" t="s">
        <v>13260</v>
      </c>
      <c r="H2144" s="2" t="s">
        <v>178</v>
      </c>
      <c r="I2144" s="2" t="s">
        <v>321</v>
      </c>
      <c r="J2144" s="2" t="s">
        <v>13261</v>
      </c>
      <c r="K2144" s="2" t="s">
        <v>507</v>
      </c>
      <c r="L2144" s="2" t="n">
        <v>0</v>
      </c>
      <c r="M2144" s="2" t="n">
        <v>0.83</v>
      </c>
    </row>
    <row r="2145" customFormat="false" ht="15" hidden="false" customHeight="false" outlineLevel="0" collapsed="false">
      <c r="A2145" s="2" t="n">
        <v>2143</v>
      </c>
      <c r="B2145" s="2" t="s">
        <v>8913</v>
      </c>
      <c r="C2145" s="2" t="n">
        <v>0</v>
      </c>
      <c r="D2145" s="2" t="n">
        <v>0</v>
      </c>
      <c r="E2145" s="2" t="s">
        <v>13262</v>
      </c>
      <c r="F2145" s="2" t="s">
        <v>8909</v>
      </c>
      <c r="G2145" s="2" t="s">
        <v>13263</v>
      </c>
      <c r="H2145" s="2" t="s">
        <v>158</v>
      </c>
      <c r="I2145" s="2" t="s">
        <v>3017</v>
      </c>
      <c r="J2145" s="2" t="s">
        <v>13264</v>
      </c>
      <c r="K2145" s="2" t="s">
        <v>507</v>
      </c>
      <c r="L2145" s="2" t="n">
        <v>0</v>
      </c>
      <c r="M2145" s="2" t="n">
        <v>0.83</v>
      </c>
    </row>
    <row r="2146" customFormat="false" ht="15" hidden="false" customHeight="false" outlineLevel="0" collapsed="false">
      <c r="A2146" s="2" t="n">
        <v>2144</v>
      </c>
      <c r="B2146" s="2" t="s">
        <v>8913</v>
      </c>
      <c r="C2146" s="2" t="n">
        <v>1</v>
      </c>
      <c r="D2146" s="2" t="n">
        <v>1</v>
      </c>
      <c r="E2146" s="2" t="s">
        <v>8959</v>
      </c>
      <c r="F2146" s="2" t="s">
        <v>8960</v>
      </c>
      <c r="G2146" s="2" t="s">
        <v>8961</v>
      </c>
      <c r="H2146" s="2" t="s">
        <v>97</v>
      </c>
      <c r="I2146" s="2" t="s">
        <v>783</v>
      </c>
      <c r="J2146" s="2" t="s">
        <v>13265</v>
      </c>
      <c r="K2146" s="2" t="s">
        <v>507</v>
      </c>
      <c r="L2146" s="2" t="n">
        <v>0.2</v>
      </c>
      <c r="M2146" s="2" t="n">
        <v>0.67</v>
      </c>
    </row>
    <row r="2147" customFormat="false" ht="15" hidden="false" customHeight="false" outlineLevel="0" collapsed="false">
      <c r="A2147" s="2" t="n">
        <v>2145</v>
      </c>
      <c r="B2147" s="2" t="s">
        <v>8913</v>
      </c>
      <c r="C2147" s="2" t="n">
        <v>1</v>
      </c>
      <c r="D2147" s="2" t="n">
        <v>0</v>
      </c>
      <c r="E2147" s="2" t="s">
        <v>8967</v>
      </c>
      <c r="F2147" s="2" t="s">
        <v>8821</v>
      </c>
      <c r="G2147" s="2" t="s">
        <v>8968</v>
      </c>
      <c r="H2147" s="2" t="s">
        <v>4359</v>
      </c>
      <c r="I2147" s="2" t="s">
        <v>2370</v>
      </c>
      <c r="J2147" s="2" t="s">
        <v>13266</v>
      </c>
      <c r="K2147" s="2" t="s">
        <v>507</v>
      </c>
      <c r="L2147" s="2" t="n">
        <v>0</v>
      </c>
      <c r="M2147" s="2" t="n">
        <v>1</v>
      </c>
    </row>
    <row r="2148" customFormat="false" ht="15" hidden="false" customHeight="false" outlineLevel="0" collapsed="false">
      <c r="A2148" s="2" t="n">
        <v>2146</v>
      </c>
      <c r="B2148" s="2" t="s">
        <v>8913</v>
      </c>
      <c r="C2148" s="2" t="n">
        <v>1</v>
      </c>
      <c r="D2148" s="2" t="n">
        <v>0</v>
      </c>
      <c r="E2148" s="2" t="s">
        <v>8972</v>
      </c>
      <c r="F2148" s="2" t="s">
        <v>8821</v>
      </c>
      <c r="G2148" s="2" t="s">
        <v>8973</v>
      </c>
      <c r="H2148" s="2" t="s">
        <v>4359</v>
      </c>
      <c r="I2148" s="2" t="s">
        <v>3398</v>
      </c>
      <c r="J2148" s="2" t="s">
        <v>13267</v>
      </c>
      <c r="K2148" s="2" t="s">
        <v>507</v>
      </c>
      <c r="L2148" s="2" t="n">
        <v>0</v>
      </c>
      <c r="M2148" s="2" t="n">
        <v>0.67</v>
      </c>
    </row>
    <row r="2149" customFormat="false" ht="15" hidden="false" customHeight="false" outlineLevel="0" collapsed="false">
      <c r="A2149" s="2" t="n">
        <v>2147</v>
      </c>
      <c r="B2149" s="2" t="s">
        <v>8913</v>
      </c>
      <c r="C2149" s="2" t="n">
        <v>0</v>
      </c>
      <c r="D2149" s="2" t="n">
        <v>0</v>
      </c>
      <c r="E2149" s="2" t="s">
        <v>13268</v>
      </c>
      <c r="F2149" s="2" t="s">
        <v>8909</v>
      </c>
      <c r="G2149" s="2" t="s">
        <v>13269</v>
      </c>
      <c r="H2149" s="2" t="s">
        <v>114</v>
      </c>
      <c r="I2149" s="2" t="s">
        <v>813</v>
      </c>
      <c r="J2149" s="2" t="s">
        <v>13270</v>
      </c>
      <c r="K2149" s="2" t="s">
        <v>160</v>
      </c>
      <c r="L2149" s="2" t="n">
        <v>0.33</v>
      </c>
      <c r="M2149" s="2" t="n">
        <v>1</v>
      </c>
    </row>
    <row r="2150" customFormat="false" ht="15" hidden="false" customHeight="false" outlineLevel="0" collapsed="false">
      <c r="A2150" s="2" t="n">
        <v>2148</v>
      </c>
      <c r="B2150" s="2" t="s">
        <v>8913</v>
      </c>
      <c r="C2150" s="2" t="n">
        <v>0</v>
      </c>
      <c r="D2150" s="2" t="n">
        <v>0</v>
      </c>
      <c r="E2150" s="2" t="s">
        <v>13271</v>
      </c>
      <c r="F2150" s="2" t="s">
        <v>4567</v>
      </c>
      <c r="G2150" s="2" t="s">
        <v>13272</v>
      </c>
      <c r="H2150" s="2" t="s">
        <v>158</v>
      </c>
      <c r="I2150" s="2" t="s">
        <v>5557</v>
      </c>
      <c r="J2150" s="2" t="s">
        <v>13273</v>
      </c>
      <c r="K2150" s="2" t="s">
        <v>507</v>
      </c>
      <c r="L2150" s="2" t="n">
        <v>0.14</v>
      </c>
      <c r="M2150" s="2" t="n">
        <v>1</v>
      </c>
    </row>
    <row r="2151" customFormat="false" ht="15" hidden="false" customHeight="false" outlineLevel="0" collapsed="false">
      <c r="A2151" s="2" t="n">
        <v>2149</v>
      </c>
      <c r="B2151" s="2" t="s">
        <v>8913</v>
      </c>
      <c r="C2151" s="2" t="n">
        <v>0</v>
      </c>
      <c r="D2151" s="2" t="n">
        <v>0</v>
      </c>
      <c r="E2151" s="2" t="s">
        <v>13274</v>
      </c>
      <c r="F2151" s="2" t="s">
        <v>13275</v>
      </c>
      <c r="G2151" s="2" t="s">
        <v>13276</v>
      </c>
      <c r="H2151" s="2" t="s">
        <v>178</v>
      </c>
      <c r="I2151" s="2" t="s">
        <v>1735</v>
      </c>
      <c r="J2151" s="2" t="s">
        <v>13277</v>
      </c>
      <c r="K2151" s="2" t="s">
        <v>507</v>
      </c>
      <c r="L2151" s="2" t="n">
        <v>0</v>
      </c>
      <c r="M2151" s="2" t="n">
        <v>0.38</v>
      </c>
    </row>
    <row r="2152" customFormat="false" ht="15" hidden="false" customHeight="false" outlineLevel="0" collapsed="false">
      <c r="A2152" s="2" t="n">
        <v>2150</v>
      </c>
      <c r="B2152" s="2" t="s">
        <v>8913</v>
      </c>
      <c r="C2152" s="2" t="n">
        <v>0</v>
      </c>
      <c r="D2152" s="2" t="n">
        <v>0</v>
      </c>
      <c r="E2152" s="2" t="s">
        <v>13278</v>
      </c>
      <c r="F2152" s="2" t="s">
        <v>8909</v>
      </c>
      <c r="G2152" s="2" t="s">
        <v>13279</v>
      </c>
      <c r="H2152" s="2" t="s">
        <v>696</v>
      </c>
      <c r="I2152" s="2" t="s">
        <v>538</v>
      </c>
      <c r="J2152" s="2" t="s">
        <v>13280</v>
      </c>
      <c r="K2152" s="2" t="s">
        <v>507</v>
      </c>
      <c r="L2152" s="2" t="n">
        <v>0</v>
      </c>
      <c r="M2152" s="2" t="n">
        <v>0.88</v>
      </c>
    </row>
    <row r="2153" customFormat="false" ht="15" hidden="false" customHeight="false" outlineLevel="0" collapsed="false">
      <c r="A2153" s="2" t="n">
        <v>2151</v>
      </c>
      <c r="B2153" s="2" t="s">
        <v>8913</v>
      </c>
      <c r="C2153" s="2" t="n">
        <v>1</v>
      </c>
      <c r="D2153" s="2" t="n">
        <v>0</v>
      </c>
      <c r="E2153" s="2" t="s">
        <v>8979</v>
      </c>
      <c r="F2153" s="2" t="s">
        <v>8909</v>
      </c>
      <c r="G2153" s="2" t="s">
        <v>8980</v>
      </c>
      <c r="H2153" s="2" t="s">
        <v>745</v>
      </c>
      <c r="I2153" s="2" t="s">
        <v>495</v>
      </c>
      <c r="J2153" s="2" t="s">
        <v>13281</v>
      </c>
      <c r="K2153" s="2" t="s">
        <v>507</v>
      </c>
      <c r="L2153" s="2" t="n">
        <v>0</v>
      </c>
      <c r="M2153" s="2" t="n">
        <v>0.56</v>
      </c>
    </row>
    <row r="2154" customFormat="false" ht="15" hidden="false" customHeight="false" outlineLevel="0" collapsed="false">
      <c r="A2154" s="2" t="n">
        <v>2152</v>
      </c>
      <c r="B2154" s="2" t="s">
        <v>8913</v>
      </c>
      <c r="C2154" s="2" t="n">
        <v>2</v>
      </c>
      <c r="D2154" s="2" t="n">
        <v>0</v>
      </c>
      <c r="E2154" s="2" t="s">
        <v>8985</v>
      </c>
      <c r="F2154" s="2" t="s">
        <v>8909</v>
      </c>
      <c r="G2154" s="2" t="s">
        <v>8986</v>
      </c>
      <c r="H2154" s="2" t="s">
        <v>867</v>
      </c>
      <c r="I2154" s="2" t="s">
        <v>2215</v>
      </c>
      <c r="J2154" s="2" t="s">
        <v>13282</v>
      </c>
      <c r="K2154" s="2" t="s">
        <v>507</v>
      </c>
      <c r="L2154" s="2" t="n">
        <v>0.09</v>
      </c>
      <c r="M2154" s="2" t="n">
        <v>0.71</v>
      </c>
    </row>
    <row r="2155" customFormat="false" ht="15" hidden="false" customHeight="false" outlineLevel="0" collapsed="false">
      <c r="A2155" s="2" t="n">
        <v>2153</v>
      </c>
      <c r="B2155" s="2" t="s">
        <v>8913</v>
      </c>
      <c r="C2155" s="2" t="n">
        <v>1</v>
      </c>
      <c r="D2155" s="2" t="n">
        <v>0</v>
      </c>
      <c r="E2155" s="2" t="s">
        <v>8990</v>
      </c>
      <c r="F2155" s="2" t="s">
        <v>8821</v>
      </c>
      <c r="G2155" s="2" t="s">
        <v>8991</v>
      </c>
      <c r="H2155" s="2" t="s">
        <v>1170</v>
      </c>
      <c r="I2155" s="2" t="s">
        <v>1429</v>
      </c>
      <c r="J2155" s="2" t="s">
        <v>13283</v>
      </c>
      <c r="K2155" s="2" t="s">
        <v>507</v>
      </c>
      <c r="L2155" s="2" t="n">
        <v>0</v>
      </c>
      <c r="M2155" s="2" t="n">
        <v>0.75</v>
      </c>
    </row>
    <row r="2156" customFormat="false" ht="15" hidden="false" customHeight="false" outlineLevel="0" collapsed="false">
      <c r="A2156" s="2" t="n">
        <v>2154</v>
      </c>
      <c r="B2156" s="2" t="s">
        <v>8913</v>
      </c>
      <c r="C2156" s="2" t="n">
        <v>0</v>
      </c>
      <c r="D2156" s="2" t="n">
        <v>0</v>
      </c>
      <c r="E2156" s="2" t="s">
        <v>13284</v>
      </c>
      <c r="F2156" s="2" t="s">
        <v>8909</v>
      </c>
      <c r="G2156" s="2" t="s">
        <v>13285</v>
      </c>
      <c r="H2156" s="2" t="s">
        <v>245</v>
      </c>
      <c r="I2156" s="2" t="s">
        <v>5744</v>
      </c>
      <c r="J2156" s="2" t="s">
        <v>13286</v>
      </c>
      <c r="K2156" s="2" t="s">
        <v>507</v>
      </c>
      <c r="L2156" s="2" t="n">
        <v>0</v>
      </c>
      <c r="M2156" s="2" t="n">
        <v>0.5</v>
      </c>
    </row>
    <row r="2157" customFormat="false" ht="15" hidden="false" customHeight="false" outlineLevel="0" collapsed="false">
      <c r="A2157" s="2" t="n">
        <v>2155</v>
      </c>
      <c r="B2157" s="2" t="s">
        <v>8913</v>
      </c>
      <c r="C2157" s="2" t="n">
        <v>1</v>
      </c>
      <c r="D2157" s="2" t="n">
        <v>1</v>
      </c>
      <c r="E2157" s="2" t="s">
        <v>8996</v>
      </c>
      <c r="F2157" s="2" t="s">
        <v>915</v>
      </c>
      <c r="G2157" s="2" t="s">
        <v>8997</v>
      </c>
      <c r="H2157" s="2" t="s">
        <v>8998</v>
      </c>
      <c r="I2157" s="2" t="s">
        <v>1354</v>
      </c>
      <c r="J2157" s="2" t="s">
        <v>13287</v>
      </c>
      <c r="K2157" s="2" t="s">
        <v>507</v>
      </c>
      <c r="L2157" s="2" t="n">
        <v>0.19</v>
      </c>
      <c r="M2157" s="2" t="n">
        <v>0.92</v>
      </c>
    </row>
    <row r="2158" customFormat="false" ht="15" hidden="false" customHeight="false" outlineLevel="0" collapsed="false">
      <c r="A2158" s="2" t="n">
        <v>2156</v>
      </c>
      <c r="B2158" s="2" t="s">
        <v>8913</v>
      </c>
      <c r="C2158" s="2" t="n">
        <v>1</v>
      </c>
      <c r="D2158" s="2" t="n">
        <v>1</v>
      </c>
      <c r="E2158" s="2" t="s">
        <v>9005</v>
      </c>
      <c r="F2158" s="2" t="s">
        <v>5210</v>
      </c>
      <c r="G2158" s="2" t="s">
        <v>9006</v>
      </c>
      <c r="H2158" s="2" t="s">
        <v>114</v>
      </c>
      <c r="I2158" s="2" t="s">
        <v>2196</v>
      </c>
      <c r="J2158" s="2" t="s">
        <v>13288</v>
      </c>
      <c r="K2158" s="2" t="s">
        <v>507</v>
      </c>
      <c r="L2158" s="2" t="n">
        <v>0</v>
      </c>
      <c r="M2158" s="2" t="n">
        <v>0.6</v>
      </c>
    </row>
    <row r="2159" customFormat="false" ht="15" hidden="false" customHeight="false" outlineLevel="0" collapsed="false">
      <c r="A2159" s="2" t="n">
        <v>2157</v>
      </c>
      <c r="B2159" s="2" t="s">
        <v>8913</v>
      </c>
      <c r="C2159" s="2" t="n">
        <v>1</v>
      </c>
      <c r="D2159" s="2" t="n">
        <v>1</v>
      </c>
      <c r="E2159" s="2" t="s">
        <v>9012</v>
      </c>
      <c r="F2159" s="2" t="s">
        <v>9013</v>
      </c>
      <c r="G2159" s="2" t="s">
        <v>9014</v>
      </c>
      <c r="H2159" s="2" t="s">
        <v>1077</v>
      </c>
      <c r="I2159" s="2" t="s">
        <v>805</v>
      </c>
      <c r="J2159" s="2" t="s">
        <v>13289</v>
      </c>
      <c r="K2159" s="2" t="s">
        <v>507</v>
      </c>
      <c r="L2159" s="2" t="n">
        <v>0.12</v>
      </c>
      <c r="M2159" s="2" t="n">
        <v>0.83</v>
      </c>
    </row>
    <row r="2160" customFormat="false" ht="15" hidden="false" customHeight="false" outlineLevel="0" collapsed="false">
      <c r="A2160" s="2" t="n">
        <v>2158</v>
      </c>
      <c r="B2160" s="2" t="s">
        <v>8913</v>
      </c>
      <c r="C2160" s="2" t="n">
        <v>1</v>
      </c>
      <c r="D2160" s="2" t="n">
        <v>1</v>
      </c>
      <c r="E2160" s="2" t="s">
        <v>9019</v>
      </c>
      <c r="F2160" s="2" t="s">
        <v>9020</v>
      </c>
      <c r="G2160" s="2" t="s">
        <v>9021</v>
      </c>
      <c r="H2160" s="2" t="s">
        <v>178</v>
      </c>
      <c r="I2160" s="2" t="s">
        <v>3506</v>
      </c>
      <c r="J2160" s="2" t="s">
        <v>13290</v>
      </c>
      <c r="K2160" s="2" t="s">
        <v>507</v>
      </c>
      <c r="L2160" s="2" t="n">
        <v>0</v>
      </c>
      <c r="M2160" s="2" t="n">
        <v>0.82</v>
      </c>
    </row>
    <row r="2161" customFormat="false" ht="15" hidden="false" customHeight="false" outlineLevel="0" collapsed="false">
      <c r="A2161" s="2" t="n">
        <v>2159</v>
      </c>
      <c r="B2161" s="2" t="s">
        <v>8913</v>
      </c>
      <c r="C2161" s="2" t="n">
        <v>1</v>
      </c>
      <c r="D2161" s="2" t="n">
        <v>1</v>
      </c>
      <c r="E2161" s="2" t="s">
        <v>9026</v>
      </c>
      <c r="F2161" s="2" t="s">
        <v>915</v>
      </c>
      <c r="G2161" s="2" t="s">
        <v>9027</v>
      </c>
      <c r="H2161" s="2" t="s">
        <v>1874</v>
      </c>
      <c r="I2161" s="2" t="s">
        <v>987</v>
      </c>
      <c r="J2161" s="2" t="s">
        <v>13291</v>
      </c>
      <c r="K2161" s="2" t="s">
        <v>507</v>
      </c>
      <c r="L2161" s="2" t="n">
        <v>0.12</v>
      </c>
      <c r="M2161" s="2" t="n">
        <v>0.8</v>
      </c>
    </row>
    <row r="2162" customFormat="false" ht="15" hidden="false" customHeight="false" outlineLevel="0" collapsed="false">
      <c r="A2162" s="2" t="n">
        <v>2160</v>
      </c>
      <c r="B2162" s="2" t="s">
        <v>9028</v>
      </c>
      <c r="C2162" s="2" t="n">
        <v>0</v>
      </c>
      <c r="D2162" s="2" t="n">
        <v>0</v>
      </c>
      <c r="E2162" s="2" t="s">
        <v>13292</v>
      </c>
      <c r="F2162" s="2" t="s">
        <v>13293</v>
      </c>
      <c r="G2162" s="2" t="s">
        <v>13294</v>
      </c>
      <c r="H2162" s="2" t="s">
        <v>97</v>
      </c>
      <c r="I2162" s="2" t="s">
        <v>3435</v>
      </c>
      <c r="J2162" s="2" t="s">
        <v>13295</v>
      </c>
      <c r="K2162" s="2" t="s">
        <v>507</v>
      </c>
      <c r="L2162" s="2" t="n">
        <v>0</v>
      </c>
      <c r="M2162" s="2" t="n">
        <v>0.7</v>
      </c>
    </row>
    <row r="2163" customFormat="false" ht="15" hidden="false" customHeight="false" outlineLevel="0" collapsed="false">
      <c r="A2163" s="2" t="n">
        <v>2161</v>
      </c>
      <c r="B2163" s="2" t="s">
        <v>9028</v>
      </c>
      <c r="C2163" s="2" t="n">
        <v>0</v>
      </c>
      <c r="D2163" s="2" t="n">
        <v>0</v>
      </c>
      <c r="E2163" s="2" t="s">
        <v>13296</v>
      </c>
      <c r="F2163" s="2" t="s">
        <v>13297</v>
      </c>
      <c r="G2163" s="2" t="s">
        <v>13298</v>
      </c>
      <c r="H2163" s="2" t="s">
        <v>2567</v>
      </c>
      <c r="I2163" s="2" t="s">
        <v>2692</v>
      </c>
      <c r="J2163" s="2" t="s">
        <v>13299</v>
      </c>
      <c r="K2163" s="2" t="s">
        <v>507</v>
      </c>
      <c r="L2163" s="2" t="n">
        <v>0</v>
      </c>
      <c r="M2163" s="2" t="n">
        <v>0.75</v>
      </c>
    </row>
    <row r="2164" customFormat="false" ht="15" hidden="false" customHeight="false" outlineLevel="0" collapsed="false">
      <c r="A2164" s="2" t="n">
        <v>2162</v>
      </c>
      <c r="B2164" s="2" t="s">
        <v>9028</v>
      </c>
      <c r="C2164" s="2" t="n">
        <v>0</v>
      </c>
      <c r="D2164" s="2" t="n">
        <v>0</v>
      </c>
      <c r="E2164" s="2" t="s">
        <v>13300</v>
      </c>
      <c r="F2164" s="2" t="s">
        <v>13301</v>
      </c>
      <c r="G2164" s="2" t="s">
        <v>13302</v>
      </c>
      <c r="H2164" s="2" t="s">
        <v>1077</v>
      </c>
      <c r="I2164" s="2" t="s">
        <v>2370</v>
      </c>
      <c r="J2164" s="2" t="s">
        <v>13303</v>
      </c>
      <c r="K2164" s="2" t="s">
        <v>507</v>
      </c>
      <c r="L2164" s="2" t="n">
        <v>0.08</v>
      </c>
      <c r="M2164" s="2" t="n">
        <v>0.5</v>
      </c>
    </row>
    <row r="2165" customFormat="false" ht="15" hidden="false" customHeight="false" outlineLevel="0" collapsed="false">
      <c r="A2165" s="2" t="n">
        <v>2163</v>
      </c>
      <c r="B2165" s="2" t="s">
        <v>9028</v>
      </c>
      <c r="C2165" s="2" t="n">
        <v>1</v>
      </c>
      <c r="D2165" s="2" t="n">
        <v>0</v>
      </c>
      <c r="E2165" s="2" t="s">
        <v>9032</v>
      </c>
      <c r="F2165" s="2" t="s">
        <v>9033</v>
      </c>
      <c r="G2165" s="2" t="s">
        <v>9034</v>
      </c>
      <c r="H2165" s="2" t="s">
        <v>1874</v>
      </c>
      <c r="I2165" s="2" t="s">
        <v>2489</v>
      </c>
      <c r="J2165" s="2" t="s">
        <v>13304</v>
      </c>
      <c r="K2165" s="2" t="s">
        <v>507</v>
      </c>
      <c r="L2165" s="2" t="n">
        <v>0.12</v>
      </c>
      <c r="M2165" s="2" t="n">
        <v>0.7</v>
      </c>
    </row>
    <row r="2166" customFormat="false" ht="15" hidden="false" customHeight="false" outlineLevel="0" collapsed="false">
      <c r="A2166" s="2" t="n">
        <v>2164</v>
      </c>
      <c r="B2166" s="2" t="s">
        <v>9028</v>
      </c>
      <c r="C2166" s="2" t="n">
        <v>0</v>
      </c>
      <c r="D2166" s="2" t="n">
        <v>0</v>
      </c>
      <c r="E2166" s="2" t="s">
        <v>13305</v>
      </c>
      <c r="F2166" s="2" t="s">
        <v>3318</v>
      </c>
      <c r="G2166" s="2" t="s">
        <v>13306</v>
      </c>
      <c r="H2166" s="2" t="s">
        <v>1874</v>
      </c>
      <c r="I2166" s="2" t="s">
        <v>2149</v>
      </c>
      <c r="J2166" s="2" t="s">
        <v>13307</v>
      </c>
      <c r="K2166" s="2" t="s">
        <v>507</v>
      </c>
      <c r="L2166" s="2" t="n">
        <v>0</v>
      </c>
      <c r="M2166" s="2" t="n">
        <v>0.54</v>
      </c>
    </row>
    <row r="2167" customFormat="false" ht="15" hidden="false" customHeight="false" outlineLevel="0" collapsed="false">
      <c r="A2167" s="2" t="n">
        <v>2165</v>
      </c>
      <c r="B2167" s="2" t="s">
        <v>9028</v>
      </c>
      <c r="C2167" s="2" t="n">
        <v>0</v>
      </c>
      <c r="D2167" s="2" t="n">
        <v>0</v>
      </c>
      <c r="E2167" s="2" t="s">
        <v>13308</v>
      </c>
      <c r="F2167" s="2" t="s">
        <v>743</v>
      </c>
      <c r="G2167" s="2" t="s">
        <v>13309</v>
      </c>
      <c r="H2167" s="2" t="s">
        <v>6854</v>
      </c>
      <c r="I2167" s="2" t="s">
        <v>159</v>
      </c>
      <c r="J2167" s="2" t="s">
        <v>13310</v>
      </c>
      <c r="K2167" s="2" t="s">
        <v>507</v>
      </c>
      <c r="L2167" s="2" t="n">
        <v>0</v>
      </c>
      <c r="M2167" s="2" t="n">
        <v>0.27</v>
      </c>
    </row>
    <row r="2168" customFormat="false" ht="15" hidden="false" customHeight="false" outlineLevel="0" collapsed="false">
      <c r="A2168" s="2" t="n">
        <v>2166</v>
      </c>
      <c r="B2168" s="2" t="s">
        <v>9028</v>
      </c>
      <c r="C2168" s="2" t="n">
        <v>0</v>
      </c>
      <c r="D2168" s="2" t="n">
        <v>0</v>
      </c>
      <c r="E2168" s="2" t="s">
        <v>13311</v>
      </c>
      <c r="F2168" s="2" t="s">
        <v>694</v>
      </c>
      <c r="G2168" s="2" t="s">
        <v>13312</v>
      </c>
      <c r="H2168" s="2" t="s">
        <v>2004</v>
      </c>
      <c r="I2168" s="2" t="s">
        <v>4981</v>
      </c>
      <c r="J2168" s="2" t="s">
        <v>13313</v>
      </c>
      <c r="K2168" s="2" t="s">
        <v>507</v>
      </c>
      <c r="L2168" s="2" t="n">
        <v>0</v>
      </c>
      <c r="M2168" s="2" t="n">
        <v>0.78</v>
      </c>
    </row>
    <row r="2169" customFormat="false" ht="15" hidden="false" customHeight="false" outlineLevel="0" collapsed="false">
      <c r="A2169" s="2" t="n">
        <v>2167</v>
      </c>
      <c r="B2169" s="2" t="s">
        <v>9028</v>
      </c>
      <c r="C2169" s="2" t="n">
        <v>0</v>
      </c>
      <c r="D2169" s="2" t="n">
        <v>0</v>
      </c>
      <c r="E2169" s="2" t="s">
        <v>13314</v>
      </c>
      <c r="F2169" s="2" t="s">
        <v>743</v>
      </c>
      <c r="G2169" s="2" t="s">
        <v>13315</v>
      </c>
      <c r="H2169" s="2" t="s">
        <v>9625</v>
      </c>
      <c r="I2169" s="2" t="s">
        <v>1204</v>
      </c>
      <c r="J2169" s="2" t="s">
        <v>13316</v>
      </c>
      <c r="K2169" s="2" t="s">
        <v>507</v>
      </c>
      <c r="L2169" s="2" t="n">
        <v>0</v>
      </c>
      <c r="M2169" s="2" t="n">
        <v>0.5</v>
      </c>
    </row>
    <row r="2170" customFormat="false" ht="15" hidden="false" customHeight="false" outlineLevel="0" collapsed="false">
      <c r="A2170" s="2" t="n">
        <v>2168</v>
      </c>
      <c r="B2170" s="2" t="s">
        <v>9028</v>
      </c>
      <c r="C2170" s="2" t="n">
        <v>1</v>
      </c>
      <c r="D2170" s="2" t="n">
        <v>0</v>
      </c>
      <c r="E2170" s="2" t="s">
        <v>9038</v>
      </c>
      <c r="F2170" s="2" t="s">
        <v>9039</v>
      </c>
      <c r="G2170" s="2" t="s">
        <v>9040</v>
      </c>
      <c r="H2170" s="2" t="s">
        <v>9041</v>
      </c>
      <c r="I2170" s="2" t="s">
        <v>1332</v>
      </c>
      <c r="J2170" s="2" t="s">
        <v>13317</v>
      </c>
      <c r="K2170" s="2" t="s">
        <v>507</v>
      </c>
      <c r="L2170" s="2" t="n">
        <v>0.12</v>
      </c>
      <c r="M2170" s="2" t="n">
        <v>0.86</v>
      </c>
    </row>
    <row r="2171" customFormat="false" ht="15" hidden="false" customHeight="false" outlineLevel="0" collapsed="false">
      <c r="A2171" s="2" t="n">
        <v>2169</v>
      </c>
      <c r="B2171" s="2" t="s">
        <v>9028</v>
      </c>
      <c r="C2171" s="2" t="n">
        <v>0</v>
      </c>
      <c r="D2171" s="2" t="n">
        <v>0</v>
      </c>
      <c r="E2171" s="2" t="s">
        <v>13318</v>
      </c>
      <c r="F2171" s="2" t="s">
        <v>13319</v>
      </c>
      <c r="G2171" s="2" t="s">
        <v>13320</v>
      </c>
      <c r="H2171" s="2" t="s">
        <v>5487</v>
      </c>
      <c r="I2171" s="2" t="s">
        <v>1204</v>
      </c>
      <c r="J2171" s="2" t="s">
        <v>13321</v>
      </c>
      <c r="K2171" s="2" t="s">
        <v>507</v>
      </c>
      <c r="L2171" s="2" t="n">
        <v>0</v>
      </c>
      <c r="M2171" s="2" t="n">
        <v>0.89</v>
      </c>
    </row>
    <row r="2172" customFormat="false" ht="15" hidden="false" customHeight="false" outlineLevel="0" collapsed="false">
      <c r="A2172" s="2" t="n">
        <v>2170</v>
      </c>
      <c r="B2172" s="2" t="s">
        <v>9028</v>
      </c>
      <c r="C2172" s="2" t="n">
        <v>0</v>
      </c>
      <c r="D2172" s="2" t="n">
        <v>0</v>
      </c>
      <c r="E2172" s="2" t="s">
        <v>13322</v>
      </c>
      <c r="F2172" s="2" t="s">
        <v>13323</v>
      </c>
      <c r="G2172" s="2" t="s">
        <v>13324</v>
      </c>
      <c r="H2172" s="2" t="s">
        <v>392</v>
      </c>
      <c r="I2172" s="2" t="s">
        <v>1397</v>
      </c>
      <c r="J2172" s="2" t="s">
        <v>13325</v>
      </c>
      <c r="K2172" s="2" t="s">
        <v>507</v>
      </c>
      <c r="L2172" s="2" t="n">
        <v>0</v>
      </c>
      <c r="M2172" s="2" t="n">
        <v>0.75</v>
      </c>
    </row>
    <row r="2173" customFormat="false" ht="15" hidden="false" customHeight="false" outlineLevel="0" collapsed="false">
      <c r="A2173" s="2" t="n">
        <v>2171</v>
      </c>
      <c r="B2173" s="2" t="s">
        <v>9028</v>
      </c>
      <c r="C2173" s="2" t="n">
        <v>0</v>
      </c>
      <c r="D2173" s="2" t="n">
        <v>0</v>
      </c>
      <c r="E2173" s="2" t="s">
        <v>13326</v>
      </c>
      <c r="F2173" s="2" t="s">
        <v>743</v>
      </c>
      <c r="G2173" s="2" t="s">
        <v>10584</v>
      </c>
      <c r="H2173" s="2" t="s">
        <v>1077</v>
      </c>
      <c r="I2173" s="2" t="s">
        <v>204</v>
      </c>
      <c r="J2173" s="2" t="s">
        <v>13327</v>
      </c>
      <c r="K2173" s="2" t="s">
        <v>507</v>
      </c>
      <c r="L2173" s="2" t="n">
        <v>0.04</v>
      </c>
      <c r="M2173" s="2" t="n">
        <v>0.44</v>
      </c>
    </row>
    <row r="2174" customFormat="false" ht="15" hidden="false" customHeight="false" outlineLevel="0" collapsed="false">
      <c r="A2174" s="2" t="n">
        <v>2172</v>
      </c>
      <c r="B2174" s="2" t="s">
        <v>9028</v>
      </c>
      <c r="C2174" s="2" t="n">
        <v>0</v>
      </c>
      <c r="D2174" s="2" t="n">
        <v>0</v>
      </c>
      <c r="E2174" s="2" t="s">
        <v>13328</v>
      </c>
      <c r="F2174" s="2" t="s">
        <v>7991</v>
      </c>
      <c r="G2174" s="2" t="s">
        <v>13329</v>
      </c>
      <c r="H2174" s="2" t="s">
        <v>13330</v>
      </c>
      <c r="I2174" s="2" t="s">
        <v>821</v>
      </c>
      <c r="J2174" s="2" t="s">
        <v>13331</v>
      </c>
      <c r="K2174" s="2" t="s">
        <v>507</v>
      </c>
      <c r="L2174" s="2" t="n">
        <v>0.12</v>
      </c>
      <c r="M2174" s="2" t="n">
        <v>0.83</v>
      </c>
    </row>
    <row r="2175" customFormat="false" ht="15" hidden="false" customHeight="false" outlineLevel="0" collapsed="false">
      <c r="A2175" s="2" t="n">
        <v>2173</v>
      </c>
      <c r="B2175" s="2" t="s">
        <v>9028</v>
      </c>
      <c r="C2175" s="2" t="n">
        <v>0</v>
      </c>
      <c r="D2175" s="2" t="n">
        <v>0</v>
      </c>
      <c r="E2175" s="2" t="s">
        <v>13332</v>
      </c>
      <c r="F2175" s="2" t="s">
        <v>2212</v>
      </c>
      <c r="G2175" s="2" t="s">
        <v>13333</v>
      </c>
      <c r="H2175" s="2" t="s">
        <v>2979</v>
      </c>
      <c r="I2175" s="2" t="s">
        <v>5388</v>
      </c>
      <c r="J2175" s="2" t="s">
        <v>13334</v>
      </c>
      <c r="K2175" s="2" t="s">
        <v>507</v>
      </c>
      <c r="L2175" s="2" t="n">
        <v>0</v>
      </c>
      <c r="M2175" s="2" t="n">
        <v>0.7</v>
      </c>
    </row>
    <row r="2176" customFormat="false" ht="15" hidden="false" customHeight="false" outlineLevel="0" collapsed="false">
      <c r="A2176" s="2" t="n">
        <v>2174</v>
      </c>
      <c r="B2176" s="2" t="s">
        <v>9028</v>
      </c>
      <c r="C2176" s="2" t="n">
        <v>0</v>
      </c>
      <c r="D2176" s="2" t="n">
        <v>0</v>
      </c>
      <c r="E2176" s="2" t="s">
        <v>13335</v>
      </c>
      <c r="F2176" s="2" t="s">
        <v>9039</v>
      </c>
      <c r="G2176" s="2" t="s">
        <v>13336</v>
      </c>
      <c r="H2176" s="2" t="s">
        <v>2036</v>
      </c>
      <c r="I2176" s="2" t="s">
        <v>2215</v>
      </c>
      <c r="J2176" s="2" t="s">
        <v>13337</v>
      </c>
      <c r="K2176" s="2" t="s">
        <v>507</v>
      </c>
      <c r="L2176" s="2" t="n">
        <v>0</v>
      </c>
      <c r="M2176" s="2" t="n">
        <v>0.75</v>
      </c>
    </row>
    <row r="2177" customFormat="false" ht="15" hidden="false" customHeight="false" outlineLevel="0" collapsed="false">
      <c r="A2177" s="2" t="n">
        <v>2175</v>
      </c>
      <c r="B2177" s="2" t="s">
        <v>9028</v>
      </c>
      <c r="C2177" s="2" t="n">
        <v>0</v>
      </c>
      <c r="D2177" s="2" t="n">
        <v>0</v>
      </c>
      <c r="E2177" s="2" t="s">
        <v>13338</v>
      </c>
      <c r="F2177" s="2" t="s">
        <v>4036</v>
      </c>
      <c r="G2177" s="2" t="s">
        <v>13339</v>
      </c>
      <c r="H2177" s="2" t="s">
        <v>11960</v>
      </c>
      <c r="I2177" s="2" t="s">
        <v>5388</v>
      </c>
      <c r="J2177" s="2" t="s">
        <v>13340</v>
      </c>
      <c r="K2177" s="2" t="s">
        <v>507</v>
      </c>
      <c r="L2177" s="2" t="n">
        <v>0</v>
      </c>
      <c r="M2177" s="2" t="n">
        <v>0.89</v>
      </c>
    </row>
    <row r="2178" customFormat="false" ht="15" hidden="false" customHeight="false" outlineLevel="0" collapsed="false">
      <c r="A2178" s="2" t="n">
        <v>2176</v>
      </c>
      <c r="B2178" s="2" t="s">
        <v>9028</v>
      </c>
      <c r="C2178" s="2" t="n">
        <v>0</v>
      </c>
      <c r="D2178" s="2" t="n">
        <v>0</v>
      </c>
      <c r="E2178" s="2" t="s">
        <v>13341</v>
      </c>
      <c r="F2178" s="2" t="s">
        <v>13342</v>
      </c>
      <c r="G2178" s="2" t="s">
        <v>13343</v>
      </c>
      <c r="H2178" s="2" t="s">
        <v>13344</v>
      </c>
      <c r="I2178" s="2" t="s">
        <v>4923</v>
      </c>
      <c r="J2178" s="2" t="s">
        <v>13345</v>
      </c>
      <c r="K2178" s="2" t="s">
        <v>507</v>
      </c>
      <c r="L2178" s="2" t="n">
        <v>0.12</v>
      </c>
      <c r="M2178" s="2" t="n">
        <v>0.8</v>
      </c>
    </row>
    <row r="2179" customFormat="false" ht="15" hidden="false" customHeight="false" outlineLevel="0" collapsed="false">
      <c r="A2179" s="2" t="n">
        <v>2177</v>
      </c>
      <c r="B2179" s="2" t="s">
        <v>9028</v>
      </c>
      <c r="C2179" s="2" t="n">
        <v>0</v>
      </c>
      <c r="D2179" s="2" t="n">
        <v>0</v>
      </c>
      <c r="E2179" s="2" t="s">
        <v>13346</v>
      </c>
      <c r="F2179" s="2" t="s">
        <v>10619</v>
      </c>
      <c r="G2179" s="2" t="s">
        <v>13347</v>
      </c>
      <c r="H2179" s="2" t="s">
        <v>392</v>
      </c>
      <c r="I2179" s="2" t="s">
        <v>595</v>
      </c>
      <c r="J2179" s="2" t="s">
        <v>13348</v>
      </c>
      <c r="K2179" s="2" t="s">
        <v>507</v>
      </c>
      <c r="L2179" s="2" t="n">
        <v>0.14</v>
      </c>
      <c r="M2179" s="2" t="n">
        <v>0.14</v>
      </c>
    </row>
    <row r="2180" customFormat="false" ht="15" hidden="false" customHeight="false" outlineLevel="0" collapsed="false">
      <c r="A2180" s="2" t="n">
        <v>2178</v>
      </c>
      <c r="B2180" s="2" t="s">
        <v>9028</v>
      </c>
      <c r="C2180" s="2" t="n">
        <v>0</v>
      </c>
      <c r="D2180" s="2" t="n">
        <v>0</v>
      </c>
      <c r="E2180" s="2" t="s">
        <v>13349</v>
      </c>
      <c r="F2180" s="2" t="s">
        <v>743</v>
      </c>
      <c r="G2180" s="2" t="s">
        <v>13350</v>
      </c>
      <c r="H2180" s="2" t="s">
        <v>1077</v>
      </c>
      <c r="I2180" s="2" t="s">
        <v>2999</v>
      </c>
      <c r="J2180" s="2" t="s">
        <v>13351</v>
      </c>
      <c r="K2180" s="2" t="s">
        <v>507</v>
      </c>
      <c r="L2180" s="2" t="n">
        <v>0</v>
      </c>
      <c r="M2180" s="2" t="n">
        <v>0.4</v>
      </c>
    </row>
    <row r="2181" customFormat="false" ht="15" hidden="false" customHeight="false" outlineLevel="0" collapsed="false">
      <c r="A2181" s="2" t="n">
        <v>2179</v>
      </c>
      <c r="B2181" s="2" t="s">
        <v>9028</v>
      </c>
      <c r="C2181" s="2" t="n">
        <v>3</v>
      </c>
      <c r="D2181" s="2" t="n">
        <v>0</v>
      </c>
      <c r="E2181" s="2" t="s">
        <v>9045</v>
      </c>
      <c r="F2181" s="2" t="s">
        <v>659</v>
      </c>
      <c r="G2181" s="2" t="s">
        <v>9046</v>
      </c>
      <c r="H2181" s="2" t="s">
        <v>2036</v>
      </c>
      <c r="I2181" s="2" t="s">
        <v>421</v>
      </c>
      <c r="J2181" s="2" t="s">
        <v>13352</v>
      </c>
      <c r="K2181" s="2" t="s">
        <v>507</v>
      </c>
      <c r="L2181" s="2" t="n">
        <v>0.08</v>
      </c>
      <c r="M2181" s="2" t="n">
        <v>0.88</v>
      </c>
    </row>
    <row r="2182" customFormat="false" ht="15" hidden="false" customHeight="false" outlineLevel="0" collapsed="false">
      <c r="A2182" s="2" t="n">
        <v>2180</v>
      </c>
      <c r="B2182" s="2" t="s">
        <v>9028</v>
      </c>
      <c r="C2182" s="2" t="n">
        <v>1</v>
      </c>
      <c r="D2182" s="2" t="n">
        <v>0</v>
      </c>
      <c r="E2182" s="2" t="s">
        <v>9056</v>
      </c>
      <c r="F2182" s="2" t="s">
        <v>9057</v>
      </c>
      <c r="G2182" s="2" t="s">
        <v>9058</v>
      </c>
      <c r="H2182" s="2" t="s">
        <v>745</v>
      </c>
      <c r="I2182" s="2" t="s">
        <v>2204</v>
      </c>
      <c r="J2182" s="2" t="s">
        <v>13353</v>
      </c>
      <c r="K2182" s="2" t="s">
        <v>507</v>
      </c>
      <c r="L2182" s="2" t="n">
        <v>0</v>
      </c>
      <c r="M2182" s="2" t="n">
        <v>0.55</v>
      </c>
    </row>
  </sheetData>
  <autoFilter ref="A1:M21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0" min="2" style="0" width="13"/>
  </cols>
  <sheetData>
    <row r="1" customFormat="false" ht="15" hidden="false" customHeight="false" outlineLevel="0" collapsed="false">
      <c r="A1" s="1" t="s">
        <v>13354</v>
      </c>
      <c r="B1" s="1" t="s">
        <v>13355</v>
      </c>
      <c r="C1" s="1" t="s">
        <v>13356</v>
      </c>
      <c r="D1" s="1" t="s">
        <v>134</v>
      </c>
      <c r="E1" s="1" t="s">
        <v>53</v>
      </c>
      <c r="F1" s="1" t="s">
        <v>410</v>
      </c>
      <c r="G1" s="1" t="s">
        <v>1130</v>
      </c>
      <c r="H1" s="1" t="s">
        <v>1140</v>
      </c>
      <c r="I1" s="1" t="s">
        <v>121</v>
      </c>
      <c r="J1" s="1" t="s">
        <v>351</v>
      </c>
    </row>
    <row r="2" customFormat="false" ht="15" hidden="false" customHeight="false" outlineLevel="0" collapsed="false">
      <c r="A2" s="2" t="s">
        <v>972</v>
      </c>
      <c r="B2" s="2" t="n">
        <f aca="false">COUNTIF(Tempat!$I$2:$I$1789,A2)</f>
        <v>30</v>
      </c>
      <c r="C2" s="2" t="n">
        <f aca="false">COUNTIFS(Tempat!$I$2:$I$1789,A2,Tempat!$Q$2:$Q$1789,"Ya")</f>
        <v>8</v>
      </c>
      <c r="D2" s="2" t="n">
        <f aca="false">COUNTIFS(Tempat!$I$2:$I$1789,$A2,Tempat!$D$2:$D$1789,D$1)</f>
        <v>0</v>
      </c>
      <c r="E2" s="2" t="n">
        <f aca="false">COUNTIFS(Tempat!$I$2:$I$1789,$A2,Tempat!$D$2:$D$1789,E$1)</f>
        <v>0</v>
      </c>
      <c r="F2" s="2" t="n">
        <f aca="false">COUNTIFS(Tempat!$I$2:$I$1789,$A2,Tempat!$D$2:$D$1789,F$1)</f>
        <v>19</v>
      </c>
      <c r="G2" s="2" t="n">
        <f aca="false">COUNTIFS(Tempat!$I$2:$I$1789,$A2,Tempat!$D$2:$D$1789,G$1)</f>
        <v>2</v>
      </c>
      <c r="H2" s="2" t="n">
        <f aca="false">COUNTIFS(Tempat!$I$2:$I$1789,$A2,Tempat!$D$2:$D$1789,H$1)</f>
        <v>1</v>
      </c>
      <c r="I2" s="2" t="n">
        <f aca="false">COUNTIFS(Tempat!$I$2:$I$1789,$A2,Tempat!$D$2:$D$1789,I$1)</f>
        <v>7</v>
      </c>
      <c r="J2" s="2" t="n">
        <f aca="false">COUNTIFS(Tempat!$I$2:$I$1789,$A2,Tempat!$D$2:$D$1789,J$1)</f>
        <v>1</v>
      </c>
    </row>
    <row r="3" customFormat="false" ht="15" hidden="false" customHeight="false" outlineLevel="0" collapsed="false">
      <c r="A3" s="2" t="s">
        <v>577</v>
      </c>
      <c r="B3" s="2" t="n">
        <f aca="false">COUNTIF(Tempat!$I$2:$I$1789,A3)</f>
        <v>56</v>
      </c>
      <c r="C3" s="2" t="n">
        <f aca="false">COUNTIFS(Tempat!$I$2:$I$1789,A3,Tempat!$Q$2:$Q$1789,"Ya")</f>
        <v>13</v>
      </c>
      <c r="D3" s="2" t="n">
        <f aca="false">COUNTIFS(Tempat!$I$2:$I$1789,$A3,Tempat!$D$2:$D$1789,D$1)</f>
        <v>4</v>
      </c>
      <c r="E3" s="2" t="n">
        <f aca="false">COUNTIFS(Tempat!$I$2:$I$1789,$A3,Tempat!$D$2:$D$1789,E$1)</f>
        <v>25</v>
      </c>
      <c r="F3" s="2" t="n">
        <f aca="false">COUNTIFS(Tempat!$I$2:$I$1789,$A3,Tempat!$D$2:$D$1789,F$1)</f>
        <v>16</v>
      </c>
      <c r="G3" s="2" t="n">
        <f aca="false">COUNTIFS(Tempat!$I$2:$I$1789,$A3,Tempat!$D$2:$D$1789,G$1)</f>
        <v>3</v>
      </c>
      <c r="H3" s="2" t="n">
        <f aca="false">COUNTIFS(Tempat!$I$2:$I$1789,$A3,Tempat!$D$2:$D$1789,H$1)</f>
        <v>1</v>
      </c>
      <c r="I3" s="2" t="n">
        <f aca="false">COUNTIFS(Tempat!$I$2:$I$1789,$A3,Tempat!$D$2:$D$1789,I$1)</f>
        <v>4</v>
      </c>
      <c r="J3" s="2" t="n">
        <f aca="false">COUNTIFS(Tempat!$I$2:$I$1789,$A3,Tempat!$D$2:$D$1789,J$1)</f>
        <v>3</v>
      </c>
    </row>
    <row r="4" customFormat="false" ht="15" hidden="false" customHeight="false" outlineLevel="0" collapsed="false">
      <c r="A4" s="2" t="s">
        <v>238</v>
      </c>
      <c r="B4" s="2" t="n">
        <f aca="false">COUNTIF(Tempat!$I$2:$I$1789,A4)</f>
        <v>49</v>
      </c>
      <c r="C4" s="2" t="n">
        <f aca="false">COUNTIFS(Tempat!$I$2:$I$1789,A4,Tempat!$Q$2:$Q$1789,"Ya")</f>
        <v>15</v>
      </c>
      <c r="D4" s="2" t="n">
        <f aca="false">COUNTIFS(Tempat!$I$2:$I$1789,$A4,Tempat!$D$2:$D$1789,D$1)</f>
        <v>2</v>
      </c>
      <c r="E4" s="2" t="n">
        <f aca="false">COUNTIFS(Tempat!$I$2:$I$1789,$A4,Tempat!$D$2:$D$1789,E$1)</f>
        <v>22</v>
      </c>
      <c r="F4" s="2" t="n">
        <f aca="false">COUNTIFS(Tempat!$I$2:$I$1789,$A4,Tempat!$D$2:$D$1789,F$1)</f>
        <v>7</v>
      </c>
      <c r="G4" s="2" t="n">
        <f aca="false">COUNTIFS(Tempat!$I$2:$I$1789,$A4,Tempat!$D$2:$D$1789,G$1)</f>
        <v>1</v>
      </c>
      <c r="H4" s="2" t="n">
        <f aca="false">COUNTIFS(Tempat!$I$2:$I$1789,$A4,Tempat!$D$2:$D$1789,H$1)</f>
        <v>0</v>
      </c>
      <c r="I4" s="2" t="n">
        <f aca="false">COUNTIFS(Tempat!$I$2:$I$1789,$A4,Tempat!$D$2:$D$1789,I$1)</f>
        <v>8</v>
      </c>
      <c r="J4" s="2" t="n">
        <f aca="false">COUNTIFS(Tempat!$I$2:$I$1789,$A4,Tempat!$D$2:$D$1789,J$1)</f>
        <v>9</v>
      </c>
    </row>
    <row r="5" customFormat="false" ht="15" hidden="false" customHeight="false" outlineLevel="0" collapsed="false">
      <c r="A5" s="2" t="s">
        <v>2227</v>
      </c>
      <c r="B5" s="2" t="n">
        <f aca="false">COUNTIF(Tempat!$I$2:$I$1789,A5)</f>
        <v>27</v>
      </c>
      <c r="C5" s="2" t="n">
        <f aca="false">COUNTIFS(Tempat!$I$2:$I$1789,A5,Tempat!$Q$2:$Q$1789,"Ya")</f>
        <v>5</v>
      </c>
      <c r="D5" s="2" t="n">
        <f aca="false">COUNTIFS(Tempat!$I$2:$I$1789,$A5,Tempat!$D$2:$D$1789,D$1)</f>
        <v>0</v>
      </c>
      <c r="E5" s="2" t="n">
        <f aca="false">COUNTIFS(Tempat!$I$2:$I$1789,$A5,Tempat!$D$2:$D$1789,E$1)</f>
        <v>0</v>
      </c>
      <c r="F5" s="2" t="n">
        <f aca="false">COUNTIFS(Tempat!$I$2:$I$1789,$A5,Tempat!$D$2:$D$1789,F$1)</f>
        <v>16</v>
      </c>
      <c r="G5" s="2" t="n">
        <f aca="false">COUNTIFS(Tempat!$I$2:$I$1789,$A5,Tempat!$D$2:$D$1789,G$1)</f>
        <v>1</v>
      </c>
      <c r="H5" s="2" t="n">
        <f aca="false">COUNTIFS(Tempat!$I$2:$I$1789,$A5,Tempat!$D$2:$D$1789,H$1)</f>
        <v>0</v>
      </c>
      <c r="I5" s="2" t="n">
        <f aca="false">COUNTIFS(Tempat!$I$2:$I$1789,$A5,Tempat!$D$2:$D$1789,I$1)</f>
        <v>7</v>
      </c>
      <c r="J5" s="2" t="n">
        <f aca="false">COUNTIFS(Tempat!$I$2:$I$1789,$A5,Tempat!$D$2:$D$1789,J$1)</f>
        <v>3</v>
      </c>
    </row>
    <row r="6" customFormat="false" ht="15" hidden="false" customHeight="false" outlineLevel="0" collapsed="false">
      <c r="A6" s="2" t="s">
        <v>92</v>
      </c>
      <c r="B6" s="2" t="n">
        <f aca="false">COUNTIF(Tempat!$I$2:$I$1789,A6)</f>
        <v>104</v>
      </c>
      <c r="C6" s="2" t="n">
        <f aca="false">COUNTIFS(Tempat!$I$2:$I$1789,A6,Tempat!$Q$2:$Q$1789,"Ya")</f>
        <v>36</v>
      </c>
      <c r="D6" s="2" t="n">
        <f aca="false">COUNTIFS(Tempat!$I$2:$I$1789,$A6,Tempat!$D$2:$D$1789,D$1)</f>
        <v>6</v>
      </c>
      <c r="E6" s="2" t="n">
        <f aca="false">COUNTIFS(Tempat!$I$2:$I$1789,$A6,Tempat!$D$2:$D$1789,E$1)</f>
        <v>40</v>
      </c>
      <c r="F6" s="2" t="n">
        <f aca="false">COUNTIFS(Tempat!$I$2:$I$1789,$A6,Tempat!$D$2:$D$1789,F$1)</f>
        <v>19</v>
      </c>
      <c r="G6" s="2" t="n">
        <f aca="false">COUNTIFS(Tempat!$I$2:$I$1789,$A6,Tempat!$D$2:$D$1789,G$1)</f>
        <v>4</v>
      </c>
      <c r="H6" s="2" t="n">
        <f aca="false">COUNTIFS(Tempat!$I$2:$I$1789,$A6,Tempat!$D$2:$D$1789,H$1)</f>
        <v>4</v>
      </c>
      <c r="I6" s="2" t="n">
        <f aca="false">COUNTIFS(Tempat!$I$2:$I$1789,$A6,Tempat!$D$2:$D$1789,I$1)</f>
        <v>14</v>
      </c>
      <c r="J6" s="2" t="n">
        <f aca="false">COUNTIFS(Tempat!$I$2:$I$1789,$A6,Tempat!$D$2:$D$1789,J$1)</f>
        <v>17</v>
      </c>
    </row>
    <row r="7" customFormat="false" ht="15" hidden="false" customHeight="false" outlineLevel="0" collapsed="false">
      <c r="A7" s="2" t="s">
        <v>74</v>
      </c>
      <c r="B7" s="2" t="n">
        <f aca="false">COUNTIF(Tempat!$I$2:$I$1789,A7)</f>
        <v>264</v>
      </c>
      <c r="C7" s="2" t="n">
        <f aca="false">COUNTIFS(Tempat!$I$2:$I$1789,A7,Tempat!$Q$2:$Q$1789,"Ya")</f>
        <v>66</v>
      </c>
      <c r="D7" s="2" t="n">
        <f aca="false">COUNTIFS(Tempat!$I$2:$I$1789,$A7,Tempat!$D$2:$D$1789,D$1)</f>
        <v>34</v>
      </c>
      <c r="E7" s="2" t="n">
        <f aca="false">COUNTIFS(Tempat!$I$2:$I$1789,$A7,Tempat!$D$2:$D$1789,E$1)</f>
        <v>139</v>
      </c>
      <c r="F7" s="2" t="n">
        <f aca="false">COUNTIFS(Tempat!$I$2:$I$1789,$A7,Tempat!$D$2:$D$1789,F$1)</f>
        <v>10</v>
      </c>
      <c r="G7" s="2" t="n">
        <f aca="false">COUNTIFS(Tempat!$I$2:$I$1789,$A7,Tempat!$D$2:$D$1789,G$1)</f>
        <v>15</v>
      </c>
      <c r="H7" s="2" t="n">
        <f aca="false">COUNTIFS(Tempat!$I$2:$I$1789,$A7,Tempat!$D$2:$D$1789,H$1)</f>
        <v>7</v>
      </c>
      <c r="I7" s="2" t="n">
        <f aca="false">COUNTIFS(Tempat!$I$2:$I$1789,$A7,Tempat!$D$2:$D$1789,I$1)</f>
        <v>21</v>
      </c>
      <c r="J7" s="2" t="n">
        <f aca="false">COUNTIFS(Tempat!$I$2:$I$1789,$A7,Tempat!$D$2:$D$1789,J$1)</f>
        <v>38</v>
      </c>
    </row>
    <row r="8" customFormat="false" ht="15" hidden="false" customHeight="false" outlineLevel="0" collapsed="false">
      <c r="A8" s="2" t="s">
        <v>5133</v>
      </c>
      <c r="B8" s="2" t="n">
        <f aca="false">COUNTIF(Tempat!$I$2:$I$1789,A8)</f>
        <v>17</v>
      </c>
      <c r="C8" s="2" t="n">
        <f aca="false">COUNTIFS(Tempat!$I$2:$I$1789,A8,Tempat!$Q$2:$Q$1789,"Ya")</f>
        <v>0</v>
      </c>
      <c r="D8" s="2" t="n">
        <f aca="false">COUNTIFS(Tempat!$I$2:$I$1789,$A8,Tempat!$D$2:$D$1789,D$1)</f>
        <v>1</v>
      </c>
      <c r="E8" s="2" t="n">
        <f aca="false">COUNTIFS(Tempat!$I$2:$I$1789,$A8,Tempat!$D$2:$D$1789,E$1)</f>
        <v>3</v>
      </c>
      <c r="F8" s="2" t="n">
        <f aca="false">COUNTIFS(Tempat!$I$2:$I$1789,$A8,Tempat!$D$2:$D$1789,F$1)</f>
        <v>8</v>
      </c>
      <c r="G8" s="2" t="n">
        <f aca="false">COUNTIFS(Tempat!$I$2:$I$1789,$A8,Tempat!$D$2:$D$1789,G$1)</f>
        <v>2</v>
      </c>
      <c r="H8" s="2" t="n">
        <f aca="false">COUNTIFS(Tempat!$I$2:$I$1789,$A8,Tempat!$D$2:$D$1789,H$1)</f>
        <v>0</v>
      </c>
      <c r="I8" s="2" t="n">
        <f aca="false">COUNTIFS(Tempat!$I$2:$I$1789,$A8,Tempat!$D$2:$D$1789,I$1)</f>
        <v>2</v>
      </c>
      <c r="J8" s="2" t="n">
        <f aca="false">COUNTIFS(Tempat!$I$2:$I$1789,$A8,Tempat!$D$2:$D$1789,J$1)</f>
        <v>1</v>
      </c>
    </row>
    <row r="9" customFormat="false" ht="15" hidden="false" customHeight="false" outlineLevel="0" collapsed="false">
      <c r="A9" s="2" t="s">
        <v>1383</v>
      </c>
      <c r="B9" s="2" t="n">
        <f aca="false">COUNTIF(Tempat!$I$2:$I$1789,A9)</f>
        <v>24</v>
      </c>
      <c r="C9" s="2" t="n">
        <f aca="false">COUNTIFS(Tempat!$I$2:$I$1789,A9,Tempat!$Q$2:$Q$1789,"Ya")</f>
        <v>0</v>
      </c>
      <c r="D9" s="2" t="n">
        <f aca="false">COUNTIFS(Tempat!$I$2:$I$1789,$A9,Tempat!$D$2:$D$1789,D$1)</f>
        <v>0</v>
      </c>
      <c r="E9" s="2" t="n">
        <f aca="false">COUNTIFS(Tempat!$I$2:$I$1789,$A9,Tempat!$D$2:$D$1789,E$1)</f>
        <v>1</v>
      </c>
      <c r="F9" s="2" t="n">
        <f aca="false">COUNTIFS(Tempat!$I$2:$I$1789,$A9,Tempat!$D$2:$D$1789,F$1)</f>
        <v>10</v>
      </c>
      <c r="G9" s="2" t="n">
        <f aca="false">COUNTIFS(Tempat!$I$2:$I$1789,$A9,Tempat!$D$2:$D$1789,G$1)</f>
        <v>9</v>
      </c>
      <c r="H9" s="2" t="n">
        <f aca="false">COUNTIFS(Tempat!$I$2:$I$1789,$A9,Tempat!$D$2:$D$1789,H$1)</f>
        <v>0</v>
      </c>
      <c r="I9" s="2" t="n">
        <f aca="false">COUNTIFS(Tempat!$I$2:$I$1789,$A9,Tempat!$D$2:$D$1789,I$1)</f>
        <v>3</v>
      </c>
      <c r="J9" s="2" t="n">
        <f aca="false">COUNTIFS(Tempat!$I$2:$I$1789,$A9,Tempat!$D$2:$D$1789,J$1)</f>
        <v>1</v>
      </c>
    </row>
    <row r="10" customFormat="false" ht="15" hidden="false" customHeight="false" outlineLevel="0" collapsed="false">
      <c r="A10" s="2" t="s">
        <v>58</v>
      </c>
      <c r="B10" s="2" t="n">
        <f aca="false">COUNTIF(Tempat!$I$2:$I$1789,A10)</f>
        <v>269</v>
      </c>
      <c r="C10" s="2" t="n">
        <f aca="false">COUNTIFS(Tempat!$I$2:$I$1789,A10,Tempat!$Q$2:$Q$1789,"Ya")</f>
        <v>79</v>
      </c>
      <c r="D10" s="2" t="n">
        <f aca="false">COUNTIFS(Tempat!$I$2:$I$1789,$A10,Tempat!$D$2:$D$1789,D$1)</f>
        <v>44</v>
      </c>
      <c r="E10" s="2" t="n">
        <f aca="false">COUNTIFS(Tempat!$I$2:$I$1789,$A10,Tempat!$D$2:$D$1789,E$1)</f>
        <v>96</v>
      </c>
      <c r="F10" s="2" t="n">
        <f aca="false">COUNTIFS(Tempat!$I$2:$I$1789,$A10,Tempat!$D$2:$D$1789,F$1)</f>
        <v>45</v>
      </c>
      <c r="G10" s="2" t="n">
        <f aca="false">COUNTIFS(Tempat!$I$2:$I$1789,$A10,Tempat!$D$2:$D$1789,G$1)</f>
        <v>11</v>
      </c>
      <c r="H10" s="2" t="n">
        <f aca="false">COUNTIFS(Tempat!$I$2:$I$1789,$A10,Tempat!$D$2:$D$1789,H$1)</f>
        <v>13</v>
      </c>
      <c r="I10" s="2" t="n">
        <f aca="false">COUNTIFS(Tempat!$I$2:$I$1789,$A10,Tempat!$D$2:$D$1789,I$1)</f>
        <v>18</v>
      </c>
      <c r="J10" s="2" t="n">
        <f aca="false">COUNTIFS(Tempat!$I$2:$I$1789,$A10,Tempat!$D$2:$D$1789,J$1)</f>
        <v>42</v>
      </c>
    </row>
    <row r="11" customFormat="false" ht="15" hidden="false" customHeight="false" outlineLevel="0" collapsed="false">
      <c r="A11" s="2" t="s">
        <v>172</v>
      </c>
      <c r="B11" s="2" t="n">
        <f aca="false">COUNTIF(Tempat!$I$2:$I$1789,A11)</f>
        <v>173</v>
      </c>
      <c r="C11" s="2" t="n">
        <f aca="false">COUNTIFS(Tempat!$I$2:$I$1789,A11,Tempat!$Q$2:$Q$1789,"Ya")</f>
        <v>45</v>
      </c>
      <c r="D11" s="2" t="n">
        <f aca="false">COUNTIFS(Tempat!$I$2:$I$1789,$A11,Tempat!$D$2:$D$1789,D$1)</f>
        <v>30</v>
      </c>
      <c r="E11" s="2" t="n">
        <f aca="false">COUNTIFS(Tempat!$I$2:$I$1789,$A11,Tempat!$D$2:$D$1789,E$1)</f>
        <v>48</v>
      </c>
      <c r="F11" s="2" t="n">
        <f aca="false">COUNTIFS(Tempat!$I$2:$I$1789,$A11,Tempat!$D$2:$D$1789,F$1)</f>
        <v>23</v>
      </c>
      <c r="G11" s="2" t="n">
        <f aca="false">COUNTIFS(Tempat!$I$2:$I$1789,$A11,Tempat!$D$2:$D$1789,G$1)</f>
        <v>19</v>
      </c>
      <c r="H11" s="2" t="n">
        <f aca="false">COUNTIFS(Tempat!$I$2:$I$1789,$A11,Tempat!$D$2:$D$1789,H$1)</f>
        <v>6</v>
      </c>
      <c r="I11" s="2" t="n">
        <f aca="false">COUNTIFS(Tempat!$I$2:$I$1789,$A11,Tempat!$D$2:$D$1789,I$1)</f>
        <v>21</v>
      </c>
      <c r="J11" s="2" t="n">
        <f aca="false">COUNTIFS(Tempat!$I$2:$I$1789,$A11,Tempat!$D$2:$D$1789,J$1)</f>
        <v>26</v>
      </c>
    </row>
    <row r="12" customFormat="false" ht="15" hidden="false" customHeight="false" outlineLevel="0" collapsed="false">
      <c r="A12" s="2" t="s">
        <v>184</v>
      </c>
      <c r="B12" s="2" t="n">
        <f aca="false">COUNTIF(Tempat!$I$2:$I$1789,A12)</f>
        <v>183</v>
      </c>
      <c r="C12" s="2" t="n">
        <f aca="false">COUNTIFS(Tempat!$I$2:$I$1789,A12,Tempat!$Q$2:$Q$1789,"Ya")</f>
        <v>46</v>
      </c>
      <c r="D12" s="2" t="n">
        <f aca="false">COUNTIFS(Tempat!$I$2:$I$1789,$A12,Tempat!$D$2:$D$1789,D$1)</f>
        <v>23</v>
      </c>
      <c r="E12" s="2" t="n">
        <f aca="false">COUNTIFS(Tempat!$I$2:$I$1789,$A12,Tempat!$D$2:$D$1789,E$1)</f>
        <v>69</v>
      </c>
      <c r="F12" s="2" t="n">
        <f aca="false">COUNTIFS(Tempat!$I$2:$I$1789,$A12,Tempat!$D$2:$D$1789,F$1)</f>
        <v>32</v>
      </c>
      <c r="G12" s="2" t="n">
        <f aca="false">COUNTIFS(Tempat!$I$2:$I$1789,$A12,Tempat!$D$2:$D$1789,G$1)</f>
        <v>9</v>
      </c>
      <c r="H12" s="2" t="n">
        <f aca="false">COUNTIFS(Tempat!$I$2:$I$1789,$A12,Tempat!$D$2:$D$1789,H$1)</f>
        <v>11</v>
      </c>
      <c r="I12" s="2" t="n">
        <f aca="false">COUNTIFS(Tempat!$I$2:$I$1789,$A12,Tempat!$D$2:$D$1789,I$1)</f>
        <v>17</v>
      </c>
      <c r="J12" s="2" t="n">
        <f aca="false">COUNTIFS(Tempat!$I$2:$I$1789,$A12,Tempat!$D$2:$D$1789,J$1)</f>
        <v>22</v>
      </c>
    </row>
    <row r="13" customFormat="false" ht="15" hidden="false" customHeight="false" outlineLevel="0" collapsed="false">
      <c r="A13" s="2" t="s">
        <v>4803</v>
      </c>
      <c r="B13" s="2" t="n">
        <f aca="false">COUNTIF(Tempat!$I$2:$I$1789,A13)</f>
        <v>24</v>
      </c>
      <c r="C13" s="2" t="n">
        <f aca="false">COUNTIFS(Tempat!$I$2:$I$1789,A13,Tempat!$Q$2:$Q$1789,"Ya")</f>
        <v>5</v>
      </c>
      <c r="D13" s="2" t="n">
        <f aca="false">COUNTIFS(Tempat!$I$2:$I$1789,$A13,Tempat!$D$2:$D$1789,D$1)</f>
        <v>4</v>
      </c>
      <c r="E13" s="2" t="n">
        <f aca="false">COUNTIFS(Tempat!$I$2:$I$1789,$A13,Tempat!$D$2:$D$1789,E$1)</f>
        <v>13</v>
      </c>
      <c r="F13" s="2" t="n">
        <f aca="false">COUNTIFS(Tempat!$I$2:$I$1789,$A13,Tempat!$D$2:$D$1789,F$1)</f>
        <v>2</v>
      </c>
      <c r="G13" s="2" t="n">
        <f aca="false">COUNTIFS(Tempat!$I$2:$I$1789,$A13,Tempat!$D$2:$D$1789,G$1)</f>
        <v>0</v>
      </c>
      <c r="H13" s="2" t="n">
        <f aca="false">COUNTIFS(Tempat!$I$2:$I$1789,$A13,Tempat!$D$2:$D$1789,H$1)</f>
        <v>0</v>
      </c>
      <c r="I13" s="2" t="n">
        <f aca="false">COUNTIFS(Tempat!$I$2:$I$1789,$A13,Tempat!$D$2:$D$1789,I$1)</f>
        <v>1</v>
      </c>
      <c r="J13" s="2" t="n">
        <f aca="false">COUNTIFS(Tempat!$I$2:$I$1789,$A13,Tempat!$D$2:$D$1789,J$1)</f>
        <v>4</v>
      </c>
    </row>
    <row r="14" customFormat="false" ht="15" hidden="false" customHeight="false" outlineLevel="0" collapsed="false">
      <c r="A14" s="2" t="s">
        <v>4893</v>
      </c>
      <c r="B14" s="2" t="n">
        <f aca="false">COUNTIF(Tempat!$I$2:$I$1789,A14)</f>
        <v>14</v>
      </c>
      <c r="C14" s="2" t="n">
        <f aca="false">COUNTIFS(Tempat!$I$2:$I$1789,A14,Tempat!$Q$2:$Q$1789,"Ya")</f>
        <v>3</v>
      </c>
      <c r="D14" s="2" t="n">
        <f aca="false">COUNTIFS(Tempat!$I$2:$I$1789,$A14,Tempat!$D$2:$D$1789,D$1)</f>
        <v>0</v>
      </c>
      <c r="E14" s="2" t="n">
        <f aca="false">COUNTIFS(Tempat!$I$2:$I$1789,$A14,Tempat!$D$2:$D$1789,E$1)</f>
        <v>5</v>
      </c>
      <c r="F14" s="2" t="n">
        <f aca="false">COUNTIFS(Tempat!$I$2:$I$1789,$A14,Tempat!$D$2:$D$1789,F$1)</f>
        <v>5</v>
      </c>
      <c r="G14" s="2" t="n">
        <f aca="false">COUNTIFS(Tempat!$I$2:$I$1789,$A14,Tempat!$D$2:$D$1789,G$1)</f>
        <v>2</v>
      </c>
      <c r="H14" s="2" t="n">
        <f aca="false">COUNTIFS(Tempat!$I$2:$I$1789,$A14,Tempat!$D$2:$D$1789,H$1)</f>
        <v>0</v>
      </c>
      <c r="I14" s="2" t="n">
        <f aca="false">COUNTIFS(Tempat!$I$2:$I$1789,$A14,Tempat!$D$2:$D$1789,I$1)</f>
        <v>1</v>
      </c>
      <c r="J14" s="2" t="n">
        <f aca="false">COUNTIFS(Tempat!$I$2:$I$1789,$A14,Tempat!$D$2:$D$1789,J$1)</f>
        <v>1</v>
      </c>
    </row>
    <row r="15" customFormat="false" ht="15" hidden="false" customHeight="false" outlineLevel="0" collapsed="false">
      <c r="A15" s="2" t="s">
        <v>4880</v>
      </c>
      <c r="B15" s="2" t="n">
        <f aca="false">COUNTIF(Tempat!$I$2:$I$1789,A15)</f>
        <v>1</v>
      </c>
      <c r="C15" s="2" t="n">
        <f aca="false">COUNTIFS(Tempat!$I$2:$I$1789,A15,Tempat!$Q$2:$Q$1789,"Ya")</f>
        <v>0</v>
      </c>
      <c r="D15" s="2" t="n">
        <f aca="false">COUNTIFS(Tempat!$I$2:$I$1789,$A15,Tempat!$D$2:$D$1789,D$1)</f>
        <v>0</v>
      </c>
      <c r="E15" s="2" t="n">
        <f aca="false">COUNTIFS(Tempat!$I$2:$I$1789,$A15,Tempat!$D$2:$D$1789,E$1)</f>
        <v>0</v>
      </c>
      <c r="F15" s="2" t="n">
        <f aca="false">COUNTIFS(Tempat!$I$2:$I$1789,$A15,Tempat!$D$2:$D$1789,F$1)</f>
        <v>1</v>
      </c>
      <c r="G15" s="2" t="n">
        <f aca="false">COUNTIFS(Tempat!$I$2:$I$1789,$A15,Tempat!$D$2:$D$1789,G$1)</f>
        <v>0</v>
      </c>
      <c r="H15" s="2" t="n">
        <f aca="false">COUNTIFS(Tempat!$I$2:$I$1789,$A15,Tempat!$D$2:$D$1789,H$1)</f>
        <v>0</v>
      </c>
      <c r="I15" s="2" t="n">
        <f aca="false">COUNTIFS(Tempat!$I$2:$I$1789,$A15,Tempat!$D$2:$D$1789,I$1)</f>
        <v>0</v>
      </c>
      <c r="J15" s="2" t="n">
        <f aca="false">COUNTIFS(Tempat!$I$2:$I$1789,$A15,Tempat!$D$2:$D$1789,J$1)</f>
        <v>0</v>
      </c>
    </row>
    <row r="16" customFormat="false" ht="15" hidden="false" customHeight="false" outlineLevel="0" collapsed="false">
      <c r="A16" s="2" t="s">
        <v>898</v>
      </c>
      <c r="B16" s="2" t="n">
        <f aca="false">COUNTIF(Tempat!$I$2:$I$1789,A16)</f>
        <v>37</v>
      </c>
      <c r="C16" s="2" t="n">
        <f aca="false">COUNTIFS(Tempat!$I$2:$I$1789,A16,Tempat!$Q$2:$Q$1789,"Ya")</f>
        <v>14</v>
      </c>
      <c r="D16" s="2" t="n">
        <f aca="false">COUNTIFS(Tempat!$I$2:$I$1789,$A16,Tempat!$D$2:$D$1789,D$1)</f>
        <v>3</v>
      </c>
      <c r="E16" s="2" t="n">
        <f aca="false">COUNTIFS(Tempat!$I$2:$I$1789,$A16,Tempat!$D$2:$D$1789,E$1)</f>
        <v>4</v>
      </c>
      <c r="F16" s="2" t="n">
        <f aca="false">COUNTIFS(Tempat!$I$2:$I$1789,$A16,Tempat!$D$2:$D$1789,F$1)</f>
        <v>12</v>
      </c>
      <c r="G16" s="2" t="n">
        <f aca="false">COUNTIFS(Tempat!$I$2:$I$1789,$A16,Tempat!$D$2:$D$1789,G$1)</f>
        <v>0</v>
      </c>
      <c r="H16" s="2" t="n">
        <f aca="false">COUNTIFS(Tempat!$I$2:$I$1789,$A16,Tempat!$D$2:$D$1789,H$1)</f>
        <v>0</v>
      </c>
      <c r="I16" s="2" t="n">
        <f aca="false">COUNTIFS(Tempat!$I$2:$I$1789,$A16,Tempat!$D$2:$D$1789,I$1)</f>
        <v>5</v>
      </c>
      <c r="J16" s="2" t="n">
        <f aca="false">COUNTIFS(Tempat!$I$2:$I$1789,$A16,Tempat!$D$2:$D$1789,J$1)</f>
        <v>13</v>
      </c>
    </row>
    <row r="17" customFormat="false" ht="15" hidden="false" customHeight="false" outlineLevel="0" collapsed="false">
      <c r="A17" s="2" t="s">
        <v>5026</v>
      </c>
      <c r="B17" s="2" t="n">
        <f aca="false">COUNTIF(Tempat!$I$2:$I$1789,A17)</f>
        <v>2</v>
      </c>
      <c r="C17" s="2" t="n">
        <f aca="false">COUNTIFS(Tempat!$I$2:$I$1789,A17,Tempat!$Q$2:$Q$1789,"Ya")</f>
        <v>0</v>
      </c>
      <c r="D17" s="2" t="n">
        <f aca="false">COUNTIFS(Tempat!$I$2:$I$1789,$A17,Tempat!$D$2:$D$1789,D$1)</f>
        <v>0</v>
      </c>
      <c r="E17" s="2" t="n">
        <f aca="false">COUNTIFS(Tempat!$I$2:$I$1789,$A17,Tempat!$D$2:$D$1789,E$1)</f>
        <v>0</v>
      </c>
      <c r="F17" s="2" t="n">
        <f aca="false">COUNTIFS(Tempat!$I$2:$I$1789,$A17,Tempat!$D$2:$D$1789,F$1)</f>
        <v>0</v>
      </c>
      <c r="G17" s="2" t="n">
        <f aca="false">COUNTIFS(Tempat!$I$2:$I$1789,$A17,Tempat!$D$2:$D$1789,G$1)</f>
        <v>0</v>
      </c>
      <c r="H17" s="2" t="n">
        <f aca="false">COUNTIFS(Tempat!$I$2:$I$1789,$A17,Tempat!$D$2:$D$1789,H$1)</f>
        <v>0</v>
      </c>
      <c r="I17" s="2" t="n">
        <f aca="false">COUNTIFS(Tempat!$I$2:$I$1789,$A17,Tempat!$D$2:$D$1789,I$1)</f>
        <v>1</v>
      </c>
      <c r="J17" s="2" t="n">
        <f aca="false">COUNTIFS(Tempat!$I$2:$I$1789,$A17,Tempat!$D$2:$D$1789,J$1)</f>
        <v>1</v>
      </c>
    </row>
    <row r="18" customFormat="false" ht="15" hidden="false" customHeight="false" outlineLevel="0" collapsed="false">
      <c r="A18" s="2" t="s">
        <v>2773</v>
      </c>
      <c r="B18" s="2" t="n">
        <f aca="false">COUNTIF(Tempat!$I$2:$I$1789,A18)</f>
        <v>10</v>
      </c>
      <c r="C18" s="2" t="n">
        <f aca="false">COUNTIFS(Tempat!$I$2:$I$1789,A18,Tempat!$Q$2:$Q$1789,"Ya")</f>
        <v>1</v>
      </c>
      <c r="D18" s="2" t="n">
        <f aca="false">COUNTIFS(Tempat!$I$2:$I$1789,$A18,Tempat!$D$2:$D$1789,D$1)</f>
        <v>2</v>
      </c>
      <c r="E18" s="2" t="n">
        <f aca="false">COUNTIFS(Tempat!$I$2:$I$1789,$A18,Tempat!$D$2:$D$1789,E$1)</f>
        <v>0</v>
      </c>
      <c r="F18" s="2" t="n">
        <f aca="false">COUNTIFS(Tempat!$I$2:$I$1789,$A18,Tempat!$D$2:$D$1789,F$1)</f>
        <v>6</v>
      </c>
      <c r="G18" s="2" t="n">
        <f aca="false">COUNTIFS(Tempat!$I$2:$I$1789,$A18,Tempat!$D$2:$D$1789,G$1)</f>
        <v>0</v>
      </c>
      <c r="H18" s="2" t="n">
        <f aca="false">COUNTIFS(Tempat!$I$2:$I$1789,$A18,Tempat!$D$2:$D$1789,H$1)</f>
        <v>0</v>
      </c>
      <c r="I18" s="2" t="n">
        <f aca="false">COUNTIFS(Tempat!$I$2:$I$1789,$A18,Tempat!$D$2:$D$1789,I$1)</f>
        <v>2</v>
      </c>
      <c r="J18" s="2" t="n">
        <f aca="false">COUNTIFS(Tempat!$I$2:$I$1789,$A18,Tempat!$D$2:$D$1789,J$1)</f>
        <v>0</v>
      </c>
    </row>
    <row r="19" customFormat="false" ht="15" hidden="false" customHeight="false" outlineLevel="0" collapsed="false">
      <c r="A19" s="2" t="s">
        <v>656</v>
      </c>
      <c r="B19" s="2" t="n">
        <f aca="false">COUNTIF(Tempat!$I$2:$I$1789,A19)</f>
        <v>76</v>
      </c>
      <c r="C19" s="2" t="n">
        <f aca="false">COUNTIFS(Tempat!$I$2:$I$1789,A19,Tempat!$Q$2:$Q$1789,"Ya")</f>
        <v>14</v>
      </c>
      <c r="D19" s="2" t="n">
        <f aca="false">COUNTIFS(Tempat!$I$2:$I$1789,$A19,Tempat!$D$2:$D$1789,D$1)</f>
        <v>20</v>
      </c>
      <c r="E19" s="2" t="n">
        <f aca="false">COUNTIFS(Tempat!$I$2:$I$1789,$A19,Tempat!$D$2:$D$1789,E$1)</f>
        <v>25</v>
      </c>
      <c r="F19" s="2" t="n">
        <f aca="false">COUNTIFS(Tempat!$I$2:$I$1789,$A19,Tempat!$D$2:$D$1789,F$1)</f>
        <v>13</v>
      </c>
      <c r="G19" s="2" t="n">
        <f aca="false">COUNTIFS(Tempat!$I$2:$I$1789,$A19,Tempat!$D$2:$D$1789,G$1)</f>
        <v>9</v>
      </c>
      <c r="H19" s="2" t="n">
        <f aca="false">COUNTIFS(Tempat!$I$2:$I$1789,$A19,Tempat!$D$2:$D$1789,H$1)</f>
        <v>1</v>
      </c>
      <c r="I19" s="2" t="n">
        <f aca="false">COUNTIFS(Tempat!$I$2:$I$1789,$A19,Tempat!$D$2:$D$1789,I$1)</f>
        <v>5</v>
      </c>
      <c r="J19" s="2" t="n">
        <f aca="false">COUNTIFS(Tempat!$I$2:$I$1789,$A19,Tempat!$D$2:$D$1789,J$1)</f>
        <v>3</v>
      </c>
    </row>
    <row r="20" customFormat="false" ht="15" hidden="false" customHeight="false" outlineLevel="0" collapsed="false">
      <c r="A20" s="2" t="s">
        <v>588</v>
      </c>
      <c r="B20" s="2" t="n">
        <f aca="false">COUNTIF(Tempat!$I$2:$I$1789,A20)</f>
        <v>55</v>
      </c>
      <c r="C20" s="2" t="n">
        <f aca="false">COUNTIFS(Tempat!$I$2:$I$1789,A20,Tempat!$Q$2:$Q$1789,"Ya")</f>
        <v>12</v>
      </c>
      <c r="D20" s="2" t="n">
        <f aca="false">COUNTIFS(Tempat!$I$2:$I$1789,$A20,Tempat!$D$2:$D$1789,D$1)</f>
        <v>6</v>
      </c>
      <c r="E20" s="2" t="n">
        <f aca="false">COUNTIFS(Tempat!$I$2:$I$1789,$A20,Tempat!$D$2:$D$1789,E$1)</f>
        <v>14</v>
      </c>
      <c r="F20" s="2" t="n">
        <f aca="false">COUNTIFS(Tempat!$I$2:$I$1789,$A20,Tempat!$D$2:$D$1789,F$1)</f>
        <v>20</v>
      </c>
      <c r="G20" s="2" t="n">
        <f aca="false">COUNTIFS(Tempat!$I$2:$I$1789,$A20,Tempat!$D$2:$D$1789,G$1)</f>
        <v>2</v>
      </c>
      <c r="H20" s="2" t="n">
        <f aca="false">COUNTIFS(Tempat!$I$2:$I$1789,$A20,Tempat!$D$2:$D$1789,H$1)</f>
        <v>2</v>
      </c>
      <c r="I20" s="2" t="n">
        <f aca="false">COUNTIFS(Tempat!$I$2:$I$1789,$A20,Tempat!$D$2:$D$1789,I$1)</f>
        <v>9</v>
      </c>
      <c r="J20" s="2" t="n">
        <f aca="false">COUNTIFS(Tempat!$I$2:$I$1789,$A20,Tempat!$D$2:$D$1789,J$1)</f>
        <v>2</v>
      </c>
    </row>
    <row r="21" customFormat="false" ht="15" hidden="false" customHeight="false" outlineLevel="0" collapsed="false">
      <c r="A21" s="2" t="s">
        <v>554</v>
      </c>
      <c r="B21" s="2" t="n">
        <f aca="false">COUNTIF(Tempat!$I$2:$I$1789,A21)</f>
        <v>12</v>
      </c>
      <c r="C21" s="2" t="n">
        <f aca="false">COUNTIFS(Tempat!$I$2:$I$1789,A21,Tempat!$Q$2:$Q$1789,"Ya")</f>
        <v>3</v>
      </c>
      <c r="D21" s="2" t="n">
        <f aca="false">COUNTIFS(Tempat!$I$2:$I$1789,$A21,Tempat!$D$2:$D$1789,D$1)</f>
        <v>2</v>
      </c>
      <c r="E21" s="2" t="n">
        <f aca="false">COUNTIFS(Tempat!$I$2:$I$1789,$A21,Tempat!$D$2:$D$1789,E$1)</f>
        <v>1</v>
      </c>
      <c r="F21" s="2" t="n">
        <f aca="false">COUNTIFS(Tempat!$I$2:$I$1789,$A21,Tempat!$D$2:$D$1789,F$1)</f>
        <v>5</v>
      </c>
      <c r="G21" s="2" t="n">
        <f aca="false">COUNTIFS(Tempat!$I$2:$I$1789,$A21,Tempat!$D$2:$D$1789,G$1)</f>
        <v>0</v>
      </c>
      <c r="H21" s="2" t="n">
        <f aca="false">COUNTIFS(Tempat!$I$2:$I$1789,$A21,Tempat!$D$2:$D$1789,H$1)</f>
        <v>0</v>
      </c>
      <c r="I21" s="2" t="n">
        <f aca="false">COUNTIFS(Tempat!$I$2:$I$1789,$A21,Tempat!$D$2:$D$1789,I$1)</f>
        <v>1</v>
      </c>
      <c r="J21" s="2" t="n">
        <f aca="false">COUNTIFS(Tempat!$I$2:$I$1789,$A21,Tempat!$D$2:$D$1789,J$1)</f>
        <v>3</v>
      </c>
    </row>
    <row r="22" customFormat="false" ht="15" hidden="false" customHeight="false" outlineLevel="0" collapsed="false">
      <c r="A22" s="2" t="s">
        <v>5500</v>
      </c>
      <c r="B22" s="2" t="n">
        <f aca="false">COUNTIF(Tempat!$I$2:$I$1789,A22)</f>
        <v>9</v>
      </c>
      <c r="C22" s="2" t="n">
        <f aca="false">COUNTIFS(Tempat!$I$2:$I$1789,A22,Tempat!$Q$2:$Q$1789,"Ya")</f>
        <v>2</v>
      </c>
      <c r="D22" s="2" t="n">
        <f aca="false">COUNTIFS(Tempat!$I$2:$I$1789,$A22,Tempat!$D$2:$D$1789,D$1)</f>
        <v>0</v>
      </c>
      <c r="E22" s="2" t="n">
        <f aca="false">COUNTIFS(Tempat!$I$2:$I$1789,$A22,Tempat!$D$2:$D$1789,E$1)</f>
        <v>0</v>
      </c>
      <c r="F22" s="2" t="n">
        <f aca="false">COUNTIFS(Tempat!$I$2:$I$1789,$A22,Tempat!$D$2:$D$1789,F$1)</f>
        <v>5</v>
      </c>
      <c r="G22" s="2" t="n">
        <f aca="false">COUNTIFS(Tempat!$I$2:$I$1789,$A22,Tempat!$D$2:$D$1789,G$1)</f>
        <v>2</v>
      </c>
      <c r="H22" s="2" t="n">
        <f aca="false">COUNTIFS(Tempat!$I$2:$I$1789,$A22,Tempat!$D$2:$D$1789,H$1)</f>
        <v>0</v>
      </c>
      <c r="I22" s="2" t="n">
        <f aca="false">COUNTIFS(Tempat!$I$2:$I$1789,$A22,Tempat!$D$2:$D$1789,I$1)</f>
        <v>2</v>
      </c>
      <c r="J22" s="2" t="n">
        <f aca="false">COUNTIFS(Tempat!$I$2:$I$1789,$A22,Tempat!$D$2:$D$1789,J$1)</f>
        <v>0</v>
      </c>
    </row>
    <row r="23" customFormat="false" ht="15" hidden="false" customHeight="false" outlineLevel="0" collapsed="false">
      <c r="A23" s="2" t="s">
        <v>1559</v>
      </c>
      <c r="B23" s="2" t="n">
        <f aca="false">COUNTIF(Tempat!$I$2:$I$1789,A23)</f>
        <v>17</v>
      </c>
      <c r="C23" s="2" t="n">
        <f aca="false">COUNTIFS(Tempat!$I$2:$I$1789,A23,Tempat!$Q$2:$Q$1789,"Ya")</f>
        <v>7</v>
      </c>
      <c r="D23" s="2" t="n">
        <f aca="false">COUNTIFS(Tempat!$I$2:$I$1789,$A23,Tempat!$D$2:$D$1789,D$1)</f>
        <v>0</v>
      </c>
      <c r="E23" s="2" t="n">
        <f aca="false">COUNTIFS(Tempat!$I$2:$I$1789,$A23,Tempat!$D$2:$D$1789,E$1)</f>
        <v>5</v>
      </c>
      <c r="F23" s="2" t="n">
        <f aca="false">COUNTIFS(Tempat!$I$2:$I$1789,$A23,Tempat!$D$2:$D$1789,F$1)</f>
        <v>7</v>
      </c>
      <c r="G23" s="2" t="n">
        <f aca="false">COUNTIFS(Tempat!$I$2:$I$1789,$A23,Tempat!$D$2:$D$1789,G$1)</f>
        <v>1</v>
      </c>
      <c r="H23" s="2" t="n">
        <f aca="false">COUNTIFS(Tempat!$I$2:$I$1789,$A23,Tempat!$D$2:$D$1789,H$1)</f>
        <v>0</v>
      </c>
      <c r="I23" s="2" t="n">
        <f aca="false">COUNTIFS(Tempat!$I$2:$I$1789,$A23,Tempat!$D$2:$D$1789,I$1)</f>
        <v>1</v>
      </c>
      <c r="J23" s="2" t="n">
        <f aca="false">COUNTIFS(Tempat!$I$2:$I$1789,$A23,Tempat!$D$2:$D$1789,J$1)</f>
        <v>3</v>
      </c>
    </row>
    <row r="24" customFormat="false" ht="15" hidden="false" customHeight="false" outlineLevel="0" collapsed="false">
      <c r="A24" s="2" t="s">
        <v>1115</v>
      </c>
      <c r="B24" s="2" t="n">
        <f aca="false">COUNTIF(Tempat!$I$2:$I$1789,A24)</f>
        <v>14</v>
      </c>
      <c r="C24" s="2" t="n">
        <f aca="false">COUNTIFS(Tempat!$I$2:$I$1789,A24,Tempat!$Q$2:$Q$1789,"Ya")</f>
        <v>4</v>
      </c>
      <c r="D24" s="2" t="n">
        <f aca="false">COUNTIFS(Tempat!$I$2:$I$1789,$A24,Tempat!$D$2:$D$1789,D$1)</f>
        <v>0</v>
      </c>
      <c r="E24" s="2" t="n">
        <f aca="false">COUNTIFS(Tempat!$I$2:$I$1789,$A24,Tempat!$D$2:$D$1789,E$1)</f>
        <v>0</v>
      </c>
      <c r="F24" s="2" t="n">
        <f aca="false">COUNTIFS(Tempat!$I$2:$I$1789,$A24,Tempat!$D$2:$D$1789,F$1)</f>
        <v>10</v>
      </c>
      <c r="G24" s="2" t="n">
        <f aca="false">COUNTIFS(Tempat!$I$2:$I$1789,$A24,Tempat!$D$2:$D$1789,G$1)</f>
        <v>0</v>
      </c>
      <c r="H24" s="2" t="n">
        <f aca="false">COUNTIFS(Tempat!$I$2:$I$1789,$A24,Tempat!$D$2:$D$1789,H$1)</f>
        <v>0</v>
      </c>
      <c r="I24" s="2" t="n">
        <f aca="false">COUNTIFS(Tempat!$I$2:$I$1789,$A24,Tempat!$D$2:$D$1789,I$1)</f>
        <v>3</v>
      </c>
      <c r="J24" s="2" t="n">
        <f aca="false">COUNTIFS(Tempat!$I$2:$I$1789,$A24,Tempat!$D$2:$D$1789,J$1)</f>
        <v>1</v>
      </c>
    </row>
    <row r="25" customFormat="false" ht="15" hidden="false" customHeight="false" outlineLevel="0" collapsed="false">
      <c r="A25" s="2" t="s">
        <v>1155</v>
      </c>
      <c r="B25" s="2" t="n">
        <f aca="false">COUNTIF(Tempat!$I$2:$I$1789,A25)</f>
        <v>20</v>
      </c>
      <c r="C25" s="2" t="n">
        <f aca="false">COUNTIFS(Tempat!$I$2:$I$1789,A25,Tempat!$Q$2:$Q$1789,"Ya")</f>
        <v>2</v>
      </c>
      <c r="D25" s="2" t="n">
        <f aca="false">COUNTIFS(Tempat!$I$2:$I$1789,$A25,Tempat!$D$2:$D$1789,D$1)</f>
        <v>3</v>
      </c>
      <c r="E25" s="2" t="n">
        <f aca="false">COUNTIFS(Tempat!$I$2:$I$1789,$A25,Tempat!$D$2:$D$1789,E$1)</f>
        <v>7</v>
      </c>
      <c r="F25" s="2" t="n">
        <f aca="false">COUNTIFS(Tempat!$I$2:$I$1789,$A25,Tempat!$D$2:$D$1789,F$1)</f>
        <v>5</v>
      </c>
      <c r="G25" s="2" t="n">
        <f aca="false">COUNTIFS(Tempat!$I$2:$I$1789,$A25,Tempat!$D$2:$D$1789,G$1)</f>
        <v>0</v>
      </c>
      <c r="H25" s="2" t="n">
        <f aca="false">COUNTIFS(Tempat!$I$2:$I$1789,$A25,Tempat!$D$2:$D$1789,H$1)</f>
        <v>0</v>
      </c>
      <c r="I25" s="2" t="n">
        <f aca="false">COUNTIFS(Tempat!$I$2:$I$1789,$A25,Tempat!$D$2:$D$1789,I$1)</f>
        <v>3</v>
      </c>
      <c r="J25" s="2" t="n">
        <f aca="false">COUNTIFS(Tempat!$I$2:$I$1789,$A25,Tempat!$D$2:$D$1789,J$1)</f>
        <v>2</v>
      </c>
    </row>
    <row r="26" customFormat="false" ht="15" hidden="false" customHeight="false" outlineLevel="0" collapsed="false">
      <c r="A26" s="2" t="s">
        <v>5627</v>
      </c>
      <c r="B26" s="2" t="n">
        <f aca="false">COUNTIF(Tempat!$I$2:$I$1789,A26)</f>
        <v>4</v>
      </c>
      <c r="C26" s="2" t="n">
        <f aca="false">COUNTIFS(Tempat!$I$2:$I$1789,A26,Tempat!$Q$2:$Q$1789,"Ya")</f>
        <v>1</v>
      </c>
      <c r="D26" s="2" t="n">
        <f aca="false">COUNTIFS(Tempat!$I$2:$I$1789,$A26,Tempat!$D$2:$D$1789,D$1)</f>
        <v>0</v>
      </c>
      <c r="E26" s="2" t="n">
        <f aca="false">COUNTIFS(Tempat!$I$2:$I$1789,$A26,Tempat!$D$2:$D$1789,E$1)</f>
        <v>0</v>
      </c>
      <c r="F26" s="2" t="n">
        <f aca="false">COUNTIFS(Tempat!$I$2:$I$1789,$A26,Tempat!$D$2:$D$1789,F$1)</f>
        <v>2</v>
      </c>
      <c r="G26" s="2" t="n">
        <f aca="false">COUNTIFS(Tempat!$I$2:$I$1789,$A26,Tempat!$D$2:$D$1789,G$1)</f>
        <v>0</v>
      </c>
      <c r="H26" s="2" t="n">
        <f aca="false">COUNTIFS(Tempat!$I$2:$I$1789,$A26,Tempat!$D$2:$D$1789,H$1)</f>
        <v>0</v>
      </c>
      <c r="I26" s="2" t="n">
        <f aca="false">COUNTIFS(Tempat!$I$2:$I$1789,$A26,Tempat!$D$2:$D$1789,I$1)</f>
        <v>0</v>
      </c>
      <c r="J26" s="2" t="n">
        <f aca="false">COUNTIFS(Tempat!$I$2:$I$1789,$A26,Tempat!$D$2:$D$1789,J$1)</f>
        <v>2</v>
      </c>
    </row>
    <row r="27" customFormat="false" ht="15" hidden="false" customHeight="false" outlineLevel="0" collapsed="false">
      <c r="A27" s="2" t="s">
        <v>1108</v>
      </c>
      <c r="B27" s="2" t="n">
        <f aca="false">COUNTIF(Tempat!$I$2:$I$1789,A27)</f>
        <v>7</v>
      </c>
      <c r="C27" s="2" t="n">
        <f aca="false">COUNTIFS(Tempat!$I$2:$I$1789,A27,Tempat!$Q$2:$Q$1789,"Ya")</f>
        <v>1</v>
      </c>
      <c r="D27" s="2" t="n">
        <f aca="false">COUNTIFS(Tempat!$I$2:$I$1789,$A27,Tempat!$D$2:$D$1789,D$1)</f>
        <v>0</v>
      </c>
      <c r="E27" s="2" t="n">
        <f aca="false">COUNTIFS(Tempat!$I$2:$I$1789,$A27,Tempat!$D$2:$D$1789,E$1)</f>
        <v>0</v>
      </c>
      <c r="F27" s="2" t="n">
        <f aca="false">COUNTIFS(Tempat!$I$2:$I$1789,$A27,Tempat!$D$2:$D$1789,F$1)</f>
        <v>7</v>
      </c>
      <c r="G27" s="2" t="n">
        <f aca="false">COUNTIFS(Tempat!$I$2:$I$1789,$A27,Tempat!$D$2:$D$1789,G$1)</f>
        <v>0</v>
      </c>
      <c r="H27" s="2" t="n">
        <f aca="false">COUNTIFS(Tempat!$I$2:$I$1789,$A27,Tempat!$D$2:$D$1789,H$1)</f>
        <v>0</v>
      </c>
      <c r="I27" s="2" t="n">
        <f aca="false">COUNTIFS(Tempat!$I$2:$I$1789,$A27,Tempat!$D$2:$D$1789,I$1)</f>
        <v>0</v>
      </c>
      <c r="J27" s="2" t="n">
        <f aca="false">COUNTIFS(Tempat!$I$2:$I$1789,$A27,Tempat!$D$2:$D$1789,J$1)</f>
        <v>0</v>
      </c>
    </row>
    <row r="28" customFormat="false" ht="15" hidden="false" customHeight="false" outlineLevel="0" collapsed="false">
      <c r="A28" s="2" t="s">
        <v>5612</v>
      </c>
      <c r="B28" s="2" t="n">
        <f aca="false">COUNTIF(Tempat!$I$2:$I$1789,A28)</f>
        <v>5</v>
      </c>
      <c r="C28" s="2" t="n">
        <f aca="false">COUNTIFS(Tempat!$I$2:$I$1789,A28,Tempat!$Q$2:$Q$1789,"Ya")</f>
        <v>2</v>
      </c>
      <c r="D28" s="2" t="n">
        <f aca="false">COUNTIFS(Tempat!$I$2:$I$1789,$A28,Tempat!$D$2:$D$1789,D$1)</f>
        <v>0</v>
      </c>
      <c r="E28" s="2" t="n">
        <f aca="false">COUNTIFS(Tempat!$I$2:$I$1789,$A28,Tempat!$D$2:$D$1789,E$1)</f>
        <v>0</v>
      </c>
      <c r="F28" s="2" t="n">
        <f aca="false">COUNTIFS(Tempat!$I$2:$I$1789,$A28,Tempat!$D$2:$D$1789,F$1)</f>
        <v>2</v>
      </c>
      <c r="G28" s="2" t="n">
        <f aca="false">COUNTIFS(Tempat!$I$2:$I$1789,$A28,Tempat!$D$2:$D$1789,G$1)</f>
        <v>0</v>
      </c>
      <c r="H28" s="2" t="n">
        <f aca="false">COUNTIFS(Tempat!$I$2:$I$1789,$A28,Tempat!$D$2:$D$1789,H$1)</f>
        <v>0</v>
      </c>
      <c r="I28" s="2" t="n">
        <f aca="false">COUNTIFS(Tempat!$I$2:$I$1789,$A28,Tempat!$D$2:$D$1789,I$1)</f>
        <v>3</v>
      </c>
      <c r="J28" s="2" t="n">
        <f aca="false">COUNTIFS(Tempat!$I$2:$I$1789,$A28,Tempat!$D$2:$D$1789,J$1)</f>
        <v>0</v>
      </c>
    </row>
    <row r="29" customFormat="false" ht="15" hidden="false" customHeight="false" outlineLevel="0" collapsed="false">
      <c r="A29" s="2" t="s">
        <v>5643</v>
      </c>
      <c r="B29" s="2" t="n">
        <f aca="false">COUNTIF(Tempat!$I$2:$I$1789,A29)</f>
        <v>3</v>
      </c>
      <c r="C29" s="2" t="n">
        <f aca="false">COUNTIFS(Tempat!$I$2:$I$1789,A29,Tempat!$Q$2:$Q$1789,"Ya")</f>
        <v>0</v>
      </c>
      <c r="D29" s="2" t="n">
        <f aca="false">COUNTIFS(Tempat!$I$2:$I$1789,$A29,Tempat!$D$2:$D$1789,D$1)</f>
        <v>0</v>
      </c>
      <c r="E29" s="2" t="n">
        <f aca="false">COUNTIFS(Tempat!$I$2:$I$1789,$A29,Tempat!$D$2:$D$1789,E$1)</f>
        <v>1</v>
      </c>
      <c r="F29" s="2" t="n">
        <f aca="false">COUNTIFS(Tempat!$I$2:$I$1789,$A29,Tempat!$D$2:$D$1789,F$1)</f>
        <v>0</v>
      </c>
      <c r="G29" s="2" t="n">
        <f aca="false">COUNTIFS(Tempat!$I$2:$I$1789,$A29,Tempat!$D$2:$D$1789,G$1)</f>
        <v>2</v>
      </c>
      <c r="H29" s="2" t="n">
        <f aca="false">COUNTIFS(Tempat!$I$2:$I$1789,$A29,Tempat!$D$2:$D$1789,H$1)</f>
        <v>0</v>
      </c>
      <c r="I29" s="2" t="n">
        <f aca="false">COUNTIFS(Tempat!$I$2:$I$1789,$A29,Tempat!$D$2:$D$1789,I$1)</f>
        <v>0</v>
      </c>
      <c r="J29" s="2" t="n">
        <f aca="false">COUNTIFS(Tempat!$I$2:$I$1789,$A29,Tempat!$D$2:$D$1789,J$1)</f>
        <v>0</v>
      </c>
    </row>
    <row r="30" customFormat="false" ht="15" hidden="false" customHeight="false" outlineLevel="0" collapsed="false">
      <c r="A30" s="2" t="s">
        <v>5704</v>
      </c>
      <c r="B30" s="2" t="n">
        <f aca="false">COUNTIF(Tempat!$I$2:$I$1789,A30)</f>
        <v>3</v>
      </c>
      <c r="C30" s="2" t="n">
        <f aca="false">COUNTIFS(Tempat!$I$2:$I$1789,A30,Tempat!$Q$2:$Q$1789,"Ya")</f>
        <v>0</v>
      </c>
      <c r="D30" s="2" t="n">
        <f aca="false">COUNTIFS(Tempat!$I$2:$I$1789,$A30,Tempat!$D$2:$D$1789,D$1)</f>
        <v>1</v>
      </c>
      <c r="E30" s="2" t="n">
        <f aca="false">COUNTIFS(Tempat!$I$2:$I$1789,$A30,Tempat!$D$2:$D$1789,E$1)</f>
        <v>0</v>
      </c>
      <c r="F30" s="2" t="n">
        <f aca="false">COUNTIFS(Tempat!$I$2:$I$1789,$A30,Tempat!$D$2:$D$1789,F$1)</f>
        <v>0</v>
      </c>
      <c r="G30" s="2" t="n">
        <f aca="false">COUNTIFS(Tempat!$I$2:$I$1789,$A30,Tempat!$D$2:$D$1789,G$1)</f>
        <v>0</v>
      </c>
      <c r="H30" s="2" t="n">
        <f aca="false">COUNTIFS(Tempat!$I$2:$I$1789,$A30,Tempat!$D$2:$D$1789,H$1)</f>
        <v>0</v>
      </c>
      <c r="I30" s="2" t="n">
        <f aca="false">COUNTIFS(Tempat!$I$2:$I$1789,$A30,Tempat!$D$2:$D$1789,I$1)</f>
        <v>1</v>
      </c>
      <c r="J30" s="2" t="n">
        <f aca="false">COUNTIFS(Tempat!$I$2:$I$1789,$A30,Tempat!$D$2:$D$1789,J$1)</f>
        <v>1</v>
      </c>
    </row>
    <row r="31" customFormat="false" ht="15" hidden="false" customHeight="false" outlineLevel="0" collapsed="false">
      <c r="A31" s="2" t="s">
        <v>2246</v>
      </c>
      <c r="B31" s="2" t="n">
        <f aca="false">COUNTIF(Tempat!$I$2:$I$1789,A31)</f>
        <v>23</v>
      </c>
      <c r="C31" s="2" t="n">
        <f aca="false">COUNTIFS(Tempat!$I$2:$I$1789,A31,Tempat!$Q$2:$Q$1789,"Ya")</f>
        <v>8</v>
      </c>
      <c r="D31" s="2" t="n">
        <f aca="false">COUNTIFS(Tempat!$I$2:$I$1789,$A31,Tempat!$D$2:$D$1789,D$1)</f>
        <v>3</v>
      </c>
      <c r="E31" s="2" t="n">
        <f aca="false">COUNTIFS(Tempat!$I$2:$I$1789,$A31,Tempat!$D$2:$D$1789,E$1)</f>
        <v>5</v>
      </c>
      <c r="F31" s="2" t="n">
        <f aca="false">COUNTIFS(Tempat!$I$2:$I$1789,$A31,Tempat!$D$2:$D$1789,F$1)</f>
        <v>2</v>
      </c>
      <c r="G31" s="2" t="n">
        <f aca="false">COUNTIFS(Tempat!$I$2:$I$1789,$A31,Tempat!$D$2:$D$1789,G$1)</f>
        <v>1</v>
      </c>
      <c r="H31" s="2" t="n">
        <f aca="false">COUNTIFS(Tempat!$I$2:$I$1789,$A31,Tempat!$D$2:$D$1789,H$1)</f>
        <v>1</v>
      </c>
      <c r="I31" s="2" t="n">
        <f aca="false">COUNTIFS(Tempat!$I$2:$I$1789,$A31,Tempat!$D$2:$D$1789,I$1)</f>
        <v>9</v>
      </c>
      <c r="J31" s="2" t="n">
        <f aca="false">COUNTIFS(Tempat!$I$2:$I$1789,$A31,Tempat!$D$2:$D$1789,J$1)</f>
        <v>2</v>
      </c>
    </row>
    <row r="32" customFormat="false" ht="15" hidden="false" customHeight="false" outlineLevel="0" collapsed="false">
      <c r="A32" s="2" t="s">
        <v>5290</v>
      </c>
      <c r="B32" s="2" t="n">
        <f aca="false">COUNTIF(Tempat!$I$2:$I$1789,A32)</f>
        <v>4</v>
      </c>
      <c r="C32" s="2" t="n">
        <f aca="false">COUNTIFS(Tempat!$I$2:$I$1789,A32,Tempat!$Q$2:$Q$1789,"Ya")</f>
        <v>1</v>
      </c>
      <c r="D32" s="2" t="n">
        <f aca="false">COUNTIFS(Tempat!$I$2:$I$1789,$A32,Tempat!$D$2:$D$1789,D$1)</f>
        <v>0</v>
      </c>
      <c r="E32" s="2" t="n">
        <f aca="false">COUNTIFS(Tempat!$I$2:$I$1789,$A32,Tempat!$D$2:$D$1789,E$1)</f>
        <v>0</v>
      </c>
      <c r="F32" s="2" t="n">
        <f aca="false">COUNTIFS(Tempat!$I$2:$I$1789,$A32,Tempat!$D$2:$D$1789,F$1)</f>
        <v>1</v>
      </c>
      <c r="G32" s="2" t="n">
        <f aca="false">COUNTIFS(Tempat!$I$2:$I$1789,$A32,Tempat!$D$2:$D$1789,G$1)</f>
        <v>0</v>
      </c>
      <c r="H32" s="2" t="n">
        <f aca="false">COUNTIFS(Tempat!$I$2:$I$1789,$A32,Tempat!$D$2:$D$1789,H$1)</f>
        <v>0</v>
      </c>
      <c r="I32" s="2" t="n">
        <f aca="false">COUNTIFS(Tempat!$I$2:$I$1789,$A32,Tempat!$D$2:$D$1789,I$1)</f>
        <v>3</v>
      </c>
      <c r="J32" s="2" t="n">
        <f aca="false">COUNTIFS(Tempat!$I$2:$I$1789,$A32,Tempat!$D$2:$D$1789,J$1)</f>
        <v>0</v>
      </c>
    </row>
    <row r="33" customFormat="false" ht="15" hidden="false" customHeight="false" outlineLevel="0" collapsed="false">
      <c r="A33" s="2" t="s">
        <v>403</v>
      </c>
      <c r="B33" s="2" t="n">
        <f aca="false">COUNTIF(Tempat!$I$2:$I$1789,A33)</f>
        <v>42</v>
      </c>
      <c r="C33" s="2" t="n">
        <f aca="false">COUNTIFS(Tempat!$I$2:$I$1789,A33,Tempat!$Q$2:$Q$1789,"Ya")</f>
        <v>11</v>
      </c>
      <c r="D33" s="2" t="n">
        <f aca="false">COUNTIFS(Tempat!$I$2:$I$1789,$A33,Tempat!$D$2:$D$1789,D$1)</f>
        <v>1</v>
      </c>
      <c r="E33" s="2" t="n">
        <f aca="false">COUNTIFS(Tempat!$I$2:$I$1789,$A33,Tempat!$D$2:$D$1789,E$1)</f>
        <v>4</v>
      </c>
      <c r="F33" s="2" t="n">
        <f aca="false">COUNTIFS(Tempat!$I$2:$I$1789,$A33,Tempat!$D$2:$D$1789,F$1)</f>
        <v>21</v>
      </c>
      <c r="G33" s="2" t="n">
        <f aca="false">COUNTIFS(Tempat!$I$2:$I$1789,$A33,Tempat!$D$2:$D$1789,G$1)</f>
        <v>2</v>
      </c>
      <c r="H33" s="2" t="n">
        <f aca="false">COUNTIFS(Tempat!$I$2:$I$1789,$A33,Tempat!$D$2:$D$1789,H$1)</f>
        <v>2</v>
      </c>
      <c r="I33" s="2" t="n">
        <f aca="false">COUNTIFS(Tempat!$I$2:$I$1789,$A33,Tempat!$D$2:$D$1789,I$1)</f>
        <v>7</v>
      </c>
      <c r="J33" s="2" t="n">
        <f aca="false">COUNTIFS(Tempat!$I$2:$I$1789,$A33,Tempat!$D$2:$D$1789,J$1)</f>
        <v>5</v>
      </c>
    </row>
    <row r="34" customFormat="false" ht="15" hidden="false" customHeight="false" outlineLevel="0" collapsed="false">
      <c r="A34" s="2" t="s">
        <v>5248</v>
      </c>
      <c r="B34" s="2" t="n">
        <f aca="false">COUNTIF(Tempat!$I$2:$I$1789,A34)</f>
        <v>6</v>
      </c>
      <c r="C34" s="2" t="n">
        <f aca="false">COUNTIFS(Tempat!$I$2:$I$1789,A34,Tempat!$Q$2:$Q$1789,"Ya")</f>
        <v>3</v>
      </c>
      <c r="D34" s="2" t="n">
        <f aca="false">COUNTIFS(Tempat!$I$2:$I$1789,$A34,Tempat!$D$2:$D$1789,D$1)</f>
        <v>0</v>
      </c>
      <c r="E34" s="2" t="n">
        <f aca="false">COUNTIFS(Tempat!$I$2:$I$1789,$A34,Tempat!$D$2:$D$1789,E$1)</f>
        <v>0</v>
      </c>
      <c r="F34" s="2" t="n">
        <f aca="false">COUNTIFS(Tempat!$I$2:$I$1789,$A34,Tempat!$D$2:$D$1789,F$1)</f>
        <v>5</v>
      </c>
      <c r="G34" s="2" t="n">
        <f aca="false">COUNTIFS(Tempat!$I$2:$I$1789,$A34,Tempat!$D$2:$D$1789,G$1)</f>
        <v>0</v>
      </c>
      <c r="H34" s="2" t="n">
        <f aca="false">COUNTIFS(Tempat!$I$2:$I$1789,$A34,Tempat!$D$2:$D$1789,H$1)</f>
        <v>0</v>
      </c>
      <c r="I34" s="2" t="n">
        <f aca="false">COUNTIFS(Tempat!$I$2:$I$1789,$A34,Tempat!$D$2:$D$1789,I$1)</f>
        <v>1</v>
      </c>
      <c r="J34" s="2" t="n">
        <f aca="false">COUNTIFS(Tempat!$I$2:$I$1789,$A34,Tempat!$D$2:$D$1789,J$1)</f>
        <v>0</v>
      </c>
    </row>
    <row r="35" customFormat="false" ht="15" hidden="false" customHeight="false" outlineLevel="0" collapsed="false">
      <c r="A35" s="2" t="s">
        <v>5437</v>
      </c>
      <c r="B35" s="2" t="n">
        <f aca="false">COUNTIF(Tempat!$I$2:$I$1789,A35)</f>
        <v>5</v>
      </c>
      <c r="C35" s="2" t="n">
        <f aca="false">COUNTIFS(Tempat!$I$2:$I$1789,A35,Tempat!$Q$2:$Q$1789,"Ya")</f>
        <v>4</v>
      </c>
      <c r="D35" s="2" t="n">
        <f aca="false">COUNTIFS(Tempat!$I$2:$I$1789,$A35,Tempat!$D$2:$D$1789,D$1)</f>
        <v>0</v>
      </c>
      <c r="E35" s="2" t="n">
        <f aca="false">COUNTIFS(Tempat!$I$2:$I$1789,$A35,Tempat!$D$2:$D$1789,E$1)</f>
        <v>1</v>
      </c>
      <c r="F35" s="2" t="n">
        <f aca="false">COUNTIFS(Tempat!$I$2:$I$1789,$A35,Tempat!$D$2:$D$1789,F$1)</f>
        <v>2</v>
      </c>
      <c r="G35" s="2" t="n">
        <f aca="false">COUNTIFS(Tempat!$I$2:$I$1789,$A35,Tempat!$D$2:$D$1789,G$1)</f>
        <v>0</v>
      </c>
      <c r="H35" s="2" t="n">
        <f aca="false">COUNTIFS(Tempat!$I$2:$I$1789,$A35,Tempat!$D$2:$D$1789,H$1)</f>
        <v>0</v>
      </c>
      <c r="I35" s="2" t="n">
        <f aca="false">COUNTIFS(Tempat!$I$2:$I$1789,$A35,Tempat!$D$2:$D$1789,I$1)</f>
        <v>0</v>
      </c>
      <c r="J35" s="2" t="n">
        <f aca="false">COUNTIFS(Tempat!$I$2:$I$1789,$A35,Tempat!$D$2:$D$1789,J$1)</f>
        <v>2</v>
      </c>
    </row>
    <row r="36" customFormat="false" ht="15" hidden="false" customHeight="false" outlineLevel="0" collapsed="false">
      <c r="A36" s="2" t="s">
        <v>5041</v>
      </c>
      <c r="B36" s="2" t="n">
        <f aca="false">COUNTIF(Tempat!$I$2:$I$1789,A36)</f>
        <v>17</v>
      </c>
      <c r="C36" s="2" t="n">
        <f aca="false">COUNTIFS(Tempat!$I$2:$I$1789,A36,Tempat!$Q$2:$Q$1789,"Ya")</f>
        <v>5</v>
      </c>
      <c r="D36" s="2" t="n">
        <f aca="false">COUNTIFS(Tempat!$I$2:$I$1789,$A36,Tempat!$D$2:$D$1789,D$1)</f>
        <v>0</v>
      </c>
      <c r="E36" s="2" t="n">
        <f aca="false">COUNTIFS(Tempat!$I$2:$I$1789,$A36,Tempat!$D$2:$D$1789,E$1)</f>
        <v>2</v>
      </c>
      <c r="F36" s="2" t="n">
        <f aca="false">COUNTIFS(Tempat!$I$2:$I$1789,$A36,Tempat!$D$2:$D$1789,F$1)</f>
        <v>6</v>
      </c>
      <c r="G36" s="2" t="n">
        <f aca="false">COUNTIFS(Tempat!$I$2:$I$1789,$A36,Tempat!$D$2:$D$1789,G$1)</f>
        <v>4</v>
      </c>
      <c r="H36" s="2" t="n">
        <f aca="false">COUNTIFS(Tempat!$I$2:$I$1789,$A36,Tempat!$D$2:$D$1789,H$1)</f>
        <v>0</v>
      </c>
      <c r="I36" s="2" t="n">
        <f aca="false">COUNTIFS(Tempat!$I$2:$I$1789,$A36,Tempat!$D$2:$D$1789,I$1)</f>
        <v>1</v>
      </c>
      <c r="J36" s="2" t="n">
        <f aca="false">COUNTIFS(Tempat!$I$2:$I$1789,$A36,Tempat!$D$2:$D$1789,J$1)</f>
        <v>4</v>
      </c>
    </row>
    <row r="37" customFormat="false" ht="15" hidden="false" customHeight="false" outlineLevel="0" collapsed="false">
      <c r="A37" s="2" t="s">
        <v>1337</v>
      </c>
      <c r="B37" s="2" t="n">
        <f aca="false">COUNTIF(Tempat!$I$2:$I$1789,A37)</f>
        <v>29</v>
      </c>
      <c r="C37" s="2" t="n">
        <f aca="false">COUNTIFS(Tempat!$I$2:$I$1789,A37,Tempat!$Q$2:$Q$1789,"Ya")</f>
        <v>6</v>
      </c>
      <c r="D37" s="2" t="n">
        <f aca="false">COUNTIFS(Tempat!$I$2:$I$1789,$A37,Tempat!$D$2:$D$1789,D$1)</f>
        <v>2</v>
      </c>
      <c r="E37" s="2" t="n">
        <f aca="false">COUNTIFS(Tempat!$I$2:$I$1789,$A37,Tempat!$D$2:$D$1789,E$1)</f>
        <v>10</v>
      </c>
      <c r="F37" s="2" t="n">
        <f aca="false">COUNTIFS(Tempat!$I$2:$I$1789,$A37,Tempat!$D$2:$D$1789,F$1)</f>
        <v>6</v>
      </c>
      <c r="G37" s="2" t="n">
        <f aca="false">COUNTIFS(Tempat!$I$2:$I$1789,$A37,Tempat!$D$2:$D$1789,G$1)</f>
        <v>2</v>
      </c>
      <c r="H37" s="2" t="n">
        <f aca="false">COUNTIFS(Tempat!$I$2:$I$1789,$A37,Tempat!$D$2:$D$1789,H$1)</f>
        <v>2</v>
      </c>
      <c r="I37" s="2" t="n">
        <f aca="false">COUNTIFS(Tempat!$I$2:$I$1789,$A37,Tempat!$D$2:$D$1789,I$1)</f>
        <v>5</v>
      </c>
      <c r="J37" s="2" t="n">
        <f aca="false">COUNTIFS(Tempat!$I$2:$I$1789,$A37,Tempat!$D$2:$D$1789,J$1)</f>
        <v>2</v>
      </c>
    </row>
    <row r="38" customFormat="false" ht="15" hidden="false" customHeight="false" outlineLevel="0" collapsed="false">
      <c r="A38" s="2" t="s">
        <v>326</v>
      </c>
      <c r="B38" s="2" t="n">
        <f aca="false">COUNTIF(Tempat!$I$2:$I$1789,A38)</f>
        <v>56</v>
      </c>
      <c r="C38" s="2" t="n">
        <f aca="false">COUNTIFS(Tempat!$I$2:$I$1789,A38,Tempat!$Q$2:$Q$1789,"Ya")</f>
        <v>30</v>
      </c>
      <c r="D38" s="2" t="n">
        <f aca="false">COUNTIFS(Tempat!$I$2:$I$1789,$A38,Tempat!$D$2:$D$1789,D$1)</f>
        <v>5</v>
      </c>
      <c r="E38" s="2" t="n">
        <f aca="false">COUNTIFS(Tempat!$I$2:$I$1789,$A38,Tempat!$D$2:$D$1789,E$1)</f>
        <v>13</v>
      </c>
      <c r="F38" s="2" t="n">
        <f aca="false">COUNTIFS(Tempat!$I$2:$I$1789,$A38,Tempat!$D$2:$D$1789,F$1)</f>
        <v>6</v>
      </c>
      <c r="G38" s="2" t="n">
        <f aca="false">COUNTIFS(Tempat!$I$2:$I$1789,$A38,Tempat!$D$2:$D$1789,G$1)</f>
        <v>4</v>
      </c>
      <c r="H38" s="2" t="n">
        <f aca="false">COUNTIFS(Tempat!$I$2:$I$1789,$A38,Tempat!$D$2:$D$1789,H$1)</f>
        <v>0</v>
      </c>
      <c r="I38" s="2" t="n">
        <f aca="false">COUNTIFS(Tempat!$I$2:$I$1789,$A38,Tempat!$D$2:$D$1789,I$1)</f>
        <v>6</v>
      </c>
      <c r="J38" s="2" t="n">
        <f aca="false">COUNTIFS(Tempat!$I$2:$I$1789,$A38,Tempat!$D$2:$D$1789,J$1)</f>
        <v>22</v>
      </c>
    </row>
    <row r="39" customFormat="false" ht="15" hidden="false" customHeight="false" outlineLevel="0" collapsed="false">
      <c r="A39" s="2" t="s">
        <v>385</v>
      </c>
      <c r="B39" s="2" t="n">
        <f aca="false">COUNTIF(Tempat!$I$2:$I$1789,A39)</f>
        <v>53</v>
      </c>
      <c r="C39" s="2" t="n">
        <f aca="false">COUNTIFS(Tempat!$I$2:$I$1789,A39,Tempat!$Q$2:$Q$1789,"Ya")</f>
        <v>18</v>
      </c>
      <c r="D39" s="2" t="n">
        <f aca="false">COUNTIFS(Tempat!$I$2:$I$1789,$A39,Tempat!$D$2:$D$1789,D$1)</f>
        <v>10</v>
      </c>
      <c r="E39" s="2" t="n">
        <f aca="false">COUNTIFS(Tempat!$I$2:$I$1789,$A39,Tempat!$D$2:$D$1789,E$1)</f>
        <v>13</v>
      </c>
      <c r="F39" s="2" t="n">
        <f aca="false">COUNTIFS(Tempat!$I$2:$I$1789,$A39,Tempat!$D$2:$D$1789,F$1)</f>
        <v>15</v>
      </c>
      <c r="G39" s="2" t="n">
        <f aca="false">COUNTIFS(Tempat!$I$2:$I$1789,$A39,Tempat!$D$2:$D$1789,G$1)</f>
        <v>1</v>
      </c>
      <c r="H39" s="2" t="n">
        <f aca="false">COUNTIFS(Tempat!$I$2:$I$1789,$A39,Tempat!$D$2:$D$1789,H$1)</f>
        <v>1</v>
      </c>
      <c r="I39" s="2" t="n">
        <f aca="false">COUNTIFS(Tempat!$I$2:$I$1789,$A39,Tempat!$D$2:$D$1789,I$1)</f>
        <v>9</v>
      </c>
      <c r="J39" s="2" t="n">
        <f aca="false">COUNTIFS(Tempat!$I$2:$I$1789,$A39,Tempat!$D$2:$D$1789,J$1)</f>
        <v>4</v>
      </c>
    </row>
    <row r="40" customFormat="false" ht="15" hidden="false" customHeight="false" outlineLevel="0" collapsed="false">
      <c r="A40" s="2" t="s">
        <v>13357</v>
      </c>
      <c r="B40" s="2" t="n">
        <f aca="false">COUNTA(Tempat!A2:A1789)-SUM(B2:B39)</f>
        <v>44</v>
      </c>
      <c r="C40" s="2"/>
      <c r="D40" s="2"/>
      <c r="E40" s="2"/>
      <c r="F40" s="2"/>
      <c r="G40" s="2"/>
      <c r="H40" s="2"/>
      <c r="I40" s="2"/>
      <c r="J4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2026-09-29T02:12:11Z</dcterms:created>
  <dc:creator>openpyxl</dc:creator>
  <dc:description/>
  <dc:language>en-US</dc:language>
  <cp:lastModifiedBy/>
  <dcterms:modified xsi:type="dcterms:W3CDTF">2026-09-29T02:12:11Z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